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20490" windowHeight="7260" tabRatio="911"/>
  </bookViews>
  <sheets>
    <sheet name="0928" sheetId="149" r:id="rId1"/>
    <sheet name="0928 4度C" sheetId="150" r:id="rId2"/>
    <sheet name="0927" sheetId="147" r:id="rId3"/>
    <sheet name="0927 4度C" sheetId="148" r:id="rId4"/>
    <sheet name="0926" sheetId="145" r:id="rId5"/>
    <sheet name="0926 4度C" sheetId="146" r:id="rId6"/>
    <sheet name="0925" sheetId="143" r:id="rId7"/>
    <sheet name="0925 4度C" sheetId="144" r:id="rId8"/>
    <sheet name="0924" sheetId="141" r:id="rId9"/>
    <sheet name="0924 4度C" sheetId="142" r:id="rId10"/>
    <sheet name="0923" sheetId="139" r:id="rId11"/>
    <sheet name="0923 4度C" sheetId="140" r:id="rId12"/>
    <sheet name="0922" sheetId="137" r:id="rId13"/>
    <sheet name="0922 4度C" sheetId="138" r:id="rId14"/>
    <sheet name="0921" sheetId="135" r:id="rId15"/>
    <sheet name="0921 4度C" sheetId="136" r:id="rId16"/>
    <sheet name="0920" sheetId="133" r:id="rId17"/>
    <sheet name="0920 4度C" sheetId="134" r:id="rId18"/>
    <sheet name="0919" sheetId="129" r:id="rId19"/>
    <sheet name="0919 4度C" sheetId="130" r:id="rId20"/>
    <sheet name="0918" sheetId="127" r:id="rId21"/>
    <sheet name="0918 4度C" sheetId="128" r:id="rId22"/>
    <sheet name="0917" sheetId="125" r:id="rId23"/>
    <sheet name="0917 4度C" sheetId="126" r:id="rId24"/>
    <sheet name="0916" sheetId="123" r:id="rId25"/>
    <sheet name="0916 4度C" sheetId="124" r:id="rId26"/>
    <sheet name="0915" sheetId="121" r:id="rId27"/>
    <sheet name="0915 4度C" sheetId="122" r:id="rId28"/>
    <sheet name="0914" sheetId="119" r:id="rId29"/>
    <sheet name="0914 4度C" sheetId="120" r:id="rId30"/>
    <sheet name="0913" sheetId="117" r:id="rId31"/>
    <sheet name="0913 4度C" sheetId="118" r:id="rId32"/>
    <sheet name="0912" sheetId="115" r:id="rId33"/>
    <sheet name="0912 4度C" sheetId="116" r:id="rId34"/>
    <sheet name="0911" sheetId="113" r:id="rId35"/>
    <sheet name="0911 4度C" sheetId="114" r:id="rId36"/>
    <sheet name="0910" sheetId="112" r:id="rId37"/>
    <sheet name="0910 4度C" sheetId="111" r:id="rId38"/>
    <sheet name="0909" sheetId="107" r:id="rId39"/>
    <sheet name="0909 4度C" sheetId="108" r:id="rId40"/>
    <sheet name="0908" sheetId="105" r:id="rId41"/>
    <sheet name="0908 4度C" sheetId="106" r:id="rId42"/>
    <sheet name="0907" sheetId="103" r:id="rId43"/>
    <sheet name="0907 4度C" sheetId="104" r:id="rId44"/>
    <sheet name="0906" sheetId="99" r:id="rId45"/>
    <sheet name="0906 4度C" sheetId="100" r:id="rId46"/>
    <sheet name="0905" sheetId="95" r:id="rId47"/>
    <sheet name="0905 4度C" sheetId="96" r:id="rId48"/>
    <sheet name="0904" sheetId="93" r:id="rId49"/>
    <sheet name="0904 4度C" sheetId="94" r:id="rId50"/>
    <sheet name="0903" sheetId="91" r:id="rId51"/>
    <sheet name="0903 4度C" sheetId="92" r:id="rId52"/>
    <sheet name="0902" sheetId="89" r:id="rId53"/>
    <sheet name="0902 4度C" sheetId="90" r:id="rId54"/>
    <sheet name="0901" sheetId="87" r:id="rId55"/>
    <sheet name="0901 4度C" sheetId="88" r:id="rId56"/>
  </sheets>
  <definedNames>
    <definedName name="_xlnm._FilterDatabase" localSheetId="55" hidden="1">'0901 4度C'!$A$4:$AI$4</definedName>
    <definedName name="_xlnm._FilterDatabase" localSheetId="53" hidden="1">'0902 4度C'!$A$4:$AI$4</definedName>
    <definedName name="_xlnm._FilterDatabase" localSheetId="51" hidden="1">'0903 4度C'!$A$4:$AI$4</definedName>
    <definedName name="_xlnm._FilterDatabase" localSheetId="49" hidden="1">'0904 4度C'!$A$4:$AI$4</definedName>
    <definedName name="_xlnm._FilterDatabase" localSheetId="47" hidden="1">'0905 4度C'!$A$4:$AI$4</definedName>
    <definedName name="_xlnm._FilterDatabase" localSheetId="45" hidden="1">'0906 4度C'!$A$4:$AI$4</definedName>
    <definedName name="_xlnm._FilterDatabase" localSheetId="43" hidden="1">'0907 4度C'!$A$4:$AI$4</definedName>
    <definedName name="_xlnm._FilterDatabase" localSheetId="41" hidden="1">'0908 4度C'!$A$4:$AI$4</definedName>
    <definedName name="_xlnm._FilterDatabase" localSheetId="39" hidden="1">'0909 4度C'!$A$4:$AI$4</definedName>
    <definedName name="_xlnm._FilterDatabase" localSheetId="37" hidden="1">'0910 4度C'!$A$4:$AI$4</definedName>
    <definedName name="_xlnm._FilterDatabase" localSheetId="35" hidden="1">'0911 4度C'!$A$4:$AI$4</definedName>
    <definedName name="_xlnm._FilterDatabase" localSheetId="33" hidden="1">'0912 4度C'!$A$4:$AI$4</definedName>
    <definedName name="_xlnm._FilterDatabase" localSheetId="31" hidden="1">'0913 4度C'!$A$4:$AI$4</definedName>
    <definedName name="_xlnm._FilterDatabase" localSheetId="29" hidden="1">'0914 4度C'!$A$4:$AI$4</definedName>
    <definedName name="_xlnm._FilterDatabase" localSheetId="27" hidden="1">'0915 4度C'!$A$4:$AI$4</definedName>
    <definedName name="_xlnm._FilterDatabase" localSheetId="25" hidden="1">'0916 4度C'!$A$4:$AI$4</definedName>
    <definedName name="_xlnm._FilterDatabase" localSheetId="23" hidden="1">'0917 4度C'!$A$4:$AI$4</definedName>
    <definedName name="_xlnm._FilterDatabase" localSheetId="21" hidden="1">'0918 4度C'!$A$4:$AI$4</definedName>
    <definedName name="_xlnm._FilterDatabase" localSheetId="19" hidden="1">'0919 4度C'!$A$4:$AI$4</definedName>
    <definedName name="_xlnm._FilterDatabase" localSheetId="17" hidden="1">'0920 4度C'!$A$4:$AI$4</definedName>
    <definedName name="_xlnm._FilterDatabase" localSheetId="15" hidden="1">'0921 4度C'!$A$4:$AI$4</definedName>
    <definedName name="_xlnm._FilterDatabase" localSheetId="13" hidden="1">'0922 4度C'!$A$4:$AI$4</definedName>
    <definedName name="_xlnm._FilterDatabase" localSheetId="11" hidden="1">'0923 4度C'!$A$4:$AI$4</definedName>
    <definedName name="_xlnm._FilterDatabase" localSheetId="9" hidden="1">'0924 4度C'!$A$4:$AI$4</definedName>
    <definedName name="_xlnm._FilterDatabase" localSheetId="7" hidden="1">'0925 4度C'!$A$4:$AI$4</definedName>
    <definedName name="_xlnm._FilterDatabase" localSheetId="5" hidden="1">'0926 4度C'!$A$4:$AI$4</definedName>
    <definedName name="_xlnm._FilterDatabase" localSheetId="3" hidden="1">'0927 4度C'!$A$4:$AI$4</definedName>
    <definedName name="_xlnm._FilterDatabase" localSheetId="1" hidden="1">'0928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4" i="150" l="1"/>
  <c r="Z74" i="150"/>
  <c r="Y74" i="150"/>
  <c r="O74" i="150"/>
  <c r="M74" i="150"/>
  <c r="K74" i="150"/>
  <c r="AF73" i="150"/>
  <c r="AE73" i="150"/>
  <c r="V73" i="150"/>
  <c r="U73" i="150"/>
  <c r="O73" i="150"/>
  <c r="N73" i="150"/>
  <c r="Q73" i="150" s="1"/>
  <c r="M73" i="150"/>
  <c r="K73" i="150"/>
  <c r="G73" i="150"/>
  <c r="V72" i="150"/>
  <c r="U72" i="150"/>
  <c r="O72" i="150"/>
  <c r="N72" i="150"/>
  <c r="M72" i="150"/>
  <c r="K72" i="150"/>
  <c r="G72" i="150"/>
  <c r="AF71" i="150"/>
  <c r="AE71" i="150"/>
  <c r="V71" i="150"/>
  <c r="M71" i="150" s="1"/>
  <c r="N71" i="150" s="1"/>
  <c r="U71" i="150"/>
  <c r="Q71" i="150"/>
  <c r="P71" i="150"/>
  <c r="O71" i="150"/>
  <c r="K71" i="150"/>
  <c r="G71" i="150"/>
  <c r="X70" i="150"/>
  <c r="W70" i="150"/>
  <c r="V70" i="150"/>
  <c r="U70" i="150"/>
  <c r="Q70" i="150"/>
  <c r="P70" i="150"/>
  <c r="O70" i="150"/>
  <c r="N70" i="150"/>
  <c r="M70" i="150"/>
  <c r="K70" i="150"/>
  <c r="G70" i="150"/>
  <c r="AF69" i="150"/>
  <c r="AE69" i="150"/>
  <c r="V69" i="150"/>
  <c r="M69" i="150" s="1"/>
  <c r="N69" i="150" s="1"/>
  <c r="U69" i="150"/>
  <c r="O69" i="150"/>
  <c r="K69" i="150"/>
  <c r="G69" i="150"/>
  <c r="AE68" i="150"/>
  <c r="V68" i="150"/>
  <c r="U68" i="150"/>
  <c r="O68" i="150"/>
  <c r="N68" i="150"/>
  <c r="P68" i="150" s="1"/>
  <c r="M68" i="150"/>
  <c r="AF68" i="150" s="1"/>
  <c r="K68" i="150"/>
  <c r="G68" i="150"/>
  <c r="AF67" i="150"/>
  <c r="V67" i="150"/>
  <c r="U67" i="150"/>
  <c r="O67" i="150"/>
  <c r="M67" i="150"/>
  <c r="AE67" i="150" s="1"/>
  <c r="K67" i="150"/>
  <c r="G67" i="150"/>
  <c r="AF66" i="150"/>
  <c r="AE66" i="150"/>
  <c r="V66" i="150"/>
  <c r="U66" i="150"/>
  <c r="O66" i="150"/>
  <c r="N66" i="150"/>
  <c r="Q66" i="150" s="1"/>
  <c r="M66" i="150"/>
  <c r="K66" i="150"/>
  <c r="G66" i="150"/>
  <c r="V65" i="150"/>
  <c r="U65" i="150"/>
  <c r="O65" i="150"/>
  <c r="M65" i="150"/>
  <c r="K65" i="150"/>
  <c r="G65" i="150"/>
  <c r="AF64" i="150"/>
  <c r="AE64" i="150"/>
  <c r="X64" i="150"/>
  <c r="W64" i="150"/>
  <c r="V64" i="150"/>
  <c r="M64" i="150" s="1"/>
  <c r="N64" i="150" s="1"/>
  <c r="P64" i="150" s="1"/>
  <c r="Q64" i="150"/>
  <c r="O64" i="150"/>
  <c r="K64" i="150"/>
  <c r="G64" i="150"/>
  <c r="AD63" i="150"/>
  <c r="J21" i="149" s="1"/>
  <c r="Z63" i="150"/>
  <c r="J19" i="149" s="1"/>
  <c r="Y63" i="150"/>
  <c r="O63" i="150"/>
  <c r="M63" i="150"/>
  <c r="N63" i="150" s="1"/>
  <c r="K63" i="150"/>
  <c r="J13" i="149" s="1"/>
  <c r="AF62" i="150"/>
  <c r="AE62" i="150"/>
  <c r="V62" i="150"/>
  <c r="M62" i="150" s="1"/>
  <c r="N62" i="150" s="1"/>
  <c r="U62" i="150"/>
  <c r="O62" i="150"/>
  <c r="K62" i="150"/>
  <c r="G62" i="150"/>
  <c r="AE61" i="150"/>
  <c r="V61" i="150"/>
  <c r="U61" i="150"/>
  <c r="O61" i="150"/>
  <c r="N61" i="150"/>
  <c r="Q61" i="150" s="1"/>
  <c r="M61" i="150"/>
  <c r="AF61" i="150" s="1"/>
  <c r="K61" i="150"/>
  <c r="G61" i="150"/>
  <c r="AF60" i="150"/>
  <c r="V60" i="150"/>
  <c r="U60" i="150"/>
  <c r="O60" i="150"/>
  <c r="M60" i="150"/>
  <c r="AE60" i="150" s="1"/>
  <c r="K60" i="150"/>
  <c r="G60" i="150"/>
  <c r="AF59" i="150"/>
  <c r="AE59" i="150"/>
  <c r="V59" i="150"/>
  <c r="U59" i="150"/>
  <c r="O59" i="150"/>
  <c r="N59" i="150"/>
  <c r="Q59" i="150" s="1"/>
  <c r="M59" i="150"/>
  <c r="K59" i="150"/>
  <c r="G59" i="150"/>
  <c r="V58" i="150"/>
  <c r="O58" i="150"/>
  <c r="N58" i="150"/>
  <c r="M58" i="150"/>
  <c r="K58" i="150"/>
  <c r="G58" i="150"/>
  <c r="AD57" i="150"/>
  <c r="I21" i="149" s="1"/>
  <c r="Z57" i="150"/>
  <c r="I19" i="149" s="1"/>
  <c r="Y57" i="150"/>
  <c r="O57" i="150"/>
  <c r="K57" i="150"/>
  <c r="V56" i="150"/>
  <c r="U56" i="150"/>
  <c r="P56" i="150"/>
  <c r="O56" i="150"/>
  <c r="N56" i="150"/>
  <c r="Q56" i="150" s="1"/>
  <c r="M56" i="150"/>
  <c r="K56" i="150"/>
  <c r="G56" i="150"/>
  <c r="AF55" i="150"/>
  <c r="AE55" i="150"/>
  <c r="V55" i="150"/>
  <c r="M55" i="150" s="1"/>
  <c r="N55" i="150" s="1"/>
  <c r="P55" i="150" s="1"/>
  <c r="U55" i="150"/>
  <c r="Q55" i="150"/>
  <c r="O55" i="150"/>
  <c r="K55" i="150"/>
  <c r="G55" i="150"/>
  <c r="V54" i="150"/>
  <c r="U54" i="150"/>
  <c r="O54" i="150"/>
  <c r="N54" i="150"/>
  <c r="Q54" i="150" s="1"/>
  <c r="M54" i="150"/>
  <c r="K54" i="150"/>
  <c r="G54" i="150"/>
  <c r="AF53" i="150"/>
  <c r="AE53" i="150"/>
  <c r="V53" i="150"/>
  <c r="M53" i="150" s="1"/>
  <c r="N53" i="150" s="1"/>
  <c r="U53" i="150"/>
  <c r="O53" i="150"/>
  <c r="K53" i="150"/>
  <c r="G53" i="150"/>
  <c r="AE52" i="150"/>
  <c r="V52" i="150"/>
  <c r="U52" i="150"/>
  <c r="O52" i="150"/>
  <c r="N52" i="150"/>
  <c r="Q52" i="150" s="1"/>
  <c r="M52" i="150"/>
  <c r="AF52" i="150" s="1"/>
  <c r="K52" i="150"/>
  <c r="G52" i="150"/>
  <c r="AF51" i="150"/>
  <c r="V51" i="150"/>
  <c r="U51" i="150"/>
  <c r="O51" i="150"/>
  <c r="M51" i="150"/>
  <c r="AE51" i="150" s="1"/>
  <c r="K51" i="150"/>
  <c r="G51" i="150"/>
  <c r="AF50" i="150"/>
  <c r="AE50" i="150"/>
  <c r="V50" i="150"/>
  <c r="U50" i="150"/>
  <c r="O50" i="150"/>
  <c r="N50" i="150"/>
  <c r="P50" i="150" s="1"/>
  <c r="M50" i="150"/>
  <c r="K50" i="150"/>
  <c r="G50" i="150"/>
  <c r="V49" i="150"/>
  <c r="O49" i="150"/>
  <c r="N49" i="150"/>
  <c r="M49" i="150"/>
  <c r="K49" i="150"/>
  <c r="G49" i="150"/>
  <c r="AD48" i="150"/>
  <c r="H21" i="149" s="1"/>
  <c r="Z48" i="150"/>
  <c r="H19" i="149" s="1"/>
  <c r="Y48" i="150"/>
  <c r="O48" i="150"/>
  <c r="K48" i="150"/>
  <c r="V47" i="150"/>
  <c r="U47" i="150"/>
  <c r="O47" i="150"/>
  <c r="N47" i="150"/>
  <c r="Q47" i="150" s="1"/>
  <c r="M47" i="150"/>
  <c r="K47" i="150"/>
  <c r="G47" i="150"/>
  <c r="AF46" i="150"/>
  <c r="AE46" i="150"/>
  <c r="V46" i="150"/>
  <c r="M46" i="150" s="1"/>
  <c r="N46" i="150" s="1"/>
  <c r="P46" i="150" s="1"/>
  <c r="U46" i="150"/>
  <c r="Q46" i="150"/>
  <c r="O46" i="150"/>
  <c r="K46" i="150"/>
  <c r="G46" i="150"/>
  <c r="V45" i="150"/>
  <c r="O45" i="150"/>
  <c r="N45" i="150"/>
  <c r="P45" i="150" s="1"/>
  <c r="M45" i="150"/>
  <c r="K45" i="150"/>
  <c r="G45" i="150"/>
  <c r="AF44" i="150"/>
  <c r="AG36" i="150" s="1"/>
  <c r="AE44" i="150"/>
  <c r="AD44" i="150"/>
  <c r="Z44" i="150"/>
  <c r="Y44" i="150"/>
  <c r="O44" i="150"/>
  <c r="K44" i="150"/>
  <c r="AF43" i="150"/>
  <c r="AE43" i="150"/>
  <c r="V43" i="150"/>
  <c r="U43" i="150"/>
  <c r="O43" i="150"/>
  <c r="N43" i="150"/>
  <c r="Q43" i="150" s="1"/>
  <c r="M43" i="150"/>
  <c r="K43" i="150"/>
  <c r="G43" i="150"/>
  <c r="V42" i="150"/>
  <c r="U42" i="150"/>
  <c r="O42" i="150"/>
  <c r="M42" i="150"/>
  <c r="AF42" i="150" s="1"/>
  <c r="K42" i="150"/>
  <c r="G42" i="150"/>
  <c r="AF41" i="150"/>
  <c r="AE41" i="150"/>
  <c r="V41" i="150"/>
  <c r="U41" i="150"/>
  <c r="Q41" i="150"/>
  <c r="P41" i="150"/>
  <c r="O41" i="150"/>
  <c r="N41" i="150"/>
  <c r="M41" i="150"/>
  <c r="K41" i="150"/>
  <c r="G41" i="150"/>
  <c r="X40" i="150"/>
  <c r="W40" i="150"/>
  <c r="V40" i="150"/>
  <c r="U40" i="150"/>
  <c r="O40" i="150"/>
  <c r="N40" i="150"/>
  <c r="Q40" i="150" s="1"/>
  <c r="M40" i="150"/>
  <c r="K40" i="150"/>
  <c r="G40" i="150"/>
  <c r="AF39" i="150"/>
  <c r="AE39" i="150"/>
  <c r="V39" i="150"/>
  <c r="M39" i="150" s="1"/>
  <c r="N39" i="150" s="1"/>
  <c r="P39" i="150" s="1"/>
  <c r="U39" i="150"/>
  <c r="Q39" i="150"/>
  <c r="O39" i="150"/>
  <c r="K39" i="150"/>
  <c r="G39" i="150"/>
  <c r="V38" i="150"/>
  <c r="U38" i="150"/>
  <c r="O38" i="150"/>
  <c r="N38" i="150"/>
  <c r="Q38" i="150" s="1"/>
  <c r="M38" i="150"/>
  <c r="K38" i="150"/>
  <c r="G38" i="150"/>
  <c r="AF37" i="150"/>
  <c r="AE37" i="150"/>
  <c r="V37" i="150"/>
  <c r="M37" i="150" s="1"/>
  <c r="N37" i="150" s="1"/>
  <c r="U37" i="150"/>
  <c r="O37" i="150"/>
  <c r="K37" i="150"/>
  <c r="G37" i="150"/>
  <c r="AF36" i="150"/>
  <c r="AE36" i="150"/>
  <c r="X36" i="150"/>
  <c r="W36" i="150"/>
  <c r="V36" i="150"/>
  <c r="O36" i="150"/>
  <c r="N36" i="150"/>
  <c r="Q36" i="150" s="1"/>
  <c r="M36" i="150"/>
  <c r="M44" i="150" s="1"/>
  <c r="N44" i="150" s="1"/>
  <c r="K36" i="150"/>
  <c r="G36" i="150"/>
  <c r="AD35" i="150"/>
  <c r="Z35" i="150"/>
  <c r="Y35" i="150"/>
  <c r="O35" i="150"/>
  <c r="N35" i="150"/>
  <c r="M35" i="150"/>
  <c r="K35" i="150"/>
  <c r="AF34" i="150"/>
  <c r="AE34" i="150"/>
  <c r="V34" i="150"/>
  <c r="M34" i="150" s="1"/>
  <c r="N34" i="150" s="1"/>
  <c r="U34" i="150"/>
  <c r="Q34" i="150"/>
  <c r="P34" i="150"/>
  <c r="O34" i="150"/>
  <c r="K34" i="150"/>
  <c r="G34" i="150"/>
  <c r="V33" i="150"/>
  <c r="U33" i="150"/>
  <c r="O33" i="150"/>
  <c r="N33" i="150"/>
  <c r="Q33" i="150" s="1"/>
  <c r="M33" i="150"/>
  <c r="K33" i="150"/>
  <c r="G33" i="150"/>
  <c r="AF32" i="150"/>
  <c r="AE32" i="150"/>
  <c r="V32" i="150"/>
  <c r="M32" i="150" s="1"/>
  <c r="N32" i="150" s="1"/>
  <c r="P32" i="150" s="1"/>
  <c r="U32" i="150"/>
  <c r="Q32" i="150"/>
  <c r="O32" i="150"/>
  <c r="K32" i="150"/>
  <c r="G32" i="150"/>
  <c r="X31" i="150"/>
  <c r="W31" i="150"/>
  <c r="V31" i="150"/>
  <c r="U31" i="150"/>
  <c r="O31" i="150"/>
  <c r="N31" i="150"/>
  <c r="Q31" i="150" s="1"/>
  <c r="M31" i="150"/>
  <c r="K31" i="150"/>
  <c r="G31" i="150"/>
  <c r="AF30" i="150"/>
  <c r="V30" i="150"/>
  <c r="U30" i="150"/>
  <c r="O30" i="150"/>
  <c r="M30" i="150"/>
  <c r="AE30" i="150" s="1"/>
  <c r="K30" i="150"/>
  <c r="G30" i="150"/>
  <c r="AF29" i="150"/>
  <c r="AE29" i="150"/>
  <c r="V29" i="150"/>
  <c r="U29" i="150"/>
  <c r="O29" i="150"/>
  <c r="N29" i="150"/>
  <c r="P29" i="150" s="1"/>
  <c r="M29" i="150"/>
  <c r="K29" i="150"/>
  <c r="G29" i="150"/>
  <c r="X28" i="150"/>
  <c r="W28" i="150"/>
  <c r="V28" i="150"/>
  <c r="P28" i="150"/>
  <c r="O28" i="150"/>
  <c r="N28" i="150"/>
  <c r="Q28" i="150" s="1"/>
  <c r="M28" i="150"/>
  <c r="K28" i="150"/>
  <c r="G28" i="150"/>
  <c r="AD27" i="150"/>
  <c r="G21" i="149" s="1"/>
  <c r="Z27" i="150"/>
  <c r="G19" i="149" s="1"/>
  <c r="Y27" i="150"/>
  <c r="O27" i="150"/>
  <c r="K27" i="150"/>
  <c r="V26" i="150"/>
  <c r="U26" i="150"/>
  <c r="Q26" i="150"/>
  <c r="P26" i="150"/>
  <c r="O26" i="150"/>
  <c r="N26" i="150"/>
  <c r="M26" i="150"/>
  <c r="K26" i="150"/>
  <c r="G26" i="150"/>
  <c r="AF25" i="150"/>
  <c r="AE25" i="150"/>
  <c r="X25" i="150"/>
  <c r="W25" i="150"/>
  <c r="V25" i="150"/>
  <c r="U25" i="150"/>
  <c r="O25" i="150"/>
  <c r="M25" i="150"/>
  <c r="N25" i="150" s="1"/>
  <c r="K25" i="150"/>
  <c r="G25" i="150"/>
  <c r="AF24" i="150"/>
  <c r="AE24" i="150"/>
  <c r="V24" i="150"/>
  <c r="U24" i="150"/>
  <c r="Q24" i="150"/>
  <c r="P24" i="150"/>
  <c r="O24" i="150"/>
  <c r="N24" i="150"/>
  <c r="M24" i="150"/>
  <c r="K24" i="150"/>
  <c r="G24" i="150"/>
  <c r="V23" i="150"/>
  <c r="U23" i="150"/>
  <c r="O23" i="150"/>
  <c r="M23" i="150"/>
  <c r="K23" i="150"/>
  <c r="G23" i="150"/>
  <c r="AF22" i="150"/>
  <c r="AE22" i="150"/>
  <c r="V22" i="150"/>
  <c r="M22" i="150" s="1"/>
  <c r="U22" i="150"/>
  <c r="Q22" i="150"/>
  <c r="P22" i="150"/>
  <c r="O22" i="150"/>
  <c r="N22" i="150"/>
  <c r="K22" i="150"/>
  <c r="G22" i="150"/>
  <c r="AF21" i="150"/>
  <c r="AE21" i="150"/>
  <c r="V21" i="150"/>
  <c r="U21" i="150"/>
  <c r="O21" i="150"/>
  <c r="N21" i="150"/>
  <c r="M21" i="150"/>
  <c r="K21" i="150"/>
  <c r="G21" i="150"/>
  <c r="AF20" i="150"/>
  <c r="AE20" i="150"/>
  <c r="V20" i="150"/>
  <c r="M20" i="150" s="1"/>
  <c r="O20" i="150"/>
  <c r="K20" i="150"/>
  <c r="G20" i="150"/>
  <c r="AD19" i="150"/>
  <c r="F21" i="149" s="1"/>
  <c r="Z19" i="150"/>
  <c r="F19" i="149" s="1"/>
  <c r="Y19" i="150"/>
  <c r="O19" i="150"/>
  <c r="M19" i="150"/>
  <c r="N19" i="150" s="1"/>
  <c r="K19" i="150"/>
  <c r="F13" i="149" s="1"/>
  <c r="AF18" i="150"/>
  <c r="AE18" i="150"/>
  <c r="V18" i="150"/>
  <c r="M18" i="150" s="1"/>
  <c r="N18" i="150" s="1"/>
  <c r="U18" i="150"/>
  <c r="O18" i="150"/>
  <c r="K18" i="150"/>
  <c r="G18" i="150"/>
  <c r="AE17" i="150"/>
  <c r="V17" i="150"/>
  <c r="U17" i="150"/>
  <c r="Q17" i="150"/>
  <c r="P17" i="150"/>
  <c r="O17" i="150"/>
  <c r="N17" i="150"/>
  <c r="M17" i="150"/>
  <c r="AF17" i="150" s="1"/>
  <c r="K17" i="150"/>
  <c r="G17" i="150"/>
  <c r="AF16" i="150"/>
  <c r="V16" i="150"/>
  <c r="U16" i="150"/>
  <c r="O16" i="150"/>
  <c r="M16" i="150"/>
  <c r="AE16" i="150" s="1"/>
  <c r="K16" i="150"/>
  <c r="G16" i="150"/>
  <c r="AF15" i="150"/>
  <c r="AE15" i="150"/>
  <c r="V15" i="150"/>
  <c r="U15" i="150"/>
  <c r="O15" i="150"/>
  <c r="N15" i="150"/>
  <c r="Q15" i="150" s="1"/>
  <c r="M15" i="150"/>
  <c r="K15" i="150"/>
  <c r="G15" i="150"/>
  <c r="V14" i="150"/>
  <c r="U14" i="150"/>
  <c r="O14" i="150"/>
  <c r="M14" i="150"/>
  <c r="K14" i="150"/>
  <c r="G14" i="150"/>
  <c r="AF13" i="150"/>
  <c r="AE13" i="150"/>
  <c r="V13" i="150"/>
  <c r="M13" i="150" s="1"/>
  <c r="N13" i="150" s="1"/>
  <c r="Q13" i="150"/>
  <c r="P13" i="150"/>
  <c r="O13" i="150"/>
  <c r="K13" i="150"/>
  <c r="G13" i="150"/>
  <c r="AD12" i="150"/>
  <c r="E21" i="149" s="1"/>
  <c r="Z12" i="150"/>
  <c r="E19" i="149" s="1"/>
  <c r="Y12" i="150"/>
  <c r="O12" i="150"/>
  <c r="M12" i="150"/>
  <c r="N12" i="150" s="1"/>
  <c r="K12" i="150"/>
  <c r="E13" i="149" s="1"/>
  <c r="AF11" i="150"/>
  <c r="AE11" i="150"/>
  <c r="V11" i="150"/>
  <c r="M11" i="150" s="1"/>
  <c r="N11" i="150" s="1"/>
  <c r="P11" i="150" s="1"/>
  <c r="U11" i="150"/>
  <c r="Q11" i="150"/>
  <c r="O11" i="150"/>
  <c r="K11" i="150"/>
  <c r="G11" i="150"/>
  <c r="X10" i="150"/>
  <c r="W10" i="150"/>
  <c r="V10" i="150"/>
  <c r="Q10" i="150"/>
  <c r="O10" i="150"/>
  <c r="N10" i="150"/>
  <c r="P10" i="150" s="1"/>
  <c r="M10" i="150"/>
  <c r="K10" i="150"/>
  <c r="G10" i="150"/>
  <c r="AD9" i="150"/>
  <c r="Z9" i="150"/>
  <c r="Y9" i="150"/>
  <c r="Y2" i="150" s="1"/>
  <c r="K6" i="149" s="1"/>
  <c r="O9" i="150"/>
  <c r="M9" i="150"/>
  <c r="K9" i="150"/>
  <c r="AF8" i="150"/>
  <c r="AE8" i="150"/>
  <c r="V8" i="150"/>
  <c r="U8" i="150"/>
  <c r="O8" i="150"/>
  <c r="N8" i="150"/>
  <c r="P8" i="150" s="1"/>
  <c r="M8" i="150"/>
  <c r="K8" i="150"/>
  <c r="G8" i="150"/>
  <c r="X7" i="150"/>
  <c r="W7" i="150"/>
  <c r="V7" i="150"/>
  <c r="U7" i="150"/>
  <c r="O7" i="150"/>
  <c r="N7" i="150"/>
  <c r="Q7" i="150" s="1"/>
  <c r="M7" i="150"/>
  <c r="K7" i="150"/>
  <c r="G7" i="150"/>
  <c r="AF6" i="150"/>
  <c r="AE6" i="150"/>
  <c r="V6" i="150"/>
  <c r="M6" i="150" s="1"/>
  <c r="N6" i="150" s="1"/>
  <c r="P6" i="150" s="1"/>
  <c r="U6" i="150"/>
  <c r="Q6" i="150"/>
  <c r="O6" i="150"/>
  <c r="K6" i="150"/>
  <c r="G6" i="150"/>
  <c r="AE5" i="150"/>
  <c r="V5" i="150"/>
  <c r="Q5" i="150"/>
  <c r="P5" i="150"/>
  <c r="O5" i="150"/>
  <c r="N5" i="150"/>
  <c r="M5" i="150"/>
  <c r="AF5" i="150" s="1"/>
  <c r="K5" i="150"/>
  <c r="G5" i="150"/>
  <c r="F1" i="150" s="1"/>
  <c r="AD2" i="150"/>
  <c r="Z2" i="150"/>
  <c r="L6" i="149" s="1"/>
  <c r="H2" i="150"/>
  <c r="H1" i="150"/>
  <c r="D1" i="150"/>
  <c r="F3" i="149" s="1"/>
  <c r="M22" i="149"/>
  <c r="L22" i="149"/>
  <c r="K22" i="149"/>
  <c r="J22" i="149"/>
  <c r="I22" i="149"/>
  <c r="H22" i="149"/>
  <c r="G22" i="149"/>
  <c r="F22" i="149"/>
  <c r="E22" i="149"/>
  <c r="D22" i="149"/>
  <c r="M21" i="149"/>
  <c r="L21" i="149"/>
  <c r="K21" i="149"/>
  <c r="D21" i="149"/>
  <c r="M20" i="149"/>
  <c r="L20" i="149"/>
  <c r="K20" i="149"/>
  <c r="J20" i="149"/>
  <c r="I20" i="149"/>
  <c r="H20" i="149"/>
  <c r="G20" i="149"/>
  <c r="F20" i="149"/>
  <c r="E20" i="149"/>
  <c r="D20" i="149"/>
  <c r="M19" i="149"/>
  <c r="L19" i="149"/>
  <c r="K19" i="149"/>
  <c r="D19" i="149"/>
  <c r="M18" i="149"/>
  <c r="L18" i="149"/>
  <c r="K18" i="149"/>
  <c r="J18" i="149"/>
  <c r="I18" i="149"/>
  <c r="H18" i="149"/>
  <c r="G18" i="149"/>
  <c r="F18" i="149"/>
  <c r="E18" i="149"/>
  <c r="D18" i="149"/>
  <c r="M17" i="149"/>
  <c r="L17" i="149"/>
  <c r="K17" i="149"/>
  <c r="J17" i="149"/>
  <c r="I17" i="149"/>
  <c r="H17" i="149"/>
  <c r="G17" i="149"/>
  <c r="F17" i="149"/>
  <c r="E17" i="149"/>
  <c r="D17" i="149"/>
  <c r="M16" i="149"/>
  <c r="L16" i="149"/>
  <c r="K16" i="149"/>
  <c r="J16" i="149"/>
  <c r="I16" i="149"/>
  <c r="H16" i="149"/>
  <c r="G16" i="149"/>
  <c r="F16" i="149"/>
  <c r="E16" i="149"/>
  <c r="D16" i="149"/>
  <c r="L14" i="149"/>
  <c r="L15" i="149" s="1"/>
  <c r="K14" i="149"/>
  <c r="M13" i="149"/>
  <c r="L13" i="149"/>
  <c r="K13" i="149"/>
  <c r="I13" i="149"/>
  <c r="H13" i="149"/>
  <c r="G13" i="149"/>
  <c r="D13" i="149"/>
  <c r="G6" i="149" s="1"/>
  <c r="N6" i="149"/>
  <c r="M6" i="149"/>
  <c r="I6" i="149"/>
  <c r="C3" i="149"/>
  <c r="Q12" i="150" l="1"/>
  <c r="R10" i="150" s="1"/>
  <c r="P12" i="150"/>
  <c r="E14" i="149"/>
  <c r="E15" i="149" s="1"/>
  <c r="P63" i="150"/>
  <c r="Q63" i="150"/>
  <c r="R58" i="150" s="1"/>
  <c r="J14" i="149"/>
  <c r="J15" i="149" s="1"/>
  <c r="Q19" i="150"/>
  <c r="R13" i="150" s="1"/>
  <c r="P19" i="150"/>
  <c r="F14" i="149"/>
  <c r="F15" i="149" s="1"/>
  <c r="K15" i="149"/>
  <c r="Q68" i="150"/>
  <c r="Q8" i="150"/>
  <c r="P33" i="150"/>
  <c r="P31" i="150"/>
  <c r="P40" i="150"/>
  <c r="P54" i="150"/>
  <c r="P59" i="150"/>
  <c r="P47" i="150"/>
  <c r="Q29" i="150"/>
  <c r="P36" i="150"/>
  <c r="P38" i="150"/>
  <c r="P52" i="150"/>
  <c r="P73" i="150"/>
  <c r="Q45" i="150"/>
  <c r="Q50" i="150"/>
  <c r="P7" i="150"/>
  <c r="P43" i="150"/>
  <c r="P15" i="150"/>
  <c r="P61" i="150"/>
  <c r="P66" i="150"/>
  <c r="I3" i="149"/>
  <c r="F2" i="150"/>
  <c r="AE7" i="150"/>
  <c r="AF7" i="150"/>
  <c r="AF9" i="150"/>
  <c r="AG5" i="150" s="1"/>
  <c r="N9" i="150"/>
  <c r="D14" i="149" s="1"/>
  <c r="AE9" i="150"/>
  <c r="AF10" i="150"/>
  <c r="AE10" i="150"/>
  <c r="AE12" i="150"/>
  <c r="AF12" i="150"/>
  <c r="AG10" i="150" s="1"/>
  <c r="N14" i="150"/>
  <c r="AF14" i="150"/>
  <c r="AE14" i="150"/>
  <c r="Q18" i="150"/>
  <c r="P18" i="150"/>
  <c r="AE19" i="150"/>
  <c r="AF19" i="150"/>
  <c r="AG13" i="150" s="1"/>
  <c r="N20" i="150"/>
  <c r="M27" i="150"/>
  <c r="P21" i="150"/>
  <c r="Q21" i="150"/>
  <c r="N23" i="150"/>
  <c r="AF23" i="150"/>
  <c r="AE23" i="150"/>
  <c r="Q25" i="150"/>
  <c r="P25" i="150"/>
  <c r="AE26" i="150"/>
  <c r="AF26" i="150"/>
  <c r="AE28" i="150"/>
  <c r="AF28" i="150"/>
  <c r="AE31" i="150"/>
  <c r="AF31" i="150"/>
  <c r="AE33" i="150"/>
  <c r="AF33" i="150"/>
  <c r="AE35" i="150"/>
  <c r="AF35" i="150"/>
  <c r="AG28" i="150" s="1"/>
  <c r="Q35" i="150"/>
  <c r="R28" i="150" s="1"/>
  <c r="P35" i="150"/>
  <c r="Q44" i="150"/>
  <c r="R36" i="150" s="1"/>
  <c r="P44" i="150"/>
  <c r="Q37" i="150"/>
  <c r="P37" i="150"/>
  <c r="AE38" i="150"/>
  <c r="AF38" i="150"/>
  <c r="AE40" i="150"/>
  <c r="AF40" i="150"/>
  <c r="AF45" i="150"/>
  <c r="AE45" i="150"/>
  <c r="M48" i="150"/>
  <c r="AE47" i="150"/>
  <c r="AF47" i="150"/>
  <c r="AE49" i="150"/>
  <c r="M57" i="150"/>
  <c r="AF49" i="150"/>
  <c r="Q49" i="150"/>
  <c r="P49" i="150"/>
  <c r="Q53" i="150"/>
  <c r="P53" i="150"/>
  <c r="AF54" i="150"/>
  <c r="AE54" i="150"/>
  <c r="AE56" i="150"/>
  <c r="AF56" i="150"/>
  <c r="AE58" i="150"/>
  <c r="AF58" i="150"/>
  <c r="Q58" i="150"/>
  <c r="P58" i="150"/>
  <c r="Q62" i="150"/>
  <c r="P62" i="150"/>
  <c r="AF63" i="150"/>
  <c r="AG58" i="150" s="1"/>
  <c r="AE63" i="150"/>
  <c r="N65" i="150"/>
  <c r="AF65" i="150"/>
  <c r="AE65" i="150"/>
  <c r="Q69" i="150"/>
  <c r="P69" i="150"/>
  <c r="AE70" i="150"/>
  <c r="AF70" i="150"/>
  <c r="AE72" i="150"/>
  <c r="AF72" i="150"/>
  <c r="Q72" i="150"/>
  <c r="P72" i="150"/>
  <c r="AF74" i="150"/>
  <c r="AG64" i="150" s="1"/>
  <c r="N74" i="150"/>
  <c r="AE74" i="150"/>
  <c r="N16" i="150"/>
  <c r="N30" i="150"/>
  <c r="E6" i="149"/>
  <c r="F6" i="149"/>
  <c r="AE42" i="150"/>
  <c r="N42" i="150"/>
  <c r="N51" i="150"/>
  <c r="N60" i="150"/>
  <c r="N67" i="150"/>
  <c r="AD64" i="148"/>
  <c r="Z64" i="148"/>
  <c r="Y64" i="148"/>
  <c r="M18" i="147" s="1"/>
  <c r="O64" i="148"/>
  <c r="N64" i="148"/>
  <c r="M14" i="147" s="1"/>
  <c r="M15" i="147" s="1"/>
  <c r="K64" i="148"/>
  <c r="V63" i="148"/>
  <c r="U63" i="148"/>
  <c r="O63" i="148"/>
  <c r="N63" i="148"/>
  <c r="M63" i="148"/>
  <c r="K63" i="148"/>
  <c r="G63" i="148"/>
  <c r="AF62" i="148"/>
  <c r="AE62" i="148"/>
  <c r="V62" i="148"/>
  <c r="M62" i="148" s="1"/>
  <c r="N62" i="148" s="1"/>
  <c r="U62" i="148"/>
  <c r="Q62" i="148"/>
  <c r="P62" i="148"/>
  <c r="O62" i="148"/>
  <c r="K62" i="148"/>
  <c r="G62" i="148"/>
  <c r="AF61" i="148"/>
  <c r="V61" i="148"/>
  <c r="M61" i="148" s="1"/>
  <c r="U61" i="148"/>
  <c r="O61" i="148"/>
  <c r="K61" i="148"/>
  <c r="G61" i="148"/>
  <c r="AF60" i="148"/>
  <c r="AE60" i="148"/>
  <c r="V60" i="148"/>
  <c r="M60" i="148" s="1"/>
  <c r="N60" i="148" s="1"/>
  <c r="P60" i="148" s="1"/>
  <c r="U60" i="148"/>
  <c r="Q60" i="148"/>
  <c r="O60" i="148"/>
  <c r="K60" i="148"/>
  <c r="G60" i="148"/>
  <c r="V59" i="148"/>
  <c r="U59" i="148"/>
  <c r="O59" i="148"/>
  <c r="N59" i="148"/>
  <c r="P59" i="148" s="1"/>
  <c r="M59" i="148"/>
  <c r="K59" i="148"/>
  <c r="G59" i="148"/>
  <c r="AF58" i="148"/>
  <c r="AE58" i="148"/>
  <c r="V58" i="148"/>
  <c r="M58" i="148" s="1"/>
  <c r="U58" i="148"/>
  <c r="O58" i="148"/>
  <c r="N58" i="148"/>
  <c r="K58" i="148"/>
  <c r="G58" i="148"/>
  <c r="AF57" i="148"/>
  <c r="AE57" i="148"/>
  <c r="X57" i="148"/>
  <c r="W57" i="148"/>
  <c r="V57" i="148"/>
  <c r="Q57" i="148"/>
  <c r="P57" i="148"/>
  <c r="O57" i="148"/>
  <c r="N57" i="148"/>
  <c r="M57" i="148"/>
  <c r="M64" i="148" s="1"/>
  <c r="K57" i="148"/>
  <c r="G57" i="148"/>
  <c r="AD56" i="148"/>
  <c r="Z56" i="148"/>
  <c r="Y56" i="148"/>
  <c r="O56" i="148"/>
  <c r="K56" i="148"/>
  <c r="AF55" i="148"/>
  <c r="AE55" i="148"/>
  <c r="V55" i="148"/>
  <c r="M55" i="148" s="1"/>
  <c r="N55" i="148" s="1"/>
  <c r="U55" i="148"/>
  <c r="Q55" i="148"/>
  <c r="P55" i="148"/>
  <c r="O55" i="148"/>
  <c r="K55" i="148"/>
  <c r="G55" i="148"/>
  <c r="AF54" i="148"/>
  <c r="V54" i="148"/>
  <c r="M54" i="148" s="1"/>
  <c r="U54" i="148"/>
  <c r="O54" i="148"/>
  <c r="K54" i="148"/>
  <c r="G54" i="148"/>
  <c r="AF53" i="148"/>
  <c r="AE53" i="148"/>
  <c r="V53" i="148"/>
  <c r="M53" i="148" s="1"/>
  <c r="N53" i="148" s="1"/>
  <c r="P53" i="148" s="1"/>
  <c r="U53" i="148"/>
  <c r="Q53" i="148"/>
  <c r="O53" i="148"/>
  <c r="K53" i="148"/>
  <c r="G53" i="148"/>
  <c r="V52" i="148"/>
  <c r="U52" i="148"/>
  <c r="O52" i="148"/>
  <c r="N52" i="148"/>
  <c r="P52" i="148" s="1"/>
  <c r="M52" i="148"/>
  <c r="K52" i="148"/>
  <c r="G52" i="148"/>
  <c r="AF51" i="148"/>
  <c r="AE51" i="148"/>
  <c r="V51" i="148"/>
  <c r="O51" i="148"/>
  <c r="M51" i="148"/>
  <c r="M56" i="148" s="1"/>
  <c r="N56" i="148" s="1"/>
  <c r="K51" i="148"/>
  <c r="G51" i="148"/>
  <c r="AF50" i="148"/>
  <c r="AG42" i="148" s="1"/>
  <c r="AE50" i="148"/>
  <c r="AD50" i="148"/>
  <c r="Z50" i="148"/>
  <c r="Y50" i="148"/>
  <c r="O50" i="148"/>
  <c r="N50" i="148"/>
  <c r="Q50" i="148" s="1"/>
  <c r="R42" i="148" s="1"/>
  <c r="M50" i="148"/>
  <c r="K50" i="148"/>
  <c r="V49" i="148"/>
  <c r="U49" i="148"/>
  <c r="O49" i="148"/>
  <c r="M49" i="148"/>
  <c r="K49" i="148"/>
  <c r="G49" i="148"/>
  <c r="V48" i="148"/>
  <c r="U48" i="148"/>
  <c r="O48" i="148"/>
  <c r="M48" i="148"/>
  <c r="N48" i="148" s="1"/>
  <c r="K48" i="148"/>
  <c r="G48" i="148"/>
  <c r="V47" i="148"/>
  <c r="U47" i="148"/>
  <c r="O47" i="148"/>
  <c r="N47" i="148"/>
  <c r="M47" i="148"/>
  <c r="K47" i="148"/>
  <c r="G47" i="148"/>
  <c r="AF46" i="148"/>
  <c r="AE46" i="148"/>
  <c r="V46" i="148"/>
  <c r="M46" i="148" s="1"/>
  <c r="N46" i="148" s="1"/>
  <c r="U46" i="148"/>
  <c r="Q46" i="148"/>
  <c r="P46" i="148"/>
  <c r="O46" i="148"/>
  <c r="K46" i="148"/>
  <c r="G46" i="148"/>
  <c r="AF45" i="148"/>
  <c r="V45" i="148"/>
  <c r="M45" i="148" s="1"/>
  <c r="U45" i="148"/>
  <c r="O45" i="148"/>
  <c r="K45" i="148"/>
  <c r="G45" i="148"/>
  <c r="AF44" i="148"/>
  <c r="AE44" i="148"/>
  <c r="V44" i="148"/>
  <c r="M44" i="148" s="1"/>
  <c r="N44" i="148" s="1"/>
  <c r="P44" i="148" s="1"/>
  <c r="U44" i="148"/>
  <c r="Q44" i="148"/>
  <c r="O44" i="148"/>
  <c r="K44" i="148"/>
  <c r="G44" i="148"/>
  <c r="V43" i="148"/>
  <c r="U43" i="148"/>
  <c r="O43" i="148"/>
  <c r="M43" i="148"/>
  <c r="N43" i="148" s="1"/>
  <c r="K43" i="148"/>
  <c r="G43" i="148"/>
  <c r="AF42" i="148"/>
  <c r="AE42" i="148"/>
  <c r="V42" i="148"/>
  <c r="O42" i="148"/>
  <c r="M42" i="148"/>
  <c r="N42" i="148" s="1"/>
  <c r="K42" i="148"/>
  <c r="G42" i="148"/>
  <c r="AF41" i="148"/>
  <c r="AG38" i="148" s="1"/>
  <c r="AE41" i="148"/>
  <c r="AD41" i="148"/>
  <c r="Z41" i="148"/>
  <c r="Y41" i="148"/>
  <c r="H18" i="147" s="1"/>
  <c r="O41" i="148"/>
  <c r="M41" i="148"/>
  <c r="N41" i="148" s="1"/>
  <c r="K41" i="148"/>
  <c r="V40" i="148"/>
  <c r="U40" i="148"/>
  <c r="O40" i="148"/>
  <c r="M40" i="148"/>
  <c r="K40" i="148"/>
  <c r="G40" i="148"/>
  <c r="V39" i="148"/>
  <c r="U39" i="148"/>
  <c r="O39" i="148"/>
  <c r="N39" i="148"/>
  <c r="Q39" i="148" s="1"/>
  <c r="M39" i="148"/>
  <c r="K39" i="148"/>
  <c r="G39" i="148"/>
  <c r="AE38" i="148"/>
  <c r="V38" i="148"/>
  <c r="M38" i="148" s="1"/>
  <c r="AF38" i="148" s="1"/>
  <c r="P38" i="148"/>
  <c r="O38" i="148"/>
  <c r="N38" i="148"/>
  <c r="Q38" i="148" s="1"/>
  <c r="K38" i="148"/>
  <c r="G38" i="148"/>
  <c r="AD37" i="148"/>
  <c r="L21" i="147" s="1"/>
  <c r="Z37" i="148"/>
  <c r="L19" i="147" s="1"/>
  <c r="Y37" i="148"/>
  <c r="L18" i="147" s="1"/>
  <c r="O37" i="148"/>
  <c r="K37" i="148"/>
  <c r="V36" i="148"/>
  <c r="U36" i="148"/>
  <c r="O36" i="148"/>
  <c r="M36" i="148"/>
  <c r="K36" i="148"/>
  <c r="G36" i="148"/>
  <c r="AF35" i="148"/>
  <c r="AE35" i="148"/>
  <c r="V35" i="148"/>
  <c r="U35" i="148"/>
  <c r="O35" i="148"/>
  <c r="M35" i="148"/>
  <c r="N35" i="148" s="1"/>
  <c r="K35" i="148"/>
  <c r="G35" i="148"/>
  <c r="AE34" i="148"/>
  <c r="V34" i="148"/>
  <c r="U34" i="148"/>
  <c r="O34" i="148"/>
  <c r="N34" i="148"/>
  <c r="M34" i="148"/>
  <c r="AF34" i="148" s="1"/>
  <c r="K34" i="148"/>
  <c r="G34" i="148"/>
  <c r="AF33" i="148"/>
  <c r="AE33" i="148"/>
  <c r="V33" i="148"/>
  <c r="U33" i="148"/>
  <c r="O33" i="148"/>
  <c r="M33" i="148"/>
  <c r="N33" i="148" s="1"/>
  <c r="K33" i="148"/>
  <c r="G33" i="148"/>
  <c r="AF32" i="148"/>
  <c r="X32" i="148"/>
  <c r="W32" i="148"/>
  <c r="V32" i="148"/>
  <c r="M32" i="148" s="1"/>
  <c r="Q32" i="148"/>
  <c r="P32" i="148"/>
  <c r="O32" i="148"/>
  <c r="N32" i="148"/>
  <c r="K32" i="148"/>
  <c r="G32" i="148"/>
  <c r="AE31" i="148"/>
  <c r="AD31" i="148"/>
  <c r="K21" i="147" s="1"/>
  <c r="Z31" i="148"/>
  <c r="K19" i="147" s="1"/>
  <c r="Y31" i="148"/>
  <c r="K18" i="147" s="1"/>
  <c r="O31" i="148"/>
  <c r="K31" i="148"/>
  <c r="AF30" i="148"/>
  <c r="AE30" i="148"/>
  <c r="V30" i="148"/>
  <c r="M30" i="148" s="1"/>
  <c r="N30" i="148" s="1"/>
  <c r="U30" i="148"/>
  <c r="Q30" i="148"/>
  <c r="P30" i="148"/>
  <c r="O30" i="148"/>
  <c r="K30" i="148"/>
  <c r="G30" i="148"/>
  <c r="V29" i="148"/>
  <c r="U29" i="148"/>
  <c r="O29" i="148"/>
  <c r="M29" i="148"/>
  <c r="K29" i="148"/>
  <c r="G29" i="148"/>
  <c r="AF28" i="148"/>
  <c r="AE28" i="148"/>
  <c r="V28" i="148"/>
  <c r="U28" i="148"/>
  <c r="O28" i="148"/>
  <c r="M28" i="148"/>
  <c r="N28" i="148" s="1"/>
  <c r="K28" i="148"/>
  <c r="G28" i="148"/>
  <c r="AF27" i="148"/>
  <c r="AE27" i="148"/>
  <c r="X27" i="148"/>
  <c r="W27" i="148"/>
  <c r="V27" i="148"/>
  <c r="Q27" i="148"/>
  <c r="P27" i="148"/>
  <c r="O27" i="148"/>
  <c r="N27" i="148"/>
  <c r="M27" i="148"/>
  <c r="M31" i="148" s="1"/>
  <c r="K27" i="148"/>
  <c r="G27" i="148"/>
  <c r="AD26" i="148"/>
  <c r="Z26" i="148"/>
  <c r="Y26" i="148"/>
  <c r="O26" i="148"/>
  <c r="K26" i="148"/>
  <c r="AE25" i="148"/>
  <c r="V25" i="148"/>
  <c r="M25" i="148" s="1"/>
  <c r="AF25" i="148" s="1"/>
  <c r="U25" i="148"/>
  <c r="Q25" i="148"/>
  <c r="P25" i="148"/>
  <c r="O25" i="148"/>
  <c r="N25" i="148"/>
  <c r="K25" i="148"/>
  <c r="G25" i="148"/>
  <c r="AF24" i="148"/>
  <c r="AE24" i="148"/>
  <c r="X24" i="148"/>
  <c r="W24" i="148"/>
  <c r="V24" i="148"/>
  <c r="U24" i="148"/>
  <c r="Q24" i="148"/>
  <c r="P24" i="148"/>
  <c r="O24" i="148"/>
  <c r="M24" i="148"/>
  <c r="N24" i="148" s="1"/>
  <c r="K24" i="148"/>
  <c r="G24" i="148"/>
  <c r="V23" i="148"/>
  <c r="U23" i="148"/>
  <c r="O23" i="148"/>
  <c r="M23" i="148"/>
  <c r="AF23" i="148" s="1"/>
  <c r="K23" i="148"/>
  <c r="G23" i="148"/>
  <c r="V22" i="148"/>
  <c r="U22" i="148"/>
  <c r="O22" i="148"/>
  <c r="N22" i="148"/>
  <c r="M22" i="148"/>
  <c r="AF22" i="148" s="1"/>
  <c r="K22" i="148"/>
  <c r="G22" i="148"/>
  <c r="AF21" i="148"/>
  <c r="AE21" i="148"/>
  <c r="V21" i="148"/>
  <c r="U21" i="148"/>
  <c r="P21" i="148"/>
  <c r="O21" i="148"/>
  <c r="M21" i="148"/>
  <c r="N21" i="148" s="1"/>
  <c r="Q21" i="148" s="1"/>
  <c r="K21" i="148"/>
  <c r="G21" i="148"/>
  <c r="AF20" i="148"/>
  <c r="AE20" i="148"/>
  <c r="V20" i="148"/>
  <c r="U20" i="148"/>
  <c r="Q20" i="148"/>
  <c r="P20" i="148"/>
  <c r="O20" i="148"/>
  <c r="N20" i="148"/>
  <c r="M20" i="148"/>
  <c r="K20" i="148"/>
  <c r="G20" i="148"/>
  <c r="V19" i="148"/>
  <c r="O19" i="148"/>
  <c r="N19" i="148"/>
  <c r="M19" i="148"/>
  <c r="K19" i="148"/>
  <c r="G19" i="148"/>
  <c r="AD18" i="148"/>
  <c r="Z18" i="148"/>
  <c r="Y18" i="148"/>
  <c r="O18" i="148"/>
  <c r="K18" i="148"/>
  <c r="AF17" i="148"/>
  <c r="AE17" i="148"/>
  <c r="V17" i="148"/>
  <c r="M17" i="148" s="1"/>
  <c r="U17" i="148"/>
  <c r="P17" i="148"/>
  <c r="O17" i="148"/>
  <c r="N17" i="148"/>
  <c r="Q17" i="148" s="1"/>
  <c r="K17" i="148"/>
  <c r="G17" i="148"/>
  <c r="AF16" i="148"/>
  <c r="AE16" i="148"/>
  <c r="V16" i="148"/>
  <c r="M16" i="148" s="1"/>
  <c r="N16" i="148" s="1"/>
  <c r="U16" i="148"/>
  <c r="Q16" i="148"/>
  <c r="P16" i="148"/>
  <c r="O16" i="148"/>
  <c r="K16" i="148"/>
  <c r="G16" i="148"/>
  <c r="V15" i="148"/>
  <c r="U15" i="148"/>
  <c r="O15" i="148"/>
  <c r="M15" i="148"/>
  <c r="K15" i="148"/>
  <c r="G15" i="148"/>
  <c r="AF14" i="148"/>
  <c r="AE14" i="148"/>
  <c r="V14" i="148"/>
  <c r="U14" i="148"/>
  <c r="O14" i="148"/>
  <c r="N14" i="148"/>
  <c r="M14" i="148"/>
  <c r="K14" i="148"/>
  <c r="G14" i="148"/>
  <c r="AE13" i="148"/>
  <c r="V13" i="148"/>
  <c r="U13" i="148"/>
  <c r="O13" i="148"/>
  <c r="N13" i="148"/>
  <c r="M13" i="148"/>
  <c r="AF13" i="148" s="1"/>
  <c r="K13" i="148"/>
  <c r="G13" i="148"/>
  <c r="AF12" i="148"/>
  <c r="V12" i="148"/>
  <c r="O12" i="148"/>
  <c r="M12" i="148"/>
  <c r="AE12" i="148" s="1"/>
  <c r="K12" i="148"/>
  <c r="G12" i="148"/>
  <c r="AF11" i="148"/>
  <c r="AG9" i="148" s="1"/>
  <c r="AD11" i="148"/>
  <c r="Z11" i="148"/>
  <c r="Y11" i="148"/>
  <c r="O11" i="148"/>
  <c r="M11" i="148"/>
  <c r="AE11" i="148" s="1"/>
  <c r="K11" i="148"/>
  <c r="V10" i="148"/>
  <c r="U10" i="148"/>
  <c r="O10" i="148"/>
  <c r="N10" i="148"/>
  <c r="M10" i="148"/>
  <c r="K10" i="148"/>
  <c r="G10" i="148"/>
  <c r="AF9" i="148"/>
  <c r="AE9" i="148"/>
  <c r="X9" i="148"/>
  <c r="W9" i="148"/>
  <c r="V9" i="148"/>
  <c r="O9" i="148"/>
  <c r="M9" i="148"/>
  <c r="N9" i="148" s="1"/>
  <c r="P9" i="148" s="1"/>
  <c r="K9" i="148"/>
  <c r="G9" i="148"/>
  <c r="AD8" i="148"/>
  <c r="AD2" i="148" s="1"/>
  <c r="Z8" i="148"/>
  <c r="Y8" i="148"/>
  <c r="O8" i="148"/>
  <c r="M8" i="148"/>
  <c r="N8" i="148" s="1"/>
  <c r="K8" i="148"/>
  <c r="AF7" i="148"/>
  <c r="AE7" i="148"/>
  <c r="V7" i="148"/>
  <c r="M7" i="148" s="1"/>
  <c r="U7" i="148"/>
  <c r="O7" i="148"/>
  <c r="N7" i="148"/>
  <c r="K7" i="148"/>
  <c r="G7" i="148"/>
  <c r="V6" i="148"/>
  <c r="U6" i="148"/>
  <c r="O6" i="148"/>
  <c r="N6" i="148"/>
  <c r="Q6" i="148" s="1"/>
  <c r="M6" i="148"/>
  <c r="AF6" i="148" s="1"/>
  <c r="K6" i="148"/>
  <c r="G6" i="148"/>
  <c r="V5" i="148"/>
  <c r="O5" i="148"/>
  <c r="M5" i="148"/>
  <c r="K5" i="148"/>
  <c r="G5" i="148"/>
  <c r="Y2" i="148"/>
  <c r="H2" i="148"/>
  <c r="H1" i="148"/>
  <c r="F1" i="148"/>
  <c r="F2" i="148" s="1"/>
  <c r="D1" i="148"/>
  <c r="M22" i="147"/>
  <c r="L22" i="147"/>
  <c r="K22" i="147"/>
  <c r="J22" i="147"/>
  <c r="I22" i="147"/>
  <c r="H22" i="147"/>
  <c r="G22" i="147"/>
  <c r="F22" i="147"/>
  <c r="E22" i="147"/>
  <c r="D22" i="147"/>
  <c r="M21" i="147"/>
  <c r="J21" i="147"/>
  <c r="I21" i="147"/>
  <c r="H21" i="147"/>
  <c r="G21" i="147"/>
  <c r="F21" i="147"/>
  <c r="E21" i="147"/>
  <c r="D21" i="147"/>
  <c r="M20" i="147"/>
  <c r="L20" i="147"/>
  <c r="K20" i="147"/>
  <c r="J20" i="147"/>
  <c r="I20" i="147"/>
  <c r="H20" i="147"/>
  <c r="G20" i="147"/>
  <c r="F20" i="147"/>
  <c r="E20" i="147"/>
  <c r="D20" i="147"/>
  <c r="M19" i="147"/>
  <c r="J19" i="147"/>
  <c r="I19" i="147"/>
  <c r="H19" i="147"/>
  <c r="G19" i="147"/>
  <c r="F19" i="147"/>
  <c r="E19" i="147"/>
  <c r="D19" i="147"/>
  <c r="J18" i="147"/>
  <c r="I18" i="147"/>
  <c r="G18" i="147"/>
  <c r="F18" i="147"/>
  <c r="E18" i="147"/>
  <c r="D18" i="147"/>
  <c r="M17" i="147"/>
  <c r="L17" i="147"/>
  <c r="K17" i="147"/>
  <c r="J17" i="147"/>
  <c r="I17" i="147"/>
  <c r="H17" i="147"/>
  <c r="G17" i="147"/>
  <c r="F17" i="147"/>
  <c r="E17" i="147"/>
  <c r="D17" i="147"/>
  <c r="M16" i="147"/>
  <c r="L16" i="147"/>
  <c r="K16" i="147"/>
  <c r="J16" i="147"/>
  <c r="I16" i="147"/>
  <c r="H16" i="147"/>
  <c r="G16" i="147"/>
  <c r="F16" i="147"/>
  <c r="E16" i="147"/>
  <c r="D16" i="147"/>
  <c r="I14" i="147"/>
  <c r="I15" i="147" s="1"/>
  <c r="M13" i="147"/>
  <c r="L13" i="147"/>
  <c r="K13" i="147"/>
  <c r="E6" i="147" s="1"/>
  <c r="J13" i="147"/>
  <c r="I13" i="147"/>
  <c r="H13" i="147"/>
  <c r="G13" i="147"/>
  <c r="F13" i="147"/>
  <c r="E13" i="147"/>
  <c r="D13" i="147"/>
  <c r="N6" i="147"/>
  <c r="M6" i="147"/>
  <c r="K6" i="147"/>
  <c r="I6" i="147"/>
  <c r="G6" i="147"/>
  <c r="F6" i="147"/>
  <c r="I3" i="147"/>
  <c r="F3" i="147"/>
  <c r="C3" i="147"/>
  <c r="N57" i="150" l="1"/>
  <c r="AF57" i="150"/>
  <c r="AG49" i="150" s="1"/>
  <c r="AE57" i="150"/>
  <c r="D15" i="149"/>
  <c r="N27" i="150"/>
  <c r="G14" i="149" s="1"/>
  <c r="G15" i="149" s="1"/>
  <c r="AF27" i="150"/>
  <c r="AG20" i="150" s="1"/>
  <c r="AE27" i="150"/>
  <c r="P20" i="150"/>
  <c r="Q20" i="150"/>
  <c r="N48" i="150"/>
  <c r="AF48" i="150"/>
  <c r="AG45" i="150" s="1"/>
  <c r="AE48" i="150"/>
  <c r="Q67" i="150"/>
  <c r="P67" i="150"/>
  <c r="Q60" i="150"/>
  <c r="P60" i="150"/>
  <c r="Q51" i="150"/>
  <c r="P51" i="150"/>
  <c r="P42" i="150"/>
  <c r="Q42" i="150"/>
  <c r="Q30" i="150"/>
  <c r="P30" i="150"/>
  <c r="Q16" i="150"/>
  <c r="P16" i="150"/>
  <c r="P74" i="150"/>
  <c r="M14" i="149"/>
  <c r="Q74" i="150"/>
  <c r="R64" i="150" s="1"/>
  <c r="P65" i="150"/>
  <c r="Q65" i="150"/>
  <c r="P23" i="150"/>
  <c r="Q23" i="150"/>
  <c r="Q27" i="150"/>
  <c r="R20" i="150" s="1"/>
  <c r="P27" i="150"/>
  <c r="Q14" i="150"/>
  <c r="P14" i="150"/>
  <c r="D2" i="150"/>
  <c r="Q9" i="150"/>
  <c r="R5" i="150" s="1"/>
  <c r="P9" i="150"/>
  <c r="P43" i="148"/>
  <c r="Q43" i="148"/>
  <c r="H14" i="147"/>
  <c r="H15" i="147" s="1"/>
  <c r="P41" i="148"/>
  <c r="Q41" i="148"/>
  <c r="R38" i="148" s="1"/>
  <c r="D14" i="147"/>
  <c r="P48" i="148"/>
  <c r="Q48" i="148"/>
  <c r="Q56" i="148"/>
  <c r="R51" i="148" s="1"/>
  <c r="P56" i="148"/>
  <c r="J14" i="147"/>
  <c r="J15" i="147" s="1"/>
  <c r="P39" i="148"/>
  <c r="M26" i="148"/>
  <c r="N26" i="148" s="1"/>
  <c r="G14" i="147" s="1"/>
  <c r="G15" i="147" s="1"/>
  <c r="N23" i="148"/>
  <c r="AE23" i="148"/>
  <c r="P6" i="148"/>
  <c r="N11" i="148"/>
  <c r="P50" i="148"/>
  <c r="Q52" i="148"/>
  <c r="P64" i="148"/>
  <c r="Q64" i="148"/>
  <c r="R57" i="148" s="1"/>
  <c r="AE22" i="148"/>
  <c r="Q59" i="148"/>
  <c r="AE6" i="148"/>
  <c r="Z2" i="148"/>
  <c r="L6" i="147" s="1"/>
  <c r="Q9" i="148"/>
  <c r="AF5" i="148"/>
  <c r="AE5" i="148"/>
  <c r="N5" i="148"/>
  <c r="Q7" i="148"/>
  <c r="P7" i="148"/>
  <c r="AF8" i="148"/>
  <c r="AG5" i="148" s="1"/>
  <c r="AE8" i="148"/>
  <c r="Q8" i="148"/>
  <c r="R5" i="148" s="1"/>
  <c r="P8" i="148"/>
  <c r="AF10" i="148"/>
  <c r="AE10" i="148"/>
  <c r="Q10" i="148"/>
  <c r="P10" i="148"/>
  <c r="Q13" i="148"/>
  <c r="P13" i="148"/>
  <c r="Q14" i="148"/>
  <c r="P14" i="148"/>
  <c r="N15" i="148"/>
  <c r="AF15" i="148"/>
  <c r="AE15" i="148"/>
  <c r="AF19" i="148"/>
  <c r="AE19" i="148"/>
  <c r="Q19" i="148"/>
  <c r="P19" i="148"/>
  <c r="Q22" i="148"/>
  <c r="P22" i="148"/>
  <c r="Q23" i="148"/>
  <c r="P23" i="148"/>
  <c r="AF26" i="148"/>
  <c r="AG19" i="148" s="1"/>
  <c r="N31" i="148"/>
  <c r="AF31" i="148"/>
  <c r="AG27" i="148" s="1"/>
  <c r="Q28" i="148"/>
  <c r="P28" i="148"/>
  <c r="N29" i="148"/>
  <c r="AF29" i="148"/>
  <c r="AE29" i="148"/>
  <c r="AE32" i="148"/>
  <c r="M37" i="148"/>
  <c r="Q33" i="148"/>
  <c r="P33" i="148"/>
  <c r="Q34" i="148"/>
  <c r="P34" i="148"/>
  <c r="Q35" i="148"/>
  <c r="P35" i="148"/>
  <c r="N36" i="148"/>
  <c r="AF36" i="148"/>
  <c r="AE36" i="148"/>
  <c r="AF39" i="148"/>
  <c r="AE39" i="148"/>
  <c r="AF40" i="148"/>
  <c r="AE40" i="148"/>
  <c r="N40" i="148"/>
  <c r="Q42" i="148"/>
  <c r="P42" i="148"/>
  <c r="AF43" i="148"/>
  <c r="AE43" i="148"/>
  <c r="N45" i="148"/>
  <c r="AE45" i="148"/>
  <c r="AF47" i="148"/>
  <c r="AE47" i="148"/>
  <c r="Q47" i="148"/>
  <c r="P47" i="148"/>
  <c r="AF48" i="148"/>
  <c r="AE48" i="148"/>
  <c r="AF49" i="148"/>
  <c r="AE49" i="148"/>
  <c r="N49" i="148"/>
  <c r="AF56" i="148"/>
  <c r="AG51" i="148" s="1"/>
  <c r="AE56" i="148"/>
  <c r="AF52" i="148"/>
  <c r="AE52" i="148"/>
  <c r="N54" i="148"/>
  <c r="AE54" i="148"/>
  <c r="AF64" i="148"/>
  <c r="AG57" i="148" s="1"/>
  <c r="AE64" i="148"/>
  <c r="Q58" i="148"/>
  <c r="P58" i="148"/>
  <c r="AF59" i="148"/>
  <c r="AE59" i="148"/>
  <c r="N61" i="148"/>
  <c r="AE61" i="148"/>
  <c r="AF63" i="148"/>
  <c r="AE63" i="148"/>
  <c r="Q63" i="148"/>
  <c r="P63" i="148"/>
  <c r="N12" i="148"/>
  <c r="N51" i="148"/>
  <c r="M18" i="148"/>
  <c r="AE18" i="148" s="1"/>
  <c r="AD64" i="146"/>
  <c r="Z64" i="146"/>
  <c r="Y64" i="146"/>
  <c r="O64" i="146"/>
  <c r="K64" i="146"/>
  <c r="AF63" i="146"/>
  <c r="AE63" i="146"/>
  <c r="V63" i="146"/>
  <c r="U63" i="146"/>
  <c r="O63" i="146"/>
  <c r="N63" i="146"/>
  <c r="Q63" i="146" s="1"/>
  <c r="M63" i="146"/>
  <c r="K63" i="146"/>
  <c r="G63" i="146"/>
  <c r="AF62" i="146"/>
  <c r="AE62" i="146"/>
  <c r="V62" i="146"/>
  <c r="U62" i="146"/>
  <c r="P62" i="146"/>
  <c r="O62" i="146"/>
  <c r="N62" i="146"/>
  <c r="Q62" i="146" s="1"/>
  <c r="M62" i="146"/>
  <c r="K62" i="146"/>
  <c r="G62" i="146"/>
  <c r="AF61" i="146"/>
  <c r="AE61" i="146"/>
  <c r="V61" i="146"/>
  <c r="U61" i="146"/>
  <c r="O61" i="146"/>
  <c r="M61" i="146"/>
  <c r="N61" i="146" s="1"/>
  <c r="K61" i="146"/>
  <c r="G61" i="146"/>
  <c r="AF60" i="146"/>
  <c r="AE60" i="146"/>
  <c r="V60" i="146"/>
  <c r="U60" i="146"/>
  <c r="O60" i="146"/>
  <c r="N60" i="146"/>
  <c r="Q60" i="146" s="1"/>
  <c r="M60" i="146"/>
  <c r="K60" i="146"/>
  <c r="G60" i="146"/>
  <c r="AF59" i="146"/>
  <c r="AE59" i="146"/>
  <c r="V59" i="146"/>
  <c r="U59" i="146"/>
  <c r="O59" i="146"/>
  <c r="M59" i="146"/>
  <c r="N59" i="146" s="1"/>
  <c r="P59" i="146" s="1"/>
  <c r="K59" i="146"/>
  <c r="G59" i="146"/>
  <c r="V58" i="146"/>
  <c r="U58" i="146"/>
  <c r="O58" i="146"/>
  <c r="M58" i="146"/>
  <c r="AF58" i="146" s="1"/>
  <c r="K58" i="146"/>
  <c r="G58" i="146"/>
  <c r="AF57" i="146"/>
  <c r="AE57" i="146"/>
  <c r="X57" i="146"/>
  <c r="W57" i="146"/>
  <c r="V57" i="146"/>
  <c r="O57" i="146"/>
  <c r="N57" i="146"/>
  <c r="Q57" i="146" s="1"/>
  <c r="M57" i="146"/>
  <c r="K57" i="146"/>
  <c r="G57" i="146"/>
  <c r="AD56" i="146"/>
  <c r="Z56" i="146"/>
  <c r="Y56" i="146"/>
  <c r="O56" i="146"/>
  <c r="K56" i="146"/>
  <c r="AF55" i="146"/>
  <c r="AE55" i="146"/>
  <c r="V55" i="146"/>
  <c r="U55" i="146"/>
  <c r="P55" i="146"/>
  <c r="O55" i="146"/>
  <c r="N55" i="146"/>
  <c r="Q55" i="146" s="1"/>
  <c r="M55" i="146"/>
  <c r="K55" i="146"/>
  <c r="G55" i="146"/>
  <c r="AF54" i="146"/>
  <c r="AE54" i="146"/>
  <c r="V54" i="146"/>
  <c r="U54" i="146"/>
  <c r="O54" i="146"/>
  <c r="M54" i="146"/>
  <c r="N54" i="146" s="1"/>
  <c r="K54" i="146"/>
  <c r="G54" i="146"/>
  <c r="AF53" i="146"/>
  <c r="AE53" i="146"/>
  <c r="V53" i="146"/>
  <c r="U53" i="146"/>
  <c r="O53" i="146"/>
  <c r="N53" i="146"/>
  <c r="Q53" i="146" s="1"/>
  <c r="M53" i="146"/>
  <c r="K53" i="146"/>
  <c r="G53" i="146"/>
  <c r="AF52" i="146"/>
  <c r="AE52" i="146"/>
  <c r="V52" i="146"/>
  <c r="U52" i="146"/>
  <c r="O52" i="146"/>
  <c r="M52" i="146"/>
  <c r="N52" i="146" s="1"/>
  <c r="P52" i="146" s="1"/>
  <c r="K52" i="146"/>
  <c r="G52" i="146"/>
  <c r="V51" i="146"/>
  <c r="O51" i="146"/>
  <c r="M51" i="146"/>
  <c r="M56" i="146" s="1"/>
  <c r="N56" i="146" s="1"/>
  <c r="K51" i="146"/>
  <c r="G51" i="146"/>
  <c r="AD50" i="146"/>
  <c r="Z50" i="146"/>
  <c r="Y50" i="146"/>
  <c r="O50" i="146"/>
  <c r="K50" i="146"/>
  <c r="V49" i="146"/>
  <c r="U49" i="146"/>
  <c r="O49" i="146"/>
  <c r="M49" i="146"/>
  <c r="AE49" i="146" s="1"/>
  <c r="K49" i="146"/>
  <c r="G49" i="146"/>
  <c r="AF48" i="146"/>
  <c r="AE48" i="146"/>
  <c r="V48" i="146"/>
  <c r="U48" i="146"/>
  <c r="O48" i="146"/>
  <c r="N48" i="146"/>
  <c r="Q48" i="146" s="1"/>
  <c r="M48" i="146"/>
  <c r="K48" i="146"/>
  <c r="G48" i="146"/>
  <c r="AF47" i="146"/>
  <c r="AE47" i="146"/>
  <c r="V47" i="146"/>
  <c r="U47" i="146"/>
  <c r="O47" i="146"/>
  <c r="N47" i="146"/>
  <c r="Q47" i="146" s="1"/>
  <c r="M47" i="146"/>
  <c r="K47" i="146"/>
  <c r="G47" i="146"/>
  <c r="V46" i="146"/>
  <c r="U46" i="146"/>
  <c r="O46" i="146"/>
  <c r="M46" i="146"/>
  <c r="AE46" i="146" s="1"/>
  <c r="K46" i="146"/>
  <c r="G46" i="146"/>
  <c r="AF45" i="146"/>
  <c r="AE45" i="146"/>
  <c r="V45" i="146"/>
  <c r="U45" i="146"/>
  <c r="O45" i="146"/>
  <c r="M45" i="146"/>
  <c r="N45" i="146" s="1"/>
  <c r="K45" i="146"/>
  <c r="G45" i="146"/>
  <c r="AF44" i="146"/>
  <c r="AE44" i="146"/>
  <c r="V44" i="146"/>
  <c r="U44" i="146"/>
  <c r="O44" i="146"/>
  <c r="N44" i="146"/>
  <c r="Q44" i="146" s="1"/>
  <c r="M44" i="146"/>
  <c r="K44" i="146"/>
  <c r="G44" i="146"/>
  <c r="AF43" i="146"/>
  <c r="AE43" i="146"/>
  <c r="V43" i="146"/>
  <c r="U43" i="146"/>
  <c r="O43" i="146"/>
  <c r="M43" i="146"/>
  <c r="N43" i="146" s="1"/>
  <c r="P43" i="146" s="1"/>
  <c r="K43" i="146"/>
  <c r="G43" i="146"/>
  <c r="V42" i="146"/>
  <c r="O42" i="146"/>
  <c r="M42" i="146"/>
  <c r="M50" i="146" s="1"/>
  <c r="K42" i="146"/>
  <c r="G42" i="146"/>
  <c r="AD41" i="146"/>
  <c r="Z41" i="146"/>
  <c r="Y41" i="146"/>
  <c r="O41" i="146"/>
  <c r="K41" i="146"/>
  <c r="V40" i="146"/>
  <c r="U40" i="146"/>
  <c r="O40" i="146"/>
  <c r="M40" i="146"/>
  <c r="M41" i="146" s="1"/>
  <c r="K40" i="146"/>
  <c r="G40" i="146"/>
  <c r="AF39" i="146"/>
  <c r="AE39" i="146"/>
  <c r="V39" i="146"/>
  <c r="U39" i="146"/>
  <c r="O39" i="146"/>
  <c r="N39" i="146"/>
  <c r="Q39" i="146" s="1"/>
  <c r="M39" i="146"/>
  <c r="K39" i="146"/>
  <c r="G39" i="146"/>
  <c r="AF38" i="146"/>
  <c r="AE38" i="146"/>
  <c r="V38" i="146"/>
  <c r="O38" i="146"/>
  <c r="N38" i="146"/>
  <c r="M38" i="146"/>
  <c r="K38" i="146"/>
  <c r="G38" i="146"/>
  <c r="AD37" i="146"/>
  <c r="Z37" i="146"/>
  <c r="Y37" i="146"/>
  <c r="O37" i="146"/>
  <c r="K37" i="146"/>
  <c r="AF36" i="146"/>
  <c r="AE36" i="146"/>
  <c r="V36" i="146"/>
  <c r="U36" i="146"/>
  <c r="P36" i="146"/>
  <c r="O36" i="146"/>
  <c r="M36" i="146"/>
  <c r="N36" i="146" s="1"/>
  <c r="Q36" i="146" s="1"/>
  <c r="K36" i="146"/>
  <c r="G36" i="146"/>
  <c r="V35" i="146"/>
  <c r="U35" i="146"/>
  <c r="O35" i="146"/>
  <c r="M35" i="146"/>
  <c r="AE35" i="146" s="1"/>
  <c r="K35" i="146"/>
  <c r="G35" i="146"/>
  <c r="AF34" i="146"/>
  <c r="AE34" i="146"/>
  <c r="V34" i="146"/>
  <c r="U34" i="146"/>
  <c r="O34" i="146"/>
  <c r="N34" i="146"/>
  <c r="Q34" i="146" s="1"/>
  <c r="M34" i="146"/>
  <c r="K34" i="146"/>
  <c r="G34" i="146"/>
  <c r="V33" i="146"/>
  <c r="U33" i="146"/>
  <c r="O33" i="146"/>
  <c r="M33" i="146"/>
  <c r="AF33" i="146" s="1"/>
  <c r="K33" i="146"/>
  <c r="G33" i="146"/>
  <c r="AF32" i="146"/>
  <c r="AE32" i="146"/>
  <c r="X32" i="146"/>
  <c r="W32" i="146"/>
  <c r="V32" i="146"/>
  <c r="Q32" i="146"/>
  <c r="P32" i="146"/>
  <c r="O32" i="146"/>
  <c r="N32" i="146"/>
  <c r="M32" i="146"/>
  <c r="K32" i="146"/>
  <c r="G32" i="146"/>
  <c r="AD31" i="146"/>
  <c r="Z31" i="146"/>
  <c r="Y31" i="146"/>
  <c r="O31" i="146"/>
  <c r="K31" i="146"/>
  <c r="AF30" i="146"/>
  <c r="AE30" i="146"/>
  <c r="V30" i="146"/>
  <c r="U30" i="146"/>
  <c r="O30" i="146"/>
  <c r="N30" i="146"/>
  <c r="Q30" i="146" s="1"/>
  <c r="M30" i="146"/>
  <c r="K30" i="146"/>
  <c r="G30" i="146"/>
  <c r="AF29" i="146"/>
  <c r="AE29" i="146"/>
  <c r="V29" i="146"/>
  <c r="U29" i="146"/>
  <c r="O29" i="146"/>
  <c r="M29" i="146"/>
  <c r="N29" i="146" s="1"/>
  <c r="Q29" i="146" s="1"/>
  <c r="K29" i="146"/>
  <c r="G29" i="146"/>
  <c r="V28" i="146"/>
  <c r="U28" i="146"/>
  <c r="O28" i="146"/>
  <c r="M28" i="146"/>
  <c r="AE28" i="146" s="1"/>
  <c r="K28" i="146"/>
  <c r="G28" i="146"/>
  <c r="AF27" i="146"/>
  <c r="AE27" i="146"/>
  <c r="V27" i="146"/>
  <c r="U27" i="146"/>
  <c r="O27" i="146"/>
  <c r="N27" i="146"/>
  <c r="Q27" i="146" s="1"/>
  <c r="M27" i="146"/>
  <c r="K27" i="146"/>
  <c r="G27" i="146"/>
  <c r="X26" i="146"/>
  <c r="W26" i="146"/>
  <c r="V26" i="146"/>
  <c r="O26" i="146"/>
  <c r="M26" i="146"/>
  <c r="M31" i="146" s="1"/>
  <c r="K26" i="146"/>
  <c r="G26" i="146"/>
  <c r="AD25" i="146"/>
  <c r="Z25" i="146"/>
  <c r="Y25" i="146"/>
  <c r="O25" i="146"/>
  <c r="K25" i="146"/>
  <c r="AF24" i="146"/>
  <c r="AE24" i="146"/>
  <c r="V24" i="146"/>
  <c r="U24" i="146"/>
  <c r="O24" i="146"/>
  <c r="N24" i="146"/>
  <c r="M24" i="146"/>
  <c r="K24" i="146"/>
  <c r="G24" i="146"/>
  <c r="AF23" i="146"/>
  <c r="AE23" i="146"/>
  <c r="V23" i="146"/>
  <c r="U23" i="146"/>
  <c r="O23" i="146"/>
  <c r="N23" i="146"/>
  <c r="Q23" i="146" s="1"/>
  <c r="M23" i="146"/>
  <c r="K23" i="146"/>
  <c r="G23" i="146"/>
  <c r="AF22" i="146"/>
  <c r="AE22" i="146"/>
  <c r="V22" i="146"/>
  <c r="U22" i="146"/>
  <c r="O22" i="146"/>
  <c r="M22" i="146"/>
  <c r="N22" i="146" s="1"/>
  <c r="Q22" i="146" s="1"/>
  <c r="K22" i="146"/>
  <c r="G22" i="146"/>
  <c r="V21" i="146"/>
  <c r="U21" i="146"/>
  <c r="O21" i="146"/>
  <c r="M21" i="146"/>
  <c r="AE21" i="146" s="1"/>
  <c r="K21" i="146"/>
  <c r="G21" i="146"/>
  <c r="AF20" i="146"/>
  <c r="AE20" i="146"/>
  <c r="V20" i="146"/>
  <c r="U20" i="146"/>
  <c r="O20" i="146"/>
  <c r="N20" i="146"/>
  <c r="Q20" i="146" s="1"/>
  <c r="M20" i="146"/>
  <c r="K20" i="146"/>
  <c r="G20" i="146"/>
  <c r="V19" i="146"/>
  <c r="O19" i="146"/>
  <c r="M19" i="146"/>
  <c r="M25" i="146" s="1"/>
  <c r="K19" i="146"/>
  <c r="G19" i="146"/>
  <c r="AD18" i="146"/>
  <c r="Z18" i="146"/>
  <c r="Y18" i="146"/>
  <c r="O18" i="146"/>
  <c r="K18" i="146"/>
  <c r="V17" i="146"/>
  <c r="U17" i="146"/>
  <c r="O17" i="146"/>
  <c r="M17" i="146"/>
  <c r="K17" i="146"/>
  <c r="G17" i="146"/>
  <c r="AF16" i="146"/>
  <c r="AE16" i="146"/>
  <c r="V16" i="146"/>
  <c r="U16" i="146"/>
  <c r="Q16" i="146"/>
  <c r="P16" i="146"/>
  <c r="O16" i="146"/>
  <c r="N16" i="146"/>
  <c r="M16" i="146"/>
  <c r="K16" i="146"/>
  <c r="G16" i="146"/>
  <c r="AF15" i="146"/>
  <c r="AE15" i="146"/>
  <c r="V15" i="146"/>
  <c r="U15" i="146"/>
  <c r="O15" i="146"/>
  <c r="N15" i="146"/>
  <c r="M15" i="146"/>
  <c r="K15" i="146"/>
  <c r="G15" i="146"/>
  <c r="AF14" i="146"/>
  <c r="AE14" i="146"/>
  <c r="V14" i="146"/>
  <c r="U14" i="146"/>
  <c r="O14" i="146"/>
  <c r="N14" i="146"/>
  <c r="Q14" i="146" s="1"/>
  <c r="M14" i="146"/>
  <c r="K14" i="146"/>
  <c r="G14" i="146"/>
  <c r="AF13" i="146"/>
  <c r="AE13" i="146"/>
  <c r="V13" i="146"/>
  <c r="U13" i="146"/>
  <c r="Q13" i="146"/>
  <c r="P13" i="146"/>
  <c r="O13" i="146"/>
  <c r="M13" i="146"/>
  <c r="N13" i="146" s="1"/>
  <c r="K13" i="146"/>
  <c r="G13" i="146"/>
  <c r="V12" i="146"/>
  <c r="O12" i="146"/>
  <c r="M12" i="146"/>
  <c r="AF12" i="146" s="1"/>
  <c r="K12" i="146"/>
  <c r="G12" i="146"/>
  <c r="AD11" i="146"/>
  <c r="Z11" i="146"/>
  <c r="Y11" i="146"/>
  <c r="O11" i="146"/>
  <c r="K11" i="146"/>
  <c r="V10" i="146"/>
  <c r="U10" i="146"/>
  <c r="O10" i="146"/>
  <c r="M10" i="146"/>
  <c r="N10" i="146" s="1"/>
  <c r="K10" i="146"/>
  <c r="G10" i="146"/>
  <c r="X9" i="146"/>
  <c r="W9" i="146"/>
  <c r="V9" i="146"/>
  <c r="O9" i="146"/>
  <c r="M9" i="146"/>
  <c r="AF9" i="146" s="1"/>
  <c r="K9" i="146"/>
  <c r="G9" i="146"/>
  <c r="AD8" i="146"/>
  <c r="Z8" i="146"/>
  <c r="Y8" i="146"/>
  <c r="O8" i="146"/>
  <c r="K8" i="146"/>
  <c r="AF7" i="146"/>
  <c r="AE7" i="146"/>
  <c r="V7" i="146"/>
  <c r="U7" i="146"/>
  <c r="O7" i="146"/>
  <c r="N7" i="146"/>
  <c r="Q7" i="146" s="1"/>
  <c r="M7" i="146"/>
  <c r="K7" i="146"/>
  <c r="G7" i="146"/>
  <c r="AF6" i="146"/>
  <c r="AE6" i="146"/>
  <c r="V6" i="146"/>
  <c r="U6" i="146"/>
  <c r="O6" i="146"/>
  <c r="M6" i="146"/>
  <c r="N6" i="146" s="1"/>
  <c r="P6" i="146" s="1"/>
  <c r="K6" i="146"/>
  <c r="G6" i="146"/>
  <c r="V5" i="146"/>
  <c r="O5" i="146"/>
  <c r="M5" i="146"/>
  <c r="M8" i="146" s="1"/>
  <c r="K5" i="146"/>
  <c r="G5" i="146"/>
  <c r="AD2" i="146"/>
  <c r="N6" i="145" s="1"/>
  <c r="Z2" i="146"/>
  <c r="Y2" i="146"/>
  <c r="H2" i="146"/>
  <c r="H1" i="146"/>
  <c r="F1" i="146"/>
  <c r="F2" i="146" s="1"/>
  <c r="D1" i="146"/>
  <c r="M22" i="145"/>
  <c r="L22" i="145"/>
  <c r="K22" i="145"/>
  <c r="J22" i="145"/>
  <c r="I22" i="145"/>
  <c r="H22" i="145"/>
  <c r="G22" i="145"/>
  <c r="F22" i="145"/>
  <c r="E22" i="145"/>
  <c r="D22" i="145"/>
  <c r="M21" i="145"/>
  <c r="L21" i="145"/>
  <c r="K21" i="145"/>
  <c r="J21" i="145"/>
  <c r="I21" i="145"/>
  <c r="H21" i="145"/>
  <c r="G21" i="145"/>
  <c r="F21" i="145"/>
  <c r="E21" i="145"/>
  <c r="D21" i="145"/>
  <c r="M20" i="145"/>
  <c r="L20" i="145"/>
  <c r="K20" i="145"/>
  <c r="J20" i="145"/>
  <c r="I20" i="145"/>
  <c r="H20" i="145"/>
  <c r="G20" i="145"/>
  <c r="F20" i="145"/>
  <c r="E20" i="145"/>
  <c r="D20" i="145"/>
  <c r="M19" i="145"/>
  <c r="L19" i="145"/>
  <c r="K19" i="145"/>
  <c r="J19" i="145"/>
  <c r="I19" i="145"/>
  <c r="H19" i="145"/>
  <c r="G19" i="145"/>
  <c r="F19" i="145"/>
  <c r="E19" i="145"/>
  <c r="D19" i="145"/>
  <c r="M18" i="145"/>
  <c r="L18" i="145"/>
  <c r="K18" i="145"/>
  <c r="J18" i="145"/>
  <c r="I18" i="145"/>
  <c r="H18" i="145"/>
  <c r="G18" i="145"/>
  <c r="F18" i="145"/>
  <c r="E18" i="145"/>
  <c r="D18" i="145"/>
  <c r="M17" i="145"/>
  <c r="L17" i="145"/>
  <c r="K17" i="145"/>
  <c r="J17" i="145"/>
  <c r="I17" i="145"/>
  <c r="H17" i="145"/>
  <c r="G17" i="145"/>
  <c r="F17" i="145"/>
  <c r="E17" i="145"/>
  <c r="D17" i="145"/>
  <c r="M16" i="145"/>
  <c r="L16" i="145"/>
  <c r="K16" i="145"/>
  <c r="J16" i="145"/>
  <c r="I16" i="145"/>
  <c r="H16" i="145"/>
  <c r="G16" i="145"/>
  <c r="F16" i="145"/>
  <c r="E16" i="145"/>
  <c r="D16" i="145"/>
  <c r="M13" i="145"/>
  <c r="E6" i="145" s="1"/>
  <c r="L13" i="145"/>
  <c r="K13" i="145"/>
  <c r="J13" i="145"/>
  <c r="I13" i="145"/>
  <c r="H13" i="145"/>
  <c r="G13" i="145"/>
  <c r="F13" i="145"/>
  <c r="E13" i="145"/>
  <c r="D13" i="145"/>
  <c r="M6" i="145"/>
  <c r="L6" i="145"/>
  <c r="K6" i="145"/>
  <c r="I6" i="145"/>
  <c r="G6" i="145"/>
  <c r="F6" i="145"/>
  <c r="F3" i="145"/>
  <c r="C3" i="145"/>
  <c r="M15" i="149" l="1"/>
  <c r="I8" i="149" s="1"/>
  <c r="I7" i="149"/>
  <c r="H14" i="149"/>
  <c r="H15" i="149" s="1"/>
  <c r="F8" i="149" s="1"/>
  <c r="Q48" i="150"/>
  <c r="R45" i="150" s="1"/>
  <c r="P48" i="150"/>
  <c r="I14" i="149"/>
  <c r="I15" i="149" s="1"/>
  <c r="P57" i="150"/>
  <c r="Q57" i="150"/>
  <c r="R49" i="150" s="1"/>
  <c r="Q29" i="148"/>
  <c r="P29" i="148"/>
  <c r="P15" i="148"/>
  <c r="Q15" i="148"/>
  <c r="Q54" i="148"/>
  <c r="P54" i="148"/>
  <c r="P40" i="148"/>
  <c r="Q40" i="148"/>
  <c r="K14" i="147"/>
  <c r="Q31" i="148"/>
  <c r="R27" i="148" s="1"/>
  <c r="P31" i="148"/>
  <c r="P26" i="148"/>
  <c r="P36" i="148"/>
  <c r="Q36" i="148"/>
  <c r="P5" i="148"/>
  <c r="Q5" i="148"/>
  <c r="N37" i="148"/>
  <c r="Q37" i="148" s="1"/>
  <c r="R32" i="148" s="1"/>
  <c r="AF37" i="148"/>
  <c r="AG32" i="148" s="1"/>
  <c r="AE37" i="148"/>
  <c r="Q45" i="148"/>
  <c r="P45" i="148"/>
  <c r="P49" i="148"/>
  <c r="Q49" i="148"/>
  <c r="Q26" i="148"/>
  <c r="R19" i="148" s="1"/>
  <c r="E14" i="147"/>
  <c r="E15" i="147" s="1"/>
  <c r="Q11" i="148"/>
  <c r="R9" i="148" s="1"/>
  <c r="P11" i="148"/>
  <c r="Q61" i="148"/>
  <c r="P61" i="148"/>
  <c r="D15" i="147"/>
  <c r="P12" i="148"/>
  <c r="Q12" i="148"/>
  <c r="AE26" i="148"/>
  <c r="AF18" i="148"/>
  <c r="AG12" i="148" s="1"/>
  <c r="N18" i="148"/>
  <c r="Q51" i="148"/>
  <c r="P51" i="148"/>
  <c r="J14" i="145"/>
  <c r="J15" i="145" s="1"/>
  <c r="Q56" i="146"/>
  <c r="R51" i="146" s="1"/>
  <c r="P56" i="146"/>
  <c r="N31" i="146"/>
  <c r="AE31" i="146"/>
  <c r="AF31" i="146"/>
  <c r="AG26" i="146" s="1"/>
  <c r="P29" i="146"/>
  <c r="Q24" i="146"/>
  <c r="P24" i="146"/>
  <c r="P22" i="146"/>
  <c r="N50" i="146"/>
  <c r="AF50" i="146"/>
  <c r="AG42" i="146" s="1"/>
  <c r="AF25" i="146"/>
  <c r="AG19" i="146" s="1"/>
  <c r="AE25" i="146"/>
  <c r="N25" i="146"/>
  <c r="Q6" i="146"/>
  <c r="P61" i="146"/>
  <c r="Q61" i="146"/>
  <c r="P10" i="146"/>
  <c r="Q10" i="146"/>
  <c r="N8" i="146"/>
  <c r="AF8" i="146"/>
  <c r="AG5" i="146" s="1"/>
  <c r="AE8" i="146"/>
  <c r="Q45" i="146"/>
  <c r="P45" i="146"/>
  <c r="AE50" i="146"/>
  <c r="Q43" i="146"/>
  <c r="AF56" i="146"/>
  <c r="AG51" i="146" s="1"/>
  <c r="AE56" i="146"/>
  <c r="N41" i="146"/>
  <c r="AF41" i="146"/>
  <c r="AG38" i="146" s="1"/>
  <c r="P54" i="146"/>
  <c r="Q54" i="146"/>
  <c r="Q38" i="146"/>
  <c r="P38" i="146"/>
  <c r="Q59" i="146"/>
  <c r="Q52" i="146"/>
  <c r="AE17" i="146"/>
  <c r="N17" i="146"/>
  <c r="AF17" i="146"/>
  <c r="P15" i="146"/>
  <c r="Q15" i="146"/>
  <c r="AE41" i="146"/>
  <c r="P7" i="146"/>
  <c r="N9" i="146"/>
  <c r="AE10" i="146"/>
  <c r="AE19" i="146"/>
  <c r="AE26" i="146"/>
  <c r="AF40" i="146"/>
  <c r="P44" i="146"/>
  <c r="N46" i="146"/>
  <c r="AF49" i="146"/>
  <c r="P53" i="146"/>
  <c r="P60" i="146"/>
  <c r="M64" i="146"/>
  <c r="AE5" i="146"/>
  <c r="AF10" i="146"/>
  <c r="P14" i="146"/>
  <c r="M18" i="146"/>
  <c r="AF19" i="146"/>
  <c r="P23" i="146"/>
  <c r="AF26" i="146"/>
  <c r="P30" i="146"/>
  <c r="AE33" i="146"/>
  <c r="AE42" i="146"/>
  <c r="AE51" i="146"/>
  <c r="N49" i="146"/>
  <c r="N19" i="146"/>
  <c r="AF5" i="146"/>
  <c r="AF42" i="146"/>
  <c r="N40" i="146"/>
  <c r="P47" i="146"/>
  <c r="AF21" i="146"/>
  <c r="AF28" i="146"/>
  <c r="AF35" i="146"/>
  <c r="P39" i="146"/>
  <c r="P48" i="146"/>
  <c r="P57" i="146"/>
  <c r="I3" i="145"/>
  <c r="AF46" i="146"/>
  <c r="N26" i="146"/>
  <c r="P63" i="146"/>
  <c r="N5" i="146"/>
  <c r="N33" i="146"/>
  <c r="N42" i="146"/>
  <c r="N51" i="146"/>
  <c r="N21" i="146"/>
  <c r="N28" i="146"/>
  <c r="N35" i="146"/>
  <c r="M37" i="146"/>
  <c r="AE40" i="146"/>
  <c r="AE12" i="146"/>
  <c r="AF51" i="146"/>
  <c r="AE58" i="146"/>
  <c r="N12" i="146"/>
  <c r="N58" i="146"/>
  <c r="M11" i="146"/>
  <c r="AE9" i="146"/>
  <c r="P20" i="146"/>
  <c r="P27" i="146"/>
  <c r="P34" i="146"/>
  <c r="AD64" i="144"/>
  <c r="Z64" i="144"/>
  <c r="Y64" i="144"/>
  <c r="O64" i="144"/>
  <c r="K64" i="144"/>
  <c r="AF63" i="144"/>
  <c r="V63" i="144"/>
  <c r="U63" i="144"/>
  <c r="O63" i="144"/>
  <c r="M63" i="144"/>
  <c r="AE63" i="144" s="1"/>
  <c r="K63" i="144"/>
  <c r="G63" i="144"/>
  <c r="AF62" i="144"/>
  <c r="AE62" i="144"/>
  <c r="V62" i="144"/>
  <c r="U62" i="144"/>
  <c r="O62" i="144"/>
  <c r="N62" i="144"/>
  <c r="Q62" i="144" s="1"/>
  <c r="M62" i="144"/>
  <c r="K62" i="144"/>
  <c r="G62" i="144"/>
  <c r="V61" i="144"/>
  <c r="M61" i="144" s="1"/>
  <c r="U61" i="144"/>
  <c r="O61" i="144"/>
  <c r="K61" i="144"/>
  <c r="G61" i="144"/>
  <c r="V60" i="144"/>
  <c r="M60" i="144" s="1"/>
  <c r="U60" i="144"/>
  <c r="O60" i="144"/>
  <c r="K60" i="144"/>
  <c r="G60" i="144"/>
  <c r="V59" i="144"/>
  <c r="M59" i="144" s="1"/>
  <c r="U59" i="144"/>
  <c r="O59" i="144"/>
  <c r="K59" i="144"/>
  <c r="G59" i="144"/>
  <c r="V58" i="144"/>
  <c r="M58" i="144" s="1"/>
  <c r="U58" i="144"/>
  <c r="O58" i="144"/>
  <c r="K58" i="144"/>
  <c r="G58" i="144"/>
  <c r="X57" i="144"/>
  <c r="W57" i="144"/>
  <c r="V57" i="144"/>
  <c r="M57" i="144" s="1"/>
  <c r="O57" i="144"/>
  <c r="K57" i="144"/>
  <c r="G57" i="144"/>
  <c r="AD56" i="144"/>
  <c r="Z56" i="144"/>
  <c r="Z2" i="144" s="1"/>
  <c r="L6" i="143" s="1"/>
  <c r="Y56" i="144"/>
  <c r="J18" i="143" s="1"/>
  <c r="O56" i="144"/>
  <c r="K56" i="144"/>
  <c r="V55" i="144"/>
  <c r="M55" i="144" s="1"/>
  <c r="U55" i="144"/>
  <c r="O55" i="144"/>
  <c r="K55" i="144"/>
  <c r="G55" i="144"/>
  <c r="V54" i="144"/>
  <c r="M54" i="144" s="1"/>
  <c r="U54" i="144"/>
  <c r="O54" i="144"/>
  <c r="K54" i="144"/>
  <c r="G54" i="144"/>
  <c r="V53" i="144"/>
  <c r="M53" i="144" s="1"/>
  <c r="U53" i="144"/>
  <c r="O53" i="144"/>
  <c r="K53" i="144"/>
  <c r="G53" i="144"/>
  <c r="V52" i="144"/>
  <c r="U52" i="144"/>
  <c r="O52" i="144"/>
  <c r="M52" i="144"/>
  <c r="AF52" i="144" s="1"/>
  <c r="K52" i="144"/>
  <c r="G52" i="144"/>
  <c r="V51" i="144"/>
  <c r="O51" i="144"/>
  <c r="M51" i="144"/>
  <c r="AF51" i="144" s="1"/>
  <c r="K51" i="144"/>
  <c r="G51" i="144"/>
  <c r="AD50" i="144"/>
  <c r="Z50" i="144"/>
  <c r="Y50" i="144"/>
  <c r="O50" i="144"/>
  <c r="K50" i="144"/>
  <c r="V49" i="144"/>
  <c r="U49" i="144"/>
  <c r="O49" i="144"/>
  <c r="N49" i="144"/>
  <c r="Q49" i="144" s="1"/>
  <c r="M49" i="144"/>
  <c r="AF49" i="144" s="1"/>
  <c r="K49" i="144"/>
  <c r="G49" i="144"/>
  <c r="V48" i="144"/>
  <c r="U48" i="144"/>
  <c r="O48" i="144"/>
  <c r="N48" i="144"/>
  <c r="Q48" i="144" s="1"/>
  <c r="M48" i="144"/>
  <c r="AF48" i="144" s="1"/>
  <c r="K48" i="144"/>
  <c r="G48" i="144"/>
  <c r="AF47" i="144"/>
  <c r="V47" i="144"/>
  <c r="U47" i="144"/>
  <c r="O47" i="144"/>
  <c r="M47" i="144"/>
  <c r="AE47" i="144" s="1"/>
  <c r="K47" i="144"/>
  <c r="G47" i="144"/>
  <c r="AF46" i="144"/>
  <c r="AE46" i="144"/>
  <c r="V46" i="144"/>
  <c r="U46" i="144"/>
  <c r="O46" i="144"/>
  <c r="N46" i="144"/>
  <c r="Q46" i="144" s="1"/>
  <c r="M46" i="144"/>
  <c r="K46" i="144"/>
  <c r="P46" i="144" s="1"/>
  <c r="G46" i="144"/>
  <c r="V45" i="144"/>
  <c r="M45" i="144" s="1"/>
  <c r="U45" i="144"/>
  <c r="O45" i="144"/>
  <c r="K45" i="144"/>
  <c r="G45" i="144"/>
  <c r="V44" i="144"/>
  <c r="M44" i="144" s="1"/>
  <c r="U44" i="144"/>
  <c r="O44" i="144"/>
  <c r="K44" i="144"/>
  <c r="G44" i="144"/>
  <c r="V43" i="144"/>
  <c r="M43" i="144" s="1"/>
  <c r="U43" i="144"/>
  <c r="O43" i="144"/>
  <c r="K43" i="144"/>
  <c r="G43" i="144"/>
  <c r="V42" i="144"/>
  <c r="M42" i="144" s="1"/>
  <c r="O42" i="144"/>
  <c r="K42" i="144"/>
  <c r="G42" i="144"/>
  <c r="AD41" i="144"/>
  <c r="Z41" i="144"/>
  <c r="Y41" i="144"/>
  <c r="O41" i="144"/>
  <c r="K41" i="144"/>
  <c r="V40" i="144"/>
  <c r="M40" i="144" s="1"/>
  <c r="U40" i="144"/>
  <c r="O40" i="144"/>
  <c r="K40" i="144"/>
  <c r="G40" i="144"/>
  <c r="V39" i="144"/>
  <c r="M39" i="144" s="1"/>
  <c r="U39" i="144"/>
  <c r="O39" i="144"/>
  <c r="K39" i="144"/>
  <c r="G39" i="144"/>
  <c r="V38" i="144"/>
  <c r="M38" i="144" s="1"/>
  <c r="O38" i="144"/>
  <c r="K38" i="144"/>
  <c r="G38" i="144"/>
  <c r="AD37" i="144"/>
  <c r="Z37" i="144"/>
  <c r="Y37" i="144"/>
  <c r="O37" i="144"/>
  <c r="K37" i="144"/>
  <c r="V36" i="144"/>
  <c r="U36" i="144"/>
  <c r="O36" i="144"/>
  <c r="M36" i="144"/>
  <c r="AF36" i="144" s="1"/>
  <c r="K36" i="144"/>
  <c r="G36" i="144"/>
  <c r="V35" i="144"/>
  <c r="U35" i="144"/>
  <c r="O35" i="144"/>
  <c r="N35" i="144"/>
  <c r="Q35" i="144" s="1"/>
  <c r="M35" i="144"/>
  <c r="AF35" i="144" s="1"/>
  <c r="K35" i="144"/>
  <c r="G35" i="144"/>
  <c r="V34" i="144"/>
  <c r="U34" i="144"/>
  <c r="O34" i="144"/>
  <c r="N34" i="144"/>
  <c r="Q34" i="144" s="1"/>
  <c r="M34" i="144"/>
  <c r="AF34" i="144" s="1"/>
  <c r="K34" i="144"/>
  <c r="G34" i="144"/>
  <c r="AF33" i="144"/>
  <c r="V33" i="144"/>
  <c r="U33" i="144"/>
  <c r="O33" i="144"/>
  <c r="M33" i="144"/>
  <c r="AE33" i="144" s="1"/>
  <c r="K33" i="144"/>
  <c r="G33" i="144"/>
  <c r="AF32" i="144"/>
  <c r="X32" i="144"/>
  <c r="W32" i="144"/>
  <c r="V32" i="144"/>
  <c r="O32" i="144"/>
  <c r="N32" i="144"/>
  <c r="Q32" i="144" s="1"/>
  <c r="M32" i="144"/>
  <c r="M37" i="144" s="1"/>
  <c r="K32" i="144"/>
  <c r="G32" i="144"/>
  <c r="AD31" i="144"/>
  <c r="Z31" i="144"/>
  <c r="Y31" i="144"/>
  <c r="O31" i="144"/>
  <c r="K31" i="144"/>
  <c r="AF30" i="144"/>
  <c r="V30" i="144"/>
  <c r="U30" i="144"/>
  <c r="O30" i="144"/>
  <c r="M30" i="144"/>
  <c r="AE30" i="144" s="1"/>
  <c r="K30" i="144"/>
  <c r="G30" i="144"/>
  <c r="AF29" i="144"/>
  <c r="AE29" i="144"/>
  <c r="V29" i="144"/>
  <c r="U29" i="144"/>
  <c r="O29" i="144"/>
  <c r="N29" i="144"/>
  <c r="Q29" i="144" s="1"/>
  <c r="M29" i="144"/>
  <c r="K29" i="144"/>
  <c r="P29" i="144" s="1"/>
  <c r="G29" i="144"/>
  <c r="V28" i="144"/>
  <c r="M28" i="144" s="1"/>
  <c r="U28" i="144"/>
  <c r="O28" i="144"/>
  <c r="K28" i="144"/>
  <c r="G28" i="144"/>
  <c r="V27" i="144"/>
  <c r="M27" i="144" s="1"/>
  <c r="U27" i="144"/>
  <c r="O27" i="144"/>
  <c r="K27" i="144"/>
  <c r="G27" i="144"/>
  <c r="AF26" i="144"/>
  <c r="AE26" i="144"/>
  <c r="X26" i="144"/>
  <c r="W26" i="144"/>
  <c r="V26" i="144"/>
  <c r="O26" i="144"/>
  <c r="N26" i="144"/>
  <c r="Q26" i="144" s="1"/>
  <c r="M26" i="144"/>
  <c r="K26" i="144"/>
  <c r="P26" i="144" s="1"/>
  <c r="G26" i="144"/>
  <c r="AD25" i="144"/>
  <c r="G21" i="143" s="1"/>
  <c r="Z25" i="144"/>
  <c r="Y25" i="144"/>
  <c r="O25" i="144"/>
  <c r="K25" i="144"/>
  <c r="V24" i="144"/>
  <c r="M24" i="144" s="1"/>
  <c r="U24" i="144"/>
  <c r="O24" i="144"/>
  <c r="K24" i="144"/>
  <c r="G24" i="144"/>
  <c r="V23" i="144"/>
  <c r="M23" i="144" s="1"/>
  <c r="U23" i="144"/>
  <c r="O23" i="144"/>
  <c r="K23" i="144"/>
  <c r="G23" i="144"/>
  <c r="V22" i="144"/>
  <c r="M22" i="144" s="1"/>
  <c r="U22" i="144"/>
  <c r="O22" i="144"/>
  <c r="K22" i="144"/>
  <c r="G22" i="144"/>
  <c r="V21" i="144"/>
  <c r="M21" i="144" s="1"/>
  <c r="U21" i="144"/>
  <c r="O21" i="144"/>
  <c r="K21" i="144"/>
  <c r="G21" i="144"/>
  <c r="V20" i="144"/>
  <c r="M20" i="144" s="1"/>
  <c r="U20" i="144"/>
  <c r="O20" i="144"/>
  <c r="K20" i="144"/>
  <c r="G20" i="144"/>
  <c r="V19" i="144"/>
  <c r="M19" i="144" s="1"/>
  <c r="O19" i="144"/>
  <c r="K19" i="144"/>
  <c r="G19" i="144"/>
  <c r="AD18" i="144"/>
  <c r="Z18" i="144"/>
  <c r="Y18" i="144"/>
  <c r="Y2" i="144" s="1"/>
  <c r="K6" i="143" s="1"/>
  <c r="O18" i="144"/>
  <c r="K18" i="144"/>
  <c r="V17" i="144"/>
  <c r="U17" i="144"/>
  <c r="O17" i="144"/>
  <c r="M17" i="144"/>
  <c r="AF17" i="144" s="1"/>
  <c r="K17" i="144"/>
  <c r="G17" i="144"/>
  <c r="V16" i="144"/>
  <c r="U16" i="144"/>
  <c r="O16" i="144"/>
  <c r="N16" i="144"/>
  <c r="Q16" i="144" s="1"/>
  <c r="M16" i="144"/>
  <c r="AF16" i="144" s="1"/>
  <c r="K16" i="144"/>
  <c r="G16" i="144"/>
  <c r="V15" i="144"/>
  <c r="U15" i="144"/>
  <c r="O15" i="144"/>
  <c r="N15" i="144"/>
  <c r="Q15" i="144" s="1"/>
  <c r="M15" i="144"/>
  <c r="AF15" i="144" s="1"/>
  <c r="K15" i="144"/>
  <c r="G15" i="144"/>
  <c r="AF14" i="144"/>
  <c r="V14" i="144"/>
  <c r="U14" i="144"/>
  <c r="O14" i="144"/>
  <c r="M14" i="144"/>
  <c r="AE14" i="144" s="1"/>
  <c r="K14" i="144"/>
  <c r="G14" i="144"/>
  <c r="AF13" i="144"/>
  <c r="AE13" i="144"/>
  <c r="V13" i="144"/>
  <c r="U13" i="144"/>
  <c r="O13" i="144"/>
  <c r="N13" i="144"/>
  <c r="Q13" i="144" s="1"/>
  <c r="M13" i="144"/>
  <c r="K13" i="144"/>
  <c r="P13" i="144" s="1"/>
  <c r="G13" i="144"/>
  <c r="AF12" i="144"/>
  <c r="AE12" i="144"/>
  <c r="V12" i="144"/>
  <c r="O12" i="144"/>
  <c r="N12" i="144"/>
  <c r="Q12" i="144" s="1"/>
  <c r="M12" i="144"/>
  <c r="M18" i="144" s="1"/>
  <c r="K12" i="144"/>
  <c r="P12" i="144" s="1"/>
  <c r="G12" i="144"/>
  <c r="AD11" i="144"/>
  <c r="E21" i="143" s="1"/>
  <c r="Z11" i="144"/>
  <c r="Y11" i="144"/>
  <c r="O11" i="144"/>
  <c r="K11" i="144"/>
  <c r="V10" i="144"/>
  <c r="M10" i="144" s="1"/>
  <c r="U10" i="144"/>
  <c r="O10" i="144"/>
  <c r="K10" i="144"/>
  <c r="G10" i="144"/>
  <c r="X9" i="144"/>
  <c r="W9" i="144"/>
  <c r="V9" i="144"/>
  <c r="M9" i="144" s="1"/>
  <c r="O9" i="144"/>
  <c r="K9" i="144"/>
  <c r="G9" i="144"/>
  <c r="AD8" i="144"/>
  <c r="D21" i="143" s="1"/>
  <c r="Z8" i="144"/>
  <c r="Y8" i="144"/>
  <c r="O8" i="144"/>
  <c r="K8" i="144"/>
  <c r="V7" i="144"/>
  <c r="M7" i="144" s="1"/>
  <c r="U7" i="144"/>
  <c r="O7" i="144"/>
  <c r="K7" i="144"/>
  <c r="G7" i="144"/>
  <c r="V6" i="144"/>
  <c r="M6" i="144" s="1"/>
  <c r="U6" i="144"/>
  <c r="O6" i="144"/>
  <c r="K6" i="144"/>
  <c r="G6" i="144"/>
  <c r="V5" i="144"/>
  <c r="M5" i="144" s="1"/>
  <c r="O5" i="144"/>
  <c r="K5" i="144"/>
  <c r="G5" i="144"/>
  <c r="F1" i="144" s="1"/>
  <c r="F2" i="144" s="1"/>
  <c r="H2" i="144"/>
  <c r="H1" i="144"/>
  <c r="D1" i="144"/>
  <c r="M22" i="143"/>
  <c r="L22" i="143"/>
  <c r="K22" i="143"/>
  <c r="J22" i="143"/>
  <c r="I22" i="143"/>
  <c r="H22" i="143"/>
  <c r="G22" i="143"/>
  <c r="F22" i="143"/>
  <c r="E22" i="143"/>
  <c r="D22" i="143"/>
  <c r="M21" i="143"/>
  <c r="L21" i="143"/>
  <c r="K21" i="143"/>
  <c r="J21" i="143"/>
  <c r="I21" i="143"/>
  <c r="H21" i="143"/>
  <c r="F21" i="143"/>
  <c r="M20" i="143"/>
  <c r="L20" i="143"/>
  <c r="K20" i="143"/>
  <c r="J20" i="143"/>
  <c r="I20" i="143"/>
  <c r="H20" i="143"/>
  <c r="G20" i="143"/>
  <c r="F20" i="143"/>
  <c r="E20" i="143"/>
  <c r="D20" i="143"/>
  <c r="M19" i="143"/>
  <c r="L19" i="143"/>
  <c r="K19" i="143"/>
  <c r="J19" i="143"/>
  <c r="I19" i="143"/>
  <c r="H19" i="143"/>
  <c r="G19" i="143"/>
  <c r="F19" i="143"/>
  <c r="E19" i="143"/>
  <c r="D19" i="143"/>
  <c r="M18" i="143"/>
  <c r="L18" i="143"/>
  <c r="K18" i="143"/>
  <c r="I18" i="143"/>
  <c r="H18" i="143"/>
  <c r="G18" i="143"/>
  <c r="F18" i="143"/>
  <c r="E18" i="143"/>
  <c r="D18" i="143"/>
  <c r="M17" i="143"/>
  <c r="L17" i="143"/>
  <c r="K17" i="143"/>
  <c r="J17" i="143"/>
  <c r="I17" i="143"/>
  <c r="H17" i="143"/>
  <c r="G17" i="143"/>
  <c r="F17" i="143"/>
  <c r="E17" i="143"/>
  <c r="D17" i="143"/>
  <c r="M16" i="143"/>
  <c r="L16" i="143"/>
  <c r="K16" i="143"/>
  <c r="J16" i="143"/>
  <c r="I16" i="143"/>
  <c r="H16" i="143"/>
  <c r="G16" i="143"/>
  <c r="F16" i="143"/>
  <c r="E16" i="143"/>
  <c r="D16" i="143"/>
  <c r="M13" i="143"/>
  <c r="L13" i="143"/>
  <c r="K13" i="143"/>
  <c r="I6" i="143" s="1"/>
  <c r="J13" i="143"/>
  <c r="I13" i="143"/>
  <c r="H13" i="143"/>
  <c r="G13" i="143"/>
  <c r="F13" i="143"/>
  <c r="E13" i="143"/>
  <c r="D13" i="143"/>
  <c r="M6" i="143"/>
  <c r="I3" i="143"/>
  <c r="F3" i="143"/>
  <c r="C3" i="143"/>
  <c r="E7" i="149" l="1"/>
  <c r="G8" i="149"/>
  <c r="G7" i="149"/>
  <c r="F7" i="149"/>
  <c r="E8" i="149"/>
  <c r="K15" i="147"/>
  <c r="L14" i="147"/>
  <c r="L15" i="147" s="1"/>
  <c r="Q18" i="148"/>
  <c r="R12" i="148" s="1"/>
  <c r="P18" i="148"/>
  <c r="F14" i="147"/>
  <c r="F7" i="147" s="1"/>
  <c r="P37" i="148"/>
  <c r="D2" i="148"/>
  <c r="AE18" i="146"/>
  <c r="N18" i="146"/>
  <c r="AF18" i="146"/>
  <c r="AG12" i="146" s="1"/>
  <c r="N11" i="146"/>
  <c r="AF11" i="146"/>
  <c r="AG9" i="146" s="1"/>
  <c r="AE11" i="146"/>
  <c r="AF64" i="146"/>
  <c r="AG57" i="146" s="1"/>
  <c r="AE64" i="146"/>
  <c r="N64" i="146"/>
  <c r="Q40" i="146"/>
  <c r="P40" i="146"/>
  <c r="Q46" i="146"/>
  <c r="P46" i="146"/>
  <c r="P35" i="146"/>
  <c r="Q35" i="146"/>
  <c r="Q17" i="146"/>
  <c r="P17" i="146"/>
  <c r="Q58" i="146"/>
  <c r="P58" i="146"/>
  <c r="Q12" i="146"/>
  <c r="P12" i="146"/>
  <c r="AF37" i="146"/>
  <c r="AG32" i="146" s="1"/>
  <c r="N37" i="146"/>
  <c r="AE37" i="146"/>
  <c r="Q41" i="146"/>
  <c r="R38" i="146" s="1"/>
  <c r="P41" i="146"/>
  <c r="H14" i="145"/>
  <c r="H15" i="145" s="1"/>
  <c r="P28" i="146"/>
  <c r="Q28" i="146"/>
  <c r="P19" i="146"/>
  <c r="Q19" i="146"/>
  <c r="P21" i="146"/>
  <c r="Q21" i="146"/>
  <c r="Q49" i="146"/>
  <c r="P49" i="146"/>
  <c r="Q51" i="146"/>
  <c r="P51" i="146"/>
  <c r="Q42" i="146"/>
  <c r="P42" i="146"/>
  <c r="Q9" i="146"/>
  <c r="P9" i="146"/>
  <c r="P33" i="146"/>
  <c r="Q33" i="146"/>
  <c r="P31" i="146"/>
  <c r="Q31" i="146"/>
  <c r="R26" i="146" s="1"/>
  <c r="K14" i="145"/>
  <c r="Q5" i="146"/>
  <c r="P5" i="146"/>
  <c r="Q25" i="146"/>
  <c r="R19" i="146" s="1"/>
  <c r="G14" i="145"/>
  <c r="G15" i="145" s="1"/>
  <c r="P25" i="146"/>
  <c r="Q50" i="146"/>
  <c r="R42" i="146" s="1"/>
  <c r="P50" i="146"/>
  <c r="I14" i="145"/>
  <c r="I15" i="145" s="1"/>
  <c r="Q26" i="146"/>
  <c r="P26" i="146"/>
  <c r="D2" i="146"/>
  <c r="D14" i="145"/>
  <c r="Q8" i="146"/>
  <c r="R5" i="146" s="1"/>
  <c r="P8" i="146"/>
  <c r="N5" i="144"/>
  <c r="M8" i="144"/>
  <c r="AF5" i="144"/>
  <c r="AE5" i="144"/>
  <c r="AF19" i="144"/>
  <c r="N19" i="144"/>
  <c r="AE19" i="144"/>
  <c r="M25" i="144"/>
  <c r="N10" i="144"/>
  <c r="AF10" i="144"/>
  <c r="AE10" i="144"/>
  <c r="N28" i="144"/>
  <c r="AE28" i="144"/>
  <c r="AF28" i="144"/>
  <c r="AF37" i="144"/>
  <c r="AG32" i="144" s="1"/>
  <c r="AE37" i="144"/>
  <c r="N37" i="144"/>
  <c r="N54" i="144"/>
  <c r="AF54" i="144"/>
  <c r="AE54" i="144"/>
  <c r="N61" i="144"/>
  <c r="AE61" i="144"/>
  <c r="AF61" i="144"/>
  <c r="G6" i="143"/>
  <c r="F6" i="143"/>
  <c r="E6" i="143"/>
  <c r="N24" i="144"/>
  <c r="AF24" i="144"/>
  <c r="AE24" i="144"/>
  <c r="AF39" i="144"/>
  <c r="N39" i="144"/>
  <c r="AE39" i="144"/>
  <c r="N44" i="144"/>
  <c r="AF44" i="144"/>
  <c r="AE44" i="144"/>
  <c r="N22" i="144"/>
  <c r="AF22" i="144"/>
  <c r="AE22" i="144"/>
  <c r="N42" i="144"/>
  <c r="M50" i="144"/>
  <c r="AF42" i="144"/>
  <c r="AE42" i="144"/>
  <c r="N57" i="144"/>
  <c r="AF57" i="144"/>
  <c r="AE57" i="144"/>
  <c r="M64" i="144"/>
  <c r="N59" i="144"/>
  <c r="AF59" i="144"/>
  <c r="AE59" i="144"/>
  <c r="N6" i="144"/>
  <c r="AF6" i="144"/>
  <c r="AE6" i="144"/>
  <c r="AF20" i="144"/>
  <c r="N20" i="144"/>
  <c r="AE20" i="144"/>
  <c r="N40" i="144"/>
  <c r="AF40" i="144"/>
  <c r="AE40" i="144"/>
  <c r="N45" i="144"/>
  <c r="AE45" i="144"/>
  <c r="AF45" i="144"/>
  <c r="N9" i="144"/>
  <c r="M11" i="144"/>
  <c r="AF9" i="144"/>
  <c r="AE9" i="144"/>
  <c r="N55" i="144"/>
  <c r="AF55" i="144"/>
  <c r="AE55" i="144"/>
  <c r="N23" i="144"/>
  <c r="AF23" i="144"/>
  <c r="AE23" i="144"/>
  <c r="M41" i="144"/>
  <c r="AF38" i="144"/>
  <c r="N38" i="144"/>
  <c r="AE38" i="144"/>
  <c r="N43" i="144"/>
  <c r="AF43" i="144"/>
  <c r="AE43" i="144"/>
  <c r="N27" i="144"/>
  <c r="AF27" i="144"/>
  <c r="M31" i="144"/>
  <c r="AE27" i="144"/>
  <c r="AF53" i="144"/>
  <c r="N53" i="144"/>
  <c r="AE53" i="144"/>
  <c r="N60" i="144"/>
  <c r="AF60" i="144"/>
  <c r="AE60" i="144"/>
  <c r="N7" i="144"/>
  <c r="AF7" i="144"/>
  <c r="AE7" i="144"/>
  <c r="AF18" i="144"/>
  <c r="AG12" i="144" s="1"/>
  <c r="AE18" i="144"/>
  <c r="N18" i="144"/>
  <c r="N21" i="144"/>
  <c r="AF21" i="144"/>
  <c r="AE21" i="144"/>
  <c r="N58" i="144"/>
  <c r="AF58" i="144"/>
  <c r="AE58" i="144"/>
  <c r="N17" i="144"/>
  <c r="N36" i="144"/>
  <c r="AD2" i="144"/>
  <c r="N6" i="143" s="1"/>
  <c r="N14" i="144"/>
  <c r="P16" i="144"/>
  <c r="N30" i="144"/>
  <c r="P32" i="144"/>
  <c r="N33" i="144"/>
  <c r="P35" i="144"/>
  <c r="N47" i="144"/>
  <c r="P49" i="144"/>
  <c r="N63" i="144"/>
  <c r="P15" i="144"/>
  <c r="P34" i="144"/>
  <c r="P48" i="144"/>
  <c r="N51" i="144"/>
  <c r="N52" i="144"/>
  <c r="AE51" i="144"/>
  <c r="AE52" i="144"/>
  <c r="M56" i="144"/>
  <c r="AE17" i="144"/>
  <c r="AE36" i="144"/>
  <c r="P62" i="144"/>
  <c r="AE16" i="144"/>
  <c r="AE35" i="144"/>
  <c r="AE49" i="144"/>
  <c r="AE15" i="144"/>
  <c r="AE34" i="144"/>
  <c r="AE48" i="144"/>
  <c r="AE32" i="144"/>
  <c r="AD64" i="142"/>
  <c r="Z64" i="142"/>
  <c r="Y64" i="142"/>
  <c r="O64" i="142"/>
  <c r="K64" i="142"/>
  <c r="V63" i="142"/>
  <c r="U63" i="142"/>
  <c r="O63" i="142"/>
  <c r="M63" i="142"/>
  <c r="AE63" i="142" s="1"/>
  <c r="K63" i="142"/>
  <c r="G63" i="142"/>
  <c r="AF62" i="142"/>
  <c r="V62" i="142"/>
  <c r="U62" i="142"/>
  <c r="O62" i="142"/>
  <c r="M62" i="142"/>
  <c r="N62" i="142" s="1"/>
  <c r="K62" i="142"/>
  <c r="G62" i="142"/>
  <c r="AF61" i="142"/>
  <c r="AE61" i="142"/>
  <c r="V61" i="142"/>
  <c r="U61" i="142"/>
  <c r="O61" i="142"/>
  <c r="N61" i="142"/>
  <c r="Q61" i="142" s="1"/>
  <c r="M61" i="142"/>
  <c r="K61" i="142"/>
  <c r="G61" i="142"/>
  <c r="V60" i="142"/>
  <c r="M60" i="142" s="1"/>
  <c r="U60" i="142"/>
  <c r="O60" i="142"/>
  <c r="K60" i="142"/>
  <c r="G60" i="142"/>
  <c r="V59" i="142"/>
  <c r="M59" i="142" s="1"/>
  <c r="U59" i="142"/>
  <c r="O59" i="142"/>
  <c r="K59" i="142"/>
  <c r="G59" i="142"/>
  <c r="V58" i="142"/>
  <c r="M58" i="142" s="1"/>
  <c r="U58" i="142"/>
  <c r="O58" i="142"/>
  <c r="K58" i="142"/>
  <c r="G58" i="142"/>
  <c r="X57" i="142"/>
  <c r="W57" i="142"/>
  <c r="V57" i="142"/>
  <c r="M57" i="142" s="1"/>
  <c r="O57" i="142"/>
  <c r="K57" i="142"/>
  <c r="G57" i="142"/>
  <c r="AD56" i="142"/>
  <c r="J21" i="141" s="1"/>
  <c r="Z56" i="142"/>
  <c r="J19" i="141" s="1"/>
  <c r="Y56" i="142"/>
  <c r="O56" i="142"/>
  <c r="K56" i="142"/>
  <c r="V55" i="142"/>
  <c r="M55" i="142" s="1"/>
  <c r="U55" i="142"/>
  <c r="O55" i="142"/>
  <c r="K55" i="142"/>
  <c r="G55" i="142"/>
  <c r="V54" i="142"/>
  <c r="M54" i="142" s="1"/>
  <c r="U54" i="142"/>
  <c r="O54" i="142"/>
  <c r="K54" i="142"/>
  <c r="G54" i="142"/>
  <c r="V53" i="142"/>
  <c r="M53" i="142" s="1"/>
  <c r="U53" i="142"/>
  <c r="O53" i="142"/>
  <c r="K53" i="142"/>
  <c r="G53" i="142"/>
  <c r="V52" i="142"/>
  <c r="M52" i="142" s="1"/>
  <c r="U52" i="142"/>
  <c r="O52" i="142"/>
  <c r="K52" i="142"/>
  <c r="G52" i="142"/>
  <c r="V51" i="142"/>
  <c r="M51" i="142" s="1"/>
  <c r="O51" i="142"/>
  <c r="K51" i="142"/>
  <c r="G51" i="142"/>
  <c r="AD50" i="142"/>
  <c r="Z50" i="142"/>
  <c r="Y50" i="142"/>
  <c r="O50" i="142"/>
  <c r="K50" i="142"/>
  <c r="V49" i="142"/>
  <c r="U49" i="142"/>
  <c r="O49" i="142"/>
  <c r="M49" i="142"/>
  <c r="AF49" i="142" s="1"/>
  <c r="K49" i="142"/>
  <c r="G49" i="142"/>
  <c r="V48" i="142"/>
  <c r="U48" i="142"/>
  <c r="O48" i="142"/>
  <c r="M48" i="142"/>
  <c r="AF48" i="142" s="1"/>
  <c r="K48" i="142"/>
  <c r="G48" i="142"/>
  <c r="V47" i="142"/>
  <c r="U47" i="142"/>
  <c r="O47" i="142"/>
  <c r="M47" i="142"/>
  <c r="AE47" i="142" s="1"/>
  <c r="K47" i="142"/>
  <c r="G47" i="142"/>
  <c r="AF46" i="142"/>
  <c r="V46" i="142"/>
  <c r="U46" i="142"/>
  <c r="O46" i="142"/>
  <c r="M46" i="142"/>
  <c r="N46" i="142" s="1"/>
  <c r="K46" i="142"/>
  <c r="G46" i="142"/>
  <c r="AF45" i="142"/>
  <c r="AE45" i="142"/>
  <c r="V45" i="142"/>
  <c r="U45" i="142"/>
  <c r="O45" i="142"/>
  <c r="N45" i="142"/>
  <c r="Q45" i="142" s="1"/>
  <c r="M45" i="142"/>
  <c r="K45" i="142"/>
  <c r="G45" i="142"/>
  <c r="V44" i="142"/>
  <c r="M44" i="142" s="1"/>
  <c r="U44" i="142"/>
  <c r="O44" i="142"/>
  <c r="K44" i="142"/>
  <c r="G44" i="142"/>
  <c r="V43" i="142"/>
  <c r="M43" i="142" s="1"/>
  <c r="U43" i="142"/>
  <c r="O43" i="142"/>
  <c r="K43" i="142"/>
  <c r="G43" i="142"/>
  <c r="V42" i="142"/>
  <c r="M42" i="142" s="1"/>
  <c r="O42" i="142"/>
  <c r="K42" i="142"/>
  <c r="G42" i="142"/>
  <c r="AD41" i="142"/>
  <c r="AD2" i="142" s="1"/>
  <c r="N6" i="141" s="1"/>
  <c r="Z41" i="142"/>
  <c r="H19" i="141" s="1"/>
  <c r="Y41" i="142"/>
  <c r="H18" i="141" s="1"/>
  <c r="O41" i="142"/>
  <c r="K41" i="142"/>
  <c r="V40" i="142"/>
  <c r="M40" i="142" s="1"/>
  <c r="U40" i="142"/>
  <c r="O40" i="142"/>
  <c r="K40" i="142"/>
  <c r="G40" i="142"/>
  <c r="V39" i="142"/>
  <c r="M39" i="142" s="1"/>
  <c r="U39" i="142"/>
  <c r="O39" i="142"/>
  <c r="K39" i="142"/>
  <c r="G39" i="142"/>
  <c r="V38" i="142"/>
  <c r="M38" i="142" s="1"/>
  <c r="O38" i="142"/>
  <c r="K38" i="142"/>
  <c r="G38" i="142"/>
  <c r="AD37" i="142"/>
  <c r="Z37" i="142"/>
  <c r="Y37" i="142"/>
  <c r="O37" i="142"/>
  <c r="K37" i="142"/>
  <c r="V36" i="142"/>
  <c r="U36" i="142"/>
  <c r="O36" i="142"/>
  <c r="M36" i="142"/>
  <c r="AF36" i="142" s="1"/>
  <c r="K36" i="142"/>
  <c r="G36" i="142"/>
  <c r="V35" i="142"/>
  <c r="U35" i="142"/>
  <c r="O35" i="142"/>
  <c r="M35" i="142"/>
  <c r="AF35" i="142" s="1"/>
  <c r="K35" i="142"/>
  <c r="G35" i="142"/>
  <c r="V34" i="142"/>
  <c r="U34" i="142"/>
  <c r="O34" i="142"/>
  <c r="M34" i="142"/>
  <c r="AF34" i="142" s="1"/>
  <c r="K34" i="142"/>
  <c r="G34" i="142"/>
  <c r="V33" i="142"/>
  <c r="U33" i="142"/>
  <c r="O33" i="142"/>
  <c r="M33" i="142"/>
  <c r="AE33" i="142" s="1"/>
  <c r="K33" i="142"/>
  <c r="G33" i="142"/>
  <c r="X32" i="142"/>
  <c r="W32" i="142"/>
  <c r="V32" i="142"/>
  <c r="O32" i="142"/>
  <c r="M32" i="142"/>
  <c r="M37" i="142" s="1"/>
  <c r="K32" i="142"/>
  <c r="G32" i="142"/>
  <c r="AD31" i="142"/>
  <c r="Z31" i="142"/>
  <c r="K19" i="141" s="1"/>
  <c r="Y31" i="142"/>
  <c r="O31" i="142"/>
  <c r="K31" i="142"/>
  <c r="V30" i="142"/>
  <c r="U30" i="142"/>
  <c r="O30" i="142"/>
  <c r="M30" i="142"/>
  <c r="AE30" i="142" s="1"/>
  <c r="K30" i="142"/>
  <c r="G30" i="142"/>
  <c r="AF29" i="142"/>
  <c r="V29" i="142"/>
  <c r="U29" i="142"/>
  <c r="O29" i="142"/>
  <c r="M29" i="142"/>
  <c r="N29" i="142" s="1"/>
  <c r="K29" i="142"/>
  <c r="G29" i="142"/>
  <c r="AF28" i="142"/>
  <c r="AE28" i="142"/>
  <c r="V28" i="142"/>
  <c r="U28" i="142"/>
  <c r="O28" i="142"/>
  <c r="N28" i="142"/>
  <c r="Q28" i="142" s="1"/>
  <c r="M28" i="142"/>
  <c r="K28" i="142"/>
  <c r="G28" i="142"/>
  <c r="V27" i="142"/>
  <c r="M27" i="142" s="1"/>
  <c r="U27" i="142"/>
  <c r="O27" i="142"/>
  <c r="K27" i="142"/>
  <c r="G27" i="142"/>
  <c r="AF26" i="142"/>
  <c r="AE26" i="142"/>
  <c r="X26" i="142"/>
  <c r="W26" i="142"/>
  <c r="V26" i="142"/>
  <c r="O26" i="142"/>
  <c r="M26" i="142"/>
  <c r="N26" i="142" s="1"/>
  <c r="K26" i="142"/>
  <c r="G26" i="142"/>
  <c r="AD25" i="142"/>
  <c r="Z25" i="142"/>
  <c r="Y25" i="142"/>
  <c r="O25" i="142"/>
  <c r="K25" i="142"/>
  <c r="G13" i="141" s="1"/>
  <c r="V24" i="142"/>
  <c r="M24" i="142" s="1"/>
  <c r="U24" i="142"/>
  <c r="O24" i="142"/>
  <c r="K24" i="142"/>
  <c r="G24" i="142"/>
  <c r="V23" i="142"/>
  <c r="M23" i="142" s="1"/>
  <c r="U23" i="142"/>
  <c r="O23" i="142"/>
  <c r="K23" i="142"/>
  <c r="G23" i="142"/>
  <c r="V22" i="142"/>
  <c r="M22" i="142" s="1"/>
  <c r="U22" i="142"/>
  <c r="O22" i="142"/>
  <c r="K22" i="142"/>
  <c r="G22" i="142"/>
  <c r="V21" i="142"/>
  <c r="M21" i="142" s="1"/>
  <c r="U21" i="142"/>
  <c r="O21" i="142"/>
  <c r="K21" i="142"/>
  <c r="G21" i="142"/>
  <c r="V20" i="142"/>
  <c r="M20" i="142" s="1"/>
  <c r="U20" i="142"/>
  <c r="O20" i="142"/>
  <c r="K20" i="142"/>
  <c r="G20" i="142"/>
  <c r="V19" i="142"/>
  <c r="M19" i="142" s="1"/>
  <c r="O19" i="142"/>
  <c r="K19" i="142"/>
  <c r="G19" i="142"/>
  <c r="AD18" i="142"/>
  <c r="Z18" i="142"/>
  <c r="Y18" i="142"/>
  <c r="F18" i="141" s="1"/>
  <c r="O18" i="142"/>
  <c r="K18" i="142"/>
  <c r="V17" i="142"/>
  <c r="U17" i="142"/>
  <c r="O17" i="142"/>
  <c r="M17" i="142"/>
  <c r="AF17" i="142" s="1"/>
  <c r="K17" i="142"/>
  <c r="G17" i="142"/>
  <c r="V16" i="142"/>
  <c r="U16" i="142"/>
  <c r="O16" i="142"/>
  <c r="M16" i="142"/>
  <c r="AF16" i="142" s="1"/>
  <c r="K16" i="142"/>
  <c r="G16" i="142"/>
  <c r="V15" i="142"/>
  <c r="U15" i="142"/>
  <c r="O15" i="142"/>
  <c r="M15" i="142"/>
  <c r="AF15" i="142" s="1"/>
  <c r="K15" i="142"/>
  <c r="G15" i="142"/>
  <c r="V14" i="142"/>
  <c r="U14" i="142"/>
  <c r="O14" i="142"/>
  <c r="M14" i="142"/>
  <c r="AE14" i="142" s="1"/>
  <c r="K14" i="142"/>
  <c r="G14" i="142"/>
  <c r="AF13" i="142"/>
  <c r="V13" i="142"/>
  <c r="U13" i="142"/>
  <c r="O13" i="142"/>
  <c r="M13" i="142"/>
  <c r="N13" i="142" s="1"/>
  <c r="K13" i="142"/>
  <c r="G13" i="142"/>
  <c r="AF12" i="142"/>
  <c r="V12" i="142"/>
  <c r="O12" i="142"/>
  <c r="M12" i="142"/>
  <c r="M18" i="142" s="1"/>
  <c r="K12" i="142"/>
  <c r="G12" i="142"/>
  <c r="AD11" i="142"/>
  <c r="Z11" i="142"/>
  <c r="Y11" i="142"/>
  <c r="O11" i="142"/>
  <c r="K11" i="142"/>
  <c r="E13" i="141" s="1"/>
  <c r="V10" i="142"/>
  <c r="M10" i="142" s="1"/>
  <c r="U10" i="142"/>
  <c r="O10" i="142"/>
  <c r="K10" i="142"/>
  <c r="G10" i="142"/>
  <c r="AF9" i="142"/>
  <c r="AE9" i="142"/>
  <c r="X9" i="142"/>
  <c r="W9" i="142"/>
  <c r="V9" i="142"/>
  <c r="O9" i="142"/>
  <c r="M9" i="142"/>
  <c r="N9" i="142" s="1"/>
  <c r="K9" i="142"/>
  <c r="G9" i="142"/>
  <c r="AD8" i="142"/>
  <c r="Z8" i="142"/>
  <c r="Y8" i="142"/>
  <c r="O8" i="142"/>
  <c r="K8" i="142"/>
  <c r="D13" i="141" s="1"/>
  <c r="V7" i="142"/>
  <c r="M7" i="142" s="1"/>
  <c r="U7" i="142"/>
  <c r="O7" i="142"/>
  <c r="K7" i="142"/>
  <c r="G7" i="142"/>
  <c r="F1" i="142" s="1"/>
  <c r="V6" i="142"/>
  <c r="M6" i="142" s="1"/>
  <c r="U6" i="142"/>
  <c r="O6" i="142"/>
  <c r="K6" i="142"/>
  <c r="G6" i="142"/>
  <c r="V5" i="142"/>
  <c r="M5" i="142" s="1"/>
  <c r="O5" i="142"/>
  <c r="K5" i="142"/>
  <c r="G5" i="142"/>
  <c r="H2" i="142"/>
  <c r="H1" i="142"/>
  <c r="D1" i="142"/>
  <c r="M22" i="141"/>
  <c r="L22" i="141"/>
  <c r="K22" i="141"/>
  <c r="J22" i="141"/>
  <c r="I22" i="141"/>
  <c r="H22" i="141"/>
  <c r="G22" i="141"/>
  <c r="F22" i="141"/>
  <c r="E22" i="141"/>
  <c r="D22" i="141"/>
  <c r="M21" i="141"/>
  <c r="L21" i="141"/>
  <c r="K21" i="141"/>
  <c r="I21" i="141"/>
  <c r="G21" i="141"/>
  <c r="F21" i="141"/>
  <c r="E21" i="141"/>
  <c r="D21" i="141"/>
  <c r="M20" i="141"/>
  <c r="L20" i="141"/>
  <c r="K20" i="141"/>
  <c r="J20" i="141"/>
  <c r="I20" i="141"/>
  <c r="H20" i="141"/>
  <c r="G20" i="141"/>
  <c r="F20" i="141"/>
  <c r="E20" i="141"/>
  <c r="D20" i="141"/>
  <c r="M19" i="141"/>
  <c r="L19" i="141"/>
  <c r="I19" i="141"/>
  <c r="G19" i="141"/>
  <c r="F19" i="141"/>
  <c r="E19" i="141"/>
  <c r="D19" i="141"/>
  <c r="M18" i="141"/>
  <c r="L18" i="141"/>
  <c r="K18" i="141"/>
  <c r="J18" i="141"/>
  <c r="I18" i="141"/>
  <c r="G18" i="141"/>
  <c r="E18" i="141"/>
  <c r="D18" i="141"/>
  <c r="M17" i="141"/>
  <c r="L17" i="141"/>
  <c r="K17" i="141"/>
  <c r="J17" i="141"/>
  <c r="I17" i="141"/>
  <c r="H17" i="141"/>
  <c r="G17" i="141"/>
  <c r="F17" i="141"/>
  <c r="E17" i="141"/>
  <c r="D17" i="141"/>
  <c r="M16" i="141"/>
  <c r="L16" i="141"/>
  <c r="K16" i="141"/>
  <c r="J16" i="141"/>
  <c r="I16" i="141"/>
  <c r="H16" i="141"/>
  <c r="G16" i="141"/>
  <c r="F16" i="141"/>
  <c r="E16" i="141"/>
  <c r="D16" i="141"/>
  <c r="M13" i="141"/>
  <c r="L13" i="141"/>
  <c r="K13" i="141"/>
  <c r="I6" i="141" s="1"/>
  <c r="J13" i="141"/>
  <c r="I13" i="141"/>
  <c r="H13" i="141"/>
  <c r="F13" i="141"/>
  <c r="M6" i="141"/>
  <c r="F3" i="141"/>
  <c r="C3" i="141"/>
  <c r="G7" i="147" l="1"/>
  <c r="F15" i="147"/>
  <c r="E7" i="147"/>
  <c r="I8" i="147"/>
  <c r="I7" i="147"/>
  <c r="P64" i="146"/>
  <c r="Q64" i="146"/>
  <c r="R57" i="146" s="1"/>
  <c r="M14" i="145"/>
  <c r="M15" i="145" s="1"/>
  <c r="D15" i="145"/>
  <c r="K15" i="145"/>
  <c r="Q11" i="146"/>
  <c r="R9" i="146" s="1"/>
  <c r="P11" i="146"/>
  <c r="E14" i="145"/>
  <c r="E15" i="145" s="1"/>
  <c r="Q37" i="146"/>
  <c r="R32" i="146" s="1"/>
  <c r="L14" i="145"/>
  <c r="L15" i="145" s="1"/>
  <c r="P37" i="146"/>
  <c r="Q18" i="146"/>
  <c r="R12" i="146" s="1"/>
  <c r="P18" i="146"/>
  <c r="F14" i="145"/>
  <c r="F15" i="145" s="1"/>
  <c r="Q28" i="144"/>
  <c r="P28" i="144"/>
  <c r="P23" i="144"/>
  <c r="Q23" i="144"/>
  <c r="Q27" i="144"/>
  <c r="P27" i="144"/>
  <c r="Q57" i="144"/>
  <c r="P57" i="144"/>
  <c r="Q39" i="144"/>
  <c r="P39" i="144"/>
  <c r="P59" i="144"/>
  <c r="Q59" i="144"/>
  <c r="AF31" i="144"/>
  <c r="AG26" i="144" s="1"/>
  <c r="AE31" i="144"/>
  <c r="N31" i="144"/>
  <c r="P40" i="144"/>
  <c r="Q40" i="144"/>
  <c r="Q36" i="144"/>
  <c r="P36" i="144"/>
  <c r="Q55" i="144"/>
  <c r="P55" i="144"/>
  <c r="Q20" i="144"/>
  <c r="P20" i="144"/>
  <c r="P54" i="144"/>
  <c r="Q54" i="144"/>
  <c r="Q19" i="144"/>
  <c r="P19" i="144"/>
  <c r="Q22" i="144"/>
  <c r="P22" i="144"/>
  <c r="P21" i="144"/>
  <c r="Q21" i="144"/>
  <c r="Q52" i="144"/>
  <c r="P52" i="144"/>
  <c r="Q10" i="144"/>
  <c r="P10" i="144"/>
  <c r="Q17" i="144"/>
  <c r="P17" i="144"/>
  <c r="Q7" i="144"/>
  <c r="P7" i="144"/>
  <c r="Q37" i="144"/>
  <c r="R32" i="144" s="1"/>
  <c r="P37" i="144"/>
  <c r="L14" i="143"/>
  <c r="L15" i="143" s="1"/>
  <c r="N41" i="144"/>
  <c r="AF41" i="144"/>
  <c r="AG38" i="144" s="1"/>
  <c r="AE41" i="144"/>
  <c r="Q30" i="144"/>
  <c r="P30" i="144"/>
  <c r="Q63" i="144"/>
  <c r="P63" i="144"/>
  <c r="P43" i="144"/>
  <c r="Q43" i="144"/>
  <c r="AF50" i="144"/>
  <c r="AG42" i="144" s="1"/>
  <c r="AE50" i="144"/>
  <c r="N50" i="144"/>
  <c r="N56" i="144"/>
  <c r="AF56" i="144"/>
  <c r="AG51" i="144" s="1"/>
  <c r="AE56" i="144"/>
  <c r="Q53" i="144"/>
  <c r="P53" i="144"/>
  <c r="F14" i="143"/>
  <c r="F15" i="143" s="1"/>
  <c r="Q18" i="144"/>
  <c r="R12" i="144" s="1"/>
  <c r="P18" i="144"/>
  <c r="AE25" i="144"/>
  <c r="N25" i="144"/>
  <c r="AF25" i="144"/>
  <c r="AG19" i="144" s="1"/>
  <c r="AE11" i="144"/>
  <c r="N11" i="144"/>
  <c r="AF11" i="144"/>
  <c r="AG9" i="144" s="1"/>
  <c r="P42" i="144"/>
  <c r="Q42" i="144"/>
  <c r="Q24" i="144"/>
  <c r="P24" i="144"/>
  <c r="Q45" i="144"/>
  <c r="P45" i="144"/>
  <c r="Q44" i="144"/>
  <c r="P44" i="144"/>
  <c r="Q47" i="144"/>
  <c r="P47" i="144"/>
  <c r="Q58" i="144"/>
  <c r="P58" i="144"/>
  <c r="Q60" i="144"/>
  <c r="P60" i="144"/>
  <c r="Q38" i="144"/>
  <c r="P38" i="144"/>
  <c r="Q9" i="144"/>
  <c r="P9" i="144"/>
  <c r="P6" i="144"/>
  <c r="Q6" i="144"/>
  <c r="AE8" i="144"/>
  <c r="N8" i="144"/>
  <c r="AF8" i="144"/>
  <c r="AG5" i="144" s="1"/>
  <c r="Q33" i="144"/>
  <c r="P33" i="144"/>
  <c r="AF64" i="144"/>
  <c r="AG57" i="144" s="1"/>
  <c r="AE64" i="144"/>
  <c r="N64" i="144"/>
  <c r="Q61" i="144"/>
  <c r="P61" i="144"/>
  <c r="Q51" i="144"/>
  <c r="P51" i="144"/>
  <c r="Q14" i="144"/>
  <c r="P14" i="144"/>
  <c r="P5" i="144"/>
  <c r="Q5" i="144"/>
  <c r="N54" i="142"/>
  <c r="AF54" i="142"/>
  <c r="AE54" i="142"/>
  <c r="AF18" i="142"/>
  <c r="AG12" i="142" s="1"/>
  <c r="AE18" i="142"/>
  <c r="N18" i="142"/>
  <c r="AF20" i="142"/>
  <c r="AE20" i="142"/>
  <c r="N20" i="142"/>
  <c r="N23" i="142"/>
  <c r="AF23" i="142"/>
  <c r="AE23" i="142"/>
  <c r="Q29" i="142"/>
  <c r="P29" i="142"/>
  <c r="N44" i="142"/>
  <c r="AF44" i="142"/>
  <c r="AE44" i="142"/>
  <c r="AF52" i="142"/>
  <c r="AE52" i="142"/>
  <c r="N52" i="142"/>
  <c r="N10" i="142"/>
  <c r="AF10" i="142"/>
  <c r="AE10" i="142"/>
  <c r="Q26" i="142"/>
  <c r="P26" i="142"/>
  <c r="N27" i="142"/>
  <c r="AF27" i="142"/>
  <c r="M31" i="142"/>
  <c r="AE27" i="142"/>
  <c r="AF39" i="142"/>
  <c r="AE39" i="142"/>
  <c r="N39" i="142"/>
  <c r="Q46" i="142"/>
  <c r="P46" i="142"/>
  <c r="N57" i="142"/>
  <c r="AE57" i="142"/>
  <c r="AF57" i="142"/>
  <c r="M64" i="142"/>
  <c r="N59" i="142"/>
  <c r="AF59" i="142"/>
  <c r="AE59" i="142"/>
  <c r="N6" i="142"/>
  <c r="AF6" i="142"/>
  <c r="AE6" i="142"/>
  <c r="F2" i="142"/>
  <c r="I3" i="141"/>
  <c r="Q9" i="142"/>
  <c r="P9" i="142"/>
  <c r="F6" i="141"/>
  <c r="G6" i="141"/>
  <c r="E6" i="141"/>
  <c r="N21" i="142"/>
  <c r="AF21" i="142"/>
  <c r="AE21" i="142"/>
  <c r="N42" i="142"/>
  <c r="AF42" i="142"/>
  <c r="AE42" i="142"/>
  <c r="M50" i="142"/>
  <c r="AF19" i="142"/>
  <c r="AE19" i="142"/>
  <c r="M25" i="142"/>
  <c r="N19" i="142"/>
  <c r="N7" i="142"/>
  <c r="AF7" i="142"/>
  <c r="AE7" i="142"/>
  <c r="N5" i="142"/>
  <c r="AF5" i="142"/>
  <c r="AE5" i="142"/>
  <c r="M8" i="142"/>
  <c r="Q13" i="142"/>
  <c r="P13" i="142"/>
  <c r="N55" i="142"/>
  <c r="AE55" i="142"/>
  <c r="AF55" i="142"/>
  <c r="N24" i="142"/>
  <c r="AF24" i="142"/>
  <c r="AE24" i="142"/>
  <c r="N40" i="142"/>
  <c r="AF40" i="142"/>
  <c r="AE40" i="142"/>
  <c r="AF53" i="142"/>
  <c r="AE53" i="142"/>
  <c r="N53" i="142"/>
  <c r="N60" i="142"/>
  <c r="AF60" i="142"/>
  <c r="AE60" i="142"/>
  <c r="Q62" i="142"/>
  <c r="P62" i="142"/>
  <c r="AF37" i="142"/>
  <c r="AG32" i="142" s="1"/>
  <c r="AE37" i="142"/>
  <c r="N37" i="142"/>
  <c r="N22" i="142"/>
  <c r="AE22" i="142"/>
  <c r="AF22" i="142"/>
  <c r="M41" i="142"/>
  <c r="AF38" i="142"/>
  <c r="AE38" i="142"/>
  <c r="N38" i="142"/>
  <c r="N43" i="142"/>
  <c r="AF43" i="142"/>
  <c r="AE43" i="142"/>
  <c r="AF51" i="142"/>
  <c r="M56" i="142"/>
  <c r="AE51" i="142"/>
  <c r="N51" i="142"/>
  <c r="N58" i="142"/>
  <c r="AE58" i="142"/>
  <c r="AF58" i="142"/>
  <c r="AE12" i="142"/>
  <c r="AE13" i="142"/>
  <c r="AF14" i="142"/>
  <c r="AE29" i="142"/>
  <c r="AF30" i="142"/>
  <c r="AF32" i="142"/>
  <c r="AF33" i="142"/>
  <c r="AE46" i="142"/>
  <c r="AF47" i="142"/>
  <c r="AE62" i="142"/>
  <c r="AF63" i="142"/>
  <c r="N17" i="142"/>
  <c r="N36" i="142"/>
  <c r="H21" i="141"/>
  <c r="M11" i="142"/>
  <c r="N14" i="142"/>
  <c r="N30" i="142"/>
  <c r="N33" i="142"/>
  <c r="N47" i="142"/>
  <c r="N63" i="142"/>
  <c r="N12" i="142"/>
  <c r="Y2" i="142"/>
  <c r="K6" i="141" s="1"/>
  <c r="N16" i="142"/>
  <c r="N32" i="142"/>
  <c r="N35" i="142"/>
  <c r="N49" i="142"/>
  <c r="Z2" i="142"/>
  <c r="L6" i="141" s="1"/>
  <c r="N15" i="142"/>
  <c r="N34" i="142"/>
  <c r="N48" i="142"/>
  <c r="AE17" i="142"/>
  <c r="AE36" i="142"/>
  <c r="AE16" i="142"/>
  <c r="P28" i="142"/>
  <c r="AE35" i="142"/>
  <c r="P45" i="142"/>
  <c r="AE49" i="142"/>
  <c r="P61" i="142"/>
  <c r="AE15" i="142"/>
  <c r="AE34" i="142"/>
  <c r="AE48" i="142"/>
  <c r="AE32" i="142"/>
  <c r="AD72" i="140"/>
  <c r="Z72" i="140"/>
  <c r="Y72" i="140"/>
  <c r="O72" i="140"/>
  <c r="K72" i="140"/>
  <c r="V71" i="140"/>
  <c r="U71" i="140"/>
  <c r="O71" i="140"/>
  <c r="M71" i="140"/>
  <c r="K71" i="140"/>
  <c r="G71" i="140"/>
  <c r="AE70" i="140"/>
  <c r="V70" i="140"/>
  <c r="U70" i="140"/>
  <c r="O70" i="140"/>
  <c r="M70" i="140"/>
  <c r="AF70" i="140" s="1"/>
  <c r="K70" i="140"/>
  <c r="G70" i="140"/>
  <c r="X69" i="140"/>
  <c r="W69" i="140"/>
  <c r="V69" i="140"/>
  <c r="U69" i="140"/>
  <c r="O69" i="140"/>
  <c r="M69" i="140"/>
  <c r="N69" i="140" s="1"/>
  <c r="P69" i="140" s="1"/>
  <c r="K69" i="140"/>
  <c r="G69" i="140"/>
  <c r="V68" i="140"/>
  <c r="M68" i="140" s="1"/>
  <c r="U68" i="140"/>
  <c r="O68" i="140"/>
  <c r="K68" i="140"/>
  <c r="G68" i="140"/>
  <c r="V67" i="140"/>
  <c r="M67" i="140" s="1"/>
  <c r="N67" i="140" s="1"/>
  <c r="U67" i="140"/>
  <c r="O67" i="140"/>
  <c r="K67" i="140"/>
  <c r="G67" i="140"/>
  <c r="V66" i="140"/>
  <c r="M66" i="140" s="1"/>
  <c r="U66" i="140"/>
  <c r="O66" i="140"/>
  <c r="K66" i="140"/>
  <c r="G66" i="140"/>
  <c r="AF65" i="140"/>
  <c r="V65" i="140"/>
  <c r="U65" i="140"/>
  <c r="O65" i="140"/>
  <c r="M65" i="140"/>
  <c r="AE65" i="140" s="1"/>
  <c r="K65" i="140"/>
  <c r="G65" i="140"/>
  <c r="V64" i="140"/>
  <c r="M64" i="140" s="1"/>
  <c r="U64" i="140"/>
  <c r="O64" i="140"/>
  <c r="K64" i="140"/>
  <c r="G64" i="140"/>
  <c r="X63" i="140"/>
  <c r="W63" i="140"/>
  <c r="V63" i="140"/>
  <c r="O63" i="140"/>
  <c r="M63" i="140"/>
  <c r="AF63" i="140" s="1"/>
  <c r="K63" i="140"/>
  <c r="G63" i="140"/>
  <c r="AD62" i="140"/>
  <c r="Z62" i="140"/>
  <c r="Y62" i="140"/>
  <c r="J18" i="139" s="1"/>
  <c r="O62" i="140"/>
  <c r="K62" i="140"/>
  <c r="V61" i="140"/>
  <c r="U61" i="140"/>
  <c r="O61" i="140"/>
  <c r="M61" i="140"/>
  <c r="K61" i="140"/>
  <c r="G61" i="140"/>
  <c r="V60" i="140"/>
  <c r="M60" i="140" s="1"/>
  <c r="N60" i="140" s="1"/>
  <c r="U60" i="140"/>
  <c r="O60" i="140"/>
  <c r="K60" i="140"/>
  <c r="G60" i="140"/>
  <c r="V59" i="140"/>
  <c r="M59" i="140" s="1"/>
  <c r="U59" i="140"/>
  <c r="O59" i="140"/>
  <c r="K59" i="140"/>
  <c r="G59" i="140"/>
  <c r="AF58" i="140"/>
  <c r="V58" i="140"/>
  <c r="U58" i="140"/>
  <c r="O58" i="140"/>
  <c r="M58" i="140"/>
  <c r="AE58" i="140" s="1"/>
  <c r="K58" i="140"/>
  <c r="G58" i="140"/>
  <c r="V57" i="140"/>
  <c r="M57" i="140" s="1"/>
  <c r="O57" i="140"/>
  <c r="K57" i="140"/>
  <c r="G57" i="140"/>
  <c r="AD56" i="140"/>
  <c r="Z56" i="140"/>
  <c r="Y56" i="140"/>
  <c r="O56" i="140"/>
  <c r="K56" i="140"/>
  <c r="AF55" i="140"/>
  <c r="AE55" i="140"/>
  <c r="V55" i="140"/>
  <c r="M55" i="140" s="1"/>
  <c r="N55" i="140" s="1"/>
  <c r="Q55" i="140" s="1"/>
  <c r="U55" i="140"/>
  <c r="P55" i="140"/>
  <c r="O55" i="140"/>
  <c r="K55" i="140"/>
  <c r="G55" i="140"/>
  <c r="V54" i="140"/>
  <c r="U54" i="140"/>
  <c r="O54" i="140"/>
  <c r="M54" i="140"/>
  <c r="K54" i="140"/>
  <c r="G54" i="140"/>
  <c r="V53" i="140"/>
  <c r="M53" i="140" s="1"/>
  <c r="U53" i="140"/>
  <c r="O53" i="140"/>
  <c r="K53" i="140"/>
  <c r="G53" i="140"/>
  <c r="V52" i="140"/>
  <c r="M52" i="140" s="1"/>
  <c r="U52" i="140"/>
  <c r="O52" i="140"/>
  <c r="K52" i="140"/>
  <c r="G52" i="140"/>
  <c r="AF51" i="140"/>
  <c r="AE51" i="140"/>
  <c r="V51" i="140"/>
  <c r="M51" i="140" s="1"/>
  <c r="N51" i="140" s="1"/>
  <c r="U51" i="140"/>
  <c r="O51" i="140"/>
  <c r="K51" i="140"/>
  <c r="G51" i="140"/>
  <c r="V50" i="140"/>
  <c r="U50" i="140"/>
  <c r="O50" i="140"/>
  <c r="N50" i="140"/>
  <c r="P50" i="140" s="1"/>
  <c r="M50" i="140"/>
  <c r="AF50" i="140" s="1"/>
  <c r="K50" i="140"/>
  <c r="G50" i="140"/>
  <c r="AF49" i="140"/>
  <c r="V49" i="140"/>
  <c r="U49" i="140"/>
  <c r="O49" i="140"/>
  <c r="M49" i="140"/>
  <c r="AE49" i="140" s="1"/>
  <c r="K49" i="140"/>
  <c r="G49" i="140"/>
  <c r="V48" i="140"/>
  <c r="O48" i="140"/>
  <c r="N48" i="140"/>
  <c r="P48" i="140" s="1"/>
  <c r="M48" i="140"/>
  <c r="AF48" i="140" s="1"/>
  <c r="K48" i="140"/>
  <c r="G48" i="140"/>
  <c r="AE47" i="140"/>
  <c r="AD47" i="140"/>
  <c r="Z47" i="140"/>
  <c r="Y47" i="140"/>
  <c r="O47" i="140"/>
  <c r="M47" i="140"/>
  <c r="AF47" i="140" s="1"/>
  <c r="K47" i="140"/>
  <c r="AF46" i="140"/>
  <c r="V46" i="140"/>
  <c r="M46" i="140" s="1"/>
  <c r="N46" i="140" s="1"/>
  <c r="P46" i="140" s="1"/>
  <c r="U46" i="140"/>
  <c r="Q46" i="140"/>
  <c r="O46" i="140"/>
  <c r="K46" i="140"/>
  <c r="G46" i="140"/>
  <c r="V45" i="140"/>
  <c r="U45" i="140"/>
  <c r="O45" i="140"/>
  <c r="N45" i="140"/>
  <c r="M45" i="140"/>
  <c r="K45" i="140"/>
  <c r="G45" i="140"/>
  <c r="AG44" i="140"/>
  <c r="AF44" i="140"/>
  <c r="AE44" i="140"/>
  <c r="V44" i="140"/>
  <c r="M44" i="140" s="1"/>
  <c r="O44" i="140"/>
  <c r="N44" i="140"/>
  <c r="K44" i="140"/>
  <c r="G44" i="140"/>
  <c r="AD43" i="140"/>
  <c r="Z43" i="140"/>
  <c r="L19" i="139" s="1"/>
  <c r="Y43" i="140"/>
  <c r="L18" i="139" s="1"/>
  <c r="O43" i="140"/>
  <c r="K43" i="140"/>
  <c r="AF42" i="140"/>
  <c r="AE42" i="140"/>
  <c r="V42" i="140"/>
  <c r="U42" i="140"/>
  <c r="O42" i="140"/>
  <c r="M42" i="140"/>
  <c r="N42" i="140" s="1"/>
  <c r="Q42" i="140" s="1"/>
  <c r="K42" i="140"/>
  <c r="G42" i="140"/>
  <c r="V41" i="140"/>
  <c r="U41" i="140"/>
  <c r="O41" i="140"/>
  <c r="M41" i="140"/>
  <c r="K41" i="140"/>
  <c r="G41" i="140"/>
  <c r="X40" i="140"/>
  <c r="W40" i="140"/>
  <c r="V40" i="140"/>
  <c r="U40" i="140"/>
  <c r="O40" i="140"/>
  <c r="N40" i="140"/>
  <c r="M40" i="140"/>
  <c r="K40" i="140"/>
  <c r="G40" i="140"/>
  <c r="AF39" i="140"/>
  <c r="AE39" i="140"/>
  <c r="V39" i="140"/>
  <c r="M39" i="140" s="1"/>
  <c r="N39" i="140" s="1"/>
  <c r="U39" i="140"/>
  <c r="Q39" i="140"/>
  <c r="P39" i="140"/>
  <c r="O39" i="140"/>
  <c r="K39" i="140"/>
  <c r="G39" i="140"/>
  <c r="V38" i="140"/>
  <c r="U38" i="140"/>
  <c r="Q38" i="140"/>
  <c r="P38" i="140"/>
  <c r="O38" i="140"/>
  <c r="N38" i="140"/>
  <c r="M38" i="140"/>
  <c r="K38" i="140"/>
  <c r="G38" i="140"/>
  <c r="V37" i="140"/>
  <c r="M37" i="140" s="1"/>
  <c r="U37" i="140"/>
  <c r="O37" i="140"/>
  <c r="K37" i="140"/>
  <c r="G37" i="140"/>
  <c r="X36" i="140"/>
  <c r="W36" i="140"/>
  <c r="V36" i="140"/>
  <c r="M36" i="140" s="1"/>
  <c r="O36" i="140"/>
  <c r="K36" i="140"/>
  <c r="G36" i="140"/>
  <c r="AD35" i="140"/>
  <c r="Z35" i="140"/>
  <c r="Y35" i="140"/>
  <c r="O35" i="140"/>
  <c r="K35" i="140"/>
  <c r="K13" i="139" s="1"/>
  <c r="I6" i="139" s="1"/>
  <c r="V34" i="140"/>
  <c r="M34" i="140" s="1"/>
  <c r="U34" i="140"/>
  <c r="O34" i="140"/>
  <c r="K34" i="140"/>
  <c r="G34" i="140"/>
  <c r="V33" i="140"/>
  <c r="U33" i="140"/>
  <c r="O33" i="140"/>
  <c r="N33" i="140"/>
  <c r="M33" i="140"/>
  <c r="AF33" i="140" s="1"/>
  <c r="K33" i="140"/>
  <c r="G33" i="140"/>
  <c r="X32" i="140"/>
  <c r="W32" i="140"/>
  <c r="V32" i="140"/>
  <c r="M32" i="140" s="1"/>
  <c r="U32" i="140"/>
  <c r="O32" i="140"/>
  <c r="K32" i="140"/>
  <c r="G32" i="140"/>
  <c r="V31" i="140"/>
  <c r="U31" i="140"/>
  <c r="O31" i="140"/>
  <c r="N31" i="140"/>
  <c r="P31" i="140" s="1"/>
  <c r="M31" i="140"/>
  <c r="K31" i="140"/>
  <c r="G31" i="140"/>
  <c r="V30" i="140"/>
  <c r="M30" i="140" s="1"/>
  <c r="N30" i="140" s="1"/>
  <c r="U30" i="140"/>
  <c r="O30" i="140"/>
  <c r="K30" i="140"/>
  <c r="G30" i="140"/>
  <c r="V29" i="140"/>
  <c r="U29" i="140"/>
  <c r="O29" i="140"/>
  <c r="M29" i="140"/>
  <c r="AE29" i="140" s="1"/>
  <c r="K29" i="140"/>
  <c r="G29" i="140"/>
  <c r="X28" i="140"/>
  <c r="W28" i="140"/>
  <c r="V28" i="140"/>
  <c r="O28" i="140"/>
  <c r="N28" i="140"/>
  <c r="M28" i="140"/>
  <c r="K28" i="140"/>
  <c r="G28" i="140"/>
  <c r="AD27" i="140"/>
  <c r="Z27" i="140"/>
  <c r="Y27" i="140"/>
  <c r="O27" i="140"/>
  <c r="K27" i="140"/>
  <c r="G13" i="139" s="1"/>
  <c r="V26" i="140"/>
  <c r="U26" i="140"/>
  <c r="O26" i="140"/>
  <c r="M26" i="140"/>
  <c r="K26" i="140"/>
  <c r="G26" i="140"/>
  <c r="AF25" i="140"/>
  <c r="AE25" i="140"/>
  <c r="X25" i="140"/>
  <c r="W25" i="140"/>
  <c r="V25" i="140"/>
  <c r="M25" i="140" s="1"/>
  <c r="N25" i="140" s="1"/>
  <c r="U25" i="140"/>
  <c r="O25" i="140"/>
  <c r="K25" i="140"/>
  <c r="G25" i="140"/>
  <c r="V24" i="140"/>
  <c r="M24" i="140" s="1"/>
  <c r="U24" i="140"/>
  <c r="O24" i="140"/>
  <c r="K24" i="140"/>
  <c r="G24" i="140"/>
  <c r="AF23" i="140"/>
  <c r="V23" i="140"/>
  <c r="U23" i="140"/>
  <c r="O23" i="140"/>
  <c r="M23" i="140"/>
  <c r="AE23" i="140" s="1"/>
  <c r="K23" i="140"/>
  <c r="G23" i="140"/>
  <c r="V22" i="140"/>
  <c r="M22" i="140" s="1"/>
  <c r="U22" i="140"/>
  <c r="O22" i="140"/>
  <c r="K22" i="140"/>
  <c r="G22" i="140"/>
  <c r="V21" i="140"/>
  <c r="M21" i="140" s="1"/>
  <c r="U21" i="140"/>
  <c r="O21" i="140"/>
  <c r="K21" i="140"/>
  <c r="G21" i="140"/>
  <c r="AE20" i="140"/>
  <c r="V20" i="140"/>
  <c r="M20" i="140" s="1"/>
  <c r="O20" i="140"/>
  <c r="K20" i="140"/>
  <c r="G20" i="140"/>
  <c r="AD19" i="140"/>
  <c r="F21" i="139" s="1"/>
  <c r="Z19" i="140"/>
  <c r="F19" i="139" s="1"/>
  <c r="Y19" i="140"/>
  <c r="F18" i="139" s="1"/>
  <c r="O19" i="140"/>
  <c r="K19" i="140"/>
  <c r="V18" i="140"/>
  <c r="U18" i="140"/>
  <c r="O18" i="140"/>
  <c r="M18" i="140"/>
  <c r="N18" i="140" s="1"/>
  <c r="P18" i="140" s="1"/>
  <c r="K18" i="140"/>
  <c r="G18" i="140"/>
  <c r="V17" i="140"/>
  <c r="M17" i="140" s="1"/>
  <c r="U17" i="140"/>
  <c r="O17" i="140"/>
  <c r="K17" i="140"/>
  <c r="G17" i="140"/>
  <c r="AF16" i="140"/>
  <c r="AE16" i="140"/>
  <c r="V16" i="140"/>
  <c r="M16" i="140" s="1"/>
  <c r="N16" i="140" s="1"/>
  <c r="U16" i="140"/>
  <c r="O16" i="140"/>
  <c r="K16" i="140"/>
  <c r="G16" i="140"/>
  <c r="V15" i="140"/>
  <c r="U15" i="140"/>
  <c r="O15" i="140"/>
  <c r="M15" i="140"/>
  <c r="K15" i="140"/>
  <c r="G15" i="140"/>
  <c r="AF14" i="140"/>
  <c r="V14" i="140"/>
  <c r="U14" i="140"/>
  <c r="O14" i="140"/>
  <c r="M14" i="140"/>
  <c r="AE14" i="140" s="1"/>
  <c r="K14" i="140"/>
  <c r="G14" i="140"/>
  <c r="V13" i="140"/>
  <c r="M13" i="140" s="1"/>
  <c r="U13" i="140"/>
  <c r="O13" i="140"/>
  <c r="K13" i="140"/>
  <c r="G13" i="140"/>
  <c r="AE12" i="140"/>
  <c r="V12" i="140"/>
  <c r="O12" i="140"/>
  <c r="M12" i="140"/>
  <c r="AF12" i="140" s="1"/>
  <c r="K12" i="140"/>
  <c r="G12" i="140"/>
  <c r="AD11" i="140"/>
  <c r="E21" i="139" s="1"/>
  <c r="Z11" i="140"/>
  <c r="E19" i="139" s="1"/>
  <c r="Y11" i="140"/>
  <c r="O11" i="140"/>
  <c r="K11" i="140"/>
  <c r="V10" i="140"/>
  <c r="U10" i="140"/>
  <c r="O10" i="140"/>
  <c r="M10" i="140"/>
  <c r="K10" i="140"/>
  <c r="G10" i="140"/>
  <c r="AF9" i="140"/>
  <c r="AE9" i="140"/>
  <c r="X9" i="140"/>
  <c r="W9" i="140"/>
  <c r="V9" i="140"/>
  <c r="O9" i="140"/>
  <c r="M9" i="140"/>
  <c r="K9" i="140"/>
  <c r="G9" i="140"/>
  <c r="AD8" i="140"/>
  <c r="Z8" i="140"/>
  <c r="D19" i="139" s="1"/>
  <c r="Y8" i="140"/>
  <c r="O8" i="140"/>
  <c r="K8" i="140"/>
  <c r="V7" i="140"/>
  <c r="U7" i="140"/>
  <c r="O7" i="140"/>
  <c r="M7" i="140"/>
  <c r="K7" i="140"/>
  <c r="G7" i="140"/>
  <c r="V6" i="140"/>
  <c r="M6" i="140" s="1"/>
  <c r="U6" i="140"/>
  <c r="O6" i="140"/>
  <c r="K6" i="140"/>
  <c r="G6" i="140"/>
  <c r="V5" i="140"/>
  <c r="O5" i="140"/>
  <c r="M5" i="140"/>
  <c r="AE5" i="140" s="1"/>
  <c r="K5" i="140"/>
  <c r="G5" i="140"/>
  <c r="H2" i="140"/>
  <c r="H1" i="140"/>
  <c r="D1" i="140"/>
  <c r="M22" i="139"/>
  <c r="L22" i="139"/>
  <c r="K22" i="139"/>
  <c r="J22" i="139"/>
  <c r="I22" i="139"/>
  <c r="H22" i="139"/>
  <c r="G22" i="139"/>
  <c r="F22" i="139"/>
  <c r="E22" i="139"/>
  <c r="D22" i="139"/>
  <c r="M21" i="139"/>
  <c r="L21" i="139"/>
  <c r="K21" i="139"/>
  <c r="J21" i="139"/>
  <c r="I21" i="139"/>
  <c r="H21" i="139"/>
  <c r="G21" i="139"/>
  <c r="M20" i="139"/>
  <c r="L20" i="139"/>
  <c r="K20" i="139"/>
  <c r="J20" i="139"/>
  <c r="I20" i="139"/>
  <c r="H20" i="139"/>
  <c r="G20" i="139"/>
  <c r="F20" i="139"/>
  <c r="E20" i="139"/>
  <c r="D20" i="139"/>
  <c r="M19" i="139"/>
  <c r="K19" i="139"/>
  <c r="J19" i="139"/>
  <c r="I19" i="139"/>
  <c r="H19" i="139"/>
  <c r="G19" i="139"/>
  <c r="M18" i="139"/>
  <c r="K18" i="139"/>
  <c r="I18" i="139"/>
  <c r="H18" i="139"/>
  <c r="G18" i="139"/>
  <c r="D18" i="139"/>
  <c r="M17" i="139"/>
  <c r="L17" i="139"/>
  <c r="K17" i="139"/>
  <c r="J17" i="139"/>
  <c r="I17" i="139"/>
  <c r="H17" i="139"/>
  <c r="G17" i="139"/>
  <c r="F17" i="139"/>
  <c r="E17" i="139"/>
  <c r="D17" i="139"/>
  <c r="M16" i="139"/>
  <c r="L16" i="139"/>
  <c r="K16" i="139"/>
  <c r="J16" i="139"/>
  <c r="I16" i="139"/>
  <c r="H16" i="139"/>
  <c r="G16" i="139"/>
  <c r="F16" i="139"/>
  <c r="E16" i="139"/>
  <c r="D16" i="139"/>
  <c r="M13" i="139"/>
  <c r="L13" i="139"/>
  <c r="J13" i="139"/>
  <c r="I13" i="139"/>
  <c r="H13" i="139"/>
  <c r="F13" i="139"/>
  <c r="E13" i="139"/>
  <c r="D13" i="139"/>
  <c r="E6" i="139" s="1"/>
  <c r="M6" i="139"/>
  <c r="F3" i="139"/>
  <c r="C3" i="139"/>
  <c r="E8" i="147" l="1"/>
  <c r="G8" i="147"/>
  <c r="F8" i="147"/>
  <c r="I8" i="145"/>
  <c r="I7" i="145"/>
  <c r="F7" i="145"/>
  <c r="E7" i="145"/>
  <c r="G7" i="145"/>
  <c r="E8" i="145"/>
  <c r="G8" i="145"/>
  <c r="F8" i="145"/>
  <c r="Q64" i="144"/>
  <c r="R57" i="144" s="1"/>
  <c r="P64" i="144"/>
  <c r="M14" i="143"/>
  <c r="M15" i="143" s="1"/>
  <c r="Q11" i="144"/>
  <c r="R9" i="144" s="1"/>
  <c r="P11" i="144"/>
  <c r="E14" i="143"/>
  <c r="E15" i="143" s="1"/>
  <c r="Q56" i="144"/>
  <c r="R51" i="144" s="1"/>
  <c r="P56" i="144"/>
  <c r="J14" i="143"/>
  <c r="J15" i="143" s="1"/>
  <c r="P41" i="144"/>
  <c r="H14" i="143"/>
  <c r="H15" i="143" s="1"/>
  <c r="Q41" i="144"/>
  <c r="R38" i="144" s="1"/>
  <c r="Q25" i="144"/>
  <c r="R19" i="144" s="1"/>
  <c r="P25" i="144"/>
  <c r="G14" i="143"/>
  <c r="G15" i="143" s="1"/>
  <c r="Q31" i="144"/>
  <c r="R26" i="144" s="1"/>
  <c r="P31" i="144"/>
  <c r="K14" i="143"/>
  <c r="Q8" i="144"/>
  <c r="R5" i="144" s="1"/>
  <c r="P8" i="144"/>
  <c r="D14" i="143"/>
  <c r="D2" i="144"/>
  <c r="I14" i="143"/>
  <c r="I15" i="143" s="1"/>
  <c r="Q50" i="144"/>
  <c r="R42" i="144" s="1"/>
  <c r="P50" i="144"/>
  <c r="P43" i="142"/>
  <c r="Q43" i="142"/>
  <c r="Q44" i="142"/>
  <c r="P44" i="142"/>
  <c r="P54" i="142"/>
  <c r="Q54" i="142"/>
  <c r="Q32" i="142"/>
  <c r="P32" i="142"/>
  <c r="P17" i="142"/>
  <c r="Q17" i="142"/>
  <c r="Q60" i="142"/>
  <c r="P60" i="142"/>
  <c r="Q55" i="142"/>
  <c r="P55" i="142"/>
  <c r="P59" i="142"/>
  <c r="Q59" i="142"/>
  <c r="P36" i="142"/>
  <c r="Q36" i="142"/>
  <c r="Q16" i="142"/>
  <c r="P16" i="142"/>
  <c r="N41" i="142"/>
  <c r="AE41" i="142"/>
  <c r="AF41" i="142"/>
  <c r="AG38" i="142" s="1"/>
  <c r="Q53" i="142"/>
  <c r="P53" i="142"/>
  <c r="Q57" i="142"/>
  <c r="P57" i="142"/>
  <c r="Q49" i="142"/>
  <c r="P49" i="142"/>
  <c r="Q35" i="142"/>
  <c r="P35" i="142"/>
  <c r="Q58" i="142"/>
  <c r="P58" i="142"/>
  <c r="AF50" i="142"/>
  <c r="AG42" i="142" s="1"/>
  <c r="AE50" i="142"/>
  <c r="N50" i="142"/>
  <c r="P23" i="142"/>
  <c r="Q23" i="142"/>
  <c r="Q51" i="142"/>
  <c r="P51" i="142"/>
  <c r="N8" i="142"/>
  <c r="AE8" i="142"/>
  <c r="AF8" i="142"/>
  <c r="AG5" i="142" s="1"/>
  <c r="Q10" i="142"/>
  <c r="P10" i="142"/>
  <c r="Q20" i="142"/>
  <c r="P20" i="142"/>
  <c r="Q63" i="142"/>
  <c r="P63" i="142"/>
  <c r="Q22" i="142"/>
  <c r="P22" i="142"/>
  <c r="Q39" i="142"/>
  <c r="P39" i="142"/>
  <c r="Q52" i="142"/>
  <c r="P52" i="142"/>
  <c r="Q7" i="142"/>
  <c r="P7" i="142"/>
  <c r="Q47" i="142"/>
  <c r="P47" i="142"/>
  <c r="N56" i="142"/>
  <c r="AF56" i="142"/>
  <c r="AG51" i="142" s="1"/>
  <c r="AE56" i="142"/>
  <c r="Q37" i="142"/>
  <c r="R32" i="142" s="1"/>
  <c r="L14" i="141"/>
  <c r="L15" i="141" s="1"/>
  <c r="P37" i="142"/>
  <c r="P42" i="142"/>
  <c r="Q42" i="142"/>
  <c r="Q24" i="142"/>
  <c r="P24" i="142"/>
  <c r="Q48" i="142"/>
  <c r="P48" i="142"/>
  <c r="Q33" i="142"/>
  <c r="P33" i="142"/>
  <c r="P40" i="142"/>
  <c r="Q40" i="142"/>
  <c r="P5" i="142"/>
  <c r="Q5" i="142"/>
  <c r="P6" i="142"/>
  <c r="Q6" i="142"/>
  <c r="F14" i="141"/>
  <c r="F15" i="141" s="1"/>
  <c r="Q18" i="142"/>
  <c r="R12" i="142" s="1"/>
  <c r="P18" i="142"/>
  <c r="N11" i="142"/>
  <c r="AE11" i="142"/>
  <c r="AF11" i="142"/>
  <c r="AG9" i="142" s="1"/>
  <c r="N25" i="142"/>
  <c r="AE25" i="142"/>
  <c r="AF25" i="142"/>
  <c r="AG19" i="142" s="1"/>
  <c r="Q34" i="142"/>
  <c r="P34" i="142"/>
  <c r="Q30" i="142"/>
  <c r="P30" i="142"/>
  <c r="Q12" i="142"/>
  <c r="P12" i="142"/>
  <c r="Q15" i="142"/>
  <c r="P15" i="142"/>
  <c r="Q14" i="142"/>
  <c r="P14" i="142"/>
  <c r="P21" i="142"/>
  <c r="Q21" i="142"/>
  <c r="AF31" i="142"/>
  <c r="AG26" i="142" s="1"/>
  <c r="AE31" i="142"/>
  <c r="N31" i="142"/>
  <c r="Q38" i="142"/>
  <c r="P38" i="142"/>
  <c r="Q19" i="142"/>
  <c r="P19" i="142"/>
  <c r="AF64" i="142"/>
  <c r="AG57" i="142" s="1"/>
  <c r="AE64" i="142"/>
  <c r="N64" i="142"/>
  <c r="Q27" i="142"/>
  <c r="P27" i="142"/>
  <c r="AF6" i="140"/>
  <c r="AE6" i="140"/>
  <c r="N6" i="140"/>
  <c r="AF13" i="140"/>
  <c r="N13" i="140"/>
  <c r="AE13" i="140"/>
  <c r="M62" i="140"/>
  <c r="N57" i="140"/>
  <c r="AF57" i="140"/>
  <c r="AE57" i="140"/>
  <c r="N32" i="140"/>
  <c r="AF32" i="140"/>
  <c r="AE32" i="140"/>
  <c r="N41" i="140"/>
  <c r="AF41" i="140"/>
  <c r="AE41" i="140"/>
  <c r="AF59" i="140"/>
  <c r="AE59" i="140"/>
  <c r="N59" i="140"/>
  <c r="N66" i="140"/>
  <c r="AF66" i="140"/>
  <c r="AE66" i="140"/>
  <c r="AF36" i="140"/>
  <c r="N36" i="140"/>
  <c r="AE36" i="140"/>
  <c r="M43" i="140"/>
  <c r="N53" i="140"/>
  <c r="AF53" i="140"/>
  <c r="AE53" i="140"/>
  <c r="AF24" i="140"/>
  <c r="N24" i="140"/>
  <c r="AE24" i="140"/>
  <c r="Q45" i="140"/>
  <c r="P45" i="140"/>
  <c r="AF64" i="140"/>
  <c r="AE64" i="140"/>
  <c r="M72" i="140"/>
  <c r="N64" i="140"/>
  <c r="N71" i="140"/>
  <c r="AF71" i="140"/>
  <c r="AE71" i="140"/>
  <c r="AF21" i="140"/>
  <c r="AE21" i="140"/>
  <c r="N21" i="140"/>
  <c r="Y2" i="140"/>
  <c r="K6" i="139" s="1"/>
  <c r="Q28" i="140"/>
  <c r="P28" i="140"/>
  <c r="D21" i="139"/>
  <c r="AD2" i="140"/>
  <c r="N6" i="139" s="1"/>
  <c r="N34" i="140"/>
  <c r="AF34" i="140"/>
  <c r="AE34" i="140"/>
  <c r="AF52" i="140"/>
  <c r="AE52" i="140"/>
  <c r="N52" i="140"/>
  <c r="N37" i="140"/>
  <c r="AE37" i="140"/>
  <c r="AF37" i="140"/>
  <c r="AF17" i="140"/>
  <c r="AE17" i="140"/>
  <c r="N17" i="140"/>
  <c r="AF68" i="140"/>
  <c r="AE68" i="140"/>
  <c r="N68" i="140"/>
  <c r="N15" i="140"/>
  <c r="AF15" i="140"/>
  <c r="AE15" i="140"/>
  <c r="AE22" i="140"/>
  <c r="N22" i="140"/>
  <c r="AF22" i="140"/>
  <c r="Q31" i="140"/>
  <c r="Q44" i="140"/>
  <c r="P44" i="140"/>
  <c r="Q48" i="140"/>
  <c r="Q50" i="140"/>
  <c r="AF10" i="140"/>
  <c r="AE10" i="140"/>
  <c r="AF29" i="140"/>
  <c r="F6" i="139"/>
  <c r="N10" i="140"/>
  <c r="N47" i="140"/>
  <c r="G6" i="139"/>
  <c r="Q33" i="140"/>
  <c r="P33" i="140"/>
  <c r="AF61" i="140"/>
  <c r="AE61" i="140"/>
  <c r="Q67" i="140"/>
  <c r="P67" i="140"/>
  <c r="AF7" i="140"/>
  <c r="AE7" i="140"/>
  <c r="N7" i="140"/>
  <c r="N61" i="140"/>
  <c r="AE67" i="140"/>
  <c r="AE69" i="140"/>
  <c r="E18" i="139"/>
  <c r="AF28" i="140"/>
  <c r="AE28" i="140"/>
  <c r="AF45" i="140"/>
  <c r="AE45" i="140"/>
  <c r="Q51" i="140"/>
  <c r="P51" i="140"/>
  <c r="M56" i="140"/>
  <c r="AF26" i="140"/>
  <c r="AE26" i="140"/>
  <c r="Q30" i="140"/>
  <c r="P30" i="140"/>
  <c r="N26" i="140"/>
  <c r="AE30" i="140"/>
  <c r="AF54" i="140"/>
  <c r="AE54" i="140"/>
  <c r="Q60" i="140"/>
  <c r="P60" i="140"/>
  <c r="AF30" i="140"/>
  <c r="N54" i="140"/>
  <c r="AE60" i="140"/>
  <c r="Q69" i="140"/>
  <c r="Z2" i="140"/>
  <c r="L6" i="139" s="1"/>
  <c r="M35" i="140"/>
  <c r="AF60" i="140"/>
  <c r="M11" i="140"/>
  <c r="N63" i="140"/>
  <c r="F1" i="140"/>
  <c r="AF31" i="140"/>
  <c r="AE31" i="140"/>
  <c r="N5" i="140"/>
  <c r="Q18" i="140"/>
  <c r="N20" i="140"/>
  <c r="M27" i="140"/>
  <c r="N29" i="140"/>
  <c r="AF67" i="140"/>
  <c r="AF69" i="140"/>
  <c r="AF20" i="140"/>
  <c r="AE33" i="140"/>
  <c r="AF40" i="140"/>
  <c r="AE40" i="140"/>
  <c r="AE18" i="140"/>
  <c r="Q40" i="140"/>
  <c r="P40" i="140"/>
  <c r="AE63" i="140"/>
  <c r="M8" i="140"/>
  <c r="Q16" i="140"/>
  <c r="P16" i="140"/>
  <c r="AF18" i="140"/>
  <c r="AF38" i="140"/>
  <c r="AE38" i="140"/>
  <c r="P42" i="140"/>
  <c r="AE46" i="140"/>
  <c r="AE48" i="140"/>
  <c r="AE50" i="140"/>
  <c r="N70" i="140"/>
  <c r="AF5" i="140"/>
  <c r="Q25" i="140"/>
  <c r="P25" i="140"/>
  <c r="N12" i="140"/>
  <c r="M19" i="140"/>
  <c r="N14" i="140"/>
  <c r="N23" i="140"/>
  <c r="N49" i="140"/>
  <c r="N58" i="140"/>
  <c r="N65" i="140"/>
  <c r="N9" i="140"/>
  <c r="AD75" i="138"/>
  <c r="Z75" i="138"/>
  <c r="Y75" i="138"/>
  <c r="O75" i="138"/>
  <c r="M75" i="138"/>
  <c r="N75" i="138" s="1"/>
  <c r="K75" i="138"/>
  <c r="AF74" i="138"/>
  <c r="AE74" i="138"/>
  <c r="V74" i="138"/>
  <c r="U74" i="138"/>
  <c r="P74" i="138"/>
  <c r="O74" i="138"/>
  <c r="N74" i="138"/>
  <c r="Q74" i="138" s="1"/>
  <c r="M74" i="138"/>
  <c r="K74" i="138"/>
  <c r="G74" i="138"/>
  <c r="V73" i="138"/>
  <c r="U73" i="138"/>
  <c r="O73" i="138"/>
  <c r="N73" i="138"/>
  <c r="P73" i="138" s="1"/>
  <c r="M73" i="138"/>
  <c r="K73" i="138"/>
  <c r="G73" i="138"/>
  <c r="AF72" i="138"/>
  <c r="V72" i="138"/>
  <c r="M72" i="138" s="1"/>
  <c r="U72" i="138"/>
  <c r="O72" i="138"/>
  <c r="K72" i="138"/>
  <c r="G72" i="138"/>
  <c r="AE71" i="138"/>
  <c r="X71" i="138"/>
  <c r="W71" i="138"/>
  <c r="V71" i="138"/>
  <c r="M71" i="138" s="1"/>
  <c r="AF71" i="138" s="1"/>
  <c r="U71" i="138"/>
  <c r="O71" i="138"/>
  <c r="N71" i="138"/>
  <c r="Q71" i="138" s="1"/>
  <c r="K71" i="138"/>
  <c r="G71" i="138"/>
  <c r="AF70" i="138"/>
  <c r="AE70" i="138"/>
  <c r="V70" i="138"/>
  <c r="U70" i="138"/>
  <c r="O70" i="138"/>
  <c r="M70" i="138"/>
  <c r="N70" i="138" s="1"/>
  <c r="K70" i="138"/>
  <c r="G70" i="138"/>
  <c r="AF69" i="138"/>
  <c r="AE69" i="138"/>
  <c r="V69" i="138"/>
  <c r="U69" i="138"/>
  <c r="Q69" i="138"/>
  <c r="P69" i="138"/>
  <c r="O69" i="138"/>
  <c r="M69" i="138"/>
  <c r="N69" i="138" s="1"/>
  <c r="K69" i="138"/>
  <c r="G69" i="138"/>
  <c r="AF68" i="138"/>
  <c r="V68" i="138"/>
  <c r="U68" i="138"/>
  <c r="O68" i="138"/>
  <c r="N68" i="138"/>
  <c r="M68" i="138"/>
  <c r="AE68" i="138" s="1"/>
  <c r="K68" i="138"/>
  <c r="G68" i="138"/>
  <c r="AF67" i="138"/>
  <c r="AE67" i="138"/>
  <c r="V67" i="138"/>
  <c r="U67" i="138"/>
  <c r="O67" i="138"/>
  <c r="N67" i="138"/>
  <c r="M67" i="138"/>
  <c r="K67" i="138"/>
  <c r="G67" i="138"/>
  <c r="V66" i="138"/>
  <c r="U66" i="138"/>
  <c r="P66" i="138"/>
  <c r="O66" i="138"/>
  <c r="N66" i="138"/>
  <c r="Q66" i="138" s="1"/>
  <c r="M66" i="138"/>
  <c r="K66" i="138"/>
  <c r="G66" i="138"/>
  <c r="AF65" i="138"/>
  <c r="X65" i="138"/>
  <c r="W65" i="138"/>
  <c r="V65" i="138"/>
  <c r="M65" i="138" s="1"/>
  <c r="O65" i="138"/>
  <c r="K65" i="138"/>
  <c r="G65" i="138"/>
  <c r="AD64" i="138"/>
  <c r="Z64" i="138"/>
  <c r="Y64" i="138"/>
  <c r="O64" i="138"/>
  <c r="K64" i="138"/>
  <c r="AF63" i="138"/>
  <c r="AE63" i="138"/>
  <c r="V63" i="138"/>
  <c r="U63" i="138"/>
  <c r="O63" i="138"/>
  <c r="M63" i="138"/>
  <c r="N63" i="138" s="1"/>
  <c r="K63" i="138"/>
  <c r="G63" i="138"/>
  <c r="AF62" i="138"/>
  <c r="AE62" i="138"/>
  <c r="V62" i="138"/>
  <c r="U62" i="138"/>
  <c r="O62" i="138"/>
  <c r="M62" i="138"/>
  <c r="N62" i="138" s="1"/>
  <c r="Q62" i="138" s="1"/>
  <c r="K62" i="138"/>
  <c r="G62" i="138"/>
  <c r="AF61" i="138"/>
  <c r="V61" i="138"/>
  <c r="U61" i="138"/>
  <c r="O61" i="138"/>
  <c r="N61" i="138"/>
  <c r="M61" i="138"/>
  <c r="AE61" i="138" s="1"/>
  <c r="K61" i="138"/>
  <c r="G61" i="138"/>
  <c r="AF60" i="138"/>
  <c r="AE60" i="138"/>
  <c r="V60" i="138"/>
  <c r="U60" i="138"/>
  <c r="O60" i="138"/>
  <c r="N60" i="138"/>
  <c r="M60" i="138"/>
  <c r="K60" i="138"/>
  <c r="G60" i="138"/>
  <c r="V59" i="138"/>
  <c r="O59" i="138"/>
  <c r="N59" i="138"/>
  <c r="P59" i="138" s="1"/>
  <c r="M59" i="138"/>
  <c r="K59" i="138"/>
  <c r="G59" i="138"/>
  <c r="AD58" i="138"/>
  <c r="Z58" i="138"/>
  <c r="Y58" i="138"/>
  <c r="I18" i="137" s="1"/>
  <c r="O58" i="138"/>
  <c r="K58" i="138"/>
  <c r="AF57" i="138"/>
  <c r="AE57" i="138"/>
  <c r="V57" i="138"/>
  <c r="U57" i="138"/>
  <c r="O57" i="138"/>
  <c r="N57" i="138"/>
  <c r="Q57" i="138" s="1"/>
  <c r="M57" i="138"/>
  <c r="K57" i="138"/>
  <c r="G57" i="138"/>
  <c r="AE56" i="138"/>
  <c r="V56" i="138"/>
  <c r="M56" i="138" s="1"/>
  <c r="U56" i="138"/>
  <c r="O56" i="138"/>
  <c r="K56" i="138"/>
  <c r="G56" i="138"/>
  <c r="AF55" i="138"/>
  <c r="V55" i="138"/>
  <c r="M55" i="138" s="1"/>
  <c r="AE55" i="138" s="1"/>
  <c r="U55" i="138"/>
  <c r="O55" i="138"/>
  <c r="N55" i="138"/>
  <c r="Q55" i="138" s="1"/>
  <c r="K55" i="138"/>
  <c r="G55" i="138"/>
  <c r="AF54" i="138"/>
  <c r="AE54" i="138"/>
  <c r="V54" i="138"/>
  <c r="U54" i="138"/>
  <c r="O54" i="138"/>
  <c r="N54" i="138"/>
  <c r="M54" i="138"/>
  <c r="K54" i="138"/>
  <c r="G54" i="138"/>
  <c r="AF53" i="138"/>
  <c r="AE53" i="138"/>
  <c r="V53" i="138"/>
  <c r="U53" i="138"/>
  <c r="Q53" i="138"/>
  <c r="O53" i="138"/>
  <c r="M53" i="138"/>
  <c r="N53" i="138" s="1"/>
  <c r="P53" i="138" s="1"/>
  <c r="K53" i="138"/>
  <c r="G53" i="138"/>
  <c r="AF52" i="138"/>
  <c r="V52" i="138"/>
  <c r="U52" i="138"/>
  <c r="P52" i="138"/>
  <c r="O52" i="138"/>
  <c r="N52" i="138"/>
  <c r="Q52" i="138" s="1"/>
  <c r="M52" i="138"/>
  <c r="AE52" i="138" s="1"/>
  <c r="K52" i="138"/>
  <c r="G52" i="138"/>
  <c r="AF51" i="138"/>
  <c r="AE51" i="138"/>
  <c r="V51" i="138"/>
  <c r="U51" i="138"/>
  <c r="O51" i="138"/>
  <c r="N51" i="138"/>
  <c r="M51" i="138"/>
  <c r="K51" i="138"/>
  <c r="G51" i="138"/>
  <c r="V50" i="138"/>
  <c r="O50" i="138"/>
  <c r="N50" i="138"/>
  <c r="P50" i="138" s="1"/>
  <c r="M50" i="138"/>
  <c r="K50" i="138"/>
  <c r="G50" i="138"/>
  <c r="AD49" i="138"/>
  <c r="Z49" i="138"/>
  <c r="Y49" i="138"/>
  <c r="H18" i="137" s="1"/>
  <c r="O49" i="138"/>
  <c r="K49" i="138"/>
  <c r="AF48" i="138"/>
  <c r="AE48" i="138"/>
  <c r="V48" i="138"/>
  <c r="U48" i="138"/>
  <c r="O48" i="138"/>
  <c r="N48" i="138"/>
  <c r="Q48" i="138" s="1"/>
  <c r="M48" i="138"/>
  <c r="K48" i="138"/>
  <c r="G48" i="138"/>
  <c r="AE47" i="138"/>
  <c r="V47" i="138"/>
  <c r="M47" i="138" s="1"/>
  <c r="U47" i="138"/>
  <c r="O47" i="138"/>
  <c r="K47" i="138"/>
  <c r="G47" i="138"/>
  <c r="AE46" i="138"/>
  <c r="V46" i="138"/>
  <c r="M46" i="138" s="1"/>
  <c r="O46" i="138"/>
  <c r="K46" i="138"/>
  <c r="G46" i="138"/>
  <c r="AD45" i="138"/>
  <c r="Z45" i="138"/>
  <c r="Y45" i="138"/>
  <c r="O45" i="138"/>
  <c r="N45" i="138"/>
  <c r="Q45" i="138" s="1"/>
  <c r="R37" i="138" s="1"/>
  <c r="K45" i="138"/>
  <c r="AF44" i="138"/>
  <c r="AE44" i="138"/>
  <c r="V44" i="138"/>
  <c r="U44" i="138"/>
  <c r="O44" i="138"/>
  <c r="M44" i="138"/>
  <c r="N44" i="138" s="1"/>
  <c r="K44" i="138"/>
  <c r="G44" i="138"/>
  <c r="V43" i="138"/>
  <c r="U43" i="138"/>
  <c r="O43" i="138"/>
  <c r="M43" i="138"/>
  <c r="K43" i="138"/>
  <c r="G43" i="138"/>
  <c r="AF42" i="138"/>
  <c r="AE42" i="138"/>
  <c r="V42" i="138"/>
  <c r="U42" i="138"/>
  <c r="O42" i="138"/>
  <c r="N42" i="138"/>
  <c r="Q42" i="138" s="1"/>
  <c r="M42" i="138"/>
  <c r="K42" i="138"/>
  <c r="G42" i="138"/>
  <c r="X41" i="138"/>
  <c r="W41" i="138"/>
  <c r="V41" i="138"/>
  <c r="U41" i="138"/>
  <c r="O41" i="138"/>
  <c r="N41" i="138"/>
  <c r="Q41" i="138" s="1"/>
  <c r="M41" i="138"/>
  <c r="K41" i="138"/>
  <c r="G41" i="138"/>
  <c r="AE40" i="138"/>
  <c r="V40" i="138"/>
  <c r="M40" i="138" s="1"/>
  <c r="U40" i="138"/>
  <c r="O40" i="138"/>
  <c r="K40" i="138"/>
  <c r="G40" i="138"/>
  <c r="AF39" i="138"/>
  <c r="V39" i="138"/>
  <c r="M39" i="138" s="1"/>
  <c r="AE39" i="138" s="1"/>
  <c r="U39" i="138"/>
  <c r="Q39" i="138"/>
  <c r="P39" i="138"/>
  <c r="O39" i="138"/>
  <c r="N39" i="138"/>
  <c r="K39" i="138"/>
  <c r="G39" i="138"/>
  <c r="AF38" i="138"/>
  <c r="AE38" i="138"/>
  <c r="V38" i="138"/>
  <c r="U38" i="138"/>
  <c r="O38" i="138"/>
  <c r="N38" i="138"/>
  <c r="M38" i="138"/>
  <c r="K38" i="138"/>
  <c r="G38" i="138"/>
  <c r="X37" i="138"/>
  <c r="W37" i="138"/>
  <c r="V37" i="138"/>
  <c r="O37" i="138"/>
  <c r="M37" i="138"/>
  <c r="M45" i="138" s="1"/>
  <c r="AE45" i="138" s="1"/>
  <c r="K37" i="138"/>
  <c r="G37" i="138"/>
  <c r="AD36" i="138"/>
  <c r="Z36" i="138"/>
  <c r="Y36" i="138"/>
  <c r="O36" i="138"/>
  <c r="M36" i="138"/>
  <c r="N36" i="138" s="1"/>
  <c r="K36" i="138"/>
  <c r="AF35" i="138"/>
  <c r="V35" i="138"/>
  <c r="M35" i="138" s="1"/>
  <c r="U35" i="138"/>
  <c r="O35" i="138"/>
  <c r="K35" i="138"/>
  <c r="G35" i="138"/>
  <c r="AF34" i="138"/>
  <c r="AE34" i="138"/>
  <c r="V34" i="138"/>
  <c r="U34" i="138"/>
  <c r="O34" i="138"/>
  <c r="N34" i="138"/>
  <c r="P34" i="138" s="1"/>
  <c r="M34" i="138"/>
  <c r="K34" i="138"/>
  <c r="G34" i="138"/>
  <c r="AE33" i="138"/>
  <c r="V33" i="138"/>
  <c r="M33" i="138" s="1"/>
  <c r="U33" i="138"/>
  <c r="O33" i="138"/>
  <c r="K33" i="138"/>
  <c r="G33" i="138"/>
  <c r="AF32" i="138"/>
  <c r="X32" i="138"/>
  <c r="W32" i="138"/>
  <c r="V32" i="138"/>
  <c r="U32" i="138"/>
  <c r="O32" i="138"/>
  <c r="M32" i="138"/>
  <c r="K32" i="138"/>
  <c r="G32" i="138"/>
  <c r="AF31" i="138"/>
  <c r="V31" i="138"/>
  <c r="U31" i="138"/>
  <c r="P31" i="138"/>
  <c r="O31" i="138"/>
  <c r="N31" i="138"/>
  <c r="Q31" i="138" s="1"/>
  <c r="M31" i="138"/>
  <c r="AE31" i="138" s="1"/>
  <c r="K31" i="138"/>
  <c r="G31" i="138"/>
  <c r="AF30" i="138"/>
  <c r="AE30" i="138"/>
  <c r="V30" i="138"/>
  <c r="U30" i="138"/>
  <c r="O30" i="138"/>
  <c r="N30" i="138"/>
  <c r="M30" i="138"/>
  <c r="K30" i="138"/>
  <c r="G30" i="138"/>
  <c r="V29" i="138"/>
  <c r="U29" i="138"/>
  <c r="Q29" i="138"/>
  <c r="P29" i="138"/>
  <c r="O29" i="138"/>
  <c r="N29" i="138"/>
  <c r="M29" i="138"/>
  <c r="K29" i="138"/>
  <c r="G29" i="138"/>
  <c r="AF28" i="138"/>
  <c r="X28" i="138"/>
  <c r="W28" i="138"/>
  <c r="V28" i="138"/>
  <c r="M28" i="138" s="1"/>
  <c r="O28" i="138"/>
  <c r="K28" i="138"/>
  <c r="G28" i="138"/>
  <c r="AD27" i="138"/>
  <c r="Z27" i="138"/>
  <c r="Y27" i="138"/>
  <c r="G18" i="137" s="1"/>
  <c r="O27" i="138"/>
  <c r="K27" i="138"/>
  <c r="V26" i="138"/>
  <c r="U26" i="138"/>
  <c r="O26" i="138"/>
  <c r="M26" i="138"/>
  <c r="AF26" i="138" s="1"/>
  <c r="K26" i="138"/>
  <c r="G26" i="138"/>
  <c r="AF25" i="138"/>
  <c r="AE25" i="138"/>
  <c r="X25" i="138"/>
  <c r="W25" i="138"/>
  <c r="V25" i="138"/>
  <c r="U25" i="138"/>
  <c r="O25" i="138"/>
  <c r="N25" i="138"/>
  <c r="M25" i="138"/>
  <c r="K25" i="138"/>
  <c r="G25" i="138"/>
  <c r="V24" i="138"/>
  <c r="U24" i="138"/>
  <c r="O24" i="138"/>
  <c r="N24" i="138"/>
  <c r="Q24" i="138" s="1"/>
  <c r="M24" i="138"/>
  <c r="K24" i="138"/>
  <c r="G24" i="138"/>
  <c r="AF23" i="138"/>
  <c r="AE23" i="138"/>
  <c r="V23" i="138"/>
  <c r="M23" i="138" s="1"/>
  <c r="U23" i="138"/>
  <c r="Q23" i="138"/>
  <c r="P23" i="138"/>
  <c r="O23" i="138"/>
  <c r="N23" i="138"/>
  <c r="K23" i="138"/>
  <c r="G23" i="138"/>
  <c r="AE22" i="138"/>
  <c r="V22" i="138"/>
  <c r="U22" i="138"/>
  <c r="O22" i="138"/>
  <c r="N22" i="138"/>
  <c r="Q22" i="138" s="1"/>
  <c r="M22" i="138"/>
  <c r="AF22" i="138" s="1"/>
  <c r="K22" i="138"/>
  <c r="G22" i="138"/>
  <c r="V21" i="138"/>
  <c r="M21" i="138" s="1"/>
  <c r="U21" i="138"/>
  <c r="O21" i="138"/>
  <c r="K21" i="138"/>
  <c r="G21" i="138"/>
  <c r="AF20" i="138"/>
  <c r="V20" i="138"/>
  <c r="M20" i="138" s="1"/>
  <c r="O20" i="138"/>
  <c r="N20" i="138"/>
  <c r="Q20" i="138" s="1"/>
  <c r="K20" i="138"/>
  <c r="G20" i="138"/>
  <c r="AD19" i="138"/>
  <c r="Z19" i="138"/>
  <c r="Y19" i="138"/>
  <c r="O19" i="138"/>
  <c r="M19" i="138"/>
  <c r="AF19" i="138" s="1"/>
  <c r="AG12" i="138" s="1"/>
  <c r="K19" i="138"/>
  <c r="AF18" i="138"/>
  <c r="AE18" i="138"/>
  <c r="V18" i="138"/>
  <c r="U18" i="138"/>
  <c r="Q18" i="138"/>
  <c r="O18" i="138"/>
  <c r="M18" i="138"/>
  <c r="N18" i="138" s="1"/>
  <c r="P18" i="138" s="1"/>
  <c r="K18" i="138"/>
  <c r="G18" i="138"/>
  <c r="AF17" i="138"/>
  <c r="V17" i="138"/>
  <c r="U17" i="138"/>
  <c r="P17" i="138"/>
  <c r="O17" i="138"/>
  <c r="N17" i="138"/>
  <c r="Q17" i="138" s="1"/>
  <c r="M17" i="138"/>
  <c r="AE17" i="138" s="1"/>
  <c r="K17" i="138"/>
  <c r="G17" i="138"/>
  <c r="AF16" i="138"/>
  <c r="AE16" i="138"/>
  <c r="V16" i="138"/>
  <c r="U16" i="138"/>
  <c r="O16" i="138"/>
  <c r="N16" i="138"/>
  <c r="M16" i="138"/>
  <c r="K16" i="138"/>
  <c r="G16" i="138"/>
  <c r="V15" i="138"/>
  <c r="U15" i="138"/>
  <c r="O15" i="138"/>
  <c r="N15" i="138"/>
  <c r="Q15" i="138" s="1"/>
  <c r="M15" i="138"/>
  <c r="K15" i="138"/>
  <c r="G15" i="138"/>
  <c r="AF14" i="138"/>
  <c r="AE14" i="138"/>
  <c r="V14" i="138"/>
  <c r="M14" i="138" s="1"/>
  <c r="U14" i="138"/>
  <c r="Q14" i="138"/>
  <c r="P14" i="138"/>
  <c r="O14" i="138"/>
  <c r="N14" i="138"/>
  <c r="K14" i="138"/>
  <c r="G14" i="138"/>
  <c r="AE13" i="138"/>
  <c r="V13" i="138"/>
  <c r="U13" i="138"/>
  <c r="O13" i="138"/>
  <c r="N13" i="138"/>
  <c r="Q13" i="138" s="1"/>
  <c r="M13" i="138"/>
  <c r="AF13" i="138" s="1"/>
  <c r="K13" i="138"/>
  <c r="G13" i="138"/>
  <c r="AE12" i="138"/>
  <c r="V12" i="138"/>
  <c r="M12" i="138" s="1"/>
  <c r="O12" i="138"/>
  <c r="K12" i="138"/>
  <c r="G12" i="138"/>
  <c r="AF11" i="138"/>
  <c r="AG9" i="138" s="1"/>
  <c r="AD11" i="138"/>
  <c r="E21" i="137" s="1"/>
  <c r="Z11" i="138"/>
  <c r="E19" i="137" s="1"/>
  <c r="Y11" i="138"/>
  <c r="O11" i="138"/>
  <c r="K11" i="138"/>
  <c r="AF10" i="138"/>
  <c r="AE10" i="138"/>
  <c r="V10" i="138"/>
  <c r="U10" i="138"/>
  <c r="O10" i="138"/>
  <c r="N10" i="138"/>
  <c r="M10" i="138"/>
  <c r="K10" i="138"/>
  <c r="G10" i="138"/>
  <c r="AF9" i="138"/>
  <c r="AE9" i="138"/>
  <c r="X9" i="138"/>
  <c r="W9" i="138"/>
  <c r="V9" i="138"/>
  <c r="O9" i="138"/>
  <c r="N9" i="138"/>
  <c r="Q9" i="138" s="1"/>
  <c r="M9" i="138"/>
  <c r="M11" i="138" s="1"/>
  <c r="K9" i="138"/>
  <c r="G9" i="138"/>
  <c r="AD8" i="138"/>
  <c r="Z8" i="138"/>
  <c r="D19" i="137" s="1"/>
  <c r="Y8" i="138"/>
  <c r="O8" i="138"/>
  <c r="M8" i="138"/>
  <c r="N8" i="138" s="1"/>
  <c r="K8" i="138"/>
  <c r="AF7" i="138"/>
  <c r="V7" i="138"/>
  <c r="M7" i="138" s="1"/>
  <c r="U7" i="138"/>
  <c r="O7" i="138"/>
  <c r="K7" i="138"/>
  <c r="G7" i="138"/>
  <c r="AF6" i="138"/>
  <c r="AE6" i="138"/>
  <c r="V6" i="138"/>
  <c r="U6" i="138"/>
  <c r="O6" i="138"/>
  <c r="N6" i="138"/>
  <c r="Q6" i="138" s="1"/>
  <c r="M6" i="138"/>
  <c r="K6" i="138"/>
  <c r="G6" i="138"/>
  <c r="AF5" i="138"/>
  <c r="AE5" i="138"/>
  <c r="V5" i="138"/>
  <c r="O5" i="138"/>
  <c r="M5" i="138"/>
  <c r="N5" i="138" s="1"/>
  <c r="K5" i="138"/>
  <c r="G5" i="138"/>
  <c r="F1" i="138" s="1"/>
  <c r="Z2" i="138"/>
  <c r="Y2" i="138"/>
  <c r="H2" i="138"/>
  <c r="F2" i="138"/>
  <c r="H1" i="138"/>
  <c r="D1" i="138"/>
  <c r="M22" i="137"/>
  <c r="L22" i="137"/>
  <c r="K22" i="137"/>
  <c r="J22" i="137"/>
  <c r="I22" i="137"/>
  <c r="H22" i="137"/>
  <c r="G22" i="137"/>
  <c r="F22" i="137"/>
  <c r="E22" i="137"/>
  <c r="D22" i="137"/>
  <c r="M21" i="137"/>
  <c r="L21" i="137"/>
  <c r="K21" i="137"/>
  <c r="J21" i="137"/>
  <c r="I21" i="137"/>
  <c r="H21" i="137"/>
  <c r="G21" i="137"/>
  <c r="F21" i="137"/>
  <c r="M20" i="137"/>
  <c r="L20" i="137"/>
  <c r="K20" i="137"/>
  <c r="J20" i="137"/>
  <c r="I20" i="137"/>
  <c r="H20" i="137"/>
  <c r="G20" i="137"/>
  <c r="F20" i="137"/>
  <c r="E20" i="137"/>
  <c r="D20" i="137"/>
  <c r="M19" i="137"/>
  <c r="L19" i="137"/>
  <c r="K19" i="137"/>
  <c r="J19" i="137"/>
  <c r="I19" i="137"/>
  <c r="H19" i="137"/>
  <c r="G19" i="137"/>
  <c r="F19" i="137"/>
  <c r="M18" i="137"/>
  <c r="L18" i="137"/>
  <c r="K18" i="137"/>
  <c r="J18" i="137"/>
  <c r="F18" i="137"/>
  <c r="E18" i="137"/>
  <c r="D18" i="137"/>
  <c r="M17" i="137"/>
  <c r="L17" i="137"/>
  <c r="K17" i="137"/>
  <c r="J17" i="137"/>
  <c r="I17" i="137"/>
  <c r="H17" i="137"/>
  <c r="G17" i="137"/>
  <c r="F17" i="137"/>
  <c r="E17" i="137"/>
  <c r="D17" i="137"/>
  <c r="M16" i="137"/>
  <c r="L16" i="137"/>
  <c r="K16" i="137"/>
  <c r="J16" i="137"/>
  <c r="I16" i="137"/>
  <c r="H16" i="137"/>
  <c r="G16" i="137"/>
  <c r="F16" i="137"/>
  <c r="E16" i="137"/>
  <c r="D16" i="137"/>
  <c r="M13" i="137"/>
  <c r="L13" i="137"/>
  <c r="K13" i="137"/>
  <c r="E6" i="137" s="1"/>
  <c r="J13" i="137"/>
  <c r="I13" i="137"/>
  <c r="H13" i="137"/>
  <c r="G13" i="137"/>
  <c r="F13" i="137"/>
  <c r="E13" i="137"/>
  <c r="D13" i="137"/>
  <c r="M6" i="137"/>
  <c r="L6" i="137"/>
  <c r="K6" i="137"/>
  <c r="G6" i="137"/>
  <c r="F6" i="137"/>
  <c r="I3" i="137"/>
  <c r="F3" i="137"/>
  <c r="C3" i="137"/>
  <c r="D15" i="143" l="1"/>
  <c r="G7" i="143"/>
  <c r="F7" i="143"/>
  <c r="E7" i="143"/>
  <c r="K15" i="143"/>
  <c r="I8" i="143" s="1"/>
  <c r="I7" i="143"/>
  <c r="Q11" i="142"/>
  <c r="R9" i="142" s="1"/>
  <c r="P11" i="142"/>
  <c r="E14" i="141"/>
  <c r="E15" i="141" s="1"/>
  <c r="Q56" i="142"/>
  <c r="R51" i="142" s="1"/>
  <c r="P56" i="142"/>
  <c r="J14" i="141"/>
  <c r="J15" i="141" s="1"/>
  <c r="I14" i="141"/>
  <c r="I15" i="141" s="1"/>
  <c r="Q50" i="142"/>
  <c r="R42" i="142" s="1"/>
  <c r="P50" i="142"/>
  <c r="P41" i="142"/>
  <c r="H14" i="141"/>
  <c r="H15" i="141" s="1"/>
  <c r="Q41" i="142"/>
  <c r="R38" i="142" s="1"/>
  <c r="Q31" i="142"/>
  <c r="R26" i="142" s="1"/>
  <c r="P31" i="142"/>
  <c r="K14" i="141"/>
  <c r="Q8" i="142"/>
  <c r="R5" i="142" s="1"/>
  <c r="P8" i="142"/>
  <c r="D14" i="141"/>
  <c r="D2" i="142"/>
  <c r="Q64" i="142"/>
  <c r="R57" i="142" s="1"/>
  <c r="P64" i="142"/>
  <c r="M14" i="141"/>
  <c r="M15" i="141" s="1"/>
  <c r="Q25" i="142"/>
  <c r="R19" i="142" s="1"/>
  <c r="P25" i="142"/>
  <c r="G14" i="141"/>
  <c r="G15" i="141" s="1"/>
  <c r="P65" i="140"/>
  <c r="Q65" i="140"/>
  <c r="N11" i="140"/>
  <c r="AF11" i="140"/>
  <c r="AG9" i="140" s="1"/>
  <c r="AE11" i="140"/>
  <c r="P10" i="140"/>
  <c r="Q10" i="140"/>
  <c r="P58" i="140"/>
  <c r="Q58" i="140"/>
  <c r="Q59" i="140"/>
  <c r="P59" i="140"/>
  <c r="P49" i="140"/>
  <c r="Q49" i="140"/>
  <c r="AF35" i="140"/>
  <c r="AG28" i="140" s="1"/>
  <c r="AE35" i="140"/>
  <c r="N35" i="140"/>
  <c r="P23" i="140"/>
  <c r="Q23" i="140"/>
  <c r="P14" i="140"/>
  <c r="Q14" i="140"/>
  <c r="P37" i="140"/>
  <c r="Q37" i="140"/>
  <c r="Q7" i="140"/>
  <c r="P7" i="140"/>
  <c r="Q57" i="140"/>
  <c r="P57" i="140"/>
  <c r="N8" i="140"/>
  <c r="AF8" i="140"/>
  <c r="AG5" i="140" s="1"/>
  <c r="AE8" i="140"/>
  <c r="Q66" i="140"/>
  <c r="P66" i="140"/>
  <c r="Q71" i="140"/>
  <c r="P71" i="140"/>
  <c r="Q64" i="140"/>
  <c r="P64" i="140"/>
  <c r="AF72" i="140"/>
  <c r="AG63" i="140" s="1"/>
  <c r="AE72" i="140"/>
  <c r="N72" i="140"/>
  <c r="AF19" i="140"/>
  <c r="AG12" i="140" s="1"/>
  <c r="AE19" i="140"/>
  <c r="N19" i="140"/>
  <c r="Q52" i="140"/>
  <c r="P52" i="140"/>
  <c r="P32" i="140"/>
  <c r="Q32" i="140"/>
  <c r="Q26" i="140"/>
  <c r="P26" i="140"/>
  <c r="N62" i="140"/>
  <c r="AF62" i="140"/>
  <c r="AG57" i="140" s="1"/>
  <c r="AE62" i="140"/>
  <c r="Q12" i="140"/>
  <c r="P12" i="140"/>
  <c r="Q54" i="140"/>
  <c r="P54" i="140"/>
  <c r="Q41" i="140"/>
  <c r="P41" i="140"/>
  <c r="Q61" i="140"/>
  <c r="P61" i="140"/>
  <c r="Q24" i="140"/>
  <c r="P24" i="140"/>
  <c r="Q70" i="140"/>
  <c r="P70" i="140"/>
  <c r="Q34" i="140"/>
  <c r="P34" i="140"/>
  <c r="Q29" i="140"/>
  <c r="P29" i="140"/>
  <c r="Q22" i="140"/>
  <c r="P22" i="140"/>
  <c r="N27" i="140"/>
  <c r="AE27" i="140"/>
  <c r="AF27" i="140"/>
  <c r="AG20" i="140" s="1"/>
  <c r="P20" i="140"/>
  <c r="Q20" i="140"/>
  <c r="P53" i="140"/>
  <c r="Q53" i="140"/>
  <c r="AF43" i="140"/>
  <c r="AG36" i="140" s="1"/>
  <c r="AE43" i="140"/>
  <c r="N43" i="140"/>
  <c r="Q5" i="140"/>
  <c r="P5" i="140"/>
  <c r="Q15" i="140"/>
  <c r="P15" i="140"/>
  <c r="Q13" i="140"/>
  <c r="P13" i="140"/>
  <c r="P68" i="140"/>
  <c r="Q68" i="140"/>
  <c r="Q21" i="140"/>
  <c r="P21" i="140"/>
  <c r="P36" i="140"/>
  <c r="Q36" i="140"/>
  <c r="Q6" i="140"/>
  <c r="P6" i="140"/>
  <c r="F2" i="140"/>
  <c r="I3" i="139"/>
  <c r="AF56" i="140"/>
  <c r="AG48" i="140" s="1"/>
  <c r="AE56" i="140"/>
  <c r="N56" i="140"/>
  <c r="Q9" i="140"/>
  <c r="P9" i="140"/>
  <c r="Q63" i="140"/>
  <c r="P63" i="140"/>
  <c r="Q47" i="140"/>
  <c r="R44" i="140" s="1"/>
  <c r="H14" i="139"/>
  <c r="H15" i="139" s="1"/>
  <c r="P47" i="140"/>
  <c r="Q17" i="140"/>
  <c r="P17" i="140"/>
  <c r="Q36" i="138"/>
  <c r="R28" i="138" s="1"/>
  <c r="K14" i="137"/>
  <c r="P36" i="138"/>
  <c r="M14" i="137"/>
  <c r="M15" i="137" s="1"/>
  <c r="Q75" i="138"/>
  <c r="R65" i="138" s="1"/>
  <c r="P75" i="138"/>
  <c r="P44" i="138"/>
  <c r="Q44" i="138"/>
  <c r="Q8" i="138"/>
  <c r="R5" i="138" s="1"/>
  <c r="D14" i="137"/>
  <c r="D15" i="137" s="1"/>
  <c r="P8" i="138"/>
  <c r="I6" i="137"/>
  <c r="AF45" i="138"/>
  <c r="AG37" i="138" s="1"/>
  <c r="P42" i="138"/>
  <c r="Q34" i="138"/>
  <c r="P6" i="138"/>
  <c r="P24" i="138"/>
  <c r="P48" i="138"/>
  <c r="P57" i="138"/>
  <c r="N19" i="138"/>
  <c r="Q50" i="138"/>
  <c r="Q59" i="138"/>
  <c r="P22" i="138"/>
  <c r="AE26" i="138"/>
  <c r="P41" i="138"/>
  <c r="P15" i="138"/>
  <c r="N26" i="138"/>
  <c r="L14" i="137"/>
  <c r="L15" i="137" s="1"/>
  <c r="P9" i="138"/>
  <c r="P20" i="138"/>
  <c r="AE37" i="138"/>
  <c r="P55" i="138"/>
  <c r="P62" i="138"/>
  <c r="P71" i="138"/>
  <c r="Q73" i="138"/>
  <c r="P45" i="138"/>
  <c r="AE19" i="138"/>
  <c r="N37" i="138"/>
  <c r="P13" i="138"/>
  <c r="AF37" i="138"/>
  <c r="Q5" i="138"/>
  <c r="P5" i="138"/>
  <c r="N7" i="138"/>
  <c r="AE7" i="138"/>
  <c r="AF8" i="138"/>
  <c r="AG5" i="138" s="1"/>
  <c r="AE8" i="138"/>
  <c r="AD2" i="138"/>
  <c r="N6" i="137" s="1"/>
  <c r="D21" i="137"/>
  <c r="AE11" i="138"/>
  <c r="N11" i="138"/>
  <c r="P10" i="138"/>
  <c r="Q10" i="138"/>
  <c r="N12" i="138"/>
  <c r="AF12" i="138"/>
  <c r="AE15" i="138"/>
  <c r="AF15" i="138"/>
  <c r="Q16" i="138"/>
  <c r="P16" i="138"/>
  <c r="Q19" i="138"/>
  <c r="R12" i="138" s="1"/>
  <c r="P19" i="138"/>
  <c r="F14" i="137"/>
  <c r="F15" i="137" s="1"/>
  <c r="AE20" i="138"/>
  <c r="M27" i="138"/>
  <c r="AF27" i="138" s="1"/>
  <c r="AG20" i="138" s="1"/>
  <c r="N21" i="138"/>
  <c r="AF21" i="138"/>
  <c r="AE21" i="138"/>
  <c r="AE24" i="138"/>
  <c r="AF24" i="138"/>
  <c r="Q25" i="138"/>
  <c r="P25" i="138"/>
  <c r="P26" i="138"/>
  <c r="Q26" i="138"/>
  <c r="N28" i="138"/>
  <c r="AE28" i="138"/>
  <c r="AE29" i="138"/>
  <c r="AF29" i="138"/>
  <c r="Q30" i="138"/>
  <c r="P30" i="138"/>
  <c r="AE32" i="138"/>
  <c r="N32" i="138"/>
  <c r="N33" i="138"/>
  <c r="AF33" i="138"/>
  <c r="N35" i="138"/>
  <c r="AE35" i="138"/>
  <c r="AF36" i="138"/>
  <c r="AG28" i="138" s="1"/>
  <c r="AE36" i="138"/>
  <c r="P38" i="138"/>
  <c r="Q38" i="138"/>
  <c r="N40" i="138"/>
  <c r="AF40" i="138"/>
  <c r="AF41" i="138"/>
  <c r="AE41" i="138"/>
  <c r="AF43" i="138"/>
  <c r="AE43" i="138"/>
  <c r="N43" i="138"/>
  <c r="M49" i="138"/>
  <c r="AF49" i="138" s="1"/>
  <c r="AG46" i="138" s="1"/>
  <c r="AF46" i="138"/>
  <c r="N46" i="138"/>
  <c r="N47" i="138"/>
  <c r="AF47" i="138"/>
  <c r="M58" i="138"/>
  <c r="AF58" i="138" s="1"/>
  <c r="AG50" i="138" s="1"/>
  <c r="AF50" i="138"/>
  <c r="AE50" i="138"/>
  <c r="Q51" i="138"/>
  <c r="P51" i="138"/>
  <c r="P54" i="138"/>
  <c r="Q54" i="138"/>
  <c r="N56" i="138"/>
  <c r="AF56" i="138"/>
  <c r="AF59" i="138"/>
  <c r="AE59" i="138"/>
  <c r="M64" i="138"/>
  <c r="AF64" i="138" s="1"/>
  <c r="AG59" i="138" s="1"/>
  <c r="Q60" i="138"/>
  <c r="P60" i="138"/>
  <c r="Q61" i="138"/>
  <c r="P61" i="138"/>
  <c r="P63" i="138"/>
  <c r="Q63" i="138"/>
  <c r="N65" i="138"/>
  <c r="AE65" i="138"/>
  <c r="AE66" i="138"/>
  <c r="AF66" i="138"/>
  <c r="Q67" i="138"/>
  <c r="P67" i="138"/>
  <c r="Q68" i="138"/>
  <c r="P68" i="138"/>
  <c r="P70" i="138"/>
  <c r="Q70" i="138"/>
  <c r="N72" i="138"/>
  <c r="AE72" i="138"/>
  <c r="AF73" i="138"/>
  <c r="AE73" i="138"/>
  <c r="AF75" i="138"/>
  <c r="AG65" i="138" s="1"/>
  <c r="AE75" i="138"/>
  <c r="AD78" i="136"/>
  <c r="Z78" i="136"/>
  <c r="Y78" i="136"/>
  <c r="O78" i="136"/>
  <c r="K78" i="136"/>
  <c r="V77" i="136"/>
  <c r="M77" i="136" s="1"/>
  <c r="U77" i="136"/>
  <c r="O77" i="136"/>
  <c r="K77" i="136"/>
  <c r="G77" i="136"/>
  <c r="V76" i="136"/>
  <c r="M76" i="136" s="1"/>
  <c r="U76" i="136"/>
  <c r="O76" i="136"/>
  <c r="K76" i="136"/>
  <c r="G76" i="136"/>
  <c r="V75" i="136"/>
  <c r="M75" i="136" s="1"/>
  <c r="U75" i="136"/>
  <c r="O75" i="136"/>
  <c r="K75" i="136"/>
  <c r="G75" i="136"/>
  <c r="V74" i="136"/>
  <c r="U74" i="136"/>
  <c r="O74" i="136"/>
  <c r="M74" i="136"/>
  <c r="AF74" i="136" s="1"/>
  <c r="K74" i="136"/>
  <c r="G74" i="136"/>
  <c r="X73" i="136"/>
  <c r="W73" i="136"/>
  <c r="V73" i="136"/>
  <c r="M73" i="136" s="1"/>
  <c r="U73" i="136"/>
  <c r="O73" i="136"/>
  <c r="K73" i="136"/>
  <c r="G73" i="136"/>
  <c r="V72" i="136"/>
  <c r="M72" i="136" s="1"/>
  <c r="U72" i="136"/>
  <c r="O72" i="136"/>
  <c r="K72" i="136"/>
  <c r="G72" i="136"/>
  <c r="AF71" i="136"/>
  <c r="V71" i="136"/>
  <c r="U71" i="136"/>
  <c r="O71" i="136"/>
  <c r="M71" i="136"/>
  <c r="AE71" i="136" s="1"/>
  <c r="K71" i="136"/>
  <c r="G71" i="136"/>
  <c r="V70" i="136"/>
  <c r="M70" i="136" s="1"/>
  <c r="U70" i="136"/>
  <c r="O70" i="136"/>
  <c r="K70" i="136"/>
  <c r="G70" i="136"/>
  <c r="V69" i="136"/>
  <c r="U69" i="136"/>
  <c r="O69" i="136"/>
  <c r="N69" i="136"/>
  <c r="Q69" i="136" s="1"/>
  <c r="M69" i="136"/>
  <c r="AF69" i="136" s="1"/>
  <c r="K69" i="136"/>
  <c r="G69" i="136"/>
  <c r="V68" i="136"/>
  <c r="M68" i="136" s="1"/>
  <c r="U68" i="136"/>
  <c r="O68" i="136"/>
  <c r="K68" i="136"/>
  <c r="G68" i="136"/>
  <c r="X67" i="136"/>
  <c r="W67" i="136"/>
  <c r="V67" i="136"/>
  <c r="M67" i="136" s="1"/>
  <c r="O67" i="136"/>
  <c r="K67" i="136"/>
  <c r="G67" i="136"/>
  <c r="AD66" i="136"/>
  <c r="J21" i="135" s="1"/>
  <c r="Z66" i="136"/>
  <c r="Y66" i="136"/>
  <c r="O66" i="136"/>
  <c r="K66" i="136"/>
  <c r="V65" i="136"/>
  <c r="M65" i="136" s="1"/>
  <c r="U65" i="136"/>
  <c r="O65" i="136"/>
  <c r="K65" i="136"/>
  <c r="G65" i="136"/>
  <c r="AF64" i="136"/>
  <c r="V64" i="136"/>
  <c r="U64" i="136"/>
  <c r="O64" i="136"/>
  <c r="M64" i="136"/>
  <c r="AE64" i="136" s="1"/>
  <c r="K64" i="136"/>
  <c r="G64" i="136"/>
  <c r="V63" i="136"/>
  <c r="M63" i="136" s="1"/>
  <c r="U63" i="136"/>
  <c r="O63" i="136"/>
  <c r="K63" i="136"/>
  <c r="G63" i="136"/>
  <c r="V62" i="136"/>
  <c r="U62" i="136"/>
  <c r="O62" i="136"/>
  <c r="N62" i="136"/>
  <c r="Q62" i="136" s="1"/>
  <c r="M62" i="136"/>
  <c r="AF62" i="136" s="1"/>
  <c r="K62" i="136"/>
  <c r="G62" i="136"/>
  <c r="V61" i="136"/>
  <c r="M61" i="136" s="1"/>
  <c r="O61" i="136"/>
  <c r="K61" i="136"/>
  <c r="G61" i="136"/>
  <c r="AD60" i="136"/>
  <c r="Z60" i="136"/>
  <c r="Y60" i="136"/>
  <c r="O60" i="136"/>
  <c r="K60" i="136"/>
  <c r="V59" i="136"/>
  <c r="M59" i="136" s="1"/>
  <c r="U59" i="136"/>
  <c r="O59" i="136"/>
  <c r="K59" i="136"/>
  <c r="G59" i="136"/>
  <c r="V58" i="136"/>
  <c r="M58" i="136" s="1"/>
  <c r="U58" i="136"/>
  <c r="O58" i="136"/>
  <c r="K58" i="136"/>
  <c r="G58" i="136"/>
  <c r="V57" i="136"/>
  <c r="M57" i="136" s="1"/>
  <c r="U57" i="136"/>
  <c r="O57" i="136"/>
  <c r="K57" i="136"/>
  <c r="G57" i="136"/>
  <c r="V56" i="136"/>
  <c r="M56" i="136" s="1"/>
  <c r="U56" i="136"/>
  <c r="O56" i="136"/>
  <c r="K56" i="136"/>
  <c r="G56" i="136"/>
  <c r="AF55" i="136"/>
  <c r="V55" i="136"/>
  <c r="U55" i="136"/>
  <c r="O55" i="136"/>
  <c r="M55" i="136"/>
  <c r="AE55" i="136" s="1"/>
  <c r="K55" i="136"/>
  <c r="G55" i="136"/>
  <c r="V54" i="136"/>
  <c r="M54" i="136" s="1"/>
  <c r="U54" i="136"/>
  <c r="O54" i="136"/>
  <c r="K54" i="136"/>
  <c r="G54" i="136"/>
  <c r="V53" i="136"/>
  <c r="U53" i="136"/>
  <c r="O53" i="136"/>
  <c r="N53" i="136"/>
  <c r="Q53" i="136" s="1"/>
  <c r="M53" i="136"/>
  <c r="AF53" i="136" s="1"/>
  <c r="K53" i="136"/>
  <c r="G53" i="136"/>
  <c r="V52" i="136"/>
  <c r="M52" i="136" s="1"/>
  <c r="O52" i="136"/>
  <c r="K52" i="136"/>
  <c r="G52" i="136"/>
  <c r="AD51" i="136"/>
  <c r="Z51" i="136"/>
  <c r="Y51" i="136"/>
  <c r="H18" i="135" s="1"/>
  <c r="O51" i="136"/>
  <c r="K51" i="136"/>
  <c r="V50" i="136"/>
  <c r="M50" i="136" s="1"/>
  <c r="U50" i="136"/>
  <c r="O50" i="136"/>
  <c r="K50" i="136"/>
  <c r="G50" i="136"/>
  <c r="V49" i="136"/>
  <c r="M49" i="136" s="1"/>
  <c r="U49" i="136"/>
  <c r="O49" i="136"/>
  <c r="K49" i="136"/>
  <c r="G49" i="136"/>
  <c r="AF48" i="136"/>
  <c r="AE48" i="136"/>
  <c r="V48" i="136"/>
  <c r="O48" i="136"/>
  <c r="N48" i="136"/>
  <c r="Q48" i="136" s="1"/>
  <c r="M48" i="136"/>
  <c r="K48" i="136"/>
  <c r="G48" i="136"/>
  <c r="AD47" i="136"/>
  <c r="L21" i="135" s="1"/>
  <c r="Z47" i="136"/>
  <c r="L19" i="135" s="1"/>
  <c r="Y47" i="136"/>
  <c r="O47" i="136"/>
  <c r="K47" i="136"/>
  <c r="L13" i="135" s="1"/>
  <c r="I6" i="135" s="1"/>
  <c r="V46" i="136"/>
  <c r="U46" i="136"/>
  <c r="O46" i="136"/>
  <c r="M46" i="136"/>
  <c r="AF46" i="136" s="1"/>
  <c r="K46" i="136"/>
  <c r="G46" i="136"/>
  <c r="V45" i="136"/>
  <c r="M45" i="136" s="1"/>
  <c r="U45" i="136"/>
  <c r="O45" i="136"/>
  <c r="K45" i="136"/>
  <c r="G45" i="136"/>
  <c r="V44" i="136"/>
  <c r="M44" i="136" s="1"/>
  <c r="U44" i="136"/>
  <c r="O44" i="136"/>
  <c r="K44" i="136"/>
  <c r="G44" i="136"/>
  <c r="X43" i="136"/>
  <c r="W43" i="136"/>
  <c r="V43" i="136"/>
  <c r="M43" i="136" s="1"/>
  <c r="U43" i="136"/>
  <c r="O43" i="136"/>
  <c r="K43" i="136"/>
  <c r="G43" i="136"/>
  <c r="V42" i="136"/>
  <c r="M42" i="136" s="1"/>
  <c r="U42" i="136"/>
  <c r="O42" i="136"/>
  <c r="K42" i="136"/>
  <c r="G42" i="136"/>
  <c r="V41" i="136"/>
  <c r="M41" i="136" s="1"/>
  <c r="U41" i="136"/>
  <c r="O41" i="136"/>
  <c r="K41" i="136"/>
  <c r="G41" i="136"/>
  <c r="V40" i="136"/>
  <c r="M40" i="136" s="1"/>
  <c r="U40" i="136"/>
  <c r="O40" i="136"/>
  <c r="K40" i="136"/>
  <c r="G40" i="136"/>
  <c r="X39" i="136"/>
  <c r="W39" i="136"/>
  <c r="V39" i="136"/>
  <c r="M39" i="136" s="1"/>
  <c r="O39" i="136"/>
  <c r="K39" i="136"/>
  <c r="G39" i="136"/>
  <c r="AD38" i="136"/>
  <c r="K21" i="135" s="1"/>
  <c r="Z38" i="136"/>
  <c r="K19" i="135" s="1"/>
  <c r="Y38" i="136"/>
  <c r="O38" i="136"/>
  <c r="K38" i="136"/>
  <c r="V37" i="136"/>
  <c r="U37" i="136"/>
  <c r="O37" i="136"/>
  <c r="M37" i="136"/>
  <c r="AF37" i="136" s="1"/>
  <c r="K37" i="136"/>
  <c r="G37" i="136"/>
  <c r="V36" i="136"/>
  <c r="M36" i="136" s="1"/>
  <c r="U36" i="136"/>
  <c r="O36" i="136"/>
  <c r="K36" i="136"/>
  <c r="G36" i="136"/>
  <c r="V35" i="136"/>
  <c r="M35" i="136" s="1"/>
  <c r="U35" i="136"/>
  <c r="O35" i="136"/>
  <c r="K35" i="136"/>
  <c r="G35" i="136"/>
  <c r="AF34" i="136"/>
  <c r="AE34" i="136"/>
  <c r="X34" i="136"/>
  <c r="W34" i="136"/>
  <c r="V34" i="136"/>
  <c r="U34" i="136"/>
  <c r="O34" i="136"/>
  <c r="M34" i="136"/>
  <c r="N34" i="136" s="1"/>
  <c r="K34" i="136"/>
  <c r="G34" i="136"/>
  <c r="V33" i="136"/>
  <c r="M33" i="136" s="1"/>
  <c r="U33" i="136"/>
  <c r="O33" i="136"/>
  <c r="K33" i="136"/>
  <c r="G33" i="136"/>
  <c r="V32" i="136"/>
  <c r="U32" i="136"/>
  <c r="O32" i="136"/>
  <c r="N32" i="136"/>
  <c r="Q32" i="136" s="1"/>
  <c r="M32" i="136"/>
  <c r="AF32" i="136" s="1"/>
  <c r="K32" i="136"/>
  <c r="G32" i="136"/>
  <c r="V31" i="136"/>
  <c r="M31" i="136" s="1"/>
  <c r="U31" i="136"/>
  <c r="O31" i="136"/>
  <c r="K31" i="136"/>
  <c r="G31" i="136"/>
  <c r="X30" i="136"/>
  <c r="W30" i="136"/>
  <c r="V30" i="136"/>
  <c r="M30" i="136" s="1"/>
  <c r="O30" i="136"/>
  <c r="K30" i="136"/>
  <c r="G30" i="136"/>
  <c r="AD29" i="136"/>
  <c r="Z29" i="136"/>
  <c r="Y29" i="136"/>
  <c r="O29" i="136"/>
  <c r="K29" i="136"/>
  <c r="V28" i="136"/>
  <c r="M28" i="136" s="1"/>
  <c r="U28" i="136"/>
  <c r="O28" i="136"/>
  <c r="K28" i="136"/>
  <c r="G28" i="136"/>
  <c r="AF27" i="136"/>
  <c r="X27" i="136"/>
  <c r="W27" i="136"/>
  <c r="V27" i="136"/>
  <c r="U27" i="136"/>
  <c r="O27" i="136"/>
  <c r="N27" i="136"/>
  <c r="Q27" i="136" s="1"/>
  <c r="M27" i="136"/>
  <c r="AE27" i="136" s="1"/>
  <c r="K27" i="136"/>
  <c r="G27" i="136"/>
  <c r="V26" i="136"/>
  <c r="M26" i="136" s="1"/>
  <c r="U26" i="136"/>
  <c r="O26" i="136"/>
  <c r="K26" i="136"/>
  <c r="G26" i="136"/>
  <c r="V25" i="136"/>
  <c r="M25" i="136" s="1"/>
  <c r="U25" i="136"/>
  <c r="O25" i="136"/>
  <c r="K25" i="136"/>
  <c r="G25" i="136"/>
  <c r="V24" i="136"/>
  <c r="M24" i="136" s="1"/>
  <c r="U24" i="136"/>
  <c r="O24" i="136"/>
  <c r="K24" i="136"/>
  <c r="G24" i="136"/>
  <c r="V23" i="136"/>
  <c r="U23" i="136"/>
  <c r="O23" i="136"/>
  <c r="M23" i="136"/>
  <c r="AF23" i="136" s="1"/>
  <c r="K23" i="136"/>
  <c r="G23" i="136"/>
  <c r="V22" i="136"/>
  <c r="M22" i="136" s="1"/>
  <c r="O22" i="136"/>
  <c r="K22" i="136"/>
  <c r="G22" i="136"/>
  <c r="AD21" i="136"/>
  <c r="Z21" i="136"/>
  <c r="Y21" i="136"/>
  <c r="F18" i="135" s="1"/>
  <c r="O21" i="136"/>
  <c r="K21" i="136"/>
  <c r="AF20" i="136"/>
  <c r="V20" i="136"/>
  <c r="U20" i="136"/>
  <c r="O20" i="136"/>
  <c r="M20" i="136"/>
  <c r="AE20" i="136" s="1"/>
  <c r="K20" i="136"/>
  <c r="G20" i="136"/>
  <c r="V19" i="136"/>
  <c r="M19" i="136" s="1"/>
  <c r="U19" i="136"/>
  <c r="O19" i="136"/>
  <c r="K19" i="136"/>
  <c r="G19" i="136"/>
  <c r="V18" i="136"/>
  <c r="U18" i="136"/>
  <c r="O18" i="136"/>
  <c r="N18" i="136"/>
  <c r="Q18" i="136" s="1"/>
  <c r="M18" i="136"/>
  <c r="AF18" i="136" s="1"/>
  <c r="K18" i="136"/>
  <c r="G18" i="136"/>
  <c r="V17" i="136"/>
  <c r="M17" i="136" s="1"/>
  <c r="U17" i="136"/>
  <c r="O17" i="136"/>
  <c r="K17" i="136"/>
  <c r="G17" i="136"/>
  <c r="V16" i="136"/>
  <c r="M16" i="136" s="1"/>
  <c r="U16" i="136"/>
  <c r="O16" i="136"/>
  <c r="K16" i="136"/>
  <c r="G16" i="136"/>
  <c r="V15" i="136"/>
  <c r="M15" i="136" s="1"/>
  <c r="U15" i="136"/>
  <c r="O15" i="136"/>
  <c r="K15" i="136"/>
  <c r="G15" i="136"/>
  <c r="V14" i="136"/>
  <c r="U14" i="136"/>
  <c r="O14" i="136"/>
  <c r="M14" i="136"/>
  <c r="AF14" i="136" s="1"/>
  <c r="K14" i="136"/>
  <c r="G14" i="136"/>
  <c r="V13" i="136"/>
  <c r="M13" i="136" s="1"/>
  <c r="O13" i="136"/>
  <c r="K13" i="136"/>
  <c r="G13" i="136"/>
  <c r="AD12" i="136"/>
  <c r="Z12" i="136"/>
  <c r="Y12" i="136"/>
  <c r="O12" i="136"/>
  <c r="K12" i="136"/>
  <c r="AF11" i="136"/>
  <c r="V11" i="136"/>
  <c r="U11" i="136"/>
  <c r="O11" i="136"/>
  <c r="M11" i="136"/>
  <c r="AE11" i="136" s="1"/>
  <c r="K11" i="136"/>
  <c r="G11" i="136"/>
  <c r="X10" i="136"/>
  <c r="W10" i="136"/>
  <c r="V10" i="136"/>
  <c r="M10" i="136" s="1"/>
  <c r="O10" i="136"/>
  <c r="K10" i="136"/>
  <c r="G10" i="136"/>
  <c r="AD9" i="136"/>
  <c r="AD2" i="136" s="1"/>
  <c r="N6" i="135" s="1"/>
  <c r="Z9" i="136"/>
  <c r="Z2" i="136" s="1"/>
  <c r="L6" i="135" s="1"/>
  <c r="Y9" i="136"/>
  <c r="D18" i="135" s="1"/>
  <c r="O9" i="136"/>
  <c r="K9" i="136"/>
  <c r="V8" i="136"/>
  <c r="M8" i="136" s="1"/>
  <c r="U8" i="136"/>
  <c r="O8" i="136"/>
  <c r="K8" i="136"/>
  <c r="G8" i="136"/>
  <c r="X7" i="136"/>
  <c r="W7" i="136"/>
  <c r="V7" i="136"/>
  <c r="M7" i="136" s="1"/>
  <c r="U7" i="136"/>
  <c r="O7" i="136"/>
  <c r="K7" i="136"/>
  <c r="G7" i="136"/>
  <c r="F1" i="136" s="1"/>
  <c r="AF6" i="136"/>
  <c r="V6" i="136"/>
  <c r="U6" i="136"/>
  <c r="O6" i="136"/>
  <c r="M6" i="136"/>
  <c r="AE6" i="136" s="1"/>
  <c r="K6" i="136"/>
  <c r="G6" i="136"/>
  <c r="V5" i="136"/>
  <c r="M5" i="136" s="1"/>
  <c r="O5" i="136"/>
  <c r="K5" i="136"/>
  <c r="G5" i="136"/>
  <c r="H2" i="136"/>
  <c r="H1" i="136"/>
  <c r="D1" i="136"/>
  <c r="M22" i="135"/>
  <c r="L22" i="135"/>
  <c r="K22" i="135"/>
  <c r="J22" i="135"/>
  <c r="I22" i="135"/>
  <c r="H22" i="135"/>
  <c r="G22" i="135"/>
  <c r="F22" i="135"/>
  <c r="E22" i="135"/>
  <c r="D22" i="135"/>
  <c r="M21" i="135"/>
  <c r="I21" i="135"/>
  <c r="H21" i="135"/>
  <c r="G21" i="135"/>
  <c r="F21" i="135"/>
  <c r="E21" i="135"/>
  <c r="D21" i="135"/>
  <c r="M20" i="135"/>
  <c r="L20" i="135"/>
  <c r="K20" i="135"/>
  <c r="J20" i="135"/>
  <c r="I20" i="135"/>
  <c r="H20" i="135"/>
  <c r="G20" i="135"/>
  <c r="F20" i="135"/>
  <c r="E20" i="135"/>
  <c r="D20" i="135"/>
  <c r="M19" i="135"/>
  <c r="J19" i="135"/>
  <c r="I19" i="135"/>
  <c r="H19" i="135"/>
  <c r="G19" i="135"/>
  <c r="F19" i="135"/>
  <c r="E19" i="135"/>
  <c r="D19" i="135"/>
  <c r="M18" i="135"/>
  <c r="L18" i="135"/>
  <c r="K18" i="135"/>
  <c r="J18" i="135"/>
  <c r="I18" i="135"/>
  <c r="G18" i="135"/>
  <c r="E18" i="135"/>
  <c r="M17" i="135"/>
  <c r="L17" i="135"/>
  <c r="K17" i="135"/>
  <c r="J17" i="135"/>
  <c r="I17" i="135"/>
  <c r="H17" i="135"/>
  <c r="G17" i="135"/>
  <c r="F17" i="135"/>
  <c r="E17" i="135"/>
  <c r="D17" i="135"/>
  <c r="M16" i="135"/>
  <c r="L16" i="135"/>
  <c r="K16" i="135"/>
  <c r="J16" i="135"/>
  <c r="I16" i="135"/>
  <c r="H16" i="135"/>
  <c r="G16" i="135"/>
  <c r="F16" i="135"/>
  <c r="E16" i="135"/>
  <c r="D16" i="135"/>
  <c r="M13" i="135"/>
  <c r="K13" i="135"/>
  <c r="J13" i="135"/>
  <c r="I13" i="135"/>
  <c r="H13" i="135"/>
  <c r="G13" i="135"/>
  <c r="F13" i="135"/>
  <c r="E13" i="135"/>
  <c r="D13" i="135"/>
  <c r="G6" i="135" s="1"/>
  <c r="M6" i="135"/>
  <c r="F3" i="135"/>
  <c r="C3" i="135"/>
  <c r="G8" i="143" l="1"/>
  <c r="F8" i="143"/>
  <c r="E8" i="143"/>
  <c r="D15" i="141"/>
  <c r="G7" i="141"/>
  <c r="F7" i="141"/>
  <c r="E7" i="141"/>
  <c r="K15" i="141"/>
  <c r="I8" i="141" s="1"/>
  <c r="I7" i="141"/>
  <c r="L14" i="139"/>
  <c r="L15" i="139" s="1"/>
  <c r="Q43" i="140"/>
  <c r="R36" i="140" s="1"/>
  <c r="P43" i="140"/>
  <c r="Q56" i="140"/>
  <c r="R48" i="140" s="1"/>
  <c r="I14" i="139"/>
  <c r="I15" i="139" s="1"/>
  <c r="P56" i="140"/>
  <c r="Q35" i="140"/>
  <c r="R28" i="140" s="1"/>
  <c r="K14" i="139"/>
  <c r="P35" i="140"/>
  <c r="Q27" i="140"/>
  <c r="R20" i="140" s="1"/>
  <c r="G14" i="139"/>
  <c r="G15" i="139" s="1"/>
  <c r="P27" i="140"/>
  <c r="F14" i="139"/>
  <c r="F15" i="139" s="1"/>
  <c r="Q19" i="140"/>
  <c r="R12" i="140" s="1"/>
  <c r="P19" i="140"/>
  <c r="Q72" i="140"/>
  <c r="R63" i="140" s="1"/>
  <c r="P72" i="140"/>
  <c r="M14" i="139"/>
  <c r="M15" i="139" s="1"/>
  <c r="Q62" i="140"/>
  <c r="R57" i="140" s="1"/>
  <c r="P62" i="140"/>
  <c r="J14" i="139"/>
  <c r="J15" i="139" s="1"/>
  <c r="D14" i="139"/>
  <c r="P8" i="140"/>
  <c r="Q8" i="140"/>
  <c r="R5" i="140" s="1"/>
  <c r="D2" i="140"/>
  <c r="Q11" i="140"/>
  <c r="R9" i="140" s="1"/>
  <c r="P11" i="140"/>
  <c r="E14" i="139"/>
  <c r="E15" i="139" s="1"/>
  <c r="E14" i="137"/>
  <c r="E15" i="137" s="1"/>
  <c r="Q11" i="138"/>
  <c r="R9" i="138" s="1"/>
  <c r="P11" i="138"/>
  <c r="P72" i="138"/>
  <c r="Q72" i="138"/>
  <c r="P40" i="138"/>
  <c r="Q40" i="138"/>
  <c r="P56" i="138"/>
  <c r="Q56" i="138"/>
  <c r="D2" i="138"/>
  <c r="Q37" i="138"/>
  <c r="P37" i="138"/>
  <c r="P12" i="138"/>
  <c r="Q12" i="138"/>
  <c r="Q21" i="138"/>
  <c r="P21" i="138"/>
  <c r="P7" i="138"/>
  <c r="Q7" i="138"/>
  <c r="P33" i="138"/>
  <c r="Q33" i="138"/>
  <c r="Q32" i="138"/>
  <c r="P32" i="138"/>
  <c r="P65" i="138"/>
  <c r="Q65" i="138"/>
  <c r="P47" i="138"/>
  <c r="Q47" i="138"/>
  <c r="P28" i="138"/>
  <c r="Q28" i="138"/>
  <c r="Q35" i="138"/>
  <c r="P35" i="138"/>
  <c r="Q46" i="138"/>
  <c r="P46" i="138"/>
  <c r="I7" i="137"/>
  <c r="K15" i="137"/>
  <c r="I8" i="137" s="1"/>
  <c r="Q43" i="138"/>
  <c r="P43" i="138"/>
  <c r="AE64" i="138"/>
  <c r="N64" i="138"/>
  <c r="N58" i="138"/>
  <c r="AE58" i="138"/>
  <c r="N49" i="138"/>
  <c r="AE49" i="138"/>
  <c r="AE27" i="138"/>
  <c r="N27" i="138"/>
  <c r="AE25" i="136"/>
  <c r="AF25" i="136"/>
  <c r="N25" i="136"/>
  <c r="AF49" i="136"/>
  <c r="AE49" i="136"/>
  <c r="M51" i="136"/>
  <c r="N49" i="136"/>
  <c r="AF39" i="136"/>
  <c r="AE39" i="136"/>
  <c r="N39" i="136"/>
  <c r="M47" i="136"/>
  <c r="N61" i="136"/>
  <c r="M66" i="136"/>
  <c r="AF61" i="136"/>
  <c r="AE61" i="136"/>
  <c r="AF68" i="136"/>
  <c r="AE68" i="136"/>
  <c r="N68" i="136"/>
  <c r="AF26" i="136"/>
  <c r="AE26" i="136"/>
  <c r="N26" i="136"/>
  <c r="N43" i="136"/>
  <c r="AF43" i="136"/>
  <c r="AE43" i="136"/>
  <c r="N75" i="136"/>
  <c r="AF75" i="136"/>
  <c r="AE75" i="136"/>
  <c r="N15" i="136"/>
  <c r="AF15" i="136"/>
  <c r="AE15" i="136"/>
  <c r="N50" i="136"/>
  <c r="AF50" i="136"/>
  <c r="AE50" i="136"/>
  <c r="AF42" i="136"/>
  <c r="AE42" i="136"/>
  <c r="N42" i="136"/>
  <c r="AF35" i="136"/>
  <c r="AE35" i="136"/>
  <c r="N35" i="136"/>
  <c r="N57" i="136"/>
  <c r="AF57" i="136"/>
  <c r="AE57" i="136"/>
  <c r="AF72" i="136"/>
  <c r="AE72" i="136"/>
  <c r="N72" i="136"/>
  <c r="AF19" i="136"/>
  <c r="AE19" i="136"/>
  <c r="N19" i="136"/>
  <c r="N36" i="136"/>
  <c r="AF36" i="136"/>
  <c r="AE36" i="136"/>
  <c r="AF54" i="136"/>
  <c r="AE54" i="136"/>
  <c r="N54" i="136"/>
  <c r="AF65" i="136"/>
  <c r="AE65" i="136"/>
  <c r="N65" i="136"/>
  <c r="N8" i="136"/>
  <c r="AF8" i="136"/>
  <c r="AE8" i="136"/>
  <c r="AF33" i="136"/>
  <c r="AE33" i="136"/>
  <c r="N33" i="136"/>
  <c r="AF5" i="136"/>
  <c r="AE5" i="136"/>
  <c r="M9" i="136"/>
  <c r="N5" i="136"/>
  <c r="AF30" i="136"/>
  <c r="M38" i="136"/>
  <c r="AE30" i="136"/>
  <c r="N30" i="136"/>
  <c r="AF76" i="136"/>
  <c r="AE76" i="136"/>
  <c r="N76" i="136"/>
  <c r="N59" i="136"/>
  <c r="AF59" i="136"/>
  <c r="AE59" i="136"/>
  <c r="AF28" i="136"/>
  <c r="AE28" i="136"/>
  <c r="N28" i="136"/>
  <c r="AF7" i="136"/>
  <c r="AE7" i="136"/>
  <c r="N7" i="136"/>
  <c r="N73" i="136"/>
  <c r="AF73" i="136"/>
  <c r="AE73" i="136"/>
  <c r="N13" i="136"/>
  <c r="M21" i="136"/>
  <c r="AF13" i="136"/>
  <c r="AE13" i="136"/>
  <c r="N24" i="136"/>
  <c r="AF24" i="136"/>
  <c r="AE24" i="136"/>
  <c r="N41" i="136"/>
  <c r="AF41" i="136"/>
  <c r="AE41" i="136"/>
  <c r="N52" i="136"/>
  <c r="M60" i="136"/>
  <c r="AF52" i="136"/>
  <c r="AE52" i="136"/>
  <c r="AF63" i="136"/>
  <c r="AE63" i="136"/>
  <c r="N63" i="136"/>
  <c r="AF70" i="136"/>
  <c r="AE70" i="136"/>
  <c r="N70" i="136"/>
  <c r="AF77" i="136"/>
  <c r="AE77" i="136"/>
  <c r="N77" i="136"/>
  <c r="N22" i="136"/>
  <c r="M29" i="136"/>
  <c r="AF22" i="136"/>
  <c r="AE22" i="136"/>
  <c r="AE16" i="136"/>
  <c r="AF16" i="136"/>
  <c r="N16" i="136"/>
  <c r="P34" i="136"/>
  <c r="Q34" i="136"/>
  <c r="AF44" i="136"/>
  <c r="AE44" i="136"/>
  <c r="N44" i="136"/>
  <c r="AF17" i="136"/>
  <c r="AE17" i="136"/>
  <c r="N17" i="136"/>
  <c r="AF31" i="136"/>
  <c r="AE31" i="136"/>
  <c r="N31" i="136"/>
  <c r="AF67" i="136"/>
  <c r="AE67" i="136"/>
  <c r="M78" i="136"/>
  <c r="N67" i="136"/>
  <c r="AF58" i="136"/>
  <c r="AE58" i="136"/>
  <c r="N58" i="136"/>
  <c r="AF40" i="136"/>
  <c r="AE40" i="136"/>
  <c r="N40" i="136"/>
  <c r="I3" i="135"/>
  <c r="F2" i="136"/>
  <c r="N10" i="136"/>
  <c r="AF10" i="136"/>
  <c r="AE10" i="136"/>
  <c r="M12" i="136"/>
  <c r="AF45" i="136"/>
  <c r="AE45" i="136"/>
  <c r="N45" i="136"/>
  <c r="AF56" i="136"/>
  <c r="AE56" i="136"/>
  <c r="N56" i="136"/>
  <c r="E6" i="135"/>
  <c r="F6" i="135"/>
  <c r="N14" i="136"/>
  <c r="N23" i="136"/>
  <c r="N37" i="136"/>
  <c r="N74" i="136"/>
  <c r="N46" i="136"/>
  <c r="N6" i="136"/>
  <c r="N11" i="136"/>
  <c r="AE14" i="136"/>
  <c r="P18" i="136"/>
  <c r="N20" i="136"/>
  <c r="AE23" i="136"/>
  <c r="P27" i="136"/>
  <c r="P32" i="136"/>
  <c r="P53" i="136"/>
  <c r="N55" i="136"/>
  <c r="P62" i="136"/>
  <c r="N64" i="136"/>
  <c r="P69" i="136"/>
  <c r="N71" i="136"/>
  <c r="AE37" i="136"/>
  <c r="AE74" i="136"/>
  <c r="P48" i="136"/>
  <c r="AE18" i="136"/>
  <c r="AE32" i="136"/>
  <c r="AE53" i="136"/>
  <c r="AE62" i="136"/>
  <c r="AE69" i="136"/>
  <c r="Y2" i="136"/>
  <c r="K6" i="135" s="1"/>
  <c r="AE46" i="136"/>
  <c r="F8" i="141" l="1"/>
  <c r="G8" i="141"/>
  <c r="E8" i="141"/>
  <c r="K15" i="139"/>
  <c r="I8" i="139" s="1"/>
  <c r="I7" i="139"/>
  <c r="D15" i="139"/>
  <c r="G7" i="139"/>
  <c r="F7" i="139"/>
  <c r="E7" i="139"/>
  <c r="G14" i="137"/>
  <c r="G15" i="137" s="1"/>
  <c r="F8" i="137" s="1"/>
  <c r="P27" i="138"/>
  <c r="Q27" i="138"/>
  <c r="R20" i="138" s="1"/>
  <c r="H14" i="137"/>
  <c r="H15" i="137" s="1"/>
  <c r="P49" i="138"/>
  <c r="Q49" i="138"/>
  <c r="R46" i="138" s="1"/>
  <c r="I14" i="137"/>
  <c r="I15" i="137" s="1"/>
  <c r="Q58" i="138"/>
  <c r="R50" i="138" s="1"/>
  <c r="P58" i="138"/>
  <c r="P64" i="138"/>
  <c r="J14" i="137"/>
  <c r="J15" i="137" s="1"/>
  <c r="Q64" i="138"/>
  <c r="R59" i="138" s="1"/>
  <c r="Q10" i="136"/>
  <c r="P10" i="136"/>
  <c r="Q28" i="136"/>
  <c r="P28" i="136"/>
  <c r="Q35" i="136"/>
  <c r="P35" i="136"/>
  <c r="P6" i="136"/>
  <c r="Q6" i="136"/>
  <c r="Q54" i="136"/>
  <c r="P54" i="136"/>
  <c r="Q24" i="136"/>
  <c r="P24" i="136"/>
  <c r="Q56" i="136"/>
  <c r="P56" i="136"/>
  <c r="P36" i="136"/>
  <c r="Q36" i="136"/>
  <c r="P64" i="136"/>
  <c r="Q64" i="136"/>
  <c r="AF21" i="136"/>
  <c r="AG13" i="136" s="1"/>
  <c r="AE21" i="136"/>
  <c r="N21" i="136"/>
  <c r="Q19" i="136"/>
  <c r="P19" i="136"/>
  <c r="Q15" i="136"/>
  <c r="P15" i="136"/>
  <c r="P20" i="136"/>
  <c r="Q20" i="136"/>
  <c r="Q44" i="136"/>
  <c r="P44" i="136"/>
  <c r="P11" i="136"/>
  <c r="Q11" i="136"/>
  <c r="AF60" i="136"/>
  <c r="AG52" i="136" s="1"/>
  <c r="AE60" i="136"/>
  <c r="N60" i="136"/>
  <c r="P16" i="136"/>
  <c r="Q16" i="136"/>
  <c r="P74" i="136"/>
  <c r="Q74" i="136"/>
  <c r="Q37" i="136"/>
  <c r="P37" i="136"/>
  <c r="Q41" i="136"/>
  <c r="P41" i="136"/>
  <c r="N66" i="136"/>
  <c r="AF66" i="136"/>
  <c r="AG61" i="136" s="1"/>
  <c r="AE66" i="136"/>
  <c r="AF47" i="136"/>
  <c r="AG39" i="136" s="1"/>
  <c r="AE47" i="136"/>
  <c r="N47" i="136"/>
  <c r="Q22" i="136"/>
  <c r="P22" i="136"/>
  <c r="N38" i="136"/>
  <c r="AF38" i="136"/>
  <c r="AG30" i="136" s="1"/>
  <c r="AE38" i="136"/>
  <c r="Q31" i="136"/>
  <c r="P31" i="136"/>
  <c r="Q13" i="136"/>
  <c r="P13" i="136"/>
  <c r="Q5" i="136"/>
  <c r="P5" i="136"/>
  <c r="Q49" i="136"/>
  <c r="P49" i="136"/>
  <c r="Q57" i="136"/>
  <c r="P57" i="136"/>
  <c r="Q68" i="136"/>
  <c r="P68" i="136"/>
  <c r="Q52" i="136"/>
  <c r="P52" i="136"/>
  <c r="Q42" i="136"/>
  <c r="P42" i="136"/>
  <c r="Q23" i="136"/>
  <c r="P23" i="136"/>
  <c r="P50" i="136"/>
  <c r="Q50" i="136"/>
  <c r="AF9" i="136"/>
  <c r="AG5" i="136" s="1"/>
  <c r="AE9" i="136"/>
  <c r="N9" i="136"/>
  <c r="AF51" i="136"/>
  <c r="AG48" i="136" s="1"/>
  <c r="AE51" i="136"/>
  <c r="N51" i="136"/>
  <c r="Q40" i="136"/>
  <c r="P40" i="136"/>
  <c r="Q65" i="136"/>
  <c r="P65" i="136"/>
  <c r="Q76" i="136"/>
  <c r="P76" i="136"/>
  <c r="Q14" i="136"/>
  <c r="P14" i="136"/>
  <c r="Q67" i="136"/>
  <c r="P67" i="136"/>
  <c r="P71" i="136"/>
  <c r="Q71" i="136"/>
  <c r="Q77" i="136"/>
  <c r="P77" i="136"/>
  <c r="P55" i="136"/>
  <c r="Q55" i="136"/>
  <c r="Q45" i="136"/>
  <c r="P45" i="136"/>
  <c r="Q70" i="136"/>
  <c r="P70" i="136"/>
  <c r="Q72" i="136"/>
  <c r="P72" i="136"/>
  <c r="Q75" i="136"/>
  <c r="P75" i="136"/>
  <c r="Q26" i="136"/>
  <c r="P26" i="136"/>
  <c r="P8" i="136"/>
  <c r="Q8" i="136"/>
  <c r="Q46" i="136"/>
  <c r="P46" i="136"/>
  <c r="P59" i="136"/>
  <c r="Q59" i="136"/>
  <c r="Q58" i="136"/>
  <c r="P58" i="136"/>
  <c r="Q61" i="136"/>
  <c r="P61" i="136"/>
  <c r="N29" i="136"/>
  <c r="AF29" i="136"/>
  <c r="AG22" i="136" s="1"/>
  <c r="AE29" i="136"/>
  <c r="Q30" i="136"/>
  <c r="P30" i="136"/>
  <c r="AF78" i="136"/>
  <c r="AG67" i="136" s="1"/>
  <c r="AE78" i="136"/>
  <c r="N78" i="136"/>
  <c r="Q39" i="136"/>
  <c r="P39" i="136"/>
  <c r="Q17" i="136"/>
  <c r="P17" i="136"/>
  <c r="Q73" i="136"/>
  <c r="P73" i="136"/>
  <c r="AF12" i="136"/>
  <c r="AG10" i="136" s="1"/>
  <c r="AE12" i="136"/>
  <c r="N12" i="136"/>
  <c r="Q63" i="136"/>
  <c r="P63" i="136"/>
  <c r="Q7" i="136"/>
  <c r="P7" i="136"/>
  <c r="Q33" i="136"/>
  <c r="P33" i="136"/>
  <c r="P25" i="136"/>
  <c r="Q25" i="136"/>
  <c r="P43" i="136"/>
  <c r="Q43" i="136"/>
  <c r="G8" i="139" l="1"/>
  <c r="F8" i="139"/>
  <c r="E8" i="139"/>
  <c r="E7" i="137"/>
  <c r="G7" i="137"/>
  <c r="F7" i="137"/>
  <c r="E8" i="137"/>
  <c r="G8" i="137"/>
  <c r="Q51" i="136"/>
  <c r="R48" i="136" s="1"/>
  <c r="P51" i="136"/>
  <c r="H14" i="135"/>
  <c r="H15" i="135" s="1"/>
  <c r="Q29" i="136"/>
  <c r="R22" i="136" s="1"/>
  <c r="P29" i="136"/>
  <c r="G14" i="135"/>
  <c r="G15" i="135" s="1"/>
  <c r="K14" i="135"/>
  <c r="Q38" i="136"/>
  <c r="R30" i="136" s="1"/>
  <c r="P38" i="136"/>
  <c r="L14" i="135"/>
  <c r="L15" i="135" s="1"/>
  <c r="Q47" i="136"/>
  <c r="R39" i="136" s="1"/>
  <c r="P47" i="136"/>
  <c r="Q60" i="136"/>
  <c r="R52" i="136" s="1"/>
  <c r="P60" i="136"/>
  <c r="I14" i="135"/>
  <c r="I15" i="135" s="1"/>
  <c r="Q12" i="136"/>
  <c r="R10" i="136" s="1"/>
  <c r="P12" i="136"/>
  <c r="E14" i="135"/>
  <c r="E15" i="135" s="1"/>
  <c r="Q21" i="136"/>
  <c r="R13" i="136" s="1"/>
  <c r="P21" i="136"/>
  <c r="F14" i="135"/>
  <c r="F15" i="135" s="1"/>
  <c r="D14" i="135"/>
  <c r="D2" i="136"/>
  <c r="Q9" i="136"/>
  <c r="R5" i="136" s="1"/>
  <c r="P9" i="136"/>
  <c r="Q78" i="136"/>
  <c r="R67" i="136" s="1"/>
  <c r="P78" i="136"/>
  <c r="M14" i="135"/>
  <c r="M15" i="135" s="1"/>
  <c r="Q66" i="136"/>
  <c r="R61" i="136" s="1"/>
  <c r="P66" i="136"/>
  <c r="J14" i="135"/>
  <c r="J15" i="135" s="1"/>
  <c r="K15" i="135" l="1"/>
  <c r="I8" i="135" s="1"/>
  <c r="I7" i="135"/>
  <c r="G7" i="135"/>
  <c r="F7" i="135"/>
  <c r="E7" i="135"/>
  <c r="D15" i="135"/>
  <c r="E8" i="135" l="1"/>
  <c r="G8" i="135"/>
  <c r="F8" i="135"/>
  <c r="AD80" i="134" l="1"/>
  <c r="Z80" i="134"/>
  <c r="M19" i="133" s="1"/>
  <c r="Y80" i="134"/>
  <c r="O80" i="134"/>
  <c r="K80" i="134"/>
  <c r="M13" i="133" s="1"/>
  <c r="V79" i="134"/>
  <c r="U79" i="134"/>
  <c r="O79" i="134"/>
  <c r="M79" i="134"/>
  <c r="N79" i="134" s="1"/>
  <c r="K79" i="134"/>
  <c r="G79" i="134"/>
  <c r="V78" i="134"/>
  <c r="U78" i="134"/>
  <c r="O78" i="134"/>
  <c r="N78" i="134"/>
  <c r="M78" i="134"/>
  <c r="AE78" i="134" s="1"/>
  <c r="K78" i="134"/>
  <c r="Q78" i="134" s="1"/>
  <c r="G78" i="134"/>
  <c r="AF77" i="134"/>
  <c r="V77" i="134"/>
  <c r="M77" i="134" s="1"/>
  <c r="U77" i="134"/>
  <c r="O77" i="134"/>
  <c r="K77" i="134"/>
  <c r="G77" i="134"/>
  <c r="V76" i="134"/>
  <c r="U76" i="134"/>
  <c r="O76" i="134"/>
  <c r="M76" i="134"/>
  <c r="AF76" i="134" s="1"/>
  <c r="K76" i="134"/>
  <c r="G76" i="134"/>
  <c r="X75" i="134"/>
  <c r="W75" i="134"/>
  <c r="V75" i="134"/>
  <c r="U75" i="134"/>
  <c r="O75" i="134"/>
  <c r="M75" i="134"/>
  <c r="K75" i="134"/>
  <c r="G75" i="134"/>
  <c r="V74" i="134"/>
  <c r="U74" i="134"/>
  <c r="O74" i="134"/>
  <c r="M74" i="134"/>
  <c r="AF74" i="134" s="1"/>
  <c r="K74" i="134"/>
  <c r="G74" i="134"/>
  <c r="AF73" i="134"/>
  <c r="V73" i="134"/>
  <c r="U73" i="134"/>
  <c r="O73" i="134"/>
  <c r="N73" i="134"/>
  <c r="M73" i="134"/>
  <c r="AE73" i="134" s="1"/>
  <c r="K73" i="134"/>
  <c r="G73" i="134"/>
  <c r="V72" i="134"/>
  <c r="M72" i="134" s="1"/>
  <c r="U72" i="134"/>
  <c r="O72" i="134"/>
  <c r="K72" i="134"/>
  <c r="G72" i="134"/>
  <c r="V71" i="134"/>
  <c r="U71" i="134"/>
  <c r="O71" i="134"/>
  <c r="M71" i="134"/>
  <c r="AF71" i="134" s="1"/>
  <c r="K71" i="134"/>
  <c r="G71" i="134"/>
  <c r="AF70" i="134"/>
  <c r="AE70" i="134"/>
  <c r="V70" i="134"/>
  <c r="M70" i="134" s="1"/>
  <c r="N70" i="134" s="1"/>
  <c r="U70" i="134"/>
  <c r="O70" i="134"/>
  <c r="K70" i="134"/>
  <c r="G70" i="134"/>
  <c r="AE69" i="134"/>
  <c r="X69" i="134"/>
  <c r="W69" i="134"/>
  <c r="V69" i="134"/>
  <c r="O69" i="134"/>
  <c r="N69" i="134"/>
  <c r="Q69" i="134" s="1"/>
  <c r="M69" i="134"/>
  <c r="AF69" i="134" s="1"/>
  <c r="K69" i="134"/>
  <c r="G69" i="134"/>
  <c r="AE68" i="134"/>
  <c r="AD68" i="134"/>
  <c r="J21" i="133" s="1"/>
  <c r="Z68" i="134"/>
  <c r="Y68" i="134"/>
  <c r="O68" i="134"/>
  <c r="M68" i="134"/>
  <c r="AF68" i="134" s="1"/>
  <c r="K68" i="134"/>
  <c r="V67" i="134"/>
  <c r="U67" i="134"/>
  <c r="O67" i="134"/>
  <c r="M67" i="134"/>
  <c r="AF67" i="134" s="1"/>
  <c r="K67" i="134"/>
  <c r="G67" i="134"/>
  <c r="AF66" i="134"/>
  <c r="V66" i="134"/>
  <c r="U66" i="134"/>
  <c r="O66" i="134"/>
  <c r="N66" i="134"/>
  <c r="M66" i="134"/>
  <c r="AE66" i="134" s="1"/>
  <c r="K66" i="134"/>
  <c r="G66" i="134"/>
  <c r="V65" i="134"/>
  <c r="U65" i="134"/>
  <c r="O65" i="134"/>
  <c r="M65" i="134"/>
  <c r="K65" i="134"/>
  <c r="G65" i="134"/>
  <c r="V64" i="134"/>
  <c r="U64" i="134"/>
  <c r="O64" i="134"/>
  <c r="M64" i="134"/>
  <c r="AF64" i="134" s="1"/>
  <c r="K64" i="134"/>
  <c r="G64" i="134"/>
  <c r="AG63" i="134"/>
  <c r="AF63" i="134"/>
  <c r="V63" i="134"/>
  <c r="M63" i="134" s="1"/>
  <c r="O63" i="134"/>
  <c r="K63" i="134"/>
  <c r="G63" i="134"/>
  <c r="AD62" i="134"/>
  <c r="Z62" i="134"/>
  <c r="Y62" i="134"/>
  <c r="O62" i="134"/>
  <c r="K62" i="134"/>
  <c r="V61" i="134"/>
  <c r="M61" i="134" s="1"/>
  <c r="U61" i="134"/>
  <c r="O61" i="134"/>
  <c r="K61" i="134"/>
  <c r="G61" i="134"/>
  <c r="AF60" i="134"/>
  <c r="X60" i="134"/>
  <c r="W60" i="134"/>
  <c r="V60" i="134"/>
  <c r="U60" i="134"/>
  <c r="O60" i="134"/>
  <c r="M60" i="134"/>
  <c r="AE60" i="134" s="1"/>
  <c r="K60" i="134"/>
  <c r="G60" i="134"/>
  <c r="AF59" i="134"/>
  <c r="V59" i="134"/>
  <c r="U59" i="134"/>
  <c r="O59" i="134"/>
  <c r="N59" i="134"/>
  <c r="M59" i="134"/>
  <c r="AE59" i="134" s="1"/>
  <c r="K59" i="134"/>
  <c r="G59" i="134"/>
  <c r="V58" i="134"/>
  <c r="M58" i="134" s="1"/>
  <c r="U58" i="134"/>
  <c r="O58" i="134"/>
  <c r="K58" i="134"/>
  <c r="G58" i="134"/>
  <c r="V57" i="134"/>
  <c r="U57" i="134"/>
  <c r="O57" i="134"/>
  <c r="M57" i="134"/>
  <c r="AF57" i="134" s="1"/>
  <c r="K57" i="134"/>
  <c r="G57" i="134"/>
  <c r="V56" i="134"/>
  <c r="M56" i="134" s="1"/>
  <c r="AE56" i="134" s="1"/>
  <c r="U56" i="134"/>
  <c r="O56" i="134"/>
  <c r="K56" i="134"/>
  <c r="G56" i="134"/>
  <c r="V55" i="134"/>
  <c r="M55" i="134" s="1"/>
  <c r="U55" i="134"/>
  <c r="O55" i="134"/>
  <c r="K55" i="134"/>
  <c r="G55" i="134"/>
  <c r="V54" i="134"/>
  <c r="M54" i="134" s="1"/>
  <c r="M62" i="134" s="1"/>
  <c r="U54" i="134"/>
  <c r="O54" i="134"/>
  <c r="K54" i="134"/>
  <c r="G54" i="134"/>
  <c r="AF53" i="134"/>
  <c r="V53" i="134"/>
  <c r="O53" i="134"/>
  <c r="N53" i="134"/>
  <c r="Q53" i="134" s="1"/>
  <c r="M53" i="134"/>
  <c r="AE53" i="134" s="1"/>
  <c r="K53" i="134"/>
  <c r="G53" i="134"/>
  <c r="AD52" i="134"/>
  <c r="Z52" i="134"/>
  <c r="Y52" i="134"/>
  <c r="O52" i="134"/>
  <c r="K52" i="134"/>
  <c r="V51" i="134"/>
  <c r="U51" i="134"/>
  <c r="O51" i="134"/>
  <c r="M51" i="134"/>
  <c r="AF51" i="134" s="1"/>
  <c r="K51" i="134"/>
  <c r="G51" i="134"/>
  <c r="AF50" i="134"/>
  <c r="X50" i="134"/>
  <c r="W50" i="134"/>
  <c r="V50" i="134"/>
  <c r="U50" i="134"/>
  <c r="O50" i="134"/>
  <c r="M50" i="134"/>
  <c r="AE50" i="134" s="1"/>
  <c r="K50" i="134"/>
  <c r="G50" i="134"/>
  <c r="V49" i="134"/>
  <c r="M49" i="134" s="1"/>
  <c r="AF49" i="134" s="1"/>
  <c r="U49" i="134"/>
  <c r="O49" i="134"/>
  <c r="N49" i="134"/>
  <c r="K49" i="134"/>
  <c r="G49" i="134"/>
  <c r="V48" i="134"/>
  <c r="M48" i="134" s="1"/>
  <c r="O48" i="134"/>
  <c r="K48" i="134"/>
  <c r="G48" i="134"/>
  <c r="AD47" i="134"/>
  <c r="L21" i="133" s="1"/>
  <c r="Z47" i="134"/>
  <c r="L19" i="133" s="1"/>
  <c r="Y47" i="134"/>
  <c r="O47" i="134"/>
  <c r="K47" i="134"/>
  <c r="L13" i="133" s="1"/>
  <c r="AF46" i="134"/>
  <c r="V46" i="134"/>
  <c r="U46" i="134"/>
  <c r="O46" i="134"/>
  <c r="N46" i="134"/>
  <c r="Q46" i="134" s="1"/>
  <c r="M46" i="134"/>
  <c r="AE46" i="134" s="1"/>
  <c r="K46" i="134"/>
  <c r="G46" i="134"/>
  <c r="V45" i="134"/>
  <c r="M45" i="134" s="1"/>
  <c r="U45" i="134"/>
  <c r="O45" i="134"/>
  <c r="K45" i="134"/>
  <c r="G45" i="134"/>
  <c r="V44" i="134"/>
  <c r="U44" i="134"/>
  <c r="O44" i="134"/>
  <c r="M44" i="134"/>
  <c r="AF44" i="134" s="1"/>
  <c r="K44" i="134"/>
  <c r="G44" i="134"/>
  <c r="AF43" i="134"/>
  <c r="V43" i="134"/>
  <c r="U43" i="134"/>
  <c r="O43" i="134"/>
  <c r="N43" i="134"/>
  <c r="M43" i="134"/>
  <c r="AE43" i="134" s="1"/>
  <c r="K43" i="134"/>
  <c r="G43" i="134"/>
  <c r="V42" i="134"/>
  <c r="M42" i="134" s="1"/>
  <c r="U42" i="134"/>
  <c r="O42" i="134"/>
  <c r="K42" i="134"/>
  <c r="G42" i="134"/>
  <c r="V41" i="134"/>
  <c r="U41" i="134"/>
  <c r="O41" i="134"/>
  <c r="M41" i="134"/>
  <c r="AF41" i="134" s="1"/>
  <c r="K41" i="134"/>
  <c r="G41" i="134"/>
  <c r="V40" i="134"/>
  <c r="M40" i="134" s="1"/>
  <c r="AF40" i="134" s="1"/>
  <c r="U40" i="134"/>
  <c r="O40" i="134"/>
  <c r="K40" i="134"/>
  <c r="G40" i="134"/>
  <c r="V39" i="134"/>
  <c r="M39" i="134" s="1"/>
  <c r="U39" i="134"/>
  <c r="O39" i="134"/>
  <c r="K39" i="134"/>
  <c r="G39" i="134"/>
  <c r="X38" i="134"/>
  <c r="W38" i="134"/>
  <c r="V38" i="134"/>
  <c r="O38" i="134"/>
  <c r="M38" i="134"/>
  <c r="K38" i="134"/>
  <c r="G38" i="134"/>
  <c r="AD37" i="134"/>
  <c r="K21" i="133" s="1"/>
  <c r="Z37" i="134"/>
  <c r="K19" i="133" s="1"/>
  <c r="Y37" i="134"/>
  <c r="K18" i="133" s="1"/>
  <c r="O37" i="134"/>
  <c r="K37" i="134"/>
  <c r="K13" i="133" s="1"/>
  <c r="I6" i="133" s="1"/>
  <c r="AF36" i="134"/>
  <c r="V36" i="134"/>
  <c r="U36" i="134"/>
  <c r="O36" i="134"/>
  <c r="N36" i="134"/>
  <c r="M36" i="134"/>
  <c r="AE36" i="134" s="1"/>
  <c r="K36" i="134"/>
  <c r="G36" i="134"/>
  <c r="V35" i="134"/>
  <c r="M35" i="134" s="1"/>
  <c r="U35" i="134"/>
  <c r="O35" i="134"/>
  <c r="K35" i="134"/>
  <c r="G35" i="134"/>
  <c r="V34" i="134"/>
  <c r="U34" i="134"/>
  <c r="O34" i="134"/>
  <c r="M34" i="134"/>
  <c r="AF34" i="134" s="1"/>
  <c r="K34" i="134"/>
  <c r="G34" i="134"/>
  <c r="AE33" i="134"/>
  <c r="V33" i="134"/>
  <c r="M33" i="134" s="1"/>
  <c r="AF33" i="134" s="1"/>
  <c r="U33" i="134"/>
  <c r="O33" i="134"/>
  <c r="N33" i="134"/>
  <c r="Q33" i="134" s="1"/>
  <c r="K33" i="134"/>
  <c r="G33" i="134"/>
  <c r="V32" i="134"/>
  <c r="U32" i="134"/>
  <c r="O32" i="134"/>
  <c r="M32" i="134"/>
  <c r="K32" i="134"/>
  <c r="G32" i="134"/>
  <c r="V31" i="134"/>
  <c r="M31" i="134" s="1"/>
  <c r="U31" i="134"/>
  <c r="O31" i="134"/>
  <c r="K31" i="134"/>
  <c r="G31" i="134"/>
  <c r="V30" i="134"/>
  <c r="U30" i="134"/>
  <c r="O30" i="134"/>
  <c r="M30" i="134"/>
  <c r="N30" i="134" s="1"/>
  <c r="K30" i="134"/>
  <c r="G30" i="134"/>
  <c r="AE29" i="134"/>
  <c r="V29" i="134"/>
  <c r="M29" i="134" s="1"/>
  <c r="U29" i="134"/>
  <c r="O29" i="134"/>
  <c r="K29" i="134"/>
  <c r="G29" i="134"/>
  <c r="X28" i="134"/>
  <c r="W28" i="134"/>
  <c r="V28" i="134"/>
  <c r="M28" i="134" s="1"/>
  <c r="O28" i="134"/>
  <c r="K28" i="134"/>
  <c r="G28" i="134"/>
  <c r="AD27" i="134"/>
  <c r="Z27" i="134"/>
  <c r="G19" i="133" s="1"/>
  <c r="Y27" i="134"/>
  <c r="G18" i="133" s="1"/>
  <c r="O27" i="134"/>
  <c r="K27" i="134"/>
  <c r="G13" i="133" s="1"/>
  <c r="V26" i="134"/>
  <c r="M26" i="134" s="1"/>
  <c r="N26" i="134" s="1"/>
  <c r="U26" i="134"/>
  <c r="O26" i="134"/>
  <c r="K26" i="134"/>
  <c r="G26" i="134"/>
  <c r="V25" i="134"/>
  <c r="U25" i="134"/>
  <c r="O25" i="134"/>
  <c r="M25" i="134"/>
  <c r="K25" i="134"/>
  <c r="G25" i="134"/>
  <c r="V24" i="134"/>
  <c r="M24" i="134" s="1"/>
  <c r="U24" i="134"/>
  <c r="O24" i="134"/>
  <c r="K24" i="134"/>
  <c r="G24" i="134"/>
  <c r="AF23" i="134"/>
  <c r="AE23" i="134"/>
  <c r="V23" i="134"/>
  <c r="U23" i="134"/>
  <c r="O23" i="134"/>
  <c r="N23" i="134"/>
  <c r="M23" i="134"/>
  <c r="K23" i="134"/>
  <c r="G23" i="134"/>
  <c r="V22" i="134"/>
  <c r="M22" i="134" s="1"/>
  <c r="U22" i="134"/>
  <c r="O22" i="134"/>
  <c r="K22" i="134"/>
  <c r="G22" i="134"/>
  <c r="V21" i="134"/>
  <c r="O21" i="134"/>
  <c r="M21" i="134"/>
  <c r="AF21" i="134" s="1"/>
  <c r="K21" i="134"/>
  <c r="G21" i="134"/>
  <c r="AD20" i="134"/>
  <c r="Z20" i="134"/>
  <c r="Y20" i="134"/>
  <c r="O20" i="134"/>
  <c r="K20" i="134"/>
  <c r="V19" i="134"/>
  <c r="M19" i="134" s="1"/>
  <c r="U19" i="134"/>
  <c r="O19" i="134"/>
  <c r="K19" i="134"/>
  <c r="G19" i="134"/>
  <c r="V18" i="134"/>
  <c r="U18" i="134"/>
  <c r="O18" i="134"/>
  <c r="M18" i="134"/>
  <c r="AF18" i="134" s="1"/>
  <c r="K18" i="134"/>
  <c r="G18" i="134"/>
  <c r="AE17" i="134"/>
  <c r="V17" i="134"/>
  <c r="M17" i="134" s="1"/>
  <c r="AF17" i="134" s="1"/>
  <c r="U17" i="134"/>
  <c r="O17" i="134"/>
  <c r="N17" i="134"/>
  <c r="Q17" i="134" s="1"/>
  <c r="K17" i="134"/>
  <c r="G17" i="134"/>
  <c r="V16" i="134"/>
  <c r="U16" i="134"/>
  <c r="O16" i="134"/>
  <c r="M16" i="134"/>
  <c r="K16" i="134"/>
  <c r="G16" i="134"/>
  <c r="V15" i="134"/>
  <c r="M15" i="134" s="1"/>
  <c r="U15" i="134"/>
  <c r="O15" i="134"/>
  <c r="K15" i="134"/>
  <c r="G15" i="134"/>
  <c r="V14" i="134"/>
  <c r="U14" i="134"/>
  <c r="O14" i="134"/>
  <c r="M14" i="134"/>
  <c r="AF14" i="134" s="1"/>
  <c r="K14" i="134"/>
  <c r="G14" i="134"/>
  <c r="AF13" i="134"/>
  <c r="V13" i="134"/>
  <c r="O13" i="134"/>
  <c r="M13" i="134"/>
  <c r="AE13" i="134" s="1"/>
  <c r="K13" i="134"/>
  <c r="G13" i="134"/>
  <c r="AD12" i="134"/>
  <c r="Z12" i="134"/>
  <c r="E19" i="133" s="1"/>
  <c r="Y12" i="134"/>
  <c r="O12" i="134"/>
  <c r="K12" i="134"/>
  <c r="AF11" i="134"/>
  <c r="V11" i="134"/>
  <c r="U11" i="134"/>
  <c r="O11" i="134"/>
  <c r="N11" i="134"/>
  <c r="M11" i="134"/>
  <c r="AE11" i="134" s="1"/>
  <c r="K11" i="134"/>
  <c r="G11" i="134"/>
  <c r="AE10" i="134"/>
  <c r="X10" i="134"/>
  <c r="W10" i="134"/>
  <c r="V10" i="134"/>
  <c r="M10" i="134" s="1"/>
  <c r="AF10" i="134" s="1"/>
  <c r="U10" i="134"/>
  <c r="O10" i="134"/>
  <c r="K10" i="134"/>
  <c r="G10" i="134"/>
  <c r="V9" i="134"/>
  <c r="U9" i="134"/>
  <c r="O9" i="134"/>
  <c r="M9" i="134"/>
  <c r="K9" i="134"/>
  <c r="G9" i="134"/>
  <c r="F1" i="134" s="1"/>
  <c r="F2" i="134" s="1"/>
  <c r="X8" i="134"/>
  <c r="W8" i="134"/>
  <c r="V8" i="134"/>
  <c r="M8" i="134" s="1"/>
  <c r="O8" i="134"/>
  <c r="K8" i="134"/>
  <c r="G8" i="134"/>
  <c r="AD7" i="134"/>
  <c r="AD2" i="134" s="1"/>
  <c r="Z7" i="134"/>
  <c r="Y7" i="134"/>
  <c r="O7" i="134"/>
  <c r="K7" i="134"/>
  <c r="AF6" i="134"/>
  <c r="V6" i="134"/>
  <c r="U6" i="134"/>
  <c r="O6" i="134"/>
  <c r="N6" i="134"/>
  <c r="M6" i="134"/>
  <c r="AE6" i="134" s="1"/>
  <c r="K6" i="134"/>
  <c r="G6" i="134"/>
  <c r="V5" i="134"/>
  <c r="M5" i="134" s="1"/>
  <c r="O5" i="134"/>
  <c r="K5" i="134"/>
  <c r="G5" i="134"/>
  <c r="H2" i="134"/>
  <c r="H1" i="134"/>
  <c r="D1" i="134"/>
  <c r="M22" i="133"/>
  <c r="L22" i="133"/>
  <c r="K22" i="133"/>
  <c r="J22" i="133"/>
  <c r="I22" i="133"/>
  <c r="H22" i="133"/>
  <c r="G22" i="133"/>
  <c r="F22" i="133"/>
  <c r="E22" i="133"/>
  <c r="D22" i="133"/>
  <c r="M21" i="133"/>
  <c r="I21" i="133"/>
  <c r="H21" i="133"/>
  <c r="G21" i="133"/>
  <c r="F21" i="133"/>
  <c r="E21" i="133"/>
  <c r="D21" i="133"/>
  <c r="M20" i="133"/>
  <c r="L20" i="133"/>
  <c r="K20" i="133"/>
  <c r="J20" i="133"/>
  <c r="I20" i="133"/>
  <c r="H20" i="133"/>
  <c r="G20" i="133"/>
  <c r="F20" i="133"/>
  <c r="E20" i="133"/>
  <c r="D20" i="133"/>
  <c r="J19" i="133"/>
  <c r="I19" i="133"/>
  <c r="H19" i="133"/>
  <c r="F19" i="133"/>
  <c r="M18" i="133"/>
  <c r="L18" i="133"/>
  <c r="J18" i="133"/>
  <c r="I18" i="133"/>
  <c r="H18" i="133"/>
  <c r="F18" i="133"/>
  <c r="E18" i="133"/>
  <c r="M17" i="133"/>
  <c r="L17" i="133"/>
  <c r="K17" i="133"/>
  <c r="J17" i="133"/>
  <c r="I17" i="133"/>
  <c r="H17" i="133"/>
  <c r="G17" i="133"/>
  <c r="F17" i="133"/>
  <c r="E17" i="133"/>
  <c r="D17" i="133"/>
  <c r="M16" i="133"/>
  <c r="L16" i="133"/>
  <c r="K16" i="133"/>
  <c r="J16" i="133"/>
  <c r="I16" i="133"/>
  <c r="H16" i="133"/>
  <c r="G16" i="133"/>
  <c r="F16" i="133"/>
  <c r="E16" i="133"/>
  <c r="D16" i="133"/>
  <c r="J13" i="133"/>
  <c r="I13" i="133"/>
  <c r="H13" i="133"/>
  <c r="F13" i="133"/>
  <c r="E13" i="133"/>
  <c r="D13" i="133"/>
  <c r="N6" i="133"/>
  <c r="M6" i="133"/>
  <c r="F3" i="133"/>
  <c r="C3" i="133"/>
  <c r="AF39" i="134" l="1"/>
  <c r="AE39" i="134"/>
  <c r="N39" i="134"/>
  <c r="AF19" i="134"/>
  <c r="N19" i="134"/>
  <c r="AE19" i="134"/>
  <c r="Q26" i="134"/>
  <c r="P26" i="134"/>
  <c r="Q30" i="134"/>
  <c r="P30" i="134"/>
  <c r="AF62" i="134"/>
  <c r="AG53" i="134" s="1"/>
  <c r="AE62" i="134"/>
  <c r="N62" i="134"/>
  <c r="AF58" i="134"/>
  <c r="N58" i="134"/>
  <c r="AE58" i="134"/>
  <c r="Q70" i="134"/>
  <c r="P70" i="134"/>
  <c r="Q79" i="134"/>
  <c r="P79" i="134"/>
  <c r="AF28" i="134"/>
  <c r="AE28" i="134"/>
  <c r="M37" i="134"/>
  <c r="N28" i="134"/>
  <c r="AF48" i="134"/>
  <c r="M52" i="134"/>
  <c r="AE48" i="134"/>
  <c r="N48" i="134"/>
  <c r="N8" i="134"/>
  <c r="AF8" i="134"/>
  <c r="AE8" i="134"/>
  <c r="M12" i="134"/>
  <c r="AF35" i="134"/>
  <c r="AE35" i="134"/>
  <c r="N35" i="134"/>
  <c r="N45" i="134"/>
  <c r="AF45" i="134"/>
  <c r="AE45" i="134"/>
  <c r="AF55" i="134"/>
  <c r="AE55" i="134"/>
  <c r="N55" i="134"/>
  <c r="F6" i="133"/>
  <c r="G6" i="133"/>
  <c r="E6" i="133"/>
  <c r="AF72" i="134"/>
  <c r="N72" i="134"/>
  <c r="AE72" i="134"/>
  <c r="N5" i="134"/>
  <c r="M7" i="134"/>
  <c r="AF5" i="134"/>
  <c r="AE5" i="134"/>
  <c r="AF42" i="134"/>
  <c r="N42" i="134"/>
  <c r="AE42" i="134"/>
  <c r="N40" i="134"/>
  <c r="Q73" i="134"/>
  <c r="P73" i="134"/>
  <c r="I3" i="133"/>
  <c r="AE26" i="134"/>
  <c r="AF16" i="134"/>
  <c r="AE16" i="134"/>
  <c r="N16" i="134"/>
  <c r="AF26" i="134"/>
  <c r="N29" i="134"/>
  <c r="AF29" i="134"/>
  <c r="AF32" i="134"/>
  <c r="AE32" i="134"/>
  <c r="N32" i="134"/>
  <c r="N63" i="134"/>
  <c r="AE63" i="134"/>
  <c r="AE40" i="134"/>
  <c r="Q43" i="134"/>
  <c r="P43" i="134"/>
  <c r="N56" i="134"/>
  <c r="N76" i="134"/>
  <c r="Q11" i="134"/>
  <c r="P11" i="134"/>
  <c r="P53" i="134"/>
  <c r="N14" i="134"/>
  <c r="P17" i="134"/>
  <c r="N22" i="134"/>
  <c r="AF22" i="134"/>
  <c r="AF25" i="134"/>
  <c r="AE25" i="134"/>
  <c r="N25" i="134"/>
  <c r="P33" i="134"/>
  <c r="AE14" i="134"/>
  <c r="AE22" i="134"/>
  <c r="AE30" i="134"/>
  <c r="AE49" i="134"/>
  <c r="AE79" i="134"/>
  <c r="Q66" i="134"/>
  <c r="P66" i="134"/>
  <c r="AF56" i="134"/>
  <c r="AF30" i="134"/>
  <c r="AF79" i="134"/>
  <c r="Q6" i="134"/>
  <c r="P6" i="134"/>
  <c r="N24" i="134"/>
  <c r="AF24" i="134"/>
  <c r="AE24" i="134"/>
  <c r="M47" i="134"/>
  <c r="N38" i="134"/>
  <c r="AF38" i="134"/>
  <c r="AE38" i="134"/>
  <c r="Q49" i="134"/>
  <c r="P49" i="134"/>
  <c r="AF9" i="134"/>
  <c r="AE9" i="134"/>
  <c r="N9" i="134"/>
  <c r="AE76" i="134"/>
  <c r="N10" i="134"/>
  <c r="Q36" i="134"/>
  <c r="P36" i="134"/>
  <c r="N77" i="134"/>
  <c r="AE77" i="134"/>
  <c r="Q59" i="134"/>
  <c r="P59" i="134"/>
  <c r="P46" i="134"/>
  <c r="N61" i="134"/>
  <c r="AF61" i="134"/>
  <c r="AE61" i="134"/>
  <c r="P69" i="134"/>
  <c r="Q23" i="134"/>
  <c r="P23" i="134"/>
  <c r="N54" i="134"/>
  <c r="AF54" i="134"/>
  <c r="AE54" i="134"/>
  <c r="AF65" i="134"/>
  <c r="N65" i="134"/>
  <c r="N75" i="134"/>
  <c r="AF75" i="134"/>
  <c r="AE75" i="134"/>
  <c r="D18" i="133"/>
  <c r="Y2" i="134"/>
  <c r="K6" i="133" s="1"/>
  <c r="Z2" i="134"/>
  <c r="L6" i="133" s="1"/>
  <c r="D19" i="133"/>
  <c r="N68" i="134"/>
  <c r="N13" i="134"/>
  <c r="M20" i="134"/>
  <c r="N15" i="134"/>
  <c r="AF15" i="134"/>
  <c r="AE15" i="134"/>
  <c r="N31" i="134"/>
  <c r="AF31" i="134"/>
  <c r="AE31" i="134"/>
  <c r="AE65" i="134"/>
  <c r="P78" i="134"/>
  <c r="N21" i="134"/>
  <c r="N44" i="134"/>
  <c r="N51" i="134"/>
  <c r="N60" i="134"/>
  <c r="N67" i="134"/>
  <c r="N74" i="134"/>
  <c r="M27" i="134"/>
  <c r="AE21" i="134"/>
  <c r="AE44" i="134"/>
  <c r="AE51" i="134"/>
  <c r="AE67" i="134"/>
  <c r="AE74" i="134"/>
  <c r="M80" i="134"/>
  <c r="N18" i="134"/>
  <c r="N34" i="134"/>
  <c r="N41" i="134"/>
  <c r="N50" i="134"/>
  <c r="N57" i="134"/>
  <c r="N64" i="134"/>
  <c r="N71" i="134"/>
  <c r="AE18" i="134"/>
  <c r="AE34" i="134"/>
  <c r="AE41" i="134"/>
  <c r="AE57" i="134"/>
  <c r="AE64" i="134"/>
  <c r="AE71" i="134"/>
  <c r="AF78" i="134"/>
  <c r="AD68" i="130"/>
  <c r="M21" i="129" s="1"/>
  <c r="Z68" i="130"/>
  <c r="M19" i="129" s="1"/>
  <c r="Y68" i="130"/>
  <c r="O68" i="130"/>
  <c r="K68" i="130"/>
  <c r="V67" i="130"/>
  <c r="M67" i="130" s="1"/>
  <c r="AE67" i="130" s="1"/>
  <c r="U67" i="130"/>
  <c r="O67" i="130"/>
  <c r="K67" i="130"/>
  <c r="G67" i="130"/>
  <c r="X66" i="130"/>
  <c r="W66" i="130"/>
  <c r="V66" i="130"/>
  <c r="M66" i="130" s="1"/>
  <c r="AF66" i="130" s="1"/>
  <c r="U66" i="130"/>
  <c r="O66" i="130"/>
  <c r="K66" i="130"/>
  <c r="G66" i="130"/>
  <c r="V65" i="130"/>
  <c r="M65" i="130" s="1"/>
  <c r="U65" i="130"/>
  <c r="O65" i="130"/>
  <c r="K65" i="130"/>
  <c r="G65" i="130"/>
  <c r="V64" i="130"/>
  <c r="M64" i="130" s="1"/>
  <c r="AF64" i="130" s="1"/>
  <c r="U64" i="130"/>
  <c r="O64" i="130"/>
  <c r="K64" i="130"/>
  <c r="G64" i="130"/>
  <c r="V63" i="130"/>
  <c r="M63" i="130" s="1"/>
  <c r="U63" i="130"/>
  <c r="O63" i="130"/>
  <c r="K63" i="130"/>
  <c r="G63" i="130"/>
  <c r="V62" i="130"/>
  <c r="U62" i="130"/>
  <c r="O62" i="130"/>
  <c r="M62" i="130"/>
  <c r="AE62" i="130" s="1"/>
  <c r="K62" i="130"/>
  <c r="G62" i="130"/>
  <c r="V61" i="130"/>
  <c r="M61" i="130" s="1"/>
  <c r="U61" i="130"/>
  <c r="O61" i="130"/>
  <c r="K61" i="130"/>
  <c r="G61" i="130"/>
  <c r="X60" i="130"/>
  <c r="W60" i="130"/>
  <c r="V60" i="130"/>
  <c r="M60" i="130" s="1"/>
  <c r="O60" i="130"/>
  <c r="K60" i="130"/>
  <c r="G60" i="130"/>
  <c r="AD59" i="130"/>
  <c r="Z59" i="130"/>
  <c r="Y59" i="130"/>
  <c r="O59" i="130"/>
  <c r="K59" i="130"/>
  <c r="J13" i="129" s="1"/>
  <c r="V58" i="130"/>
  <c r="M58" i="130" s="1"/>
  <c r="U58" i="130"/>
  <c r="O58" i="130"/>
  <c r="K58" i="130"/>
  <c r="G58" i="130"/>
  <c r="V57" i="130"/>
  <c r="U57" i="130"/>
  <c r="O57" i="130"/>
  <c r="M57" i="130"/>
  <c r="AF57" i="130" s="1"/>
  <c r="K57" i="130"/>
  <c r="G57" i="130"/>
  <c r="V56" i="130"/>
  <c r="M56" i="130" s="1"/>
  <c r="U56" i="130"/>
  <c r="O56" i="130"/>
  <c r="K56" i="130"/>
  <c r="G56" i="130"/>
  <c r="V55" i="130"/>
  <c r="M55" i="130" s="1"/>
  <c r="AE55" i="130" s="1"/>
  <c r="U55" i="130"/>
  <c r="O55" i="130"/>
  <c r="K55" i="130"/>
  <c r="G55" i="130"/>
  <c r="V54" i="130"/>
  <c r="M54" i="130" s="1"/>
  <c r="O54" i="130"/>
  <c r="K54" i="130"/>
  <c r="G54" i="130"/>
  <c r="AD53" i="130"/>
  <c r="I21" i="129" s="1"/>
  <c r="Z53" i="130"/>
  <c r="I19" i="129" s="1"/>
  <c r="Y53" i="130"/>
  <c r="I18" i="129" s="1"/>
  <c r="O53" i="130"/>
  <c r="K53" i="130"/>
  <c r="V52" i="130"/>
  <c r="M52" i="130" s="1"/>
  <c r="U52" i="130"/>
  <c r="O52" i="130"/>
  <c r="K52" i="130"/>
  <c r="G52" i="130"/>
  <c r="V51" i="130"/>
  <c r="M51" i="130" s="1"/>
  <c r="U51" i="130"/>
  <c r="O51" i="130"/>
  <c r="K51" i="130"/>
  <c r="G51" i="130"/>
  <c r="V50" i="130"/>
  <c r="U50" i="130"/>
  <c r="O50" i="130"/>
  <c r="M50" i="130"/>
  <c r="AF50" i="130" s="1"/>
  <c r="K50" i="130"/>
  <c r="G50" i="130"/>
  <c r="V49" i="130"/>
  <c r="M49" i="130" s="1"/>
  <c r="U49" i="130"/>
  <c r="O49" i="130"/>
  <c r="K49" i="130"/>
  <c r="G49" i="130"/>
  <c r="V48" i="130"/>
  <c r="U48" i="130"/>
  <c r="O48" i="130"/>
  <c r="M48" i="130"/>
  <c r="AF48" i="130" s="1"/>
  <c r="K48" i="130"/>
  <c r="G48" i="130"/>
  <c r="F1" i="130" s="1"/>
  <c r="V47" i="130"/>
  <c r="M47" i="130" s="1"/>
  <c r="U47" i="130"/>
  <c r="O47" i="130"/>
  <c r="K47" i="130"/>
  <c r="G47" i="130"/>
  <c r="V46" i="130"/>
  <c r="U46" i="130"/>
  <c r="O46" i="130"/>
  <c r="M46" i="130"/>
  <c r="AE46" i="130" s="1"/>
  <c r="K46" i="130"/>
  <c r="G46" i="130"/>
  <c r="V45" i="130"/>
  <c r="M45" i="130" s="1"/>
  <c r="O45" i="130"/>
  <c r="K45" i="130"/>
  <c r="G45" i="130"/>
  <c r="AD44" i="130"/>
  <c r="H21" i="129" s="1"/>
  <c r="Z44" i="130"/>
  <c r="H19" i="129" s="1"/>
  <c r="Y44" i="130"/>
  <c r="H18" i="129" s="1"/>
  <c r="O44" i="130"/>
  <c r="K44" i="130"/>
  <c r="V43" i="130"/>
  <c r="M43" i="130" s="1"/>
  <c r="U43" i="130"/>
  <c r="O43" i="130"/>
  <c r="K43" i="130"/>
  <c r="G43" i="130"/>
  <c r="V42" i="130"/>
  <c r="M42" i="130" s="1"/>
  <c r="U42" i="130"/>
  <c r="O42" i="130"/>
  <c r="K42" i="130"/>
  <c r="G42" i="130"/>
  <c r="V41" i="130"/>
  <c r="M41" i="130" s="1"/>
  <c r="O41" i="130"/>
  <c r="K41" i="130"/>
  <c r="G41" i="130"/>
  <c r="AD40" i="130"/>
  <c r="L21" i="129" s="1"/>
  <c r="Z40" i="130"/>
  <c r="L19" i="129" s="1"/>
  <c r="Y40" i="130"/>
  <c r="O40" i="130"/>
  <c r="K40" i="130"/>
  <c r="V39" i="130"/>
  <c r="U39" i="130"/>
  <c r="O39" i="130"/>
  <c r="M39" i="130"/>
  <c r="AF39" i="130" s="1"/>
  <c r="K39" i="130"/>
  <c r="G39" i="130"/>
  <c r="X38" i="130"/>
  <c r="W38" i="130"/>
  <c r="V38" i="130"/>
  <c r="M38" i="130" s="1"/>
  <c r="U38" i="130"/>
  <c r="O38" i="130"/>
  <c r="K38" i="130"/>
  <c r="G38" i="130"/>
  <c r="V37" i="130"/>
  <c r="U37" i="130"/>
  <c r="O37" i="130"/>
  <c r="M37" i="130"/>
  <c r="AE37" i="130" s="1"/>
  <c r="K37" i="130"/>
  <c r="G37" i="130"/>
  <c r="V36" i="130"/>
  <c r="M36" i="130" s="1"/>
  <c r="U36" i="130"/>
  <c r="O36" i="130"/>
  <c r="K36" i="130"/>
  <c r="G36" i="130"/>
  <c r="V35" i="130"/>
  <c r="M35" i="130" s="1"/>
  <c r="U35" i="130"/>
  <c r="O35" i="130"/>
  <c r="K35" i="130"/>
  <c r="G35" i="130"/>
  <c r="X34" i="130"/>
  <c r="W34" i="130"/>
  <c r="V34" i="130"/>
  <c r="M34" i="130" s="1"/>
  <c r="O34" i="130"/>
  <c r="K34" i="130"/>
  <c r="G34" i="130"/>
  <c r="AD33" i="130"/>
  <c r="Z33" i="130"/>
  <c r="Y33" i="130"/>
  <c r="O33" i="130"/>
  <c r="K33" i="130"/>
  <c r="V32" i="130"/>
  <c r="M32" i="130" s="1"/>
  <c r="U32" i="130"/>
  <c r="O32" i="130"/>
  <c r="K32" i="130"/>
  <c r="G32" i="130"/>
  <c r="X31" i="130"/>
  <c r="W31" i="130"/>
  <c r="V31" i="130"/>
  <c r="M31" i="130" s="1"/>
  <c r="U31" i="130"/>
  <c r="O31" i="130"/>
  <c r="K31" i="130"/>
  <c r="G31" i="130"/>
  <c r="V30" i="130"/>
  <c r="M30" i="130" s="1"/>
  <c r="U30" i="130"/>
  <c r="O30" i="130"/>
  <c r="K30" i="130"/>
  <c r="G30" i="130"/>
  <c r="V29" i="130"/>
  <c r="U29" i="130"/>
  <c r="O29" i="130"/>
  <c r="M29" i="130"/>
  <c r="AF29" i="130" s="1"/>
  <c r="K29" i="130"/>
  <c r="G29" i="130"/>
  <c r="V28" i="130"/>
  <c r="M28" i="130" s="1"/>
  <c r="U28" i="130"/>
  <c r="O28" i="130"/>
  <c r="K28" i="130"/>
  <c r="G28" i="130"/>
  <c r="X27" i="130"/>
  <c r="W27" i="130"/>
  <c r="V27" i="130"/>
  <c r="O27" i="130"/>
  <c r="M27" i="130"/>
  <c r="K27" i="130"/>
  <c r="G27" i="130"/>
  <c r="AD26" i="130"/>
  <c r="Z26" i="130"/>
  <c r="Y26" i="130"/>
  <c r="G18" i="129" s="1"/>
  <c r="O26" i="130"/>
  <c r="K26" i="130"/>
  <c r="V25" i="130"/>
  <c r="U25" i="130"/>
  <c r="O25" i="130"/>
  <c r="M25" i="130"/>
  <c r="AE25" i="130" s="1"/>
  <c r="K25" i="130"/>
  <c r="G25" i="130"/>
  <c r="V24" i="130"/>
  <c r="M24" i="130" s="1"/>
  <c r="U24" i="130"/>
  <c r="O24" i="130"/>
  <c r="K24" i="130"/>
  <c r="G24" i="130"/>
  <c r="V23" i="130"/>
  <c r="M23" i="130" s="1"/>
  <c r="U23" i="130"/>
  <c r="O23" i="130"/>
  <c r="K23" i="130"/>
  <c r="G23" i="130"/>
  <c r="V22" i="130"/>
  <c r="U22" i="130"/>
  <c r="O22" i="130"/>
  <c r="M22" i="130"/>
  <c r="AF22" i="130" s="1"/>
  <c r="K22" i="130"/>
  <c r="G22" i="130"/>
  <c r="V21" i="130"/>
  <c r="M21" i="130" s="1"/>
  <c r="U21" i="130"/>
  <c r="O21" i="130"/>
  <c r="K21" i="130"/>
  <c r="G21" i="130"/>
  <c r="V20" i="130"/>
  <c r="M20" i="130" s="1"/>
  <c r="O20" i="130"/>
  <c r="K20" i="130"/>
  <c r="G20" i="130"/>
  <c r="AD19" i="130"/>
  <c r="Z19" i="130"/>
  <c r="Y19" i="130"/>
  <c r="O19" i="130"/>
  <c r="K19" i="130"/>
  <c r="V18" i="130"/>
  <c r="M18" i="130" s="1"/>
  <c r="U18" i="130"/>
  <c r="O18" i="130"/>
  <c r="K18" i="130"/>
  <c r="G18" i="130"/>
  <c r="V17" i="130"/>
  <c r="M17" i="130" s="1"/>
  <c r="U17" i="130"/>
  <c r="O17" i="130"/>
  <c r="K17" i="130"/>
  <c r="G17" i="130"/>
  <c r="V16" i="130"/>
  <c r="U16" i="130"/>
  <c r="O16" i="130"/>
  <c r="M16" i="130"/>
  <c r="AE16" i="130" s="1"/>
  <c r="K16" i="130"/>
  <c r="G16" i="130"/>
  <c r="V15" i="130"/>
  <c r="M15" i="130" s="1"/>
  <c r="U15" i="130"/>
  <c r="O15" i="130"/>
  <c r="K15" i="130"/>
  <c r="G15" i="130"/>
  <c r="V14" i="130"/>
  <c r="M14" i="130" s="1"/>
  <c r="U14" i="130"/>
  <c r="O14" i="130"/>
  <c r="K14" i="130"/>
  <c r="G14" i="130"/>
  <c r="V13" i="130"/>
  <c r="O13" i="130"/>
  <c r="M13" i="130"/>
  <c r="N13" i="130" s="1"/>
  <c r="K13" i="130"/>
  <c r="G13" i="130"/>
  <c r="AD12" i="130"/>
  <c r="AD2" i="130" s="1"/>
  <c r="N6" i="129" s="1"/>
  <c r="Z12" i="130"/>
  <c r="Z2" i="130" s="1"/>
  <c r="L6" i="129" s="1"/>
  <c r="Y12" i="130"/>
  <c r="E18" i="129" s="1"/>
  <c r="O12" i="130"/>
  <c r="K12" i="130"/>
  <c r="V11" i="130"/>
  <c r="U11" i="130"/>
  <c r="O11" i="130"/>
  <c r="M11" i="130"/>
  <c r="AF11" i="130" s="1"/>
  <c r="K11" i="130"/>
  <c r="G11" i="130"/>
  <c r="V10" i="130"/>
  <c r="U10" i="130"/>
  <c r="O10" i="130"/>
  <c r="M10" i="130"/>
  <c r="N10" i="130" s="1"/>
  <c r="K10" i="130"/>
  <c r="G10" i="130"/>
  <c r="X9" i="130"/>
  <c r="W9" i="130"/>
  <c r="V9" i="130"/>
  <c r="M9" i="130" s="1"/>
  <c r="O9" i="130"/>
  <c r="K9" i="130"/>
  <c r="G9" i="130"/>
  <c r="AD8" i="130"/>
  <c r="Z8" i="130"/>
  <c r="Y8" i="130"/>
  <c r="O8" i="130"/>
  <c r="K8" i="130"/>
  <c r="V7" i="130"/>
  <c r="M7" i="130" s="1"/>
  <c r="U7" i="130"/>
  <c r="O7" i="130"/>
  <c r="K7" i="130"/>
  <c r="G7" i="130"/>
  <c r="V6" i="130"/>
  <c r="M6" i="130" s="1"/>
  <c r="AF6" i="130" s="1"/>
  <c r="U6" i="130"/>
  <c r="O6" i="130"/>
  <c r="K6" i="130"/>
  <c r="G6" i="130"/>
  <c r="V5" i="130"/>
  <c r="M5" i="130" s="1"/>
  <c r="O5" i="130"/>
  <c r="K5" i="130"/>
  <c r="G5" i="130"/>
  <c r="H2" i="130"/>
  <c r="H1" i="130"/>
  <c r="D1" i="130"/>
  <c r="F3" i="129" s="1"/>
  <c r="M22" i="129"/>
  <c r="L22" i="129"/>
  <c r="K22" i="129"/>
  <c r="J22" i="129"/>
  <c r="I22" i="129"/>
  <c r="H22" i="129"/>
  <c r="G22" i="129"/>
  <c r="F22" i="129"/>
  <c r="E22" i="129"/>
  <c r="D22" i="129"/>
  <c r="K21" i="129"/>
  <c r="J21" i="129"/>
  <c r="G21" i="129"/>
  <c r="F21" i="129"/>
  <c r="E21" i="129"/>
  <c r="D21" i="129"/>
  <c r="M20" i="129"/>
  <c r="L20" i="129"/>
  <c r="K20" i="129"/>
  <c r="J20" i="129"/>
  <c r="I20" i="129"/>
  <c r="H20" i="129"/>
  <c r="G20" i="129"/>
  <c r="F20" i="129"/>
  <c r="E20" i="129"/>
  <c r="D20" i="129"/>
  <c r="K19" i="129"/>
  <c r="J19" i="129"/>
  <c r="G19" i="129"/>
  <c r="F19" i="129"/>
  <c r="E19" i="129"/>
  <c r="D19" i="129"/>
  <c r="M18" i="129"/>
  <c r="L18" i="129"/>
  <c r="K18" i="129"/>
  <c r="J18" i="129"/>
  <c r="F18" i="129"/>
  <c r="D18" i="129"/>
  <c r="M17" i="129"/>
  <c r="L17" i="129"/>
  <c r="K17" i="129"/>
  <c r="J17" i="129"/>
  <c r="I17" i="129"/>
  <c r="H17" i="129"/>
  <c r="G17" i="129"/>
  <c r="F17" i="129"/>
  <c r="E17" i="129"/>
  <c r="D17" i="129"/>
  <c r="M16" i="129"/>
  <c r="L16" i="129"/>
  <c r="K16" i="129"/>
  <c r="J16" i="129"/>
  <c r="I16" i="129"/>
  <c r="H16" i="129"/>
  <c r="G16" i="129"/>
  <c r="F16" i="129"/>
  <c r="E16" i="129"/>
  <c r="D16" i="129"/>
  <c r="M13" i="129"/>
  <c r="L13" i="129"/>
  <c r="K13" i="129"/>
  <c r="I6" i="129" s="1"/>
  <c r="I13" i="129"/>
  <c r="H13" i="129"/>
  <c r="G13" i="129"/>
  <c r="F13" i="129"/>
  <c r="E13" i="129"/>
  <c r="D13" i="129"/>
  <c r="M6" i="129"/>
  <c r="C3" i="129"/>
  <c r="AE20" i="134" l="1"/>
  <c r="N20" i="134"/>
  <c r="AF20" i="134"/>
  <c r="AG13" i="134" s="1"/>
  <c r="P61" i="134"/>
  <c r="Q61" i="134"/>
  <c r="Q13" i="134"/>
  <c r="P13" i="134"/>
  <c r="Q24" i="134"/>
  <c r="P24" i="134"/>
  <c r="Q14" i="134"/>
  <c r="P14" i="134"/>
  <c r="P68" i="134"/>
  <c r="Q68" i="134"/>
  <c r="R63" i="134" s="1"/>
  <c r="J14" i="133"/>
  <c r="J15" i="133" s="1"/>
  <c r="Q40" i="134"/>
  <c r="P40" i="134"/>
  <c r="Q35" i="134"/>
  <c r="P35" i="134"/>
  <c r="Q42" i="134"/>
  <c r="P42" i="134"/>
  <c r="Q45" i="134"/>
  <c r="P45" i="134"/>
  <c r="AF27" i="134"/>
  <c r="AG21" i="134" s="1"/>
  <c r="AE27" i="134"/>
  <c r="N27" i="134"/>
  <c r="Q77" i="134"/>
  <c r="P77" i="134"/>
  <c r="Q76" i="134"/>
  <c r="P76" i="134"/>
  <c r="Q58" i="134"/>
  <c r="P58" i="134"/>
  <c r="P74" i="134"/>
  <c r="Q74" i="134"/>
  <c r="Q56" i="134"/>
  <c r="P56" i="134"/>
  <c r="Q62" i="134"/>
  <c r="R53" i="134" s="1"/>
  <c r="P62" i="134"/>
  <c r="I14" i="133"/>
  <c r="I15" i="133" s="1"/>
  <c r="Q60" i="134"/>
  <c r="P60" i="134"/>
  <c r="Q10" i="134"/>
  <c r="P10" i="134"/>
  <c r="AF12" i="134"/>
  <c r="AG8" i="134" s="1"/>
  <c r="AE12" i="134"/>
  <c r="N12" i="134"/>
  <c r="Q65" i="134"/>
  <c r="P65" i="134"/>
  <c r="Q21" i="134"/>
  <c r="P21" i="134"/>
  <c r="Q63" i="134"/>
  <c r="P63" i="134"/>
  <c r="AF7" i="134"/>
  <c r="AG5" i="134" s="1"/>
  <c r="AE7" i="134"/>
  <c r="N7" i="134"/>
  <c r="Q8" i="134"/>
  <c r="P8" i="134"/>
  <c r="P64" i="134"/>
  <c r="Q64" i="134"/>
  <c r="Q57" i="134"/>
  <c r="P57" i="134"/>
  <c r="Q54" i="134"/>
  <c r="P54" i="134"/>
  <c r="Q72" i="134"/>
  <c r="P72" i="134"/>
  <c r="AF52" i="134"/>
  <c r="AG48" i="134" s="1"/>
  <c r="AE52" i="134"/>
  <c r="N52" i="134"/>
  <c r="Q50" i="134"/>
  <c r="P50" i="134"/>
  <c r="Q25" i="134"/>
  <c r="P25" i="134"/>
  <c r="Q19" i="134"/>
  <c r="P19" i="134"/>
  <c r="Q41" i="134"/>
  <c r="P41" i="134"/>
  <c r="Q31" i="134"/>
  <c r="P31" i="134"/>
  <c r="Q29" i="134"/>
  <c r="P29" i="134"/>
  <c r="Q28" i="134"/>
  <c r="P28" i="134"/>
  <c r="Q67" i="134"/>
  <c r="P67" i="134"/>
  <c r="P51" i="134"/>
  <c r="Q51" i="134"/>
  <c r="Q75" i="134"/>
  <c r="P75" i="134"/>
  <c r="Q44" i="134"/>
  <c r="P44" i="134"/>
  <c r="Q9" i="134"/>
  <c r="P9" i="134"/>
  <c r="Q71" i="134"/>
  <c r="P71" i="134"/>
  <c r="Q32" i="134"/>
  <c r="P32" i="134"/>
  <c r="Q5" i="134"/>
  <c r="P5" i="134"/>
  <c r="Q48" i="134"/>
  <c r="P48" i="134"/>
  <c r="P34" i="134"/>
  <c r="Q34" i="134"/>
  <c r="Q38" i="134"/>
  <c r="P38" i="134"/>
  <c r="AF37" i="134"/>
  <c r="AG28" i="134" s="1"/>
  <c r="AE37" i="134"/>
  <c r="N37" i="134"/>
  <c r="Q39" i="134"/>
  <c r="P39" i="134"/>
  <c r="P18" i="134"/>
  <c r="Q18" i="134"/>
  <c r="N47" i="134"/>
  <c r="AF47" i="134"/>
  <c r="AG38" i="134" s="1"/>
  <c r="AE47" i="134"/>
  <c r="Q16" i="134"/>
  <c r="P16" i="134"/>
  <c r="AF80" i="134"/>
  <c r="AG69" i="134" s="1"/>
  <c r="AE80" i="134"/>
  <c r="N80" i="134"/>
  <c r="Q15" i="134"/>
  <c r="P15" i="134"/>
  <c r="Q22" i="134"/>
  <c r="P22" i="134"/>
  <c r="Q55" i="134"/>
  <c r="P55" i="134"/>
  <c r="AF32" i="130"/>
  <c r="N32" i="130"/>
  <c r="P32" i="130" s="1"/>
  <c r="AF18" i="130"/>
  <c r="N18" i="130"/>
  <c r="P18" i="130" s="1"/>
  <c r="AE10" i="130"/>
  <c r="M33" i="130"/>
  <c r="N27" i="130"/>
  <c r="P27" i="130" s="1"/>
  <c r="AF10" i="130"/>
  <c r="N35" i="130"/>
  <c r="AE35" i="130"/>
  <c r="AF35" i="130"/>
  <c r="AF54" i="130"/>
  <c r="AE54" i="130"/>
  <c r="N54" i="130"/>
  <c r="M59" i="130"/>
  <c r="N58" i="130"/>
  <c r="AE58" i="130"/>
  <c r="AF58" i="130"/>
  <c r="AF43" i="130"/>
  <c r="AE43" i="130"/>
  <c r="N43" i="130"/>
  <c r="N47" i="130"/>
  <c r="AF47" i="130"/>
  <c r="AE47" i="130"/>
  <c r="AE15" i="130"/>
  <c r="AF15" i="130"/>
  <c r="N15" i="130"/>
  <c r="AF36" i="130"/>
  <c r="AE36" i="130"/>
  <c r="N36" i="130"/>
  <c r="F2" i="130"/>
  <c r="I3" i="129"/>
  <c r="N30" i="130"/>
  <c r="AE30" i="130"/>
  <c r="AF30" i="130"/>
  <c r="N14" i="130"/>
  <c r="AE14" i="130"/>
  <c r="AF14" i="130"/>
  <c r="M8" i="130"/>
  <c r="N5" i="130"/>
  <c r="AF5" i="130"/>
  <c r="AE5" i="130"/>
  <c r="M12" i="130"/>
  <c r="AF9" i="130"/>
  <c r="AE9" i="130"/>
  <c r="N9" i="130"/>
  <c r="N23" i="130"/>
  <c r="AE23" i="130"/>
  <c r="AF23" i="130"/>
  <c r="N51" i="130"/>
  <c r="AE51" i="130"/>
  <c r="AF51" i="130"/>
  <c r="N63" i="130"/>
  <c r="AF63" i="130"/>
  <c r="AE63" i="130"/>
  <c r="M26" i="130"/>
  <c r="M40" i="130"/>
  <c r="AF52" i="130"/>
  <c r="AE52" i="130"/>
  <c r="N52" i="130"/>
  <c r="N56" i="130"/>
  <c r="AF56" i="130"/>
  <c r="AE56" i="130"/>
  <c r="N60" i="130"/>
  <c r="AE60" i="130"/>
  <c r="M68" i="130"/>
  <c r="AF60" i="130"/>
  <c r="M44" i="130"/>
  <c r="N7" i="130"/>
  <c r="AF7" i="130"/>
  <c r="AE7" i="130"/>
  <c r="N65" i="130"/>
  <c r="AE65" i="130"/>
  <c r="AF65" i="130"/>
  <c r="N33" i="130"/>
  <c r="AF33" i="130"/>
  <c r="AG27" i="130" s="1"/>
  <c r="AE33" i="130"/>
  <c r="Q13" i="130"/>
  <c r="P13" i="130"/>
  <c r="N49" i="130"/>
  <c r="AE49" i="130"/>
  <c r="AF49" i="130"/>
  <c r="N21" i="130"/>
  <c r="AE21" i="130"/>
  <c r="AF21" i="130"/>
  <c r="N28" i="130"/>
  <c r="AE28" i="130"/>
  <c r="AF28" i="130"/>
  <c r="AE61" i="130"/>
  <c r="N61" i="130"/>
  <c r="AF61" i="130"/>
  <c r="M53" i="130"/>
  <c r="AF45" i="130"/>
  <c r="AE45" i="130"/>
  <c r="N45" i="130"/>
  <c r="P10" i="130"/>
  <c r="Q10" i="130"/>
  <c r="AF24" i="130"/>
  <c r="AE24" i="130"/>
  <c r="N24" i="130"/>
  <c r="AF31" i="130"/>
  <c r="AE31" i="130"/>
  <c r="N31" i="130"/>
  <c r="G6" i="129"/>
  <c r="AF17" i="130"/>
  <c r="AE17" i="130"/>
  <c r="N17" i="130"/>
  <c r="N38" i="130"/>
  <c r="AF38" i="130"/>
  <c r="AE38" i="130"/>
  <c r="N42" i="130"/>
  <c r="AE42" i="130"/>
  <c r="AF42" i="130"/>
  <c r="N46" i="130"/>
  <c r="N55" i="130"/>
  <c r="N62" i="130"/>
  <c r="N16" i="130"/>
  <c r="N25" i="130"/>
  <c r="N37" i="130"/>
  <c r="N67" i="130"/>
  <c r="AF16" i="130"/>
  <c r="N22" i="130"/>
  <c r="AF25" i="130"/>
  <c r="N29" i="130"/>
  <c r="AF37" i="130"/>
  <c r="N50" i="130"/>
  <c r="N66" i="130"/>
  <c r="AF67" i="130"/>
  <c r="Q18" i="130"/>
  <c r="Q32" i="130"/>
  <c r="N48" i="130"/>
  <c r="N57" i="130"/>
  <c r="N64" i="130"/>
  <c r="E6" i="129"/>
  <c r="N6" i="130"/>
  <c r="Y2" i="130"/>
  <c r="K6" i="129" s="1"/>
  <c r="AE18" i="130"/>
  <c r="AE32" i="130"/>
  <c r="N11" i="130"/>
  <c r="N20" i="130"/>
  <c r="N34" i="130"/>
  <c r="N39" i="130"/>
  <c r="AE11" i="130"/>
  <c r="AE20" i="130"/>
  <c r="AE27" i="130"/>
  <c r="AE39" i="130"/>
  <c r="AF46" i="130"/>
  <c r="AF55" i="130"/>
  <c r="AF62" i="130"/>
  <c r="M19" i="130"/>
  <c r="AF20" i="130"/>
  <c r="AF27" i="130"/>
  <c r="AE48" i="130"/>
  <c r="AE57" i="130"/>
  <c r="AE64" i="130"/>
  <c r="AE6" i="130"/>
  <c r="AE13" i="130"/>
  <c r="AE34" i="130"/>
  <c r="AE41" i="130"/>
  <c r="AF13" i="130"/>
  <c r="AE22" i="130"/>
  <c r="AE29" i="130"/>
  <c r="AF34" i="130"/>
  <c r="AF41" i="130"/>
  <c r="AE50" i="130"/>
  <c r="AE66" i="130"/>
  <c r="N41" i="130"/>
  <c r="F6" i="129"/>
  <c r="AD68" i="128"/>
  <c r="Z68" i="128"/>
  <c r="Y68" i="128"/>
  <c r="O68" i="128"/>
  <c r="K68" i="128"/>
  <c r="AF67" i="128"/>
  <c r="AE67" i="128"/>
  <c r="V67" i="128"/>
  <c r="U67" i="128"/>
  <c r="O67" i="128"/>
  <c r="N67" i="128"/>
  <c r="Q67" i="128" s="1"/>
  <c r="M67" i="128"/>
  <c r="K67" i="128"/>
  <c r="P67" i="128" s="1"/>
  <c r="G67" i="128"/>
  <c r="AF66" i="128"/>
  <c r="AE66" i="128"/>
  <c r="X66" i="128"/>
  <c r="W66" i="128"/>
  <c r="V66" i="128"/>
  <c r="U66" i="128"/>
  <c r="O66" i="128"/>
  <c r="M66" i="128"/>
  <c r="N66" i="128" s="1"/>
  <c r="K66" i="128"/>
  <c r="G66" i="128"/>
  <c r="AF65" i="128"/>
  <c r="AE65" i="128"/>
  <c r="V65" i="128"/>
  <c r="U65" i="128"/>
  <c r="O65" i="128"/>
  <c r="N65" i="128"/>
  <c r="Q65" i="128" s="1"/>
  <c r="M65" i="128"/>
  <c r="K65" i="128"/>
  <c r="P65" i="128" s="1"/>
  <c r="G65" i="128"/>
  <c r="AF64" i="128"/>
  <c r="AE64" i="128"/>
  <c r="V64" i="128"/>
  <c r="U64" i="128"/>
  <c r="O64" i="128"/>
  <c r="N64" i="128"/>
  <c r="Q64" i="128" s="1"/>
  <c r="M64" i="128"/>
  <c r="K64" i="128"/>
  <c r="G64" i="128"/>
  <c r="AF63" i="128"/>
  <c r="AE63" i="128"/>
  <c r="V63" i="128"/>
  <c r="U63" i="128"/>
  <c r="O63" i="128"/>
  <c r="N63" i="128"/>
  <c r="Q63" i="128" s="1"/>
  <c r="M63" i="128"/>
  <c r="K63" i="128"/>
  <c r="G63" i="128"/>
  <c r="V62" i="128"/>
  <c r="M62" i="128" s="1"/>
  <c r="U62" i="128"/>
  <c r="O62" i="128"/>
  <c r="K62" i="128"/>
  <c r="G62" i="128"/>
  <c r="V61" i="128"/>
  <c r="M61" i="128" s="1"/>
  <c r="U61" i="128"/>
  <c r="O61" i="128"/>
  <c r="K61" i="128"/>
  <c r="G61" i="128"/>
  <c r="AF60" i="128"/>
  <c r="AE60" i="128"/>
  <c r="X60" i="128"/>
  <c r="W60" i="128"/>
  <c r="V60" i="128"/>
  <c r="O60" i="128"/>
  <c r="N60" i="128"/>
  <c r="Q60" i="128" s="1"/>
  <c r="M60" i="128"/>
  <c r="K60" i="128"/>
  <c r="G60" i="128"/>
  <c r="AD59" i="128"/>
  <c r="J21" i="127" s="1"/>
  <c r="Z59" i="128"/>
  <c r="Y59" i="128"/>
  <c r="O59" i="128"/>
  <c r="K59" i="128"/>
  <c r="V58" i="128"/>
  <c r="M58" i="128" s="1"/>
  <c r="U58" i="128"/>
  <c r="O58" i="128"/>
  <c r="K58" i="128"/>
  <c r="G58" i="128"/>
  <c r="V57" i="128"/>
  <c r="M57" i="128" s="1"/>
  <c r="U57" i="128"/>
  <c r="O57" i="128"/>
  <c r="K57" i="128"/>
  <c r="G57" i="128"/>
  <c r="AF56" i="128"/>
  <c r="AE56" i="128"/>
  <c r="V56" i="128"/>
  <c r="U56" i="128"/>
  <c r="O56" i="128"/>
  <c r="M56" i="128"/>
  <c r="N56" i="128" s="1"/>
  <c r="K56" i="128"/>
  <c r="G56" i="128"/>
  <c r="AF55" i="128"/>
  <c r="AE55" i="128"/>
  <c r="V55" i="128"/>
  <c r="U55" i="128"/>
  <c r="O55" i="128"/>
  <c r="N55" i="128"/>
  <c r="P55" i="128" s="1"/>
  <c r="M55" i="128"/>
  <c r="K55" i="128"/>
  <c r="G55" i="128"/>
  <c r="AF54" i="128"/>
  <c r="AE54" i="128"/>
  <c r="V54" i="128"/>
  <c r="O54" i="128"/>
  <c r="N54" i="128"/>
  <c r="Q54" i="128" s="1"/>
  <c r="M54" i="128"/>
  <c r="K54" i="128"/>
  <c r="G54" i="128"/>
  <c r="AD53" i="128"/>
  <c r="Z53" i="128"/>
  <c r="Y53" i="128"/>
  <c r="O53" i="128"/>
  <c r="K53" i="128"/>
  <c r="V52" i="128"/>
  <c r="U52" i="128"/>
  <c r="O52" i="128"/>
  <c r="M52" i="128"/>
  <c r="AF52" i="128" s="1"/>
  <c r="K52" i="128"/>
  <c r="G52" i="128"/>
  <c r="V51" i="128"/>
  <c r="U51" i="128"/>
  <c r="O51" i="128"/>
  <c r="M51" i="128"/>
  <c r="AF51" i="128" s="1"/>
  <c r="K51" i="128"/>
  <c r="G51" i="128"/>
  <c r="V50" i="128"/>
  <c r="U50" i="128"/>
  <c r="O50" i="128"/>
  <c r="M50" i="128"/>
  <c r="AF50" i="128" s="1"/>
  <c r="K50" i="128"/>
  <c r="G50" i="128"/>
  <c r="AF49" i="128"/>
  <c r="AE49" i="128"/>
  <c r="V49" i="128"/>
  <c r="U49" i="128"/>
  <c r="O49" i="128"/>
  <c r="N49" i="128"/>
  <c r="Q49" i="128" s="1"/>
  <c r="M49" i="128"/>
  <c r="K49" i="128"/>
  <c r="P49" i="128" s="1"/>
  <c r="G49" i="128"/>
  <c r="AF48" i="128"/>
  <c r="AE48" i="128"/>
  <c r="V48" i="128"/>
  <c r="U48" i="128"/>
  <c r="O48" i="128"/>
  <c r="N48" i="128"/>
  <c r="Q48" i="128" s="1"/>
  <c r="M48" i="128"/>
  <c r="K48" i="128"/>
  <c r="G48" i="128"/>
  <c r="AF47" i="128"/>
  <c r="AE47" i="128"/>
  <c r="V47" i="128"/>
  <c r="U47" i="128"/>
  <c r="O47" i="128"/>
  <c r="N47" i="128"/>
  <c r="Q47" i="128" s="1"/>
  <c r="M47" i="128"/>
  <c r="K47" i="128"/>
  <c r="G47" i="128"/>
  <c r="V46" i="128"/>
  <c r="M46" i="128" s="1"/>
  <c r="U46" i="128"/>
  <c r="O46" i="128"/>
  <c r="K46" i="128"/>
  <c r="G46" i="128"/>
  <c r="V45" i="128"/>
  <c r="M45" i="128" s="1"/>
  <c r="O45" i="128"/>
  <c r="K45" i="128"/>
  <c r="G45" i="128"/>
  <c r="AD44" i="128"/>
  <c r="AD2" i="128" s="1"/>
  <c r="N6" i="127" s="1"/>
  <c r="Z44" i="128"/>
  <c r="Z2" i="128" s="1"/>
  <c r="L6" i="127" s="1"/>
  <c r="Y44" i="128"/>
  <c r="O44" i="128"/>
  <c r="K44" i="128"/>
  <c r="V43" i="128"/>
  <c r="M43" i="128" s="1"/>
  <c r="U43" i="128"/>
  <c r="O43" i="128"/>
  <c r="K43" i="128"/>
  <c r="G43" i="128"/>
  <c r="AF42" i="128"/>
  <c r="AE42" i="128"/>
  <c r="V42" i="128"/>
  <c r="U42" i="128"/>
  <c r="O42" i="128"/>
  <c r="M42" i="128"/>
  <c r="N42" i="128" s="1"/>
  <c r="K42" i="128"/>
  <c r="G42" i="128"/>
  <c r="AF41" i="128"/>
  <c r="AE41" i="128"/>
  <c r="V41" i="128"/>
  <c r="O41" i="128"/>
  <c r="M41" i="128"/>
  <c r="N41" i="128" s="1"/>
  <c r="K41" i="128"/>
  <c r="G41" i="128"/>
  <c r="AD40" i="128"/>
  <c r="Z40" i="128"/>
  <c r="Y40" i="128"/>
  <c r="O40" i="128"/>
  <c r="K40" i="128"/>
  <c r="V39" i="128"/>
  <c r="U39" i="128"/>
  <c r="O39" i="128"/>
  <c r="M39" i="128"/>
  <c r="AE39" i="128" s="1"/>
  <c r="K39" i="128"/>
  <c r="G39" i="128"/>
  <c r="AE38" i="128"/>
  <c r="X38" i="128"/>
  <c r="W38" i="128"/>
  <c r="V38" i="128"/>
  <c r="U38" i="128"/>
  <c r="O38" i="128"/>
  <c r="N38" i="128"/>
  <c r="Q38" i="128" s="1"/>
  <c r="M38" i="128"/>
  <c r="AF38" i="128" s="1"/>
  <c r="K38" i="128"/>
  <c r="G38" i="128"/>
  <c r="V37" i="128"/>
  <c r="U37" i="128"/>
  <c r="O37" i="128"/>
  <c r="M37" i="128"/>
  <c r="AF37" i="128" s="1"/>
  <c r="K37" i="128"/>
  <c r="G37" i="128"/>
  <c r="V36" i="128"/>
  <c r="U36" i="128"/>
  <c r="O36" i="128"/>
  <c r="M36" i="128"/>
  <c r="AF36" i="128" s="1"/>
  <c r="K36" i="128"/>
  <c r="G36" i="128"/>
  <c r="V35" i="128"/>
  <c r="U35" i="128"/>
  <c r="O35" i="128"/>
  <c r="M35" i="128"/>
  <c r="AF35" i="128" s="1"/>
  <c r="K35" i="128"/>
  <c r="G35" i="128"/>
  <c r="X34" i="128"/>
  <c r="W34" i="128"/>
  <c r="V34" i="128"/>
  <c r="O34" i="128"/>
  <c r="M34" i="128"/>
  <c r="M40" i="128" s="1"/>
  <c r="K34" i="128"/>
  <c r="G34" i="128"/>
  <c r="AD33" i="128"/>
  <c r="Z33" i="128"/>
  <c r="Y33" i="128"/>
  <c r="O33" i="128"/>
  <c r="M33" i="128"/>
  <c r="AF33" i="128" s="1"/>
  <c r="AG27" i="128" s="1"/>
  <c r="K33" i="128"/>
  <c r="V32" i="128"/>
  <c r="U32" i="128"/>
  <c r="O32" i="128"/>
  <c r="M32" i="128"/>
  <c r="AF32" i="128" s="1"/>
  <c r="K32" i="128"/>
  <c r="G32" i="128"/>
  <c r="X31" i="128"/>
  <c r="W31" i="128"/>
  <c r="V31" i="128"/>
  <c r="U31" i="128"/>
  <c r="O31" i="128"/>
  <c r="M31" i="128"/>
  <c r="AF31" i="128" s="1"/>
  <c r="K31" i="128"/>
  <c r="G31" i="128"/>
  <c r="V30" i="128"/>
  <c r="U30" i="128"/>
  <c r="O30" i="128"/>
  <c r="M30" i="128"/>
  <c r="AF30" i="128" s="1"/>
  <c r="K30" i="128"/>
  <c r="G30" i="128"/>
  <c r="V29" i="128"/>
  <c r="U29" i="128"/>
  <c r="O29" i="128"/>
  <c r="M29" i="128"/>
  <c r="AF29" i="128" s="1"/>
  <c r="K29" i="128"/>
  <c r="G29" i="128"/>
  <c r="AF28" i="128"/>
  <c r="AE28" i="128"/>
  <c r="V28" i="128"/>
  <c r="U28" i="128"/>
  <c r="O28" i="128"/>
  <c r="N28" i="128"/>
  <c r="Q28" i="128" s="1"/>
  <c r="M28" i="128"/>
  <c r="K28" i="128"/>
  <c r="P28" i="128" s="1"/>
  <c r="G28" i="128"/>
  <c r="AF27" i="128"/>
  <c r="X27" i="128"/>
  <c r="W27" i="128"/>
  <c r="V27" i="128"/>
  <c r="O27" i="128"/>
  <c r="M27" i="128"/>
  <c r="AE27" i="128" s="1"/>
  <c r="K27" i="128"/>
  <c r="G27" i="128"/>
  <c r="AD26" i="128"/>
  <c r="Z26" i="128"/>
  <c r="Y26" i="128"/>
  <c r="O26" i="128"/>
  <c r="K26" i="128"/>
  <c r="G13" i="127" s="1"/>
  <c r="AF25" i="128"/>
  <c r="AE25" i="128"/>
  <c r="V25" i="128"/>
  <c r="U25" i="128"/>
  <c r="O25" i="128"/>
  <c r="N25" i="128"/>
  <c r="Q25" i="128" s="1"/>
  <c r="M25" i="128"/>
  <c r="K25" i="128"/>
  <c r="P25" i="128" s="1"/>
  <c r="G25" i="128"/>
  <c r="AF24" i="128"/>
  <c r="AE24" i="128"/>
  <c r="V24" i="128"/>
  <c r="U24" i="128"/>
  <c r="O24" i="128"/>
  <c r="N24" i="128"/>
  <c r="Q24" i="128" s="1"/>
  <c r="M24" i="128"/>
  <c r="K24" i="128"/>
  <c r="G24" i="128"/>
  <c r="AF23" i="128"/>
  <c r="AE23" i="128"/>
  <c r="V23" i="128"/>
  <c r="U23" i="128"/>
  <c r="O23" i="128"/>
  <c r="N23" i="128"/>
  <c r="Q23" i="128" s="1"/>
  <c r="M23" i="128"/>
  <c r="K23" i="128"/>
  <c r="G23" i="128"/>
  <c r="V22" i="128"/>
  <c r="M22" i="128" s="1"/>
  <c r="U22" i="128"/>
  <c r="O22" i="128"/>
  <c r="K22" i="128"/>
  <c r="G22" i="128"/>
  <c r="V21" i="128"/>
  <c r="M21" i="128" s="1"/>
  <c r="U21" i="128"/>
  <c r="O21" i="128"/>
  <c r="K21" i="128"/>
  <c r="G21" i="128"/>
  <c r="V20" i="128"/>
  <c r="M20" i="128" s="1"/>
  <c r="O20" i="128"/>
  <c r="K20" i="128"/>
  <c r="G20" i="128"/>
  <c r="AD19" i="128"/>
  <c r="Z19" i="128"/>
  <c r="F19" i="127" s="1"/>
  <c r="Y19" i="128"/>
  <c r="F18" i="127" s="1"/>
  <c r="O19" i="128"/>
  <c r="K19" i="128"/>
  <c r="V18" i="128"/>
  <c r="M18" i="128" s="1"/>
  <c r="U18" i="128"/>
  <c r="O18" i="128"/>
  <c r="K18" i="128"/>
  <c r="G18" i="128"/>
  <c r="AF17" i="128"/>
  <c r="AE17" i="128"/>
  <c r="V17" i="128"/>
  <c r="U17" i="128"/>
  <c r="O17" i="128"/>
  <c r="N17" i="128"/>
  <c r="Q17" i="128" s="1"/>
  <c r="M17" i="128"/>
  <c r="K17" i="128"/>
  <c r="G17" i="128"/>
  <c r="V16" i="128"/>
  <c r="U16" i="128"/>
  <c r="O16" i="128"/>
  <c r="M16" i="128"/>
  <c r="AE16" i="128" s="1"/>
  <c r="K16" i="128"/>
  <c r="G16" i="128"/>
  <c r="V15" i="128"/>
  <c r="U15" i="128"/>
  <c r="O15" i="128"/>
  <c r="M15" i="128"/>
  <c r="AF15" i="128" s="1"/>
  <c r="K15" i="128"/>
  <c r="G15" i="128"/>
  <c r="V14" i="128"/>
  <c r="U14" i="128"/>
  <c r="O14" i="128"/>
  <c r="M14" i="128"/>
  <c r="AF14" i="128" s="1"/>
  <c r="K14" i="128"/>
  <c r="G14" i="128"/>
  <c r="V13" i="128"/>
  <c r="O13" i="128"/>
  <c r="M13" i="128"/>
  <c r="AF13" i="128" s="1"/>
  <c r="K13" i="128"/>
  <c r="G13" i="128"/>
  <c r="AD12" i="128"/>
  <c r="Z12" i="128"/>
  <c r="Y12" i="128"/>
  <c r="O12" i="128"/>
  <c r="M12" i="128"/>
  <c r="AF12" i="128" s="1"/>
  <c r="AG9" i="128" s="1"/>
  <c r="K12" i="128"/>
  <c r="E13" i="127" s="1"/>
  <c r="AF11" i="128"/>
  <c r="V11" i="128"/>
  <c r="U11" i="128"/>
  <c r="O11" i="128"/>
  <c r="M11" i="128"/>
  <c r="AE11" i="128" s="1"/>
  <c r="K11" i="128"/>
  <c r="G11" i="128"/>
  <c r="AF10" i="128"/>
  <c r="AE10" i="128"/>
  <c r="V10" i="128"/>
  <c r="U10" i="128"/>
  <c r="O10" i="128"/>
  <c r="N10" i="128"/>
  <c r="Q10" i="128" s="1"/>
  <c r="M10" i="128"/>
  <c r="K10" i="128"/>
  <c r="G10" i="128"/>
  <c r="AF9" i="128"/>
  <c r="AE9" i="128"/>
  <c r="X9" i="128"/>
  <c r="W9" i="128"/>
  <c r="V9" i="128"/>
  <c r="O9" i="128"/>
  <c r="M9" i="128"/>
  <c r="N9" i="128" s="1"/>
  <c r="K9" i="128"/>
  <c r="G9" i="128"/>
  <c r="AF8" i="128"/>
  <c r="AG5" i="128" s="1"/>
  <c r="AD8" i="128"/>
  <c r="Z8" i="128"/>
  <c r="Y8" i="128"/>
  <c r="O8" i="128"/>
  <c r="M8" i="128"/>
  <c r="AE8" i="128" s="1"/>
  <c r="K8" i="128"/>
  <c r="D13" i="127" s="1"/>
  <c r="AF7" i="128"/>
  <c r="AE7" i="128"/>
  <c r="V7" i="128"/>
  <c r="U7" i="128"/>
  <c r="O7" i="128"/>
  <c r="N7" i="128"/>
  <c r="Q7" i="128" s="1"/>
  <c r="M7" i="128"/>
  <c r="K7" i="128"/>
  <c r="G7" i="128"/>
  <c r="AF6" i="128"/>
  <c r="AE6" i="128"/>
  <c r="V6" i="128"/>
  <c r="U6" i="128"/>
  <c r="O6" i="128"/>
  <c r="N6" i="128"/>
  <c r="Q6" i="128" s="1"/>
  <c r="M6" i="128"/>
  <c r="K6" i="128"/>
  <c r="G6" i="128"/>
  <c r="AF5" i="128"/>
  <c r="AE5" i="128"/>
  <c r="V5" i="128"/>
  <c r="O5" i="128"/>
  <c r="N5" i="128"/>
  <c r="Q5" i="128" s="1"/>
  <c r="M5" i="128"/>
  <c r="K5" i="128"/>
  <c r="G5" i="128"/>
  <c r="F1" i="128" s="1"/>
  <c r="Y2" i="128"/>
  <c r="K6" i="127" s="1"/>
  <c r="H2" i="128"/>
  <c r="H1" i="128"/>
  <c r="D1" i="128"/>
  <c r="M22" i="127"/>
  <c r="L22" i="127"/>
  <c r="K22" i="127"/>
  <c r="J22" i="127"/>
  <c r="I22" i="127"/>
  <c r="H22" i="127"/>
  <c r="G22" i="127"/>
  <c r="F22" i="127"/>
  <c r="E22" i="127"/>
  <c r="D22" i="127"/>
  <c r="M21" i="127"/>
  <c r="L21" i="127"/>
  <c r="K21" i="127"/>
  <c r="I21" i="127"/>
  <c r="G21" i="127"/>
  <c r="F21" i="127"/>
  <c r="E21" i="127"/>
  <c r="D21" i="127"/>
  <c r="M20" i="127"/>
  <c r="L20" i="127"/>
  <c r="K20" i="127"/>
  <c r="J20" i="127"/>
  <c r="I20" i="127"/>
  <c r="H20" i="127"/>
  <c r="G20" i="127"/>
  <c r="F20" i="127"/>
  <c r="E20" i="127"/>
  <c r="D20" i="127"/>
  <c r="M19" i="127"/>
  <c r="L19" i="127"/>
  <c r="K19" i="127"/>
  <c r="J19" i="127"/>
  <c r="I19" i="127"/>
  <c r="G19" i="127"/>
  <c r="E19" i="127"/>
  <c r="D19" i="127"/>
  <c r="M18" i="127"/>
  <c r="L18" i="127"/>
  <c r="K18" i="127"/>
  <c r="J18" i="127"/>
  <c r="I18" i="127"/>
  <c r="H18" i="127"/>
  <c r="G18" i="127"/>
  <c r="E18" i="127"/>
  <c r="D18" i="127"/>
  <c r="M17" i="127"/>
  <c r="L17" i="127"/>
  <c r="K17" i="127"/>
  <c r="J17" i="127"/>
  <c r="I17" i="127"/>
  <c r="H17" i="127"/>
  <c r="G17" i="127"/>
  <c r="F17" i="127"/>
  <c r="E17" i="127"/>
  <c r="D17" i="127"/>
  <c r="M16" i="127"/>
  <c r="L16" i="127"/>
  <c r="K16" i="127"/>
  <c r="J16" i="127"/>
  <c r="I16" i="127"/>
  <c r="H16" i="127"/>
  <c r="G16" i="127"/>
  <c r="F16" i="127"/>
  <c r="E16" i="127"/>
  <c r="D16" i="127"/>
  <c r="M13" i="127"/>
  <c r="I6" i="127" s="1"/>
  <c r="L13" i="127"/>
  <c r="K13" i="127"/>
  <c r="J13" i="127"/>
  <c r="I13" i="127"/>
  <c r="H13" i="127"/>
  <c r="F13" i="127"/>
  <c r="M6" i="127"/>
  <c r="F3" i="127"/>
  <c r="C3" i="127"/>
  <c r="Q47" i="134" l="1"/>
  <c r="R38" i="134" s="1"/>
  <c r="P47" i="134"/>
  <c r="L14" i="133"/>
  <c r="L15" i="133" s="1"/>
  <c r="P37" i="134"/>
  <c r="K14" i="133"/>
  <c r="Q37" i="134"/>
  <c r="R28" i="134" s="1"/>
  <c r="P12" i="134"/>
  <c r="E14" i="133"/>
  <c r="E15" i="133" s="1"/>
  <c r="Q12" i="134"/>
  <c r="R8" i="134" s="1"/>
  <c r="Q80" i="134"/>
  <c r="R69" i="134" s="1"/>
  <c r="P80" i="134"/>
  <c r="M14" i="133"/>
  <c r="M15" i="133" s="1"/>
  <c r="D14" i="133"/>
  <c r="D2" i="134"/>
  <c r="P7" i="134"/>
  <c r="Q7" i="134"/>
  <c r="R5" i="134" s="1"/>
  <c r="P52" i="134"/>
  <c r="Q52" i="134"/>
  <c r="R48" i="134" s="1"/>
  <c r="H14" i="133"/>
  <c r="H15" i="133" s="1"/>
  <c r="P27" i="134"/>
  <c r="Q27" i="134"/>
  <c r="R21" i="134" s="1"/>
  <c r="G14" i="133"/>
  <c r="G15" i="133" s="1"/>
  <c r="Q20" i="134"/>
  <c r="R13" i="134" s="1"/>
  <c r="P20" i="134"/>
  <c r="F14" i="133"/>
  <c r="F15" i="133" s="1"/>
  <c r="Q27" i="130"/>
  <c r="P66" i="130"/>
  <c r="Q66" i="130"/>
  <c r="Q23" i="130"/>
  <c r="P23" i="130"/>
  <c r="P50" i="130"/>
  <c r="Q50" i="130"/>
  <c r="Q9" i="130"/>
  <c r="P9" i="130"/>
  <c r="P29" i="130"/>
  <c r="Q29" i="130"/>
  <c r="Q60" i="130"/>
  <c r="P60" i="130"/>
  <c r="N12" i="130"/>
  <c r="AF12" i="130"/>
  <c r="AG9" i="130" s="1"/>
  <c r="AE12" i="130"/>
  <c r="Q55" i="130"/>
  <c r="P55" i="130"/>
  <c r="Q45" i="130"/>
  <c r="P45" i="130"/>
  <c r="Q33" i="130"/>
  <c r="R27" i="130" s="1"/>
  <c r="P33" i="130"/>
  <c r="K14" i="129"/>
  <c r="N59" i="130"/>
  <c r="AF59" i="130"/>
  <c r="AG54" i="130" s="1"/>
  <c r="AE59" i="130"/>
  <c r="Q64" i="130"/>
  <c r="P64" i="130"/>
  <c r="Q46" i="130"/>
  <c r="P46" i="130"/>
  <c r="Q54" i="130"/>
  <c r="P54" i="130"/>
  <c r="Q30" i="130"/>
  <c r="P30" i="130"/>
  <c r="Q41" i="130"/>
  <c r="P41" i="130"/>
  <c r="AE44" i="130"/>
  <c r="AF44" i="130"/>
  <c r="AG41" i="130" s="1"/>
  <c r="N44" i="130"/>
  <c r="P39" i="130"/>
  <c r="Q39" i="130"/>
  <c r="Q31" i="130"/>
  <c r="P31" i="130"/>
  <c r="P22" i="130"/>
  <c r="Q22" i="130"/>
  <c r="Q56" i="130"/>
  <c r="P56" i="130"/>
  <c r="P11" i="130"/>
  <c r="Q11" i="130"/>
  <c r="Q5" i="130"/>
  <c r="P5" i="130"/>
  <c r="N40" i="130"/>
  <c r="AF40" i="130"/>
  <c r="AG34" i="130" s="1"/>
  <c r="AE40" i="130"/>
  <c r="Q6" i="130"/>
  <c r="P6" i="130"/>
  <c r="AF26" i="130"/>
  <c r="AG20" i="130" s="1"/>
  <c r="AE26" i="130"/>
  <c r="N26" i="130"/>
  <c r="Q57" i="130"/>
  <c r="P57" i="130"/>
  <c r="Q63" i="130"/>
  <c r="P63" i="130"/>
  <c r="Q48" i="130"/>
  <c r="P48" i="130"/>
  <c r="AE53" i="130"/>
  <c r="AF53" i="130"/>
  <c r="AG45" i="130" s="1"/>
  <c r="N53" i="130"/>
  <c r="P65" i="130"/>
  <c r="Q65" i="130"/>
  <c r="Q17" i="130"/>
  <c r="P17" i="130"/>
  <c r="AF68" i="130"/>
  <c r="AG60" i="130" s="1"/>
  <c r="AE68" i="130"/>
  <c r="N68" i="130"/>
  <c r="P21" i="130"/>
  <c r="Q21" i="130"/>
  <c r="Q47" i="130"/>
  <c r="P47" i="130"/>
  <c r="P20" i="130"/>
  <c r="Q20" i="130"/>
  <c r="P67" i="130"/>
  <c r="Q67" i="130"/>
  <c r="Q52" i="130"/>
  <c r="P52" i="130"/>
  <c r="Q62" i="130"/>
  <c r="P62" i="130"/>
  <c r="P58" i="130"/>
  <c r="Q58" i="130"/>
  <c r="N19" i="130"/>
  <c r="AF19" i="130"/>
  <c r="AG13" i="130" s="1"/>
  <c r="AE19" i="130"/>
  <c r="Q42" i="130"/>
  <c r="P42" i="130"/>
  <c r="Q38" i="130"/>
  <c r="P38" i="130"/>
  <c r="P34" i="130"/>
  <c r="Q34" i="130"/>
  <c r="Q61" i="130"/>
  <c r="P61" i="130"/>
  <c r="Q51" i="130"/>
  <c r="P51" i="130"/>
  <c r="Q36" i="130"/>
  <c r="P36" i="130"/>
  <c r="Q15" i="130"/>
  <c r="P15" i="130"/>
  <c r="P28" i="130"/>
  <c r="Q28" i="130"/>
  <c r="Q43" i="130"/>
  <c r="P43" i="130"/>
  <c r="Q24" i="130"/>
  <c r="P24" i="130"/>
  <c r="P49" i="130"/>
  <c r="Q49" i="130"/>
  <c r="P37" i="130"/>
  <c r="Q37" i="130"/>
  <c r="AF8" i="130"/>
  <c r="AG5" i="130" s="1"/>
  <c r="AE8" i="130"/>
  <c r="N8" i="130"/>
  <c r="P25" i="130"/>
  <c r="Q25" i="130"/>
  <c r="P16" i="130"/>
  <c r="Q16" i="130"/>
  <c r="Q14" i="130"/>
  <c r="P14" i="130"/>
  <c r="Q7" i="130"/>
  <c r="P7" i="130"/>
  <c r="Q35" i="130"/>
  <c r="P35" i="130"/>
  <c r="Q9" i="128"/>
  <c r="P9" i="128"/>
  <c r="AE22" i="128"/>
  <c r="N22" i="128"/>
  <c r="AF22" i="128"/>
  <c r="N40" i="128"/>
  <c r="AF40" i="128"/>
  <c r="AG34" i="128" s="1"/>
  <c r="AE40" i="128"/>
  <c r="M53" i="128"/>
  <c r="AE45" i="128"/>
  <c r="N45" i="128"/>
  <c r="AF45" i="128"/>
  <c r="F2" i="128"/>
  <c r="I3" i="127"/>
  <c r="N57" i="128"/>
  <c r="M59" i="128"/>
  <c r="AF57" i="128"/>
  <c r="AE57" i="128"/>
  <c r="Q66" i="128"/>
  <c r="P66" i="128"/>
  <c r="E6" i="127"/>
  <c r="G6" i="127"/>
  <c r="F6" i="127"/>
  <c r="N43" i="128"/>
  <c r="M44" i="128"/>
  <c r="AF43" i="128"/>
  <c r="AE43" i="128"/>
  <c r="P56" i="128"/>
  <c r="Q56" i="128"/>
  <c r="N18" i="128"/>
  <c r="AF18" i="128"/>
  <c r="AE18" i="128"/>
  <c r="Q42" i="128"/>
  <c r="P42" i="128"/>
  <c r="AE46" i="128"/>
  <c r="N46" i="128"/>
  <c r="AF46" i="128"/>
  <c r="Q41" i="128"/>
  <c r="P41" i="128"/>
  <c r="N20" i="128"/>
  <c r="AE20" i="128"/>
  <c r="AF20" i="128"/>
  <c r="M26" i="128"/>
  <c r="N61" i="128"/>
  <c r="AE61" i="128"/>
  <c r="AF61" i="128"/>
  <c r="M68" i="128"/>
  <c r="AE58" i="128"/>
  <c r="N58" i="128"/>
  <c r="AF58" i="128"/>
  <c r="N21" i="128"/>
  <c r="AE21" i="128"/>
  <c r="AF21" i="128"/>
  <c r="N62" i="128"/>
  <c r="AF62" i="128"/>
  <c r="AE62" i="128"/>
  <c r="N16" i="128"/>
  <c r="N33" i="128"/>
  <c r="N31" i="128"/>
  <c r="N36" i="128"/>
  <c r="P38" i="128"/>
  <c r="N52" i="128"/>
  <c r="P54" i="128"/>
  <c r="N8" i="128"/>
  <c r="N29" i="128"/>
  <c r="N50" i="128"/>
  <c r="H21" i="127"/>
  <c r="N11" i="128"/>
  <c r="N37" i="128"/>
  <c r="N39" i="128"/>
  <c r="N30" i="128"/>
  <c r="N32" i="128"/>
  <c r="Q55" i="128"/>
  <c r="H19" i="127"/>
  <c r="AE37" i="128"/>
  <c r="P7" i="128"/>
  <c r="P10" i="128"/>
  <c r="AE15" i="128"/>
  <c r="AF16" i="128"/>
  <c r="M19" i="128"/>
  <c r="P24" i="128"/>
  <c r="AE33" i="128"/>
  <c r="AE36" i="128"/>
  <c r="AF39" i="128"/>
  <c r="P48" i="128"/>
  <c r="AE52" i="128"/>
  <c r="P64" i="128"/>
  <c r="N34" i="128"/>
  <c r="N15" i="128"/>
  <c r="P17" i="128"/>
  <c r="N12" i="128"/>
  <c r="N13" i="128"/>
  <c r="N27" i="128"/>
  <c r="N35" i="128"/>
  <c r="P5" i="128"/>
  <c r="P6" i="128"/>
  <c r="AE13" i="128"/>
  <c r="AE14" i="128"/>
  <c r="P23" i="128"/>
  <c r="AE30" i="128"/>
  <c r="AE32" i="128"/>
  <c r="AE34" i="128"/>
  <c r="AE35" i="128"/>
  <c r="P47" i="128"/>
  <c r="AE51" i="128"/>
  <c r="P60" i="128"/>
  <c r="P63" i="128"/>
  <c r="N14" i="128"/>
  <c r="N51" i="128"/>
  <c r="AE12" i="128"/>
  <c r="AE29" i="128"/>
  <c r="AE31" i="128"/>
  <c r="AF34" i="128"/>
  <c r="AE50" i="128"/>
  <c r="AD72" i="126"/>
  <c r="Z72" i="126"/>
  <c r="Y72" i="126"/>
  <c r="O72" i="126"/>
  <c r="K72" i="126"/>
  <c r="M13" i="125" s="1"/>
  <c r="AF71" i="126"/>
  <c r="V71" i="126"/>
  <c r="U71" i="126"/>
  <c r="O71" i="126"/>
  <c r="M71" i="126"/>
  <c r="AE71" i="126" s="1"/>
  <c r="K71" i="126"/>
  <c r="G71" i="126"/>
  <c r="AF70" i="126"/>
  <c r="AE70" i="126"/>
  <c r="V70" i="126"/>
  <c r="U70" i="126"/>
  <c r="O70" i="126"/>
  <c r="N70" i="126"/>
  <c r="Q70" i="126" s="1"/>
  <c r="M70" i="126"/>
  <c r="K70" i="126"/>
  <c r="G70" i="126"/>
  <c r="AF69" i="126"/>
  <c r="AE69" i="126"/>
  <c r="X69" i="126"/>
  <c r="W69" i="126"/>
  <c r="V69" i="126"/>
  <c r="U69" i="126"/>
  <c r="O69" i="126"/>
  <c r="M69" i="126"/>
  <c r="N69" i="126" s="1"/>
  <c r="K69" i="126"/>
  <c r="G69" i="126"/>
  <c r="AF68" i="126"/>
  <c r="AE68" i="126"/>
  <c r="V68" i="126"/>
  <c r="U68" i="126"/>
  <c r="O68" i="126"/>
  <c r="N68" i="126"/>
  <c r="Q68" i="126" s="1"/>
  <c r="M68" i="126"/>
  <c r="K68" i="126"/>
  <c r="G68" i="126"/>
  <c r="V67" i="126"/>
  <c r="M67" i="126" s="1"/>
  <c r="U67" i="126"/>
  <c r="O67" i="126"/>
  <c r="K67" i="126"/>
  <c r="G67" i="126"/>
  <c r="V66" i="126"/>
  <c r="M66" i="126" s="1"/>
  <c r="U66" i="126"/>
  <c r="O66" i="126"/>
  <c r="K66" i="126"/>
  <c r="G66" i="126"/>
  <c r="V65" i="126"/>
  <c r="M65" i="126" s="1"/>
  <c r="U65" i="126"/>
  <c r="O65" i="126"/>
  <c r="K65" i="126"/>
  <c r="G65" i="126"/>
  <c r="V64" i="126"/>
  <c r="M64" i="126" s="1"/>
  <c r="U64" i="126"/>
  <c r="O64" i="126"/>
  <c r="K64" i="126"/>
  <c r="G64" i="126"/>
  <c r="X63" i="126"/>
  <c r="W63" i="126"/>
  <c r="V63" i="126"/>
  <c r="M63" i="126" s="1"/>
  <c r="O63" i="126"/>
  <c r="K63" i="126"/>
  <c r="G63" i="126"/>
  <c r="AD62" i="126"/>
  <c r="J21" i="125" s="1"/>
  <c r="Z62" i="126"/>
  <c r="Y62" i="126"/>
  <c r="J18" i="125" s="1"/>
  <c r="O62" i="126"/>
  <c r="K62" i="126"/>
  <c r="V61" i="126"/>
  <c r="M61" i="126" s="1"/>
  <c r="U61" i="126"/>
  <c r="O61" i="126"/>
  <c r="K61" i="126"/>
  <c r="G61" i="126"/>
  <c r="V60" i="126"/>
  <c r="M60" i="126" s="1"/>
  <c r="U60" i="126"/>
  <c r="O60" i="126"/>
  <c r="K60" i="126"/>
  <c r="G60" i="126"/>
  <c r="V59" i="126"/>
  <c r="M59" i="126" s="1"/>
  <c r="U59" i="126"/>
  <c r="O59" i="126"/>
  <c r="N59" i="126"/>
  <c r="K59" i="126"/>
  <c r="G59" i="126"/>
  <c r="V58" i="126"/>
  <c r="U58" i="126"/>
  <c r="O58" i="126"/>
  <c r="M58" i="126"/>
  <c r="K58" i="126"/>
  <c r="G58" i="126"/>
  <c r="V57" i="126"/>
  <c r="O57" i="126"/>
  <c r="M57" i="126"/>
  <c r="K57" i="126"/>
  <c r="G57" i="126"/>
  <c r="AD56" i="126"/>
  <c r="Z56" i="126"/>
  <c r="Y56" i="126"/>
  <c r="O56" i="126"/>
  <c r="K56" i="126"/>
  <c r="V55" i="126"/>
  <c r="U55" i="126"/>
  <c r="O55" i="126"/>
  <c r="M55" i="126"/>
  <c r="AF55" i="126" s="1"/>
  <c r="K55" i="126"/>
  <c r="G55" i="126"/>
  <c r="V54" i="126"/>
  <c r="U54" i="126"/>
  <c r="O54" i="126"/>
  <c r="N54" i="126"/>
  <c r="Q54" i="126" s="1"/>
  <c r="M54" i="126"/>
  <c r="AF54" i="126" s="1"/>
  <c r="K54" i="126"/>
  <c r="G54" i="126"/>
  <c r="AF53" i="126"/>
  <c r="V53" i="126"/>
  <c r="U53" i="126"/>
  <c r="O53" i="126"/>
  <c r="M53" i="126"/>
  <c r="AE53" i="126" s="1"/>
  <c r="K53" i="126"/>
  <c r="G53" i="126"/>
  <c r="AF52" i="126"/>
  <c r="AE52" i="126"/>
  <c r="V52" i="126"/>
  <c r="U52" i="126"/>
  <c r="O52" i="126"/>
  <c r="N52" i="126"/>
  <c r="Q52" i="126" s="1"/>
  <c r="M52" i="126"/>
  <c r="K52" i="126"/>
  <c r="P52" i="126" s="1"/>
  <c r="G52" i="126"/>
  <c r="V51" i="126"/>
  <c r="M51" i="126" s="1"/>
  <c r="U51" i="126"/>
  <c r="O51" i="126"/>
  <c r="K51" i="126"/>
  <c r="G51" i="126"/>
  <c r="V50" i="126"/>
  <c r="M50" i="126" s="1"/>
  <c r="U50" i="126"/>
  <c r="O50" i="126"/>
  <c r="K50" i="126"/>
  <c r="G50" i="126"/>
  <c r="V49" i="126"/>
  <c r="M49" i="126" s="1"/>
  <c r="U49" i="126"/>
  <c r="O49" i="126"/>
  <c r="K49" i="126"/>
  <c r="G49" i="126"/>
  <c r="V48" i="126"/>
  <c r="M48" i="126" s="1"/>
  <c r="M56" i="126" s="1"/>
  <c r="O48" i="126"/>
  <c r="K48" i="126"/>
  <c r="G48" i="126"/>
  <c r="AD47" i="126"/>
  <c r="Z47" i="126"/>
  <c r="H19" i="125" s="1"/>
  <c r="Y47" i="126"/>
  <c r="O47" i="126"/>
  <c r="K47" i="126"/>
  <c r="V46" i="126"/>
  <c r="M46" i="126" s="1"/>
  <c r="U46" i="126"/>
  <c r="O46" i="126"/>
  <c r="K46" i="126"/>
  <c r="G46" i="126"/>
  <c r="V45" i="126"/>
  <c r="M45" i="126" s="1"/>
  <c r="U45" i="126"/>
  <c r="O45" i="126"/>
  <c r="N45" i="126"/>
  <c r="K45" i="126"/>
  <c r="G45" i="126"/>
  <c r="V44" i="126"/>
  <c r="M44" i="126" s="1"/>
  <c r="O44" i="126"/>
  <c r="N44" i="126"/>
  <c r="K44" i="126"/>
  <c r="G44" i="126"/>
  <c r="AD43" i="126"/>
  <c r="Z43" i="126"/>
  <c r="Y43" i="126"/>
  <c r="O43" i="126"/>
  <c r="N43" i="126"/>
  <c r="K43" i="126"/>
  <c r="V42" i="126"/>
  <c r="U42" i="126"/>
  <c r="O42" i="126"/>
  <c r="M42" i="126"/>
  <c r="AF42" i="126" s="1"/>
  <c r="K42" i="126"/>
  <c r="G42" i="126"/>
  <c r="V41" i="126"/>
  <c r="U41" i="126"/>
  <c r="O41" i="126"/>
  <c r="M41" i="126"/>
  <c r="AF41" i="126" s="1"/>
  <c r="K41" i="126"/>
  <c r="G41" i="126"/>
  <c r="X40" i="126"/>
  <c r="W40" i="126"/>
  <c r="V40" i="126"/>
  <c r="U40" i="126"/>
  <c r="O40" i="126"/>
  <c r="M40" i="126"/>
  <c r="AF40" i="126" s="1"/>
  <c r="K40" i="126"/>
  <c r="G40" i="126"/>
  <c r="V39" i="126"/>
  <c r="U39" i="126"/>
  <c r="O39" i="126"/>
  <c r="M39" i="126"/>
  <c r="AF39" i="126" s="1"/>
  <c r="K39" i="126"/>
  <c r="G39" i="126"/>
  <c r="V38" i="126"/>
  <c r="U38" i="126"/>
  <c r="O38" i="126"/>
  <c r="N38" i="126"/>
  <c r="Q38" i="126" s="1"/>
  <c r="M38" i="126"/>
  <c r="AF38" i="126" s="1"/>
  <c r="K38" i="126"/>
  <c r="G38" i="126"/>
  <c r="AF37" i="126"/>
  <c r="V37" i="126"/>
  <c r="U37" i="126"/>
  <c r="O37" i="126"/>
  <c r="M37" i="126"/>
  <c r="AE37" i="126" s="1"/>
  <c r="K37" i="126"/>
  <c r="G37" i="126"/>
  <c r="AF36" i="126"/>
  <c r="X36" i="126"/>
  <c r="W36" i="126"/>
  <c r="V36" i="126"/>
  <c r="O36" i="126"/>
  <c r="M36" i="126"/>
  <c r="M43" i="126" s="1"/>
  <c r="K36" i="126"/>
  <c r="G36" i="126"/>
  <c r="AD35" i="126"/>
  <c r="Z35" i="126"/>
  <c r="Y35" i="126"/>
  <c r="O35" i="126"/>
  <c r="K35" i="126"/>
  <c r="AF34" i="126"/>
  <c r="V34" i="126"/>
  <c r="U34" i="126"/>
  <c r="O34" i="126"/>
  <c r="M34" i="126"/>
  <c r="AE34" i="126" s="1"/>
  <c r="K34" i="126"/>
  <c r="G34" i="126"/>
  <c r="AF33" i="126"/>
  <c r="AE33" i="126"/>
  <c r="V33" i="126"/>
  <c r="U33" i="126"/>
  <c r="O33" i="126"/>
  <c r="N33" i="126"/>
  <c r="Q33" i="126" s="1"/>
  <c r="M33" i="126"/>
  <c r="K33" i="126"/>
  <c r="P33" i="126" s="1"/>
  <c r="G33" i="126"/>
  <c r="AF32" i="126"/>
  <c r="AE32" i="126"/>
  <c r="X32" i="126"/>
  <c r="W32" i="126"/>
  <c r="V32" i="126"/>
  <c r="U32" i="126"/>
  <c r="O32" i="126"/>
  <c r="M32" i="126"/>
  <c r="N32" i="126" s="1"/>
  <c r="K32" i="126"/>
  <c r="G32" i="126"/>
  <c r="AF31" i="126"/>
  <c r="AE31" i="126"/>
  <c r="V31" i="126"/>
  <c r="U31" i="126"/>
  <c r="O31" i="126"/>
  <c r="N31" i="126"/>
  <c r="Q31" i="126" s="1"/>
  <c r="M31" i="126"/>
  <c r="K31" i="126"/>
  <c r="P31" i="126" s="1"/>
  <c r="G31" i="126"/>
  <c r="V30" i="126"/>
  <c r="M30" i="126" s="1"/>
  <c r="U30" i="126"/>
  <c r="O30" i="126"/>
  <c r="K30" i="126"/>
  <c r="G30" i="126"/>
  <c r="V29" i="126"/>
  <c r="M29" i="126" s="1"/>
  <c r="U29" i="126"/>
  <c r="O29" i="126"/>
  <c r="K29" i="126"/>
  <c r="G29" i="126"/>
  <c r="AF28" i="126"/>
  <c r="AE28" i="126"/>
  <c r="X28" i="126"/>
  <c r="W28" i="126"/>
  <c r="V28" i="126"/>
  <c r="O28" i="126"/>
  <c r="N28" i="126"/>
  <c r="Q28" i="126" s="1"/>
  <c r="M28" i="126"/>
  <c r="K28" i="126"/>
  <c r="P28" i="126" s="1"/>
  <c r="G28" i="126"/>
  <c r="AD27" i="126"/>
  <c r="G21" i="125" s="1"/>
  <c r="Z27" i="126"/>
  <c r="Y27" i="126"/>
  <c r="O27" i="126"/>
  <c r="K27" i="126"/>
  <c r="V26" i="126"/>
  <c r="M26" i="126" s="1"/>
  <c r="U26" i="126"/>
  <c r="O26" i="126"/>
  <c r="K26" i="126"/>
  <c r="G26" i="126"/>
  <c r="V25" i="126"/>
  <c r="M25" i="126" s="1"/>
  <c r="U25" i="126"/>
  <c r="O25" i="126"/>
  <c r="K25" i="126"/>
  <c r="G25" i="126"/>
  <c r="V24" i="126"/>
  <c r="M24" i="126" s="1"/>
  <c r="U24" i="126"/>
  <c r="O24" i="126"/>
  <c r="K24" i="126"/>
  <c r="G24" i="126"/>
  <c r="V23" i="126"/>
  <c r="M23" i="126" s="1"/>
  <c r="U23" i="126"/>
  <c r="O23" i="126"/>
  <c r="K23" i="126"/>
  <c r="G23" i="126"/>
  <c r="V22" i="126"/>
  <c r="M22" i="126" s="1"/>
  <c r="U22" i="126"/>
  <c r="O22" i="126"/>
  <c r="K22" i="126"/>
  <c r="G22" i="126"/>
  <c r="V21" i="126"/>
  <c r="M21" i="126" s="1"/>
  <c r="N21" i="126" s="1"/>
  <c r="O21" i="126"/>
  <c r="K21" i="126"/>
  <c r="G21" i="126"/>
  <c r="AD20" i="126"/>
  <c r="Z20" i="126"/>
  <c r="Y20" i="126"/>
  <c r="F18" i="125" s="1"/>
  <c r="O20" i="126"/>
  <c r="K20" i="126"/>
  <c r="V19" i="126"/>
  <c r="U19" i="126"/>
  <c r="O19" i="126"/>
  <c r="M19" i="126"/>
  <c r="AF19" i="126" s="1"/>
  <c r="K19" i="126"/>
  <c r="G19" i="126"/>
  <c r="V18" i="126"/>
  <c r="U18" i="126"/>
  <c r="O18" i="126"/>
  <c r="M18" i="126"/>
  <c r="AF18" i="126" s="1"/>
  <c r="K18" i="126"/>
  <c r="G18" i="126"/>
  <c r="V17" i="126"/>
  <c r="U17" i="126"/>
  <c r="O17" i="126"/>
  <c r="N17" i="126"/>
  <c r="Q17" i="126" s="1"/>
  <c r="M17" i="126"/>
  <c r="AF17" i="126" s="1"/>
  <c r="K17" i="126"/>
  <c r="G17" i="126"/>
  <c r="AF16" i="126"/>
  <c r="V16" i="126"/>
  <c r="U16" i="126"/>
  <c r="O16" i="126"/>
  <c r="M16" i="126"/>
  <c r="AE16" i="126" s="1"/>
  <c r="K16" i="126"/>
  <c r="G16" i="126"/>
  <c r="AF15" i="126"/>
  <c r="AE15" i="126"/>
  <c r="V15" i="126"/>
  <c r="U15" i="126"/>
  <c r="O15" i="126"/>
  <c r="N15" i="126"/>
  <c r="Q15" i="126" s="1"/>
  <c r="M15" i="126"/>
  <c r="K15" i="126"/>
  <c r="P15" i="126" s="1"/>
  <c r="G15" i="126"/>
  <c r="V14" i="126"/>
  <c r="M14" i="126" s="1"/>
  <c r="U14" i="126"/>
  <c r="O14" i="126"/>
  <c r="K14" i="126"/>
  <c r="G14" i="126"/>
  <c r="V13" i="126"/>
  <c r="M13" i="126" s="1"/>
  <c r="O13" i="126"/>
  <c r="K13" i="126"/>
  <c r="G13" i="126"/>
  <c r="AD12" i="126"/>
  <c r="E21" i="125" s="1"/>
  <c r="Z12" i="126"/>
  <c r="E19" i="125" s="1"/>
  <c r="Y12" i="126"/>
  <c r="O12" i="126"/>
  <c r="K12" i="126"/>
  <c r="V11" i="126"/>
  <c r="M11" i="126" s="1"/>
  <c r="U11" i="126"/>
  <c r="O11" i="126"/>
  <c r="K11" i="126"/>
  <c r="G11" i="126"/>
  <c r="V10" i="126"/>
  <c r="M10" i="126" s="1"/>
  <c r="U10" i="126"/>
  <c r="O10" i="126"/>
  <c r="K10" i="126"/>
  <c r="G10" i="126"/>
  <c r="X9" i="126"/>
  <c r="W9" i="126"/>
  <c r="V9" i="126"/>
  <c r="M9" i="126" s="1"/>
  <c r="O9" i="126"/>
  <c r="K9" i="126"/>
  <c r="G9" i="126"/>
  <c r="AD8" i="126"/>
  <c r="AD2" i="126" s="1"/>
  <c r="N6" i="125" s="1"/>
  <c r="Z8" i="126"/>
  <c r="D19" i="125" s="1"/>
  <c r="Y8" i="126"/>
  <c r="O8" i="126"/>
  <c r="K8" i="126"/>
  <c r="V7" i="126"/>
  <c r="M7" i="126" s="1"/>
  <c r="U7" i="126"/>
  <c r="O7" i="126"/>
  <c r="K7" i="126"/>
  <c r="G7" i="126"/>
  <c r="V6" i="126"/>
  <c r="M6" i="126" s="1"/>
  <c r="U6" i="126"/>
  <c r="O6" i="126"/>
  <c r="K6" i="126"/>
  <c r="G6" i="126"/>
  <c r="V5" i="126"/>
  <c r="M5" i="126" s="1"/>
  <c r="O5" i="126"/>
  <c r="K5" i="126"/>
  <c r="G5" i="126"/>
  <c r="F1" i="126" s="1"/>
  <c r="F2" i="126" s="1"/>
  <c r="AC2" i="126"/>
  <c r="H2" i="126"/>
  <c r="H1" i="126"/>
  <c r="D1" i="126"/>
  <c r="M22" i="125"/>
  <c r="L22" i="125"/>
  <c r="K22" i="125"/>
  <c r="J22" i="125"/>
  <c r="I22" i="125"/>
  <c r="H22" i="125"/>
  <c r="G22" i="125"/>
  <c r="F22" i="125"/>
  <c r="E22" i="125"/>
  <c r="D22" i="125"/>
  <c r="M21" i="125"/>
  <c r="L21" i="125"/>
  <c r="K21" i="125"/>
  <c r="I21" i="125"/>
  <c r="H21" i="125"/>
  <c r="F21" i="125"/>
  <c r="D21" i="125"/>
  <c r="M20" i="125"/>
  <c r="L20" i="125"/>
  <c r="K20" i="125"/>
  <c r="J20" i="125"/>
  <c r="I20" i="125"/>
  <c r="H20" i="125"/>
  <c r="G20" i="125"/>
  <c r="F20" i="125"/>
  <c r="E20" i="125"/>
  <c r="D20" i="125"/>
  <c r="M19" i="125"/>
  <c r="L19" i="125"/>
  <c r="K19" i="125"/>
  <c r="J19" i="125"/>
  <c r="I19" i="125"/>
  <c r="G19" i="125"/>
  <c r="F19" i="125"/>
  <c r="M18" i="125"/>
  <c r="L18" i="125"/>
  <c r="K18" i="125"/>
  <c r="I18" i="125"/>
  <c r="H18" i="125"/>
  <c r="G18" i="125"/>
  <c r="E18" i="125"/>
  <c r="M17" i="125"/>
  <c r="L17" i="125"/>
  <c r="K17" i="125"/>
  <c r="J17" i="125"/>
  <c r="I17" i="125"/>
  <c r="H17" i="125"/>
  <c r="G17" i="125"/>
  <c r="F17" i="125"/>
  <c r="E17" i="125"/>
  <c r="D17" i="125"/>
  <c r="M16" i="125"/>
  <c r="L16" i="125"/>
  <c r="K16" i="125"/>
  <c r="J16" i="125"/>
  <c r="I16" i="125"/>
  <c r="H16" i="125"/>
  <c r="G16" i="125"/>
  <c r="F16" i="125"/>
  <c r="E16" i="125"/>
  <c r="D16" i="125"/>
  <c r="L14" i="125"/>
  <c r="L15" i="125" s="1"/>
  <c r="L13" i="125"/>
  <c r="K13" i="125"/>
  <c r="I6" i="125" s="1"/>
  <c r="J13" i="125"/>
  <c r="I13" i="125"/>
  <c r="H13" i="125"/>
  <c r="G13" i="125"/>
  <c r="F13" i="125"/>
  <c r="E13" i="125"/>
  <c r="D13" i="125"/>
  <c r="M6" i="125"/>
  <c r="I3" i="125"/>
  <c r="F3" i="125"/>
  <c r="C3" i="125"/>
  <c r="G7" i="133" l="1"/>
  <c r="F7" i="133"/>
  <c r="E7" i="133"/>
  <c r="D15" i="133"/>
  <c r="K15" i="133"/>
  <c r="I8" i="133" s="1"/>
  <c r="I7" i="133"/>
  <c r="G14" i="129"/>
  <c r="G15" i="129" s="1"/>
  <c r="Q26" i="130"/>
  <c r="R20" i="130" s="1"/>
  <c r="P26" i="130"/>
  <c r="Q68" i="130"/>
  <c r="R60" i="130" s="1"/>
  <c r="P68" i="130"/>
  <c r="M14" i="129"/>
  <c r="M15" i="129" s="1"/>
  <c r="H14" i="129"/>
  <c r="H15" i="129" s="1"/>
  <c r="Q44" i="130"/>
  <c r="R41" i="130" s="1"/>
  <c r="P44" i="130"/>
  <c r="Q40" i="130"/>
  <c r="R34" i="130" s="1"/>
  <c r="P40" i="130"/>
  <c r="L14" i="129"/>
  <c r="L15" i="129" s="1"/>
  <c r="D14" i="129"/>
  <c r="P8" i="130"/>
  <c r="Q8" i="130"/>
  <c r="R5" i="130" s="1"/>
  <c r="D2" i="130"/>
  <c r="Q12" i="130"/>
  <c r="R9" i="130" s="1"/>
  <c r="P12" i="130"/>
  <c r="E14" i="129"/>
  <c r="E15" i="129" s="1"/>
  <c r="F14" i="129"/>
  <c r="F15" i="129" s="1"/>
  <c r="Q19" i="130"/>
  <c r="R13" i="130" s="1"/>
  <c r="P19" i="130"/>
  <c r="I14" i="129"/>
  <c r="I15" i="129" s="1"/>
  <c r="Q53" i="130"/>
  <c r="R45" i="130" s="1"/>
  <c r="P53" i="130"/>
  <c r="J14" i="129"/>
  <c r="J15" i="129" s="1"/>
  <c r="Q59" i="130"/>
  <c r="R54" i="130" s="1"/>
  <c r="P59" i="130"/>
  <c r="K15" i="129"/>
  <c r="E14" i="127"/>
  <c r="E15" i="127" s="1"/>
  <c r="Q12" i="128"/>
  <c r="R9" i="128" s="1"/>
  <c r="P12" i="128"/>
  <c r="AF26" i="128"/>
  <c r="AG20" i="128" s="1"/>
  <c r="AE26" i="128"/>
  <c r="N26" i="128"/>
  <c r="Q50" i="128"/>
  <c r="P50" i="128"/>
  <c r="Q40" i="128"/>
  <c r="R34" i="128" s="1"/>
  <c r="L14" i="127"/>
  <c r="L15" i="127" s="1"/>
  <c r="P40" i="128"/>
  <c r="P58" i="128"/>
  <c r="Q58" i="128"/>
  <c r="AE44" i="128"/>
  <c r="N44" i="128"/>
  <c r="AF44" i="128"/>
  <c r="AG41" i="128" s="1"/>
  <c r="Q14" i="128"/>
  <c r="P14" i="128"/>
  <c r="Q30" i="128"/>
  <c r="P30" i="128"/>
  <c r="P37" i="128"/>
  <c r="Q37" i="128"/>
  <c r="P16" i="128"/>
  <c r="Q16" i="128"/>
  <c r="AE53" i="128"/>
  <c r="AF53" i="128"/>
  <c r="AG45" i="128" s="1"/>
  <c r="N53" i="128"/>
  <c r="Q62" i="128"/>
  <c r="P62" i="128"/>
  <c r="Q51" i="128"/>
  <c r="P51" i="128"/>
  <c r="Q32" i="128"/>
  <c r="P32" i="128"/>
  <c r="Q36" i="128"/>
  <c r="P36" i="128"/>
  <c r="Q46" i="128"/>
  <c r="P46" i="128"/>
  <c r="P43" i="128"/>
  <c r="Q43" i="128"/>
  <c r="Q31" i="128"/>
  <c r="P31" i="128"/>
  <c r="AF68" i="128"/>
  <c r="AG60" i="128" s="1"/>
  <c r="AE68" i="128"/>
  <c r="N68" i="128"/>
  <c r="Q45" i="128"/>
  <c r="P45" i="128"/>
  <c r="Q35" i="128"/>
  <c r="P35" i="128"/>
  <c r="P39" i="128"/>
  <c r="Q39" i="128"/>
  <c r="K14" i="127"/>
  <c r="P33" i="128"/>
  <c r="Q33" i="128"/>
  <c r="R27" i="128" s="1"/>
  <c r="Q27" i="128"/>
  <c r="P27" i="128"/>
  <c r="Q13" i="128"/>
  <c r="P13" i="128"/>
  <c r="N19" i="128"/>
  <c r="AF19" i="128"/>
  <c r="AG13" i="128" s="1"/>
  <c r="AE19" i="128"/>
  <c r="Q11" i="128"/>
  <c r="P11" i="128"/>
  <c r="P61" i="128"/>
  <c r="Q61" i="128"/>
  <c r="Q18" i="128"/>
  <c r="P18" i="128"/>
  <c r="Q15" i="128"/>
  <c r="P15" i="128"/>
  <c r="Q29" i="128"/>
  <c r="P29" i="128"/>
  <c r="P34" i="128"/>
  <c r="Q34" i="128"/>
  <c r="D2" i="128"/>
  <c r="D14" i="127"/>
  <c r="Q8" i="128"/>
  <c r="R5" i="128" s="1"/>
  <c r="P8" i="128"/>
  <c r="P20" i="128"/>
  <c r="Q20" i="128"/>
  <c r="N59" i="128"/>
  <c r="AF59" i="128"/>
  <c r="AG54" i="128" s="1"/>
  <c r="AE59" i="128"/>
  <c r="Q22" i="128"/>
  <c r="P22" i="128"/>
  <c r="P21" i="128"/>
  <c r="Q21" i="128"/>
  <c r="P57" i="128"/>
  <c r="Q57" i="128"/>
  <c r="Q52" i="128"/>
  <c r="P52" i="128"/>
  <c r="AF56" i="126"/>
  <c r="AG48" i="126" s="1"/>
  <c r="N56" i="126"/>
  <c r="AE56" i="126"/>
  <c r="Q21" i="126"/>
  <c r="P21" i="126"/>
  <c r="AE26" i="126"/>
  <c r="N26" i="126"/>
  <c r="AF26" i="126"/>
  <c r="N24" i="126"/>
  <c r="AF24" i="126"/>
  <c r="AE24" i="126"/>
  <c r="AE30" i="126"/>
  <c r="N30" i="126"/>
  <c r="AF30" i="126"/>
  <c r="Q32" i="126"/>
  <c r="P32" i="126"/>
  <c r="N50" i="126"/>
  <c r="AF50" i="126"/>
  <c r="AE50" i="126"/>
  <c r="N58" i="126"/>
  <c r="AF58" i="126"/>
  <c r="AE58" i="126"/>
  <c r="G6" i="125"/>
  <c r="F6" i="125"/>
  <c r="E6" i="125"/>
  <c r="N10" i="126"/>
  <c r="AF10" i="126"/>
  <c r="AE10" i="126"/>
  <c r="AF22" i="126"/>
  <c r="AE22" i="126"/>
  <c r="N48" i="126"/>
  <c r="AF48" i="126"/>
  <c r="AE48" i="126"/>
  <c r="AE66" i="126"/>
  <c r="N66" i="126"/>
  <c r="AF66" i="126"/>
  <c r="N46" i="126"/>
  <c r="AF46" i="126"/>
  <c r="AE46" i="126"/>
  <c r="N60" i="126"/>
  <c r="AF60" i="126"/>
  <c r="AE60" i="126"/>
  <c r="N64" i="126"/>
  <c r="AF64" i="126"/>
  <c r="AE64" i="126"/>
  <c r="M47" i="126"/>
  <c r="AF44" i="126"/>
  <c r="AE44" i="126"/>
  <c r="N6" i="126"/>
  <c r="AF6" i="126"/>
  <c r="AE6" i="126"/>
  <c r="Q44" i="126"/>
  <c r="P44" i="126"/>
  <c r="M20" i="126"/>
  <c r="AE13" i="126"/>
  <c r="N13" i="126"/>
  <c r="AF13" i="126"/>
  <c r="N9" i="126"/>
  <c r="M12" i="126"/>
  <c r="AF9" i="126"/>
  <c r="AE9" i="126"/>
  <c r="AF51" i="126"/>
  <c r="AE51" i="126"/>
  <c r="N51" i="126"/>
  <c r="N23" i="126"/>
  <c r="AF23" i="126"/>
  <c r="AE23" i="126"/>
  <c r="N25" i="126"/>
  <c r="AF25" i="126"/>
  <c r="AE25" i="126"/>
  <c r="P43" i="126"/>
  <c r="Q43" i="126"/>
  <c r="R36" i="126" s="1"/>
  <c r="P45" i="126"/>
  <c r="Q45" i="126"/>
  <c r="P59" i="126"/>
  <c r="Q59" i="126"/>
  <c r="N63" i="126"/>
  <c r="AF63" i="126"/>
  <c r="AE63" i="126"/>
  <c r="M72" i="126"/>
  <c r="AF67" i="126"/>
  <c r="AE67" i="126"/>
  <c r="N67" i="126"/>
  <c r="Q69" i="126"/>
  <c r="P69" i="126"/>
  <c r="N49" i="126"/>
  <c r="AF49" i="126"/>
  <c r="AE49" i="126"/>
  <c r="N57" i="126"/>
  <c r="AF57" i="126"/>
  <c r="M62" i="126"/>
  <c r="AE57" i="126"/>
  <c r="N5" i="126"/>
  <c r="M8" i="126"/>
  <c r="AF5" i="126"/>
  <c r="AE5" i="126"/>
  <c r="N61" i="126"/>
  <c r="AF61" i="126"/>
  <c r="AE61" i="126"/>
  <c r="N65" i="126"/>
  <c r="AF65" i="126"/>
  <c r="AE65" i="126"/>
  <c r="AE14" i="126"/>
  <c r="N14" i="126"/>
  <c r="AF14" i="126"/>
  <c r="AF45" i="126"/>
  <c r="AE45" i="126"/>
  <c r="AF59" i="126"/>
  <c r="AE59" i="126"/>
  <c r="N7" i="126"/>
  <c r="AF7" i="126"/>
  <c r="AE7" i="126"/>
  <c r="N11" i="126"/>
  <c r="AF11" i="126"/>
  <c r="AE11" i="126"/>
  <c r="AF21" i="126"/>
  <c r="AE21" i="126"/>
  <c r="M27" i="126"/>
  <c r="M35" i="126"/>
  <c r="AE29" i="126"/>
  <c r="N29" i="126"/>
  <c r="AF29" i="126"/>
  <c r="AF43" i="126"/>
  <c r="AG36" i="126" s="1"/>
  <c r="AE43" i="126"/>
  <c r="D18" i="125"/>
  <c r="Y2" i="126"/>
  <c r="K6" i="125" s="1"/>
  <c r="N22" i="126"/>
  <c r="N19" i="126"/>
  <c r="N18" i="126"/>
  <c r="N36" i="126"/>
  <c r="N39" i="126"/>
  <c r="N41" i="126"/>
  <c r="N55" i="126"/>
  <c r="Z2" i="126"/>
  <c r="L6" i="125" s="1"/>
  <c r="N16" i="126"/>
  <c r="N34" i="126"/>
  <c r="N37" i="126"/>
  <c r="N53" i="126"/>
  <c r="N71" i="126"/>
  <c r="P17" i="126"/>
  <c r="P38" i="126"/>
  <c r="P54" i="126"/>
  <c r="AE19" i="126"/>
  <c r="AE42" i="126"/>
  <c r="P68" i="126"/>
  <c r="P70" i="126"/>
  <c r="N40" i="126"/>
  <c r="N42" i="126"/>
  <c r="AE18" i="126"/>
  <c r="AE39" i="126"/>
  <c r="AE41" i="126"/>
  <c r="AE55" i="126"/>
  <c r="AE17" i="126"/>
  <c r="AE38" i="126"/>
  <c r="AE40" i="126"/>
  <c r="AE54" i="126"/>
  <c r="AE36" i="126"/>
  <c r="AD76" i="124"/>
  <c r="Z76" i="124"/>
  <c r="Y76" i="124"/>
  <c r="O76" i="124"/>
  <c r="K76" i="124"/>
  <c r="M13" i="123" s="1"/>
  <c r="V75" i="124"/>
  <c r="U75" i="124"/>
  <c r="O75" i="124"/>
  <c r="M75" i="124"/>
  <c r="AE75" i="124" s="1"/>
  <c r="K75" i="124"/>
  <c r="G75" i="124"/>
  <c r="AF74" i="124"/>
  <c r="AE74" i="124"/>
  <c r="V74" i="124"/>
  <c r="U74" i="124"/>
  <c r="O74" i="124"/>
  <c r="M74" i="124"/>
  <c r="N74" i="124" s="1"/>
  <c r="K74" i="124"/>
  <c r="G74" i="124"/>
  <c r="V73" i="124"/>
  <c r="M73" i="124" s="1"/>
  <c r="U73" i="124"/>
  <c r="O73" i="124"/>
  <c r="K73" i="124"/>
  <c r="G73" i="124"/>
  <c r="AE72" i="124"/>
  <c r="X72" i="124"/>
  <c r="W72" i="124"/>
  <c r="V72" i="124"/>
  <c r="U72" i="124"/>
  <c r="O72" i="124"/>
  <c r="M72" i="124"/>
  <c r="N72" i="124" s="1"/>
  <c r="K72" i="124"/>
  <c r="G72" i="124"/>
  <c r="V71" i="124"/>
  <c r="M71" i="124" s="1"/>
  <c r="U71" i="124"/>
  <c r="O71" i="124"/>
  <c r="K71" i="124"/>
  <c r="G71" i="124"/>
  <c r="V70" i="124"/>
  <c r="M70" i="124" s="1"/>
  <c r="U70" i="124"/>
  <c r="O70" i="124"/>
  <c r="K70" i="124"/>
  <c r="G70" i="124"/>
  <c r="V69" i="124"/>
  <c r="M69" i="124" s="1"/>
  <c r="U69" i="124"/>
  <c r="O69" i="124"/>
  <c r="K69" i="124"/>
  <c r="G69" i="124"/>
  <c r="V68" i="124"/>
  <c r="M68" i="124" s="1"/>
  <c r="U68" i="124"/>
  <c r="O68" i="124"/>
  <c r="K68" i="124"/>
  <c r="G68" i="124"/>
  <c r="V67" i="124"/>
  <c r="M67" i="124" s="1"/>
  <c r="U67" i="124"/>
  <c r="O67" i="124"/>
  <c r="K67" i="124"/>
  <c r="G67" i="124"/>
  <c r="X66" i="124"/>
  <c r="W66" i="124"/>
  <c r="V66" i="124"/>
  <c r="M66" i="124" s="1"/>
  <c r="O66" i="124"/>
  <c r="K66" i="124"/>
  <c r="G66" i="124"/>
  <c r="AD65" i="124"/>
  <c r="Z65" i="124"/>
  <c r="Y65" i="124"/>
  <c r="J18" i="123" s="1"/>
  <c r="O65" i="124"/>
  <c r="K65" i="124"/>
  <c r="V64" i="124"/>
  <c r="M64" i="124" s="1"/>
  <c r="U64" i="124"/>
  <c r="O64" i="124"/>
  <c r="K64" i="124"/>
  <c r="G64" i="124"/>
  <c r="V63" i="124"/>
  <c r="M63" i="124" s="1"/>
  <c r="U63" i="124"/>
  <c r="O63" i="124"/>
  <c r="K63" i="124"/>
  <c r="G63" i="124"/>
  <c r="V62" i="124"/>
  <c r="U62" i="124"/>
  <c r="O62" i="124"/>
  <c r="N62" i="124"/>
  <c r="Q62" i="124" s="1"/>
  <c r="M62" i="124"/>
  <c r="AF62" i="124" s="1"/>
  <c r="K62" i="124"/>
  <c r="G62" i="124"/>
  <c r="V61" i="124"/>
  <c r="U61" i="124"/>
  <c r="O61" i="124"/>
  <c r="M61" i="124"/>
  <c r="AF61" i="124" s="1"/>
  <c r="K61" i="124"/>
  <c r="G61" i="124"/>
  <c r="V60" i="124"/>
  <c r="O60" i="124"/>
  <c r="M60" i="124"/>
  <c r="AF60" i="124" s="1"/>
  <c r="K60" i="124"/>
  <c r="G60" i="124"/>
  <c r="AD59" i="124"/>
  <c r="Z59" i="124"/>
  <c r="Y59" i="124"/>
  <c r="O59" i="124"/>
  <c r="K59" i="124"/>
  <c r="V58" i="124"/>
  <c r="U58" i="124"/>
  <c r="O58" i="124"/>
  <c r="N58" i="124"/>
  <c r="Q58" i="124" s="1"/>
  <c r="M58" i="124"/>
  <c r="AF58" i="124" s="1"/>
  <c r="K58" i="124"/>
  <c r="G58" i="124"/>
  <c r="V57" i="124"/>
  <c r="U57" i="124"/>
  <c r="O57" i="124"/>
  <c r="M57" i="124"/>
  <c r="AE57" i="124" s="1"/>
  <c r="K57" i="124"/>
  <c r="G57" i="124"/>
  <c r="AF56" i="124"/>
  <c r="AE56" i="124"/>
  <c r="V56" i="124"/>
  <c r="U56" i="124"/>
  <c r="O56" i="124"/>
  <c r="M56" i="124"/>
  <c r="N56" i="124" s="1"/>
  <c r="K56" i="124"/>
  <c r="G56" i="124"/>
  <c r="V55" i="124"/>
  <c r="M55" i="124" s="1"/>
  <c r="U55" i="124"/>
  <c r="O55" i="124"/>
  <c r="K55" i="124"/>
  <c r="G55" i="124"/>
  <c r="V54" i="124"/>
  <c r="M54" i="124" s="1"/>
  <c r="U54" i="124"/>
  <c r="O54" i="124"/>
  <c r="K54" i="124"/>
  <c r="G54" i="124"/>
  <c r="AF53" i="124"/>
  <c r="V53" i="124"/>
  <c r="U53" i="124"/>
  <c r="O53" i="124"/>
  <c r="M53" i="124"/>
  <c r="N53" i="124" s="1"/>
  <c r="K53" i="124"/>
  <c r="G53" i="124"/>
  <c r="AE52" i="124"/>
  <c r="V52" i="124"/>
  <c r="U52" i="124"/>
  <c r="Q52" i="124"/>
  <c r="P52" i="124"/>
  <c r="O52" i="124"/>
  <c r="N52" i="124"/>
  <c r="M52" i="124"/>
  <c r="AF52" i="124" s="1"/>
  <c r="K52" i="124"/>
  <c r="G52" i="124"/>
  <c r="V51" i="124"/>
  <c r="U51" i="124"/>
  <c r="O51" i="124"/>
  <c r="M51" i="124"/>
  <c r="N51" i="124" s="1"/>
  <c r="K51" i="124"/>
  <c r="G51" i="124"/>
  <c r="V50" i="124"/>
  <c r="O50" i="124"/>
  <c r="M50" i="124"/>
  <c r="N50" i="124" s="1"/>
  <c r="K50" i="124"/>
  <c r="G50" i="124"/>
  <c r="AD49" i="124"/>
  <c r="Z49" i="124"/>
  <c r="Y49" i="124"/>
  <c r="O49" i="124"/>
  <c r="K49" i="124"/>
  <c r="V48" i="124"/>
  <c r="U48" i="124"/>
  <c r="O48" i="124"/>
  <c r="N48" i="124"/>
  <c r="Q48" i="124" s="1"/>
  <c r="M48" i="124"/>
  <c r="AF48" i="124" s="1"/>
  <c r="K48" i="124"/>
  <c r="G48" i="124"/>
  <c r="V47" i="124"/>
  <c r="U47" i="124"/>
  <c r="O47" i="124"/>
  <c r="M47" i="124"/>
  <c r="AF47" i="124" s="1"/>
  <c r="K47" i="124"/>
  <c r="G47" i="124"/>
  <c r="V46" i="124"/>
  <c r="O46" i="124"/>
  <c r="M46" i="124"/>
  <c r="M49" i="124" s="1"/>
  <c r="K46" i="124"/>
  <c r="G46" i="124"/>
  <c r="AD45" i="124"/>
  <c r="Z45" i="124"/>
  <c r="Y45" i="124"/>
  <c r="O45" i="124"/>
  <c r="K45" i="124"/>
  <c r="V44" i="124"/>
  <c r="M44" i="124" s="1"/>
  <c r="U44" i="124"/>
  <c r="O44" i="124"/>
  <c r="K44" i="124"/>
  <c r="G44" i="124"/>
  <c r="V43" i="124"/>
  <c r="M43" i="124" s="1"/>
  <c r="U43" i="124"/>
  <c r="O43" i="124"/>
  <c r="K43" i="124"/>
  <c r="G43" i="124"/>
  <c r="V42" i="124"/>
  <c r="M42" i="124" s="1"/>
  <c r="U42" i="124"/>
  <c r="O42" i="124"/>
  <c r="K42" i="124"/>
  <c r="G42" i="124"/>
  <c r="X41" i="124"/>
  <c r="W41" i="124"/>
  <c r="V41" i="124"/>
  <c r="M41" i="124" s="1"/>
  <c r="U41" i="124"/>
  <c r="O41" i="124"/>
  <c r="K41" i="124"/>
  <c r="G41" i="124"/>
  <c r="V40" i="124"/>
  <c r="M40" i="124" s="1"/>
  <c r="U40" i="124"/>
  <c r="O40" i="124"/>
  <c r="K40" i="124"/>
  <c r="G40" i="124"/>
  <c r="V39" i="124"/>
  <c r="M39" i="124" s="1"/>
  <c r="U39" i="124"/>
  <c r="O39" i="124"/>
  <c r="K39" i="124"/>
  <c r="G39" i="124"/>
  <c r="V38" i="124"/>
  <c r="M38" i="124" s="1"/>
  <c r="U38" i="124"/>
  <c r="O38" i="124"/>
  <c r="K38" i="124"/>
  <c r="G38" i="124"/>
  <c r="X37" i="124"/>
  <c r="W37" i="124"/>
  <c r="V37" i="124"/>
  <c r="M37" i="124" s="1"/>
  <c r="O37" i="124"/>
  <c r="K37" i="124"/>
  <c r="G37" i="124"/>
  <c r="AD36" i="124"/>
  <c r="Z36" i="124"/>
  <c r="Y36" i="124"/>
  <c r="O36" i="124"/>
  <c r="K36" i="124"/>
  <c r="V35" i="124"/>
  <c r="M35" i="124" s="1"/>
  <c r="U35" i="124"/>
  <c r="O35" i="124"/>
  <c r="K35" i="124"/>
  <c r="G35" i="124"/>
  <c r="AF34" i="124"/>
  <c r="V34" i="124"/>
  <c r="U34" i="124"/>
  <c r="O34" i="124"/>
  <c r="M34" i="124"/>
  <c r="N34" i="124" s="1"/>
  <c r="K34" i="124"/>
  <c r="G34" i="124"/>
  <c r="AE33" i="124"/>
  <c r="V33" i="124"/>
  <c r="U33" i="124"/>
  <c r="Q33" i="124"/>
  <c r="P33" i="124"/>
  <c r="O33" i="124"/>
  <c r="N33" i="124"/>
  <c r="M33" i="124"/>
  <c r="AF33" i="124" s="1"/>
  <c r="K33" i="124"/>
  <c r="G33" i="124"/>
  <c r="X32" i="124"/>
  <c r="W32" i="124"/>
  <c r="V32" i="124"/>
  <c r="U32" i="124"/>
  <c r="Q32" i="124"/>
  <c r="O32" i="124"/>
  <c r="N32" i="124"/>
  <c r="P32" i="124" s="1"/>
  <c r="M32" i="124"/>
  <c r="AF32" i="124" s="1"/>
  <c r="K32" i="124"/>
  <c r="G32" i="124"/>
  <c r="AE31" i="124"/>
  <c r="V31" i="124"/>
  <c r="U31" i="124"/>
  <c r="Q31" i="124"/>
  <c r="P31" i="124"/>
  <c r="O31" i="124"/>
  <c r="N31" i="124"/>
  <c r="M31" i="124"/>
  <c r="AF31" i="124" s="1"/>
  <c r="K31" i="124"/>
  <c r="G31" i="124"/>
  <c r="V30" i="124"/>
  <c r="U30" i="124"/>
  <c r="O30" i="124"/>
  <c r="M30" i="124"/>
  <c r="N30" i="124" s="1"/>
  <c r="K30" i="124"/>
  <c r="G30" i="124"/>
  <c r="V29" i="124"/>
  <c r="U29" i="124"/>
  <c r="O29" i="124"/>
  <c r="N29" i="124"/>
  <c r="Q29" i="124" s="1"/>
  <c r="M29" i="124"/>
  <c r="AF29" i="124" s="1"/>
  <c r="K29" i="124"/>
  <c r="G29" i="124"/>
  <c r="X28" i="124"/>
  <c r="W28" i="124"/>
  <c r="V28" i="124"/>
  <c r="Q28" i="124"/>
  <c r="P28" i="124"/>
  <c r="O28" i="124"/>
  <c r="N28" i="124"/>
  <c r="M28" i="124"/>
  <c r="AF28" i="124" s="1"/>
  <c r="K28" i="124"/>
  <c r="G28" i="124"/>
  <c r="AD27" i="124"/>
  <c r="Z27" i="124"/>
  <c r="Y27" i="124"/>
  <c r="O27" i="124"/>
  <c r="K27" i="124"/>
  <c r="V26" i="124"/>
  <c r="U26" i="124"/>
  <c r="O26" i="124"/>
  <c r="N26" i="124"/>
  <c r="Q26" i="124" s="1"/>
  <c r="M26" i="124"/>
  <c r="AF26" i="124" s="1"/>
  <c r="K26" i="124"/>
  <c r="G26" i="124"/>
  <c r="V25" i="124"/>
  <c r="U25" i="124"/>
  <c r="O25" i="124"/>
  <c r="N25" i="124"/>
  <c r="Q25" i="124" s="1"/>
  <c r="M25" i="124"/>
  <c r="AF25" i="124" s="1"/>
  <c r="K25" i="124"/>
  <c r="G25" i="124"/>
  <c r="V24" i="124"/>
  <c r="U24" i="124"/>
  <c r="O24" i="124"/>
  <c r="M24" i="124"/>
  <c r="AF24" i="124" s="1"/>
  <c r="K24" i="124"/>
  <c r="G24" i="124"/>
  <c r="AF23" i="124"/>
  <c r="AE23" i="124"/>
  <c r="V23" i="124"/>
  <c r="U23" i="124"/>
  <c r="O23" i="124"/>
  <c r="M23" i="124"/>
  <c r="N23" i="124" s="1"/>
  <c r="K23" i="124"/>
  <c r="G23" i="124"/>
  <c r="V22" i="124"/>
  <c r="M22" i="124" s="1"/>
  <c r="U22" i="124"/>
  <c r="O22" i="124"/>
  <c r="K22" i="124"/>
  <c r="G22" i="124"/>
  <c r="V21" i="124"/>
  <c r="M21" i="124" s="1"/>
  <c r="O21" i="124"/>
  <c r="K21" i="124"/>
  <c r="G21" i="124"/>
  <c r="AD20" i="124"/>
  <c r="Z20" i="124"/>
  <c r="Y20" i="124"/>
  <c r="O20" i="124"/>
  <c r="K20" i="124"/>
  <c r="AF19" i="124"/>
  <c r="AE19" i="124"/>
  <c r="V19" i="124"/>
  <c r="U19" i="124"/>
  <c r="O19" i="124"/>
  <c r="N19" i="124"/>
  <c r="Q19" i="124" s="1"/>
  <c r="M19" i="124"/>
  <c r="K19" i="124"/>
  <c r="G19" i="124"/>
  <c r="V18" i="124"/>
  <c r="M18" i="124" s="1"/>
  <c r="U18" i="124"/>
  <c r="O18" i="124"/>
  <c r="K18" i="124"/>
  <c r="G18" i="124"/>
  <c r="V17" i="124"/>
  <c r="M17" i="124" s="1"/>
  <c r="U17" i="124"/>
  <c r="O17" i="124"/>
  <c r="K17" i="124"/>
  <c r="G17" i="124"/>
  <c r="AF16" i="124"/>
  <c r="V16" i="124"/>
  <c r="U16" i="124"/>
  <c r="Q16" i="124"/>
  <c r="O16" i="124"/>
  <c r="N16" i="124"/>
  <c r="P16" i="124" s="1"/>
  <c r="M16" i="124"/>
  <c r="AE16" i="124" s="1"/>
  <c r="K16" i="124"/>
  <c r="G16" i="124"/>
  <c r="AE15" i="124"/>
  <c r="V15" i="124"/>
  <c r="U15" i="124"/>
  <c r="Q15" i="124"/>
  <c r="P15" i="124"/>
  <c r="O15" i="124"/>
  <c r="N15" i="124"/>
  <c r="M15" i="124"/>
  <c r="AF15" i="124" s="1"/>
  <c r="K15" i="124"/>
  <c r="G15" i="124"/>
  <c r="V14" i="124"/>
  <c r="M14" i="124" s="1"/>
  <c r="U14" i="124"/>
  <c r="O14" i="124"/>
  <c r="K14" i="124"/>
  <c r="G14" i="124"/>
  <c r="V13" i="124"/>
  <c r="M13" i="124" s="1"/>
  <c r="O13" i="124"/>
  <c r="K13" i="124"/>
  <c r="G13" i="124"/>
  <c r="AD12" i="124"/>
  <c r="Z12" i="124"/>
  <c r="Z2" i="124" s="1"/>
  <c r="L6" i="123" s="1"/>
  <c r="Y12" i="124"/>
  <c r="O12" i="124"/>
  <c r="K12" i="124"/>
  <c r="V11" i="124"/>
  <c r="U11" i="124"/>
  <c r="O11" i="124"/>
  <c r="N11" i="124"/>
  <c r="Q11" i="124" s="1"/>
  <c r="M11" i="124"/>
  <c r="AF11" i="124" s="1"/>
  <c r="K11" i="124"/>
  <c r="G11" i="124"/>
  <c r="V10" i="124"/>
  <c r="U10" i="124"/>
  <c r="O10" i="124"/>
  <c r="M10" i="124"/>
  <c r="AF10" i="124" s="1"/>
  <c r="K10" i="124"/>
  <c r="G10" i="124"/>
  <c r="X9" i="124"/>
  <c r="W9" i="124"/>
  <c r="V9" i="124"/>
  <c r="M9" i="124" s="1"/>
  <c r="O9" i="124"/>
  <c r="K9" i="124"/>
  <c r="G9" i="124"/>
  <c r="AD8" i="124"/>
  <c r="Z8" i="124"/>
  <c r="Y8" i="124"/>
  <c r="Y2" i="124" s="1"/>
  <c r="K6" i="123" s="1"/>
  <c r="O8" i="124"/>
  <c r="K8" i="124"/>
  <c r="V7" i="124"/>
  <c r="U7" i="124"/>
  <c r="O7" i="124"/>
  <c r="M7" i="124"/>
  <c r="AF7" i="124" s="1"/>
  <c r="K7" i="124"/>
  <c r="G7" i="124"/>
  <c r="AF6" i="124"/>
  <c r="V6" i="124"/>
  <c r="U6" i="124"/>
  <c r="O6" i="124"/>
  <c r="M6" i="124"/>
  <c r="AE6" i="124" s="1"/>
  <c r="K6" i="124"/>
  <c r="G6" i="124"/>
  <c r="AF5" i="124"/>
  <c r="V5" i="124"/>
  <c r="O5" i="124"/>
  <c r="M5" i="124"/>
  <c r="M8" i="124" s="1"/>
  <c r="K5" i="124"/>
  <c r="G5" i="124"/>
  <c r="F1" i="124" s="1"/>
  <c r="AD2" i="124"/>
  <c r="AC2" i="124"/>
  <c r="H2" i="124"/>
  <c r="H1" i="124"/>
  <c r="D1" i="124"/>
  <c r="M22" i="123"/>
  <c r="L22" i="123"/>
  <c r="K22" i="123"/>
  <c r="J22" i="123"/>
  <c r="I22" i="123"/>
  <c r="H22" i="123"/>
  <c r="G22" i="123"/>
  <c r="F22" i="123"/>
  <c r="E22" i="123"/>
  <c r="D22" i="123"/>
  <c r="M21" i="123"/>
  <c r="L21" i="123"/>
  <c r="K21" i="123"/>
  <c r="J21" i="123"/>
  <c r="I21" i="123"/>
  <c r="H21" i="123"/>
  <c r="G21" i="123"/>
  <c r="F21" i="123"/>
  <c r="E21" i="123"/>
  <c r="D21" i="123"/>
  <c r="M20" i="123"/>
  <c r="L20" i="123"/>
  <c r="K20" i="123"/>
  <c r="J20" i="123"/>
  <c r="I20" i="123"/>
  <c r="H20" i="123"/>
  <c r="G20" i="123"/>
  <c r="F20" i="123"/>
  <c r="E20" i="123"/>
  <c r="D20" i="123"/>
  <c r="M19" i="123"/>
  <c r="L19" i="123"/>
  <c r="K19" i="123"/>
  <c r="J19" i="123"/>
  <c r="I19" i="123"/>
  <c r="H19" i="123"/>
  <c r="G19" i="123"/>
  <c r="F19" i="123"/>
  <c r="E19" i="123"/>
  <c r="D19" i="123"/>
  <c r="M18" i="123"/>
  <c r="L18" i="123"/>
  <c r="K18" i="123"/>
  <c r="I18" i="123"/>
  <c r="H18" i="123"/>
  <c r="G18" i="123"/>
  <c r="F18" i="123"/>
  <c r="E18" i="123"/>
  <c r="D18" i="123"/>
  <c r="M17" i="123"/>
  <c r="L17" i="123"/>
  <c r="K17" i="123"/>
  <c r="J17" i="123"/>
  <c r="I17" i="123"/>
  <c r="H17" i="123"/>
  <c r="G17" i="123"/>
  <c r="F17" i="123"/>
  <c r="E17" i="123"/>
  <c r="D17" i="123"/>
  <c r="M16" i="123"/>
  <c r="L16" i="123"/>
  <c r="K16" i="123"/>
  <c r="J16" i="123"/>
  <c r="I16" i="123"/>
  <c r="H16" i="123"/>
  <c r="G16" i="123"/>
  <c r="F16" i="123"/>
  <c r="E16" i="123"/>
  <c r="D16" i="123"/>
  <c r="L13" i="123"/>
  <c r="K13" i="123"/>
  <c r="J13" i="123"/>
  <c r="I13" i="123"/>
  <c r="H13" i="123"/>
  <c r="G13" i="123"/>
  <c r="G6" i="123" s="1"/>
  <c r="F13" i="123"/>
  <c r="E13" i="123"/>
  <c r="D13" i="123"/>
  <c r="N6" i="123"/>
  <c r="M6" i="123"/>
  <c r="F3" i="123"/>
  <c r="C3" i="123"/>
  <c r="E8" i="133" l="1"/>
  <c r="G8" i="133"/>
  <c r="F8" i="133"/>
  <c r="G7" i="129"/>
  <c r="F7" i="129"/>
  <c r="E7" i="129"/>
  <c r="D15" i="129"/>
  <c r="I8" i="129"/>
  <c r="I7" i="129"/>
  <c r="P19" i="128"/>
  <c r="Q19" i="128"/>
  <c r="R13" i="128" s="1"/>
  <c r="F14" i="127"/>
  <c r="F15" i="127" s="1"/>
  <c r="M14" i="127"/>
  <c r="M15" i="127" s="1"/>
  <c r="Q68" i="128"/>
  <c r="R60" i="128" s="1"/>
  <c r="P68" i="128"/>
  <c r="Q26" i="128"/>
  <c r="R20" i="128" s="1"/>
  <c r="P26" i="128"/>
  <c r="G14" i="127"/>
  <c r="G15" i="127" s="1"/>
  <c r="Q59" i="128"/>
  <c r="R54" i="128" s="1"/>
  <c r="J14" i="127"/>
  <c r="J15" i="127" s="1"/>
  <c r="P59" i="128"/>
  <c r="K15" i="127"/>
  <c r="P53" i="128"/>
  <c r="Q53" i="128"/>
  <c r="R45" i="128" s="1"/>
  <c r="I14" i="127"/>
  <c r="I15" i="127" s="1"/>
  <c r="Q44" i="128"/>
  <c r="R41" i="128" s="1"/>
  <c r="P44" i="128"/>
  <c r="H14" i="127"/>
  <c r="H15" i="127" s="1"/>
  <c r="D15" i="127"/>
  <c r="Q41" i="126"/>
  <c r="P41" i="126"/>
  <c r="Q39" i="126"/>
  <c r="P39" i="126"/>
  <c r="Q67" i="126"/>
  <c r="P67" i="126"/>
  <c r="N12" i="126"/>
  <c r="AF12" i="126"/>
  <c r="AG9" i="126" s="1"/>
  <c r="AE12" i="126"/>
  <c r="Q66" i="126"/>
  <c r="P66" i="126"/>
  <c r="N8" i="126"/>
  <c r="AF8" i="126"/>
  <c r="AG5" i="126" s="1"/>
  <c r="AE8" i="126"/>
  <c r="N47" i="126"/>
  <c r="AF47" i="126"/>
  <c r="AG44" i="126" s="1"/>
  <c r="AE47" i="126"/>
  <c r="Q5" i="126"/>
  <c r="P5" i="126"/>
  <c r="Q14" i="126"/>
  <c r="P14" i="126"/>
  <c r="P25" i="126"/>
  <c r="Q25" i="126"/>
  <c r="Q71" i="126"/>
  <c r="P71" i="126"/>
  <c r="Q22" i="126"/>
  <c r="P22" i="126"/>
  <c r="N62" i="126"/>
  <c r="AF62" i="126"/>
  <c r="AG57" i="126" s="1"/>
  <c r="AE62" i="126"/>
  <c r="Q64" i="126"/>
  <c r="P64" i="126"/>
  <c r="P48" i="126"/>
  <c r="Q48" i="126"/>
  <c r="Q26" i="126"/>
  <c r="P26" i="126"/>
  <c r="Q36" i="126"/>
  <c r="P36" i="126"/>
  <c r="Q9" i="126"/>
  <c r="P9" i="126"/>
  <c r="Q18" i="126"/>
  <c r="P18" i="126"/>
  <c r="Q24" i="126"/>
  <c r="P24" i="126"/>
  <c r="Q19" i="126"/>
  <c r="P19" i="126"/>
  <c r="AF72" i="126"/>
  <c r="AG63" i="126" s="1"/>
  <c r="AE72" i="126"/>
  <c r="N72" i="126"/>
  <c r="Q13" i="126"/>
  <c r="P13" i="126"/>
  <c r="Q58" i="126"/>
  <c r="P58" i="126"/>
  <c r="Q53" i="126"/>
  <c r="P53" i="126"/>
  <c r="AF20" i="126"/>
  <c r="AG13" i="126" s="1"/>
  <c r="AE20" i="126"/>
  <c r="N20" i="126"/>
  <c r="AF35" i="126"/>
  <c r="AG28" i="126" s="1"/>
  <c r="AE35" i="126"/>
  <c r="N35" i="126"/>
  <c r="AE27" i="126"/>
  <c r="N27" i="126"/>
  <c r="AF27" i="126"/>
  <c r="AG21" i="126" s="1"/>
  <c r="Q37" i="126"/>
  <c r="P37" i="126"/>
  <c r="P11" i="126"/>
  <c r="Q11" i="126"/>
  <c r="Q57" i="126"/>
  <c r="P57" i="126"/>
  <c r="Q63" i="126"/>
  <c r="P63" i="126"/>
  <c r="P23" i="126"/>
  <c r="Q23" i="126"/>
  <c r="Q50" i="126"/>
  <c r="P50" i="126"/>
  <c r="Q42" i="126"/>
  <c r="P42" i="126"/>
  <c r="Q34" i="126"/>
  <c r="P34" i="126"/>
  <c r="P65" i="126"/>
  <c r="Q65" i="126"/>
  <c r="Q51" i="126"/>
  <c r="P51" i="126"/>
  <c r="Q60" i="126"/>
  <c r="P60" i="126"/>
  <c r="Q40" i="126"/>
  <c r="P40" i="126"/>
  <c r="Q16" i="126"/>
  <c r="P16" i="126"/>
  <c r="Q7" i="126"/>
  <c r="P7" i="126"/>
  <c r="P49" i="126"/>
  <c r="Q49" i="126"/>
  <c r="Q10" i="126"/>
  <c r="P10" i="126"/>
  <c r="I14" i="125"/>
  <c r="I15" i="125" s="1"/>
  <c r="Q56" i="126"/>
  <c r="R48" i="126" s="1"/>
  <c r="P56" i="126"/>
  <c r="Q55" i="126"/>
  <c r="P55" i="126"/>
  <c r="Q29" i="126"/>
  <c r="P29" i="126"/>
  <c r="Q61" i="126"/>
  <c r="P61" i="126"/>
  <c r="P6" i="126"/>
  <c r="Q6" i="126"/>
  <c r="Q46" i="126"/>
  <c r="P46" i="126"/>
  <c r="Q30" i="126"/>
  <c r="P30" i="126"/>
  <c r="N49" i="124"/>
  <c r="AF49" i="124"/>
  <c r="AG46" i="124" s="1"/>
  <c r="AE49" i="124"/>
  <c r="N37" i="124"/>
  <c r="AF37" i="124"/>
  <c r="AE37" i="124"/>
  <c r="M45" i="124"/>
  <c r="N39" i="124"/>
  <c r="AF39" i="124"/>
  <c r="AE39" i="124"/>
  <c r="Q56" i="124"/>
  <c r="P56" i="124"/>
  <c r="N66" i="124"/>
  <c r="AF66" i="124"/>
  <c r="AE66" i="124"/>
  <c r="M76" i="124"/>
  <c r="F2" i="124"/>
  <c r="I3" i="123"/>
  <c r="AF22" i="124"/>
  <c r="AE22" i="124"/>
  <c r="N22" i="124"/>
  <c r="N18" i="124"/>
  <c r="AF18" i="124"/>
  <c r="AE18" i="124"/>
  <c r="N71" i="124"/>
  <c r="AF71" i="124"/>
  <c r="AE71" i="124"/>
  <c r="Q72" i="124"/>
  <c r="P72" i="124"/>
  <c r="AF44" i="124"/>
  <c r="AE44" i="124"/>
  <c r="N44" i="124"/>
  <c r="M12" i="124"/>
  <c r="AF9" i="124"/>
  <c r="AE9" i="124"/>
  <c r="N9" i="124"/>
  <c r="N54" i="124"/>
  <c r="AF54" i="124"/>
  <c r="AE54" i="124"/>
  <c r="M59" i="124"/>
  <c r="N40" i="124"/>
  <c r="AE40" i="124"/>
  <c r="AF40" i="124"/>
  <c r="N42" i="124"/>
  <c r="AE42" i="124"/>
  <c r="AF42" i="124"/>
  <c r="N69" i="124"/>
  <c r="AF69" i="124"/>
  <c r="AE69" i="124"/>
  <c r="N73" i="124"/>
  <c r="AF73" i="124"/>
  <c r="AE73" i="124"/>
  <c r="Q30" i="124"/>
  <c r="P30" i="124"/>
  <c r="P34" i="124"/>
  <c r="Q34" i="124"/>
  <c r="N38" i="124"/>
  <c r="AF38" i="124"/>
  <c r="AE38" i="124"/>
  <c r="P53" i="124"/>
  <c r="Q53" i="124"/>
  <c r="N67" i="124"/>
  <c r="AF67" i="124"/>
  <c r="AE67" i="124"/>
  <c r="AF8" i="124"/>
  <c r="AG5" i="124" s="1"/>
  <c r="AE8" i="124"/>
  <c r="N8" i="124"/>
  <c r="N35" i="124"/>
  <c r="AF35" i="124"/>
  <c r="AE35" i="124"/>
  <c r="Q51" i="124"/>
  <c r="P51" i="124"/>
  <c r="N64" i="124"/>
  <c r="AF64" i="124"/>
  <c r="AE64" i="124"/>
  <c r="N13" i="124"/>
  <c r="AF13" i="124"/>
  <c r="AE13" i="124"/>
  <c r="M20" i="124"/>
  <c r="Q23" i="124"/>
  <c r="P23" i="124"/>
  <c r="AF21" i="124"/>
  <c r="AE21" i="124"/>
  <c r="M27" i="124"/>
  <c r="N21" i="124"/>
  <c r="Q74" i="124"/>
  <c r="P74" i="124"/>
  <c r="I6" i="123"/>
  <c r="N14" i="124"/>
  <c r="AF14" i="124"/>
  <c r="AE14" i="124"/>
  <c r="N17" i="124"/>
  <c r="AF17" i="124"/>
  <c r="AE17" i="124"/>
  <c r="N55" i="124"/>
  <c r="AF55" i="124"/>
  <c r="AE55" i="124"/>
  <c r="N41" i="124"/>
  <c r="AF41" i="124"/>
  <c r="AE41" i="124"/>
  <c r="AE43" i="124"/>
  <c r="N43" i="124"/>
  <c r="AF43" i="124"/>
  <c r="Q50" i="124"/>
  <c r="P50" i="124"/>
  <c r="AF63" i="124"/>
  <c r="AE63" i="124"/>
  <c r="N63" i="124"/>
  <c r="N70" i="124"/>
  <c r="AF70" i="124"/>
  <c r="AE70" i="124"/>
  <c r="N68" i="124"/>
  <c r="AF68" i="124"/>
  <c r="AE68" i="124"/>
  <c r="E6" i="123"/>
  <c r="F6" i="123"/>
  <c r="AF57" i="124"/>
  <c r="AF75" i="124"/>
  <c r="N7" i="124"/>
  <c r="N10" i="124"/>
  <c r="N24" i="124"/>
  <c r="P26" i="124"/>
  <c r="P29" i="124"/>
  <c r="N46" i="124"/>
  <c r="N47" i="124"/>
  <c r="N60" i="124"/>
  <c r="N61" i="124"/>
  <c r="N5" i="124"/>
  <c r="N6" i="124"/>
  <c r="P11" i="124"/>
  <c r="P25" i="124"/>
  <c r="AE34" i="124"/>
  <c r="P48" i="124"/>
  <c r="AE53" i="124"/>
  <c r="P62" i="124"/>
  <c r="AF72" i="124"/>
  <c r="AE30" i="124"/>
  <c r="AE32" i="124"/>
  <c r="M36" i="124"/>
  <c r="AE50" i="124"/>
  <c r="AE51" i="124"/>
  <c r="N57" i="124"/>
  <c r="N75" i="124"/>
  <c r="AE26" i="124"/>
  <c r="AE28" i="124"/>
  <c r="AE29" i="124"/>
  <c r="AF30" i="124"/>
  <c r="AF50" i="124"/>
  <c r="AF51" i="124"/>
  <c r="P58" i="124"/>
  <c r="AE11" i="124"/>
  <c r="AE25" i="124"/>
  <c r="AE48" i="124"/>
  <c r="AE62" i="124"/>
  <c r="AE7" i="124"/>
  <c r="AE10" i="124"/>
  <c r="P19" i="124"/>
  <c r="AE24" i="124"/>
  <c r="AE46" i="124"/>
  <c r="AE47" i="124"/>
  <c r="AE60" i="124"/>
  <c r="AE61" i="124"/>
  <c r="M65" i="124"/>
  <c r="AE5" i="124"/>
  <c r="AF46" i="124"/>
  <c r="AE58" i="124"/>
  <c r="AD80" i="122"/>
  <c r="Z80" i="122"/>
  <c r="Y80" i="122"/>
  <c r="O80" i="122"/>
  <c r="K80" i="122"/>
  <c r="AF79" i="122"/>
  <c r="V79" i="122"/>
  <c r="U79" i="122"/>
  <c r="O79" i="122"/>
  <c r="M79" i="122"/>
  <c r="AE79" i="122" s="1"/>
  <c r="K79" i="122"/>
  <c r="G79" i="122"/>
  <c r="AF78" i="122"/>
  <c r="AE78" i="122"/>
  <c r="V78" i="122"/>
  <c r="U78" i="122"/>
  <c r="O78" i="122"/>
  <c r="N78" i="122"/>
  <c r="Q78" i="122" s="1"/>
  <c r="M78" i="122"/>
  <c r="K78" i="122"/>
  <c r="G78" i="122"/>
  <c r="V77" i="122"/>
  <c r="M77" i="122" s="1"/>
  <c r="U77" i="122"/>
  <c r="O77" i="122"/>
  <c r="K77" i="122"/>
  <c r="G77" i="122"/>
  <c r="AF76" i="122"/>
  <c r="AE76" i="122"/>
  <c r="X76" i="122"/>
  <c r="W76" i="122"/>
  <c r="V76" i="122"/>
  <c r="U76" i="122"/>
  <c r="O76" i="122"/>
  <c r="N76" i="122"/>
  <c r="Q76" i="122" s="1"/>
  <c r="M76" i="122"/>
  <c r="K76" i="122"/>
  <c r="G76" i="122"/>
  <c r="V75" i="122"/>
  <c r="M75" i="122" s="1"/>
  <c r="U75" i="122"/>
  <c r="O75" i="122"/>
  <c r="K75" i="122"/>
  <c r="G75" i="122"/>
  <c r="V74" i="122"/>
  <c r="M74" i="122" s="1"/>
  <c r="U74" i="122"/>
  <c r="O74" i="122"/>
  <c r="K74" i="122"/>
  <c r="G74" i="122"/>
  <c r="V73" i="122"/>
  <c r="M73" i="122" s="1"/>
  <c r="U73" i="122"/>
  <c r="O73" i="122"/>
  <c r="K73" i="122"/>
  <c r="G73" i="122"/>
  <c r="V72" i="122"/>
  <c r="M72" i="122" s="1"/>
  <c r="U72" i="122"/>
  <c r="O72" i="122"/>
  <c r="K72" i="122"/>
  <c r="G72" i="122"/>
  <c r="V71" i="122"/>
  <c r="M71" i="122" s="1"/>
  <c r="U71" i="122"/>
  <c r="O71" i="122"/>
  <c r="K71" i="122"/>
  <c r="G71" i="122"/>
  <c r="X70" i="122"/>
  <c r="W70" i="122"/>
  <c r="V70" i="122"/>
  <c r="M70" i="122" s="1"/>
  <c r="O70" i="122"/>
  <c r="K70" i="122"/>
  <c r="G70" i="122"/>
  <c r="AD69" i="122"/>
  <c r="Z69" i="122"/>
  <c r="Y69" i="122"/>
  <c r="O69" i="122"/>
  <c r="K69" i="122"/>
  <c r="V68" i="122"/>
  <c r="M68" i="122" s="1"/>
  <c r="U68" i="122"/>
  <c r="O68" i="122"/>
  <c r="K68" i="122"/>
  <c r="G68" i="122"/>
  <c r="V67" i="122"/>
  <c r="M67" i="122" s="1"/>
  <c r="U67" i="122"/>
  <c r="O67" i="122"/>
  <c r="K67" i="122"/>
  <c r="G67" i="122"/>
  <c r="V66" i="122"/>
  <c r="U66" i="122"/>
  <c r="O66" i="122"/>
  <c r="M66" i="122"/>
  <c r="AF66" i="122" s="1"/>
  <c r="K66" i="122"/>
  <c r="G66" i="122"/>
  <c r="V65" i="122"/>
  <c r="U65" i="122"/>
  <c r="O65" i="122"/>
  <c r="M65" i="122"/>
  <c r="AF65" i="122" s="1"/>
  <c r="K65" i="122"/>
  <c r="G65" i="122"/>
  <c r="V64" i="122"/>
  <c r="O64" i="122"/>
  <c r="M64" i="122"/>
  <c r="AF64" i="122" s="1"/>
  <c r="K64" i="122"/>
  <c r="G64" i="122"/>
  <c r="AD63" i="122"/>
  <c r="Z63" i="122"/>
  <c r="Y63" i="122"/>
  <c r="O63" i="122"/>
  <c r="K63" i="122"/>
  <c r="V62" i="122"/>
  <c r="U62" i="122"/>
  <c r="O62" i="122"/>
  <c r="M62" i="122"/>
  <c r="AF62" i="122" s="1"/>
  <c r="K62" i="122"/>
  <c r="G62" i="122"/>
  <c r="X61" i="122"/>
  <c r="W61" i="122"/>
  <c r="V61" i="122"/>
  <c r="M61" i="122" s="1"/>
  <c r="U61" i="122"/>
  <c r="O61" i="122"/>
  <c r="K61" i="122"/>
  <c r="G61" i="122"/>
  <c r="V60" i="122"/>
  <c r="U60" i="122"/>
  <c r="O60" i="122"/>
  <c r="M60" i="122"/>
  <c r="AF60" i="122" s="1"/>
  <c r="K60" i="122"/>
  <c r="G60" i="122"/>
  <c r="AF59" i="122"/>
  <c r="V59" i="122"/>
  <c r="U59" i="122"/>
  <c r="O59" i="122"/>
  <c r="M59" i="122"/>
  <c r="AE59" i="122" s="1"/>
  <c r="K59" i="122"/>
  <c r="G59" i="122"/>
  <c r="AF58" i="122"/>
  <c r="AE58" i="122"/>
  <c r="V58" i="122"/>
  <c r="U58" i="122"/>
  <c r="Q58" i="122"/>
  <c r="P58" i="122"/>
  <c r="O58" i="122"/>
  <c r="N58" i="122"/>
  <c r="M58" i="122"/>
  <c r="K58" i="122"/>
  <c r="G58" i="122"/>
  <c r="V57" i="122"/>
  <c r="M57" i="122" s="1"/>
  <c r="U57" i="122"/>
  <c r="O57" i="122"/>
  <c r="K57" i="122"/>
  <c r="G57" i="122"/>
  <c r="V56" i="122"/>
  <c r="M56" i="122" s="1"/>
  <c r="U56" i="122"/>
  <c r="O56" i="122"/>
  <c r="K56" i="122"/>
  <c r="G56" i="122"/>
  <c r="V55" i="122"/>
  <c r="U55" i="122"/>
  <c r="O55" i="122"/>
  <c r="M55" i="122"/>
  <c r="N55" i="122" s="1"/>
  <c r="K55" i="122"/>
  <c r="G55" i="122"/>
  <c r="V54" i="122"/>
  <c r="U54" i="122"/>
  <c r="O54" i="122"/>
  <c r="M54" i="122"/>
  <c r="N54" i="122" s="1"/>
  <c r="K54" i="122"/>
  <c r="G54" i="122"/>
  <c r="V53" i="122"/>
  <c r="O53" i="122"/>
  <c r="M53" i="122"/>
  <c r="N53" i="122" s="1"/>
  <c r="K53" i="122"/>
  <c r="G53" i="122"/>
  <c r="AD52" i="122"/>
  <c r="Z52" i="122"/>
  <c r="Y52" i="122"/>
  <c r="O52" i="122"/>
  <c r="M52" i="122"/>
  <c r="N52" i="122" s="1"/>
  <c r="K52" i="122"/>
  <c r="AF51" i="122"/>
  <c r="AE51" i="122"/>
  <c r="V51" i="122"/>
  <c r="U51" i="122"/>
  <c r="O51" i="122"/>
  <c r="N51" i="122"/>
  <c r="Q51" i="122" s="1"/>
  <c r="M51" i="122"/>
  <c r="K51" i="122"/>
  <c r="G51" i="122"/>
  <c r="AF50" i="122"/>
  <c r="X50" i="122"/>
  <c r="W50" i="122"/>
  <c r="V50" i="122"/>
  <c r="U50" i="122"/>
  <c r="O50" i="122"/>
  <c r="M50" i="122"/>
  <c r="N50" i="122" s="1"/>
  <c r="K50" i="122"/>
  <c r="G50" i="122"/>
  <c r="AF49" i="122"/>
  <c r="AE49" i="122"/>
  <c r="V49" i="122"/>
  <c r="U49" i="122"/>
  <c r="O49" i="122"/>
  <c r="N49" i="122"/>
  <c r="Q49" i="122" s="1"/>
  <c r="M49" i="122"/>
  <c r="K49" i="122"/>
  <c r="G49" i="122"/>
  <c r="AF48" i="122"/>
  <c r="AE48" i="122"/>
  <c r="V48" i="122"/>
  <c r="O48" i="122"/>
  <c r="N48" i="122"/>
  <c r="Q48" i="122" s="1"/>
  <c r="M48" i="122"/>
  <c r="K48" i="122"/>
  <c r="G48" i="122"/>
  <c r="AD47" i="122"/>
  <c r="Z47" i="122"/>
  <c r="Y47" i="122"/>
  <c r="O47" i="122"/>
  <c r="K47" i="122"/>
  <c r="AE46" i="122"/>
  <c r="V46" i="122"/>
  <c r="U46" i="122"/>
  <c r="O46" i="122"/>
  <c r="M46" i="122"/>
  <c r="AF46" i="122" s="1"/>
  <c r="K46" i="122"/>
  <c r="G46" i="122"/>
  <c r="V45" i="122"/>
  <c r="M45" i="122" s="1"/>
  <c r="U45" i="122"/>
  <c r="O45" i="122"/>
  <c r="K45" i="122"/>
  <c r="G45" i="122"/>
  <c r="V44" i="122"/>
  <c r="M44" i="122" s="1"/>
  <c r="U44" i="122"/>
  <c r="O44" i="122"/>
  <c r="K44" i="122"/>
  <c r="G44" i="122"/>
  <c r="X43" i="122"/>
  <c r="W43" i="122"/>
  <c r="V43" i="122"/>
  <c r="M43" i="122" s="1"/>
  <c r="U43" i="122"/>
  <c r="O43" i="122"/>
  <c r="K43" i="122"/>
  <c r="G43" i="122"/>
  <c r="V42" i="122"/>
  <c r="M42" i="122" s="1"/>
  <c r="U42" i="122"/>
  <c r="O42" i="122"/>
  <c r="K42" i="122"/>
  <c r="G42" i="122"/>
  <c r="V41" i="122"/>
  <c r="M41" i="122" s="1"/>
  <c r="U41" i="122"/>
  <c r="O41" i="122"/>
  <c r="K41" i="122"/>
  <c r="G41" i="122"/>
  <c r="V40" i="122"/>
  <c r="M40" i="122" s="1"/>
  <c r="U40" i="122"/>
  <c r="O40" i="122"/>
  <c r="K40" i="122"/>
  <c r="G40" i="122"/>
  <c r="X39" i="122"/>
  <c r="W39" i="122"/>
  <c r="V39" i="122"/>
  <c r="M39" i="122" s="1"/>
  <c r="O39" i="122"/>
  <c r="K39" i="122"/>
  <c r="G39" i="122"/>
  <c r="AD38" i="122"/>
  <c r="Z38" i="122"/>
  <c r="Y38" i="122"/>
  <c r="Y2" i="122" s="1"/>
  <c r="K6" i="121" s="1"/>
  <c r="O38" i="122"/>
  <c r="K38" i="122"/>
  <c r="AF37" i="122"/>
  <c r="AE37" i="122"/>
  <c r="V37" i="122"/>
  <c r="U37" i="122"/>
  <c r="Q37" i="122"/>
  <c r="P37" i="122"/>
  <c r="O37" i="122"/>
  <c r="N37" i="122"/>
  <c r="M37" i="122"/>
  <c r="K37" i="122"/>
  <c r="G37" i="122"/>
  <c r="V36" i="122"/>
  <c r="M36" i="122" s="1"/>
  <c r="U36" i="122"/>
  <c r="O36" i="122"/>
  <c r="K36" i="122"/>
  <c r="G36" i="122"/>
  <c r="V35" i="122"/>
  <c r="M35" i="122" s="1"/>
  <c r="U35" i="122"/>
  <c r="O35" i="122"/>
  <c r="K35" i="122"/>
  <c r="G35" i="122"/>
  <c r="X34" i="122"/>
  <c r="W34" i="122"/>
  <c r="V34" i="122"/>
  <c r="M34" i="122" s="1"/>
  <c r="U34" i="122"/>
  <c r="O34" i="122"/>
  <c r="K34" i="122"/>
  <c r="G34" i="122"/>
  <c r="V33" i="122"/>
  <c r="M33" i="122" s="1"/>
  <c r="U33" i="122"/>
  <c r="O33" i="122"/>
  <c r="K33" i="122"/>
  <c r="G33" i="122"/>
  <c r="V32" i="122"/>
  <c r="U32" i="122"/>
  <c r="O32" i="122"/>
  <c r="M32" i="122"/>
  <c r="N32" i="122" s="1"/>
  <c r="K32" i="122"/>
  <c r="G32" i="122"/>
  <c r="V31" i="122"/>
  <c r="U31" i="122"/>
  <c r="O31" i="122"/>
  <c r="M31" i="122"/>
  <c r="N31" i="122" s="1"/>
  <c r="K31" i="122"/>
  <c r="G31" i="122"/>
  <c r="X30" i="122"/>
  <c r="W30" i="122"/>
  <c r="V30" i="122"/>
  <c r="M30" i="122" s="1"/>
  <c r="O30" i="122"/>
  <c r="K30" i="122"/>
  <c r="G30" i="122"/>
  <c r="AD29" i="122"/>
  <c r="Z29" i="122"/>
  <c r="Y29" i="122"/>
  <c r="O29" i="122"/>
  <c r="K29" i="122"/>
  <c r="V28" i="122"/>
  <c r="U28" i="122"/>
  <c r="O28" i="122"/>
  <c r="M28" i="122"/>
  <c r="N28" i="122" s="1"/>
  <c r="K28" i="122"/>
  <c r="G28" i="122"/>
  <c r="V27" i="122"/>
  <c r="U27" i="122"/>
  <c r="O27" i="122"/>
  <c r="M27" i="122"/>
  <c r="N27" i="122" s="1"/>
  <c r="K27" i="122"/>
  <c r="G27" i="122"/>
  <c r="V26" i="122"/>
  <c r="M26" i="122" s="1"/>
  <c r="U26" i="122"/>
  <c r="O26" i="122"/>
  <c r="K26" i="122"/>
  <c r="G26" i="122"/>
  <c r="AF25" i="122"/>
  <c r="V25" i="122"/>
  <c r="U25" i="122"/>
  <c r="O25" i="122"/>
  <c r="M25" i="122"/>
  <c r="AE25" i="122" s="1"/>
  <c r="K25" i="122"/>
  <c r="G25" i="122"/>
  <c r="AE24" i="122"/>
  <c r="V24" i="122"/>
  <c r="U24" i="122"/>
  <c r="O24" i="122"/>
  <c r="M24" i="122"/>
  <c r="AF24" i="122" s="1"/>
  <c r="K24" i="122"/>
  <c r="G24" i="122"/>
  <c r="AE23" i="122"/>
  <c r="V23" i="122"/>
  <c r="O23" i="122"/>
  <c r="M23" i="122"/>
  <c r="AF23" i="122" s="1"/>
  <c r="K23" i="122"/>
  <c r="G23" i="122"/>
  <c r="AD22" i="122"/>
  <c r="Z22" i="122"/>
  <c r="Y22" i="122"/>
  <c r="O22" i="122"/>
  <c r="K22" i="122"/>
  <c r="V21" i="122"/>
  <c r="M21" i="122" s="1"/>
  <c r="U21" i="122"/>
  <c r="O21" i="122"/>
  <c r="K21" i="122"/>
  <c r="G21" i="122"/>
  <c r="V20" i="122"/>
  <c r="U20" i="122"/>
  <c r="O20" i="122"/>
  <c r="M20" i="122"/>
  <c r="AE20" i="122" s="1"/>
  <c r="K20" i="122"/>
  <c r="G20" i="122"/>
  <c r="AF19" i="122"/>
  <c r="AE19" i="122"/>
  <c r="V19" i="122"/>
  <c r="U19" i="122"/>
  <c r="P19" i="122"/>
  <c r="O19" i="122"/>
  <c r="N19" i="122"/>
  <c r="M19" i="122"/>
  <c r="K19" i="122"/>
  <c r="Q19" i="122" s="1"/>
  <c r="G19" i="122"/>
  <c r="V18" i="122"/>
  <c r="M18" i="122" s="1"/>
  <c r="U18" i="122"/>
  <c r="O18" i="122"/>
  <c r="K18" i="122"/>
  <c r="G18" i="122"/>
  <c r="V17" i="122"/>
  <c r="M17" i="122" s="1"/>
  <c r="U17" i="122"/>
  <c r="O17" i="122"/>
  <c r="K17" i="122"/>
  <c r="G17" i="122"/>
  <c r="V16" i="122"/>
  <c r="U16" i="122"/>
  <c r="O16" i="122"/>
  <c r="M16" i="122"/>
  <c r="N16" i="122" s="1"/>
  <c r="K16" i="122"/>
  <c r="G16" i="122"/>
  <c r="V15" i="122"/>
  <c r="O15" i="122"/>
  <c r="M15" i="122"/>
  <c r="N15" i="122" s="1"/>
  <c r="K15" i="122"/>
  <c r="G15" i="122"/>
  <c r="AD14" i="122"/>
  <c r="Z14" i="122"/>
  <c r="Y14" i="122"/>
  <c r="O14" i="122"/>
  <c r="K14" i="122"/>
  <c r="V13" i="122"/>
  <c r="M13" i="122" s="1"/>
  <c r="U13" i="122"/>
  <c r="O13" i="122"/>
  <c r="K13" i="122"/>
  <c r="G13" i="122"/>
  <c r="X12" i="122"/>
  <c r="W12" i="122"/>
  <c r="V12" i="122"/>
  <c r="U12" i="122"/>
  <c r="O12" i="122"/>
  <c r="M12" i="122"/>
  <c r="N12" i="122" s="1"/>
  <c r="K12" i="122"/>
  <c r="G12" i="122"/>
  <c r="V11" i="122"/>
  <c r="M11" i="122" s="1"/>
  <c r="U11" i="122"/>
  <c r="O11" i="122"/>
  <c r="K11" i="122"/>
  <c r="G11" i="122"/>
  <c r="X10" i="122"/>
  <c r="W10" i="122"/>
  <c r="V10" i="122"/>
  <c r="O10" i="122"/>
  <c r="M10" i="122"/>
  <c r="N10" i="122" s="1"/>
  <c r="K10" i="122"/>
  <c r="G10" i="122"/>
  <c r="AD9" i="122"/>
  <c r="AD2" i="122" s="1"/>
  <c r="N6" i="121" s="1"/>
  <c r="Z9" i="122"/>
  <c r="Z2" i="122" s="1"/>
  <c r="L6" i="121" s="1"/>
  <c r="Y9" i="122"/>
  <c r="O9" i="122"/>
  <c r="K9" i="122"/>
  <c r="V8" i="122"/>
  <c r="M8" i="122" s="1"/>
  <c r="U8" i="122"/>
  <c r="O8" i="122"/>
  <c r="K8" i="122"/>
  <c r="G8" i="122"/>
  <c r="X7" i="122"/>
  <c r="W7" i="122"/>
  <c r="V7" i="122"/>
  <c r="M7" i="122" s="1"/>
  <c r="U7" i="122"/>
  <c r="O7" i="122"/>
  <c r="K7" i="122"/>
  <c r="G7" i="122"/>
  <c r="V6" i="122"/>
  <c r="M6" i="122" s="1"/>
  <c r="U6" i="122"/>
  <c r="O6" i="122"/>
  <c r="K6" i="122"/>
  <c r="G6" i="122"/>
  <c r="V5" i="122"/>
  <c r="M5" i="122" s="1"/>
  <c r="O5" i="122"/>
  <c r="K5" i="122"/>
  <c r="G5" i="122"/>
  <c r="F1" i="122" s="1"/>
  <c r="AC2" i="122"/>
  <c r="H2" i="122"/>
  <c r="H1" i="122"/>
  <c r="D1" i="122"/>
  <c r="M22" i="121"/>
  <c r="L22" i="121"/>
  <c r="K22" i="121"/>
  <c r="J22" i="121"/>
  <c r="I22" i="121"/>
  <c r="H22" i="121"/>
  <c r="G22" i="121"/>
  <c r="F22" i="121"/>
  <c r="E22" i="121"/>
  <c r="D22" i="121"/>
  <c r="M21" i="121"/>
  <c r="L21" i="121"/>
  <c r="K21" i="121"/>
  <c r="J21" i="121"/>
  <c r="I21" i="121"/>
  <c r="H21" i="121"/>
  <c r="G21" i="121"/>
  <c r="F21" i="121"/>
  <c r="E21" i="121"/>
  <c r="D21" i="121"/>
  <c r="M20" i="121"/>
  <c r="L20" i="121"/>
  <c r="K20" i="121"/>
  <c r="J20" i="121"/>
  <c r="I20" i="121"/>
  <c r="H20" i="121"/>
  <c r="G20" i="121"/>
  <c r="F20" i="121"/>
  <c r="E20" i="121"/>
  <c r="D20" i="121"/>
  <c r="M19" i="121"/>
  <c r="L19" i="121"/>
  <c r="K19" i="121"/>
  <c r="J19" i="121"/>
  <c r="I19" i="121"/>
  <c r="H19" i="121"/>
  <c r="G19" i="121"/>
  <c r="F19" i="121"/>
  <c r="E19" i="121"/>
  <c r="D19" i="121"/>
  <c r="M18" i="121"/>
  <c r="L18" i="121"/>
  <c r="K18" i="121"/>
  <c r="J18" i="121"/>
  <c r="I18" i="121"/>
  <c r="H18" i="121"/>
  <c r="G18" i="121"/>
  <c r="F18" i="121"/>
  <c r="E18" i="121"/>
  <c r="D18" i="121"/>
  <c r="M17" i="121"/>
  <c r="L17" i="121"/>
  <c r="K17" i="121"/>
  <c r="J17" i="121"/>
  <c r="I17" i="121"/>
  <c r="H17" i="121"/>
  <c r="G17" i="121"/>
  <c r="F17" i="121"/>
  <c r="E17" i="121"/>
  <c r="D17" i="121"/>
  <c r="M16" i="121"/>
  <c r="L16" i="121"/>
  <c r="K16" i="121"/>
  <c r="J16" i="121"/>
  <c r="I16" i="121"/>
  <c r="H16" i="121"/>
  <c r="G16" i="121"/>
  <c r="F16" i="121"/>
  <c r="E16" i="121"/>
  <c r="D16" i="121"/>
  <c r="M13" i="121"/>
  <c r="L13" i="121"/>
  <c r="K13" i="121"/>
  <c r="I6" i="121" s="1"/>
  <c r="J13" i="121"/>
  <c r="I13" i="121"/>
  <c r="H13" i="121"/>
  <c r="G6" i="121" s="1"/>
  <c r="G13" i="121"/>
  <c r="F13" i="121"/>
  <c r="E13" i="121"/>
  <c r="D13" i="121"/>
  <c r="M6" i="121"/>
  <c r="F3" i="121"/>
  <c r="C3" i="121"/>
  <c r="E8" i="129" l="1"/>
  <c r="G8" i="129"/>
  <c r="F8" i="129"/>
  <c r="G7" i="127"/>
  <c r="E7" i="127"/>
  <c r="F7" i="127"/>
  <c r="E8" i="127"/>
  <c r="G8" i="127"/>
  <c r="F8" i="127"/>
  <c r="I8" i="127"/>
  <c r="I7" i="127"/>
  <c r="Q35" i="126"/>
  <c r="R28" i="126" s="1"/>
  <c r="P35" i="126"/>
  <c r="K14" i="125"/>
  <c r="Q72" i="126"/>
  <c r="R63" i="126" s="1"/>
  <c r="P72" i="126"/>
  <c r="M14" i="125"/>
  <c r="M15" i="125" s="1"/>
  <c r="Q8" i="126"/>
  <c r="R5" i="126" s="1"/>
  <c r="P8" i="126"/>
  <c r="D2" i="126"/>
  <c r="D14" i="125"/>
  <c r="Q12" i="126"/>
  <c r="R9" i="126" s="1"/>
  <c r="P12" i="126"/>
  <c r="E14" i="125"/>
  <c r="E15" i="125" s="1"/>
  <c r="F14" i="125"/>
  <c r="F15" i="125" s="1"/>
  <c r="Q20" i="126"/>
  <c r="R13" i="126" s="1"/>
  <c r="P20" i="126"/>
  <c r="Q62" i="126"/>
  <c r="R57" i="126" s="1"/>
  <c r="P62" i="126"/>
  <c r="J14" i="125"/>
  <c r="J15" i="125" s="1"/>
  <c r="Q27" i="126"/>
  <c r="R21" i="126" s="1"/>
  <c r="P27" i="126"/>
  <c r="G14" i="125"/>
  <c r="G15" i="125" s="1"/>
  <c r="P47" i="126"/>
  <c r="H14" i="125"/>
  <c r="H15" i="125" s="1"/>
  <c r="Q47" i="126"/>
  <c r="R44" i="126" s="1"/>
  <c r="Q75" i="124"/>
  <c r="P75" i="124"/>
  <c r="Q7" i="124"/>
  <c r="P7" i="124"/>
  <c r="Q55" i="124"/>
  <c r="P55" i="124"/>
  <c r="P69" i="124"/>
  <c r="Q69" i="124"/>
  <c r="Q9" i="124"/>
  <c r="P9" i="124"/>
  <c r="Q57" i="124"/>
  <c r="P57" i="124"/>
  <c r="Q18" i="124"/>
  <c r="P18" i="124"/>
  <c r="Q6" i="124"/>
  <c r="P6" i="124"/>
  <c r="Q38" i="124"/>
  <c r="P38" i="124"/>
  <c r="N12" i="124"/>
  <c r="AF12" i="124"/>
  <c r="AG9" i="124" s="1"/>
  <c r="AE12" i="124"/>
  <c r="Q22" i="124"/>
  <c r="P22" i="124"/>
  <c r="Q5" i="124"/>
  <c r="P5" i="124"/>
  <c r="Q17" i="124"/>
  <c r="P17" i="124"/>
  <c r="Q35" i="124"/>
  <c r="P35" i="124"/>
  <c r="Q42" i="124"/>
  <c r="P42" i="124"/>
  <c r="Q44" i="124"/>
  <c r="P44" i="124"/>
  <c r="Q39" i="124"/>
  <c r="P39" i="124"/>
  <c r="N65" i="124"/>
  <c r="AF65" i="124"/>
  <c r="AG60" i="124" s="1"/>
  <c r="AE65" i="124"/>
  <c r="N36" i="124"/>
  <c r="AF36" i="124"/>
  <c r="AG28" i="124" s="1"/>
  <c r="AE36" i="124"/>
  <c r="Q61" i="124"/>
  <c r="P61" i="124"/>
  <c r="AE20" i="124"/>
  <c r="N20" i="124"/>
  <c r="AF20" i="124"/>
  <c r="AG13" i="124" s="1"/>
  <c r="D2" i="124"/>
  <c r="Q8" i="124"/>
  <c r="R5" i="124" s="1"/>
  <c r="P8" i="124"/>
  <c r="D14" i="123"/>
  <c r="AF45" i="124"/>
  <c r="AG37" i="124" s="1"/>
  <c r="AE45" i="124"/>
  <c r="N45" i="124"/>
  <c r="Q60" i="124"/>
  <c r="P60" i="124"/>
  <c r="Q43" i="124"/>
  <c r="P43" i="124"/>
  <c r="N27" i="124"/>
  <c r="AF27" i="124"/>
  <c r="AG21" i="124" s="1"/>
  <c r="AE27" i="124"/>
  <c r="Q47" i="124"/>
  <c r="P47" i="124"/>
  <c r="Q14" i="124"/>
  <c r="P14" i="124"/>
  <c r="Q40" i="124"/>
  <c r="P40" i="124"/>
  <c r="Q10" i="124"/>
  <c r="P10" i="124"/>
  <c r="Q46" i="124"/>
  <c r="P46" i="124"/>
  <c r="P68" i="124"/>
  <c r="Q68" i="124"/>
  <c r="Q13" i="124"/>
  <c r="P13" i="124"/>
  <c r="AF59" i="124"/>
  <c r="AG50" i="124" s="1"/>
  <c r="AE59" i="124"/>
  <c r="N59" i="124"/>
  <c r="AF76" i="124"/>
  <c r="AG66" i="124" s="1"/>
  <c r="AE76" i="124"/>
  <c r="N76" i="124"/>
  <c r="Q37" i="124"/>
  <c r="P37" i="124"/>
  <c r="Q63" i="124"/>
  <c r="P63" i="124"/>
  <c r="Q41" i="124"/>
  <c r="P41" i="124"/>
  <c r="Q67" i="124"/>
  <c r="P67" i="124"/>
  <c r="Q73" i="124"/>
  <c r="P73" i="124"/>
  <c r="Q24" i="124"/>
  <c r="P24" i="124"/>
  <c r="Q70" i="124"/>
  <c r="P70" i="124"/>
  <c r="Q21" i="124"/>
  <c r="P21" i="124"/>
  <c r="Q64" i="124"/>
  <c r="P64" i="124"/>
  <c r="Q54" i="124"/>
  <c r="P54" i="124"/>
  <c r="Q71" i="124"/>
  <c r="P71" i="124"/>
  <c r="P66" i="124"/>
  <c r="Q66" i="124"/>
  <c r="Q49" i="124"/>
  <c r="R46" i="124" s="1"/>
  <c r="H14" i="123"/>
  <c r="H15" i="123" s="1"/>
  <c r="P49" i="124"/>
  <c r="P10" i="122"/>
  <c r="Q10" i="122"/>
  <c r="Q12" i="122"/>
  <c r="P12" i="122"/>
  <c r="N18" i="122"/>
  <c r="AF18" i="122"/>
  <c r="AE18" i="122"/>
  <c r="Q28" i="122"/>
  <c r="P28" i="122"/>
  <c r="N30" i="122"/>
  <c r="AF30" i="122"/>
  <c r="AE30" i="122"/>
  <c r="M38" i="122"/>
  <c r="N34" i="122"/>
  <c r="AF34" i="122"/>
  <c r="AE34" i="122"/>
  <c r="N36" i="122"/>
  <c r="AF36" i="122"/>
  <c r="AE36" i="122"/>
  <c r="AF42" i="122"/>
  <c r="AE42" i="122"/>
  <c r="N42" i="122"/>
  <c r="AF44" i="122"/>
  <c r="AE44" i="122"/>
  <c r="N44" i="122"/>
  <c r="P55" i="122"/>
  <c r="Q55" i="122"/>
  <c r="N73" i="122"/>
  <c r="AF73" i="122"/>
  <c r="AE73" i="122"/>
  <c r="AF26" i="122"/>
  <c r="AE26" i="122"/>
  <c r="N26" i="122"/>
  <c r="N40" i="122"/>
  <c r="AF40" i="122"/>
  <c r="AE40" i="122"/>
  <c r="N71" i="122"/>
  <c r="AF71" i="122"/>
  <c r="AE71" i="122"/>
  <c r="N77" i="122"/>
  <c r="AF77" i="122"/>
  <c r="AE77" i="122"/>
  <c r="N6" i="122"/>
  <c r="AF6" i="122"/>
  <c r="AE6" i="122"/>
  <c r="Q31" i="122"/>
  <c r="P31" i="122"/>
  <c r="P15" i="122"/>
  <c r="Q15" i="122"/>
  <c r="Q27" i="122"/>
  <c r="P27" i="122"/>
  <c r="AE43" i="122"/>
  <c r="N43" i="122"/>
  <c r="AF43" i="122"/>
  <c r="AF45" i="122"/>
  <c r="AE45" i="122"/>
  <c r="N45" i="122"/>
  <c r="AF67" i="122"/>
  <c r="AE67" i="122"/>
  <c r="N67" i="122"/>
  <c r="N74" i="122"/>
  <c r="AF74" i="122"/>
  <c r="AE74" i="122"/>
  <c r="N57" i="122"/>
  <c r="AF57" i="122"/>
  <c r="AE57" i="122"/>
  <c r="N17" i="122"/>
  <c r="AF17" i="122"/>
  <c r="AE17" i="122"/>
  <c r="N33" i="122"/>
  <c r="AF33" i="122"/>
  <c r="AE33" i="122"/>
  <c r="N35" i="122"/>
  <c r="AF35" i="122"/>
  <c r="AE35" i="122"/>
  <c r="H14" i="121"/>
  <c r="H15" i="121" s="1"/>
  <c r="Q52" i="122"/>
  <c r="R48" i="122" s="1"/>
  <c r="P52" i="122"/>
  <c r="Q54" i="122"/>
  <c r="P54" i="122"/>
  <c r="AE61" i="122"/>
  <c r="N61" i="122"/>
  <c r="AF61" i="122"/>
  <c r="M47" i="122"/>
  <c r="N39" i="122"/>
  <c r="AF39" i="122"/>
  <c r="AE39" i="122"/>
  <c r="AE41" i="122"/>
  <c r="N41" i="122"/>
  <c r="AF41" i="122"/>
  <c r="N70" i="122"/>
  <c r="AF70" i="122"/>
  <c r="AE70" i="122"/>
  <c r="M80" i="122"/>
  <c r="N72" i="122"/>
  <c r="AF72" i="122"/>
  <c r="AE72" i="122"/>
  <c r="Q53" i="122"/>
  <c r="P53" i="122"/>
  <c r="N7" i="122"/>
  <c r="AF7" i="122"/>
  <c r="AE7" i="122"/>
  <c r="N11" i="122"/>
  <c r="AF11" i="122"/>
  <c r="AE11" i="122"/>
  <c r="AF21" i="122"/>
  <c r="AE21" i="122"/>
  <c r="N21" i="122"/>
  <c r="N56" i="122"/>
  <c r="AF56" i="122"/>
  <c r="AE56" i="122"/>
  <c r="N8" i="122"/>
  <c r="AF8" i="122"/>
  <c r="AE8" i="122"/>
  <c r="N13" i="122"/>
  <c r="AF13" i="122"/>
  <c r="AE13" i="122"/>
  <c r="Q50" i="122"/>
  <c r="P50" i="122"/>
  <c r="I3" i="121"/>
  <c r="F2" i="122"/>
  <c r="N5" i="122"/>
  <c r="M9" i="122"/>
  <c r="AF5" i="122"/>
  <c r="AE5" i="122"/>
  <c r="P16" i="122"/>
  <c r="Q16" i="122"/>
  <c r="P32" i="122"/>
  <c r="Q32" i="122"/>
  <c r="N68" i="122"/>
  <c r="AF68" i="122"/>
  <c r="AE68" i="122"/>
  <c r="N75" i="122"/>
  <c r="AF75" i="122"/>
  <c r="AE75" i="122"/>
  <c r="AF20" i="122"/>
  <c r="M22" i="122"/>
  <c r="N25" i="122"/>
  <c r="M63" i="122"/>
  <c r="N66" i="122"/>
  <c r="N23" i="122"/>
  <c r="N24" i="122"/>
  <c r="N46" i="122"/>
  <c r="P48" i="122"/>
  <c r="P49" i="122"/>
  <c r="P51" i="122"/>
  <c r="N64" i="122"/>
  <c r="N65" i="122"/>
  <c r="AE15" i="122"/>
  <c r="AE16" i="122"/>
  <c r="AE32" i="122"/>
  <c r="AE55" i="122"/>
  <c r="AF15" i="122"/>
  <c r="AF16" i="122"/>
  <c r="AE28" i="122"/>
  <c r="AE31" i="122"/>
  <c r="AF32" i="122"/>
  <c r="AE53" i="122"/>
  <c r="AE54" i="122"/>
  <c r="AF55" i="122"/>
  <c r="N60" i="122"/>
  <c r="N62" i="122"/>
  <c r="AE10" i="122"/>
  <c r="N20" i="122"/>
  <c r="AE27" i="122"/>
  <c r="AF28" i="122"/>
  <c r="AF31" i="122"/>
  <c r="AE52" i="122"/>
  <c r="AF53" i="122"/>
  <c r="AF54" i="122"/>
  <c r="N59" i="122"/>
  <c r="N79" i="122"/>
  <c r="AF10" i="122"/>
  <c r="AE12" i="122"/>
  <c r="AF27" i="122"/>
  <c r="AF52" i="122"/>
  <c r="AG48" i="122" s="1"/>
  <c r="AF12" i="122"/>
  <c r="M29" i="122"/>
  <c r="AE50" i="122"/>
  <c r="AE66" i="122"/>
  <c r="F6" i="121"/>
  <c r="M14" i="122"/>
  <c r="AE64" i="122"/>
  <c r="AE65" i="122"/>
  <c r="M69" i="122"/>
  <c r="P76" i="122"/>
  <c r="P78" i="122"/>
  <c r="E6" i="121"/>
  <c r="AE60" i="122"/>
  <c r="AE62" i="122"/>
  <c r="AD77" i="120"/>
  <c r="Z77" i="120"/>
  <c r="Y77" i="120"/>
  <c r="O77" i="120"/>
  <c r="K77" i="120"/>
  <c r="M13" i="119" s="1"/>
  <c r="AF76" i="120"/>
  <c r="V76" i="120"/>
  <c r="U76" i="120"/>
  <c r="O76" i="120"/>
  <c r="M76" i="120"/>
  <c r="AE76" i="120" s="1"/>
  <c r="K76" i="120"/>
  <c r="G76" i="120"/>
  <c r="AF75" i="120"/>
  <c r="AE75" i="120"/>
  <c r="V75" i="120"/>
  <c r="U75" i="120"/>
  <c r="O75" i="120"/>
  <c r="M75" i="120"/>
  <c r="N75" i="120" s="1"/>
  <c r="K75" i="120"/>
  <c r="G75" i="120"/>
  <c r="V74" i="120"/>
  <c r="M74" i="120" s="1"/>
  <c r="U74" i="120"/>
  <c r="O74" i="120"/>
  <c r="K74" i="120"/>
  <c r="G74" i="120"/>
  <c r="AF73" i="120"/>
  <c r="AE73" i="120"/>
  <c r="X73" i="120"/>
  <c r="W73" i="120"/>
  <c r="V73" i="120"/>
  <c r="U73" i="120"/>
  <c r="O73" i="120"/>
  <c r="M73" i="120"/>
  <c r="N73" i="120" s="1"/>
  <c r="K73" i="120"/>
  <c r="G73" i="120"/>
  <c r="V72" i="120"/>
  <c r="M72" i="120" s="1"/>
  <c r="U72" i="120"/>
  <c r="O72" i="120"/>
  <c r="K72" i="120"/>
  <c r="G72" i="120"/>
  <c r="V71" i="120"/>
  <c r="M71" i="120" s="1"/>
  <c r="U71" i="120"/>
  <c r="O71" i="120"/>
  <c r="K71" i="120"/>
  <c r="G71" i="120"/>
  <c r="V70" i="120"/>
  <c r="M70" i="120" s="1"/>
  <c r="U70" i="120"/>
  <c r="O70" i="120"/>
  <c r="K70" i="120"/>
  <c r="G70" i="120"/>
  <c r="V69" i="120"/>
  <c r="M69" i="120" s="1"/>
  <c r="U69" i="120"/>
  <c r="O69" i="120"/>
  <c r="K69" i="120"/>
  <c r="G69" i="120"/>
  <c r="V68" i="120"/>
  <c r="M68" i="120" s="1"/>
  <c r="U68" i="120"/>
  <c r="O68" i="120"/>
  <c r="K68" i="120"/>
  <c r="G68" i="120"/>
  <c r="X67" i="120"/>
  <c r="W67" i="120"/>
  <c r="V67" i="120"/>
  <c r="M67" i="120" s="1"/>
  <c r="O67" i="120"/>
  <c r="K67" i="120"/>
  <c r="G67" i="120"/>
  <c r="AD66" i="120"/>
  <c r="Z66" i="120"/>
  <c r="Y66" i="120"/>
  <c r="J18" i="119" s="1"/>
  <c r="O66" i="120"/>
  <c r="K66" i="120"/>
  <c r="V65" i="120"/>
  <c r="M65" i="120" s="1"/>
  <c r="U65" i="120"/>
  <c r="O65" i="120"/>
  <c r="K65" i="120"/>
  <c r="G65" i="120"/>
  <c r="V64" i="120"/>
  <c r="M64" i="120" s="1"/>
  <c r="U64" i="120"/>
  <c r="O64" i="120"/>
  <c r="K64" i="120"/>
  <c r="G64" i="120"/>
  <c r="V63" i="120"/>
  <c r="U63" i="120"/>
  <c r="O63" i="120"/>
  <c r="N63" i="120"/>
  <c r="Q63" i="120" s="1"/>
  <c r="M63" i="120"/>
  <c r="AF63" i="120" s="1"/>
  <c r="K63" i="120"/>
  <c r="G63" i="120"/>
  <c r="V62" i="120"/>
  <c r="O62" i="120"/>
  <c r="N62" i="120"/>
  <c r="Q62" i="120" s="1"/>
  <c r="M62" i="120"/>
  <c r="K62" i="120"/>
  <c r="G62" i="120"/>
  <c r="AD61" i="120"/>
  <c r="Z61" i="120"/>
  <c r="Y61" i="120"/>
  <c r="O61" i="120"/>
  <c r="K61" i="120"/>
  <c r="V60" i="120"/>
  <c r="U60" i="120"/>
  <c r="O60" i="120"/>
  <c r="M60" i="120"/>
  <c r="AF60" i="120" s="1"/>
  <c r="K60" i="120"/>
  <c r="G60" i="120"/>
  <c r="X59" i="120"/>
  <c r="W59" i="120"/>
  <c r="V59" i="120"/>
  <c r="U59" i="120"/>
  <c r="O59" i="120"/>
  <c r="M59" i="120"/>
  <c r="AF59" i="120" s="1"/>
  <c r="K59" i="120"/>
  <c r="G59" i="120"/>
  <c r="V58" i="120"/>
  <c r="U58" i="120"/>
  <c r="O58" i="120"/>
  <c r="M58" i="120"/>
  <c r="AF58" i="120" s="1"/>
  <c r="K58" i="120"/>
  <c r="G58" i="120"/>
  <c r="V57" i="120"/>
  <c r="U57" i="120"/>
  <c r="O57" i="120"/>
  <c r="M57" i="120"/>
  <c r="AF57" i="120" s="1"/>
  <c r="K57" i="120"/>
  <c r="G57" i="120"/>
  <c r="AF56" i="120"/>
  <c r="V56" i="120"/>
  <c r="U56" i="120"/>
  <c r="O56" i="120"/>
  <c r="M56" i="120"/>
  <c r="AE56" i="120" s="1"/>
  <c r="K56" i="120"/>
  <c r="G56" i="120"/>
  <c r="AF55" i="120"/>
  <c r="AE55" i="120"/>
  <c r="V55" i="120"/>
  <c r="U55" i="120"/>
  <c r="P55" i="120"/>
  <c r="O55" i="120"/>
  <c r="N55" i="120"/>
  <c r="Q55" i="120" s="1"/>
  <c r="M55" i="120"/>
  <c r="K55" i="120"/>
  <c r="G55" i="120"/>
  <c r="V54" i="120"/>
  <c r="M54" i="120" s="1"/>
  <c r="U54" i="120"/>
  <c r="O54" i="120"/>
  <c r="K54" i="120"/>
  <c r="G54" i="120"/>
  <c r="V53" i="120"/>
  <c r="M53" i="120" s="1"/>
  <c r="U53" i="120"/>
  <c r="O53" i="120"/>
  <c r="K53" i="120"/>
  <c r="G53" i="120"/>
  <c r="V52" i="120"/>
  <c r="M52" i="120" s="1"/>
  <c r="O52" i="120"/>
  <c r="K52" i="120"/>
  <c r="G52" i="120"/>
  <c r="AD51" i="120"/>
  <c r="Z51" i="120"/>
  <c r="H19" i="119" s="1"/>
  <c r="Y51" i="120"/>
  <c r="O51" i="120"/>
  <c r="K51" i="120"/>
  <c r="V50" i="120"/>
  <c r="M50" i="120" s="1"/>
  <c r="U50" i="120"/>
  <c r="O50" i="120"/>
  <c r="K50" i="120"/>
  <c r="G50" i="120"/>
  <c r="AF49" i="120"/>
  <c r="V49" i="120"/>
  <c r="U49" i="120"/>
  <c r="O49" i="120"/>
  <c r="M49" i="120"/>
  <c r="N49" i="120" s="1"/>
  <c r="K49" i="120"/>
  <c r="G49" i="120"/>
  <c r="AF48" i="120"/>
  <c r="V48" i="120"/>
  <c r="O48" i="120"/>
  <c r="M48" i="120"/>
  <c r="N48" i="120" s="1"/>
  <c r="K48" i="120"/>
  <c r="G48" i="120"/>
  <c r="AD47" i="120"/>
  <c r="Z47" i="120"/>
  <c r="Y47" i="120"/>
  <c r="O47" i="120"/>
  <c r="K47" i="120"/>
  <c r="V46" i="120"/>
  <c r="U46" i="120"/>
  <c r="O46" i="120"/>
  <c r="N46" i="120"/>
  <c r="Q46" i="120" s="1"/>
  <c r="M46" i="120"/>
  <c r="AF46" i="120" s="1"/>
  <c r="K46" i="120"/>
  <c r="G46" i="120"/>
  <c r="V45" i="120"/>
  <c r="U45" i="120"/>
  <c r="O45" i="120"/>
  <c r="M45" i="120"/>
  <c r="AF45" i="120" s="1"/>
  <c r="K45" i="120"/>
  <c r="G45" i="120"/>
  <c r="V44" i="120"/>
  <c r="U44" i="120"/>
  <c r="O44" i="120"/>
  <c r="M44" i="120"/>
  <c r="AF44" i="120" s="1"/>
  <c r="K44" i="120"/>
  <c r="G44" i="120"/>
  <c r="X43" i="120"/>
  <c r="W43" i="120"/>
  <c r="V43" i="120"/>
  <c r="U43" i="120"/>
  <c r="O43" i="120"/>
  <c r="M43" i="120"/>
  <c r="AF43" i="120" s="1"/>
  <c r="K43" i="120"/>
  <c r="G43" i="120"/>
  <c r="V42" i="120"/>
  <c r="U42" i="120"/>
  <c r="O42" i="120"/>
  <c r="M42" i="120"/>
  <c r="AF42" i="120" s="1"/>
  <c r="K42" i="120"/>
  <c r="G42" i="120"/>
  <c r="V41" i="120"/>
  <c r="U41" i="120"/>
  <c r="O41" i="120"/>
  <c r="M41" i="120"/>
  <c r="AF41" i="120" s="1"/>
  <c r="K41" i="120"/>
  <c r="G41" i="120"/>
  <c r="V40" i="120"/>
  <c r="M40" i="120" s="1"/>
  <c r="U40" i="120"/>
  <c r="O40" i="120"/>
  <c r="K40" i="120"/>
  <c r="G40" i="120"/>
  <c r="X39" i="120"/>
  <c r="W39" i="120"/>
  <c r="V39" i="120"/>
  <c r="O39" i="120"/>
  <c r="M39" i="120"/>
  <c r="AE39" i="120" s="1"/>
  <c r="K39" i="120"/>
  <c r="G39" i="120"/>
  <c r="AD38" i="120"/>
  <c r="Z38" i="120"/>
  <c r="Y38" i="120"/>
  <c r="O38" i="120"/>
  <c r="K38" i="120"/>
  <c r="V37" i="120"/>
  <c r="M37" i="120" s="1"/>
  <c r="U37" i="120"/>
  <c r="O37" i="120"/>
  <c r="K37" i="120"/>
  <c r="G37" i="120"/>
  <c r="V36" i="120"/>
  <c r="M36" i="120" s="1"/>
  <c r="U36" i="120"/>
  <c r="O36" i="120"/>
  <c r="K36" i="120"/>
  <c r="G36" i="120"/>
  <c r="V35" i="120"/>
  <c r="M35" i="120" s="1"/>
  <c r="U35" i="120"/>
  <c r="O35" i="120"/>
  <c r="K35" i="120"/>
  <c r="G35" i="120"/>
  <c r="X34" i="120"/>
  <c r="W34" i="120"/>
  <c r="V34" i="120"/>
  <c r="M34" i="120" s="1"/>
  <c r="U34" i="120"/>
  <c r="O34" i="120"/>
  <c r="K34" i="120"/>
  <c r="G34" i="120"/>
  <c r="V33" i="120"/>
  <c r="M33" i="120" s="1"/>
  <c r="U33" i="120"/>
  <c r="O33" i="120"/>
  <c r="K33" i="120"/>
  <c r="G33" i="120"/>
  <c r="V32" i="120"/>
  <c r="M32" i="120" s="1"/>
  <c r="U32" i="120"/>
  <c r="O32" i="120"/>
  <c r="K32" i="120"/>
  <c r="G32" i="120"/>
  <c r="V31" i="120"/>
  <c r="M31" i="120" s="1"/>
  <c r="U31" i="120"/>
  <c r="O31" i="120"/>
  <c r="K31" i="120"/>
  <c r="G31" i="120"/>
  <c r="X30" i="120"/>
  <c r="W30" i="120"/>
  <c r="V30" i="120"/>
  <c r="M30" i="120" s="1"/>
  <c r="O30" i="120"/>
  <c r="K30" i="120"/>
  <c r="G30" i="120"/>
  <c r="AD29" i="120"/>
  <c r="G21" i="119" s="1"/>
  <c r="Z29" i="120"/>
  <c r="Y29" i="120"/>
  <c r="O29" i="120"/>
  <c r="K29" i="120"/>
  <c r="V28" i="120"/>
  <c r="M28" i="120" s="1"/>
  <c r="U28" i="120"/>
  <c r="O28" i="120"/>
  <c r="K28" i="120"/>
  <c r="G28" i="120"/>
  <c r="V27" i="120"/>
  <c r="M27" i="120" s="1"/>
  <c r="U27" i="120"/>
  <c r="O27" i="120"/>
  <c r="K27" i="120"/>
  <c r="G27" i="120"/>
  <c r="AF26" i="120"/>
  <c r="V26" i="120"/>
  <c r="U26" i="120"/>
  <c r="O26" i="120"/>
  <c r="M26" i="120"/>
  <c r="N26" i="120" s="1"/>
  <c r="K26" i="120"/>
  <c r="G26" i="120"/>
  <c r="AF25" i="120"/>
  <c r="AE25" i="120"/>
  <c r="V25" i="120"/>
  <c r="U25" i="120"/>
  <c r="Q25" i="120"/>
  <c r="P25" i="120"/>
  <c r="O25" i="120"/>
  <c r="N25" i="120"/>
  <c r="M25" i="120"/>
  <c r="K25" i="120"/>
  <c r="G25" i="120"/>
  <c r="V24" i="120"/>
  <c r="U24" i="120"/>
  <c r="O24" i="120"/>
  <c r="N24" i="120"/>
  <c r="Q24" i="120" s="1"/>
  <c r="M24" i="120"/>
  <c r="AF24" i="120" s="1"/>
  <c r="K24" i="120"/>
  <c r="G24" i="120"/>
  <c r="V23" i="120"/>
  <c r="O23" i="120"/>
  <c r="N23" i="120"/>
  <c r="Q23" i="120" s="1"/>
  <c r="M23" i="120"/>
  <c r="AF23" i="120" s="1"/>
  <c r="K23" i="120"/>
  <c r="G23" i="120"/>
  <c r="AD22" i="120"/>
  <c r="Z22" i="120"/>
  <c r="Y22" i="120"/>
  <c r="O22" i="120"/>
  <c r="K22" i="120"/>
  <c r="V21" i="120"/>
  <c r="U21" i="120"/>
  <c r="O21" i="120"/>
  <c r="M21" i="120"/>
  <c r="AF21" i="120" s="1"/>
  <c r="K21" i="120"/>
  <c r="G21" i="120"/>
  <c r="V20" i="120"/>
  <c r="U20" i="120"/>
  <c r="O20" i="120"/>
  <c r="M20" i="120"/>
  <c r="AF20" i="120" s="1"/>
  <c r="K20" i="120"/>
  <c r="G20" i="120"/>
  <c r="AF19" i="120"/>
  <c r="V19" i="120"/>
  <c r="U19" i="120"/>
  <c r="O19" i="120"/>
  <c r="N19" i="120"/>
  <c r="M19" i="120"/>
  <c r="AE19" i="120" s="1"/>
  <c r="K19" i="120"/>
  <c r="Q19" i="120" s="1"/>
  <c r="G19" i="120"/>
  <c r="AF18" i="120"/>
  <c r="AE18" i="120"/>
  <c r="V18" i="120"/>
  <c r="U18" i="120"/>
  <c r="Q18" i="120"/>
  <c r="P18" i="120"/>
  <c r="O18" i="120"/>
  <c r="N18" i="120"/>
  <c r="M18" i="120"/>
  <c r="K18" i="120"/>
  <c r="G18" i="120"/>
  <c r="V17" i="120"/>
  <c r="M17" i="120" s="1"/>
  <c r="U17" i="120"/>
  <c r="O17" i="120"/>
  <c r="K17" i="120"/>
  <c r="G17" i="120"/>
  <c r="V16" i="120"/>
  <c r="M16" i="120" s="1"/>
  <c r="U16" i="120"/>
  <c r="O16" i="120"/>
  <c r="K16" i="120"/>
  <c r="G16" i="120"/>
  <c r="V15" i="120"/>
  <c r="M15" i="120" s="1"/>
  <c r="O15" i="120"/>
  <c r="K15" i="120"/>
  <c r="G15" i="120"/>
  <c r="AD14" i="120"/>
  <c r="Z14" i="120"/>
  <c r="E19" i="119" s="1"/>
  <c r="Y14" i="120"/>
  <c r="O14" i="120"/>
  <c r="K14" i="120"/>
  <c r="V13" i="120"/>
  <c r="M13" i="120" s="1"/>
  <c r="U13" i="120"/>
  <c r="O13" i="120"/>
  <c r="K13" i="120"/>
  <c r="G13" i="120"/>
  <c r="X12" i="120"/>
  <c r="W12" i="120"/>
  <c r="V12" i="120"/>
  <c r="M12" i="120" s="1"/>
  <c r="U12" i="120"/>
  <c r="O12" i="120"/>
  <c r="K12" i="120"/>
  <c r="G12" i="120"/>
  <c r="V11" i="120"/>
  <c r="M11" i="120" s="1"/>
  <c r="U11" i="120"/>
  <c r="O11" i="120"/>
  <c r="K11" i="120"/>
  <c r="G11" i="120"/>
  <c r="X10" i="120"/>
  <c r="W10" i="120"/>
  <c r="V10" i="120"/>
  <c r="M10" i="120" s="1"/>
  <c r="O10" i="120"/>
  <c r="K10" i="120"/>
  <c r="G10" i="120"/>
  <c r="AD9" i="120"/>
  <c r="AD2" i="120" s="1"/>
  <c r="N6" i="119" s="1"/>
  <c r="Z9" i="120"/>
  <c r="D19" i="119" s="1"/>
  <c r="Y9" i="120"/>
  <c r="Y2" i="120" s="1"/>
  <c r="K6" i="119" s="1"/>
  <c r="O9" i="120"/>
  <c r="K9" i="120"/>
  <c r="V8" i="120"/>
  <c r="M8" i="120" s="1"/>
  <c r="U8" i="120"/>
  <c r="O8" i="120"/>
  <c r="K8" i="120"/>
  <c r="G8" i="120"/>
  <c r="X7" i="120"/>
  <c r="W7" i="120"/>
  <c r="V7" i="120"/>
  <c r="M7" i="120" s="1"/>
  <c r="U7" i="120"/>
  <c r="O7" i="120"/>
  <c r="K7" i="120"/>
  <c r="G7" i="120"/>
  <c r="V6" i="120"/>
  <c r="M6" i="120" s="1"/>
  <c r="U6" i="120"/>
  <c r="O6" i="120"/>
  <c r="K6" i="120"/>
  <c r="G6" i="120"/>
  <c r="V5" i="120"/>
  <c r="M5" i="120" s="1"/>
  <c r="O5" i="120"/>
  <c r="K5" i="120"/>
  <c r="G5" i="120"/>
  <c r="F1" i="120" s="1"/>
  <c r="H2" i="120"/>
  <c r="H1" i="120"/>
  <c r="D1" i="120"/>
  <c r="M22" i="119"/>
  <c r="L22" i="119"/>
  <c r="K22" i="119"/>
  <c r="J22" i="119"/>
  <c r="I22" i="119"/>
  <c r="H22" i="119"/>
  <c r="G22" i="119"/>
  <c r="F22" i="119"/>
  <c r="E22" i="119"/>
  <c r="D22" i="119"/>
  <c r="M21" i="119"/>
  <c r="L21" i="119"/>
  <c r="K21" i="119"/>
  <c r="J21" i="119"/>
  <c r="I21" i="119"/>
  <c r="H21" i="119"/>
  <c r="F21" i="119"/>
  <c r="E21" i="119"/>
  <c r="D21" i="119"/>
  <c r="M20" i="119"/>
  <c r="L20" i="119"/>
  <c r="K20" i="119"/>
  <c r="J20" i="119"/>
  <c r="I20" i="119"/>
  <c r="H20" i="119"/>
  <c r="G20" i="119"/>
  <c r="F20" i="119"/>
  <c r="E20" i="119"/>
  <c r="D20" i="119"/>
  <c r="M19" i="119"/>
  <c r="L19" i="119"/>
  <c r="K19" i="119"/>
  <c r="J19" i="119"/>
  <c r="I19" i="119"/>
  <c r="G19" i="119"/>
  <c r="F19" i="119"/>
  <c r="M18" i="119"/>
  <c r="L18" i="119"/>
  <c r="K18" i="119"/>
  <c r="I18" i="119"/>
  <c r="H18" i="119"/>
  <c r="G18" i="119"/>
  <c r="F18" i="119"/>
  <c r="E18" i="119"/>
  <c r="D18" i="119"/>
  <c r="M17" i="119"/>
  <c r="L17" i="119"/>
  <c r="K17" i="119"/>
  <c r="J17" i="119"/>
  <c r="I17" i="119"/>
  <c r="H17" i="119"/>
  <c r="G17" i="119"/>
  <c r="F17" i="119"/>
  <c r="E17" i="119"/>
  <c r="D17" i="119"/>
  <c r="M16" i="119"/>
  <c r="L16" i="119"/>
  <c r="K16" i="119"/>
  <c r="J16" i="119"/>
  <c r="I16" i="119"/>
  <c r="H16" i="119"/>
  <c r="G16" i="119"/>
  <c r="F16" i="119"/>
  <c r="E16" i="119"/>
  <c r="D16" i="119"/>
  <c r="L13" i="119"/>
  <c r="K13" i="119"/>
  <c r="J13" i="119"/>
  <c r="I13" i="119"/>
  <c r="H13" i="119"/>
  <c r="G6" i="119" s="1"/>
  <c r="G13" i="119"/>
  <c r="F13" i="119"/>
  <c r="E13" i="119"/>
  <c r="D13" i="119"/>
  <c r="M6" i="119"/>
  <c r="F3" i="119"/>
  <c r="C3" i="119"/>
  <c r="K15" i="125" l="1"/>
  <c r="I8" i="125" s="1"/>
  <c r="I7" i="125"/>
  <c r="D15" i="125"/>
  <c r="G7" i="125"/>
  <c r="F7" i="125"/>
  <c r="E7" i="125"/>
  <c r="D15" i="123"/>
  <c r="P65" i="124"/>
  <c r="Q65" i="124"/>
  <c r="R60" i="124" s="1"/>
  <c r="J14" i="123"/>
  <c r="J15" i="123" s="1"/>
  <c r="P27" i="124"/>
  <c r="G14" i="123"/>
  <c r="G15" i="123" s="1"/>
  <c r="Q27" i="124"/>
  <c r="R21" i="124" s="1"/>
  <c r="Q20" i="124"/>
  <c r="R13" i="124" s="1"/>
  <c r="P20" i="124"/>
  <c r="F14" i="123"/>
  <c r="F15" i="123" s="1"/>
  <c r="Q76" i="124"/>
  <c r="R66" i="124" s="1"/>
  <c r="P76" i="124"/>
  <c r="M14" i="123"/>
  <c r="M15" i="123" s="1"/>
  <c r="Q12" i="124"/>
  <c r="R9" i="124" s="1"/>
  <c r="E14" i="123"/>
  <c r="E15" i="123" s="1"/>
  <c r="P12" i="124"/>
  <c r="Q59" i="124"/>
  <c r="R50" i="124" s="1"/>
  <c r="P59" i="124"/>
  <c r="I14" i="123"/>
  <c r="I15" i="123" s="1"/>
  <c r="Q45" i="124"/>
  <c r="R37" i="124" s="1"/>
  <c r="P45" i="124"/>
  <c r="L14" i="123"/>
  <c r="L15" i="123" s="1"/>
  <c r="Q36" i="124"/>
  <c r="R28" i="124" s="1"/>
  <c r="P36" i="124"/>
  <c r="K14" i="123"/>
  <c r="Q21" i="122"/>
  <c r="P21" i="122"/>
  <c r="AF47" i="122"/>
  <c r="AG39" i="122" s="1"/>
  <c r="AE47" i="122"/>
  <c r="N47" i="122"/>
  <c r="Q67" i="122"/>
  <c r="P67" i="122"/>
  <c r="Q46" i="122"/>
  <c r="P46" i="122"/>
  <c r="Q72" i="122"/>
  <c r="P72" i="122"/>
  <c r="N29" i="122"/>
  <c r="AF29" i="122"/>
  <c r="AG23" i="122" s="1"/>
  <c r="AE29" i="122"/>
  <c r="Q24" i="122"/>
  <c r="P24" i="122"/>
  <c r="Q68" i="122"/>
  <c r="P68" i="122"/>
  <c r="AF80" i="122"/>
  <c r="AG70" i="122" s="1"/>
  <c r="AE80" i="122"/>
  <c r="N80" i="122"/>
  <c r="Q61" i="122"/>
  <c r="P61" i="122"/>
  <c r="Q33" i="122"/>
  <c r="P33" i="122"/>
  <c r="Q40" i="122"/>
  <c r="P40" i="122"/>
  <c r="Q42" i="122"/>
  <c r="P42" i="122"/>
  <c r="Q30" i="122"/>
  <c r="P30" i="122"/>
  <c r="Q65" i="122"/>
  <c r="P65" i="122"/>
  <c r="Q23" i="122"/>
  <c r="P23" i="122"/>
  <c r="Q45" i="122"/>
  <c r="P45" i="122"/>
  <c r="Q26" i="122"/>
  <c r="P26" i="122"/>
  <c r="Q79" i="122"/>
  <c r="P79" i="122"/>
  <c r="Q20" i="122"/>
  <c r="P20" i="122"/>
  <c r="Q66" i="122"/>
  <c r="P66" i="122"/>
  <c r="AF63" i="122"/>
  <c r="AG53" i="122" s="1"/>
  <c r="AE63" i="122"/>
  <c r="N63" i="122"/>
  <c r="Q13" i="122"/>
  <c r="P13" i="122"/>
  <c r="Q11" i="122"/>
  <c r="P11" i="122"/>
  <c r="P70" i="122"/>
  <c r="Q70" i="122"/>
  <c r="Q17" i="122"/>
  <c r="P17" i="122"/>
  <c r="Q6" i="122"/>
  <c r="P6" i="122"/>
  <c r="Q62" i="122"/>
  <c r="P62" i="122"/>
  <c r="Q25" i="122"/>
  <c r="P25" i="122"/>
  <c r="N69" i="122"/>
  <c r="AF69" i="122"/>
  <c r="AG64" i="122" s="1"/>
  <c r="AE69" i="122"/>
  <c r="Q60" i="122"/>
  <c r="P60" i="122"/>
  <c r="AF22" i="122"/>
  <c r="AG15" i="122" s="1"/>
  <c r="AE22" i="122"/>
  <c r="N22" i="122"/>
  <c r="Q41" i="122"/>
  <c r="P41" i="122"/>
  <c r="Q43" i="122"/>
  <c r="P43" i="122"/>
  <c r="Q36" i="122"/>
  <c r="P36" i="122"/>
  <c r="Q18" i="122"/>
  <c r="P18" i="122"/>
  <c r="Q57" i="122"/>
  <c r="P57" i="122"/>
  <c r="Q77" i="122"/>
  <c r="P77" i="122"/>
  <c r="P73" i="122"/>
  <c r="Q73" i="122"/>
  <c r="Q8" i="122"/>
  <c r="P8" i="122"/>
  <c r="Q59" i="122"/>
  <c r="P59" i="122"/>
  <c r="Q64" i="122"/>
  <c r="P64" i="122"/>
  <c r="N9" i="122"/>
  <c r="AF9" i="122"/>
  <c r="AG5" i="122" s="1"/>
  <c r="AE9" i="122"/>
  <c r="Q7" i="122"/>
  <c r="P7" i="122"/>
  <c r="N14" i="122"/>
  <c r="AF14" i="122"/>
  <c r="AG10" i="122" s="1"/>
  <c r="AE14" i="122"/>
  <c r="Q5" i="122"/>
  <c r="P5" i="122"/>
  <c r="Q34" i="122"/>
  <c r="P34" i="122"/>
  <c r="Q75" i="122"/>
  <c r="P75" i="122"/>
  <c r="Q56" i="122"/>
  <c r="P56" i="122"/>
  <c r="Q39" i="122"/>
  <c r="P39" i="122"/>
  <c r="Q35" i="122"/>
  <c r="P35" i="122"/>
  <c r="Q74" i="122"/>
  <c r="P74" i="122"/>
  <c r="Q71" i="122"/>
  <c r="P71" i="122"/>
  <c r="Q44" i="122"/>
  <c r="P44" i="122"/>
  <c r="AE38" i="122"/>
  <c r="N38" i="122"/>
  <c r="AF38" i="122"/>
  <c r="AG30" i="122" s="1"/>
  <c r="I3" i="119"/>
  <c r="F2" i="120"/>
  <c r="N13" i="120"/>
  <c r="AF13" i="120"/>
  <c r="AE13" i="120"/>
  <c r="N65" i="120"/>
  <c r="AF65" i="120"/>
  <c r="AE65" i="120"/>
  <c r="AE72" i="120"/>
  <c r="N72" i="120"/>
  <c r="AF72" i="120"/>
  <c r="N11" i="120"/>
  <c r="AF11" i="120"/>
  <c r="AE11" i="120"/>
  <c r="N28" i="120"/>
  <c r="AF28" i="120"/>
  <c r="AE28" i="120"/>
  <c r="AE37" i="120"/>
  <c r="N37" i="120"/>
  <c r="AF37" i="120"/>
  <c r="N7" i="120"/>
  <c r="AF7" i="120"/>
  <c r="AE7" i="120"/>
  <c r="N16" i="120"/>
  <c r="AF16" i="120"/>
  <c r="AE16" i="120"/>
  <c r="AE33" i="120"/>
  <c r="N33" i="120"/>
  <c r="AF33" i="120"/>
  <c r="AE35" i="120"/>
  <c r="N35" i="120"/>
  <c r="AF35" i="120"/>
  <c r="AE54" i="120"/>
  <c r="N54" i="120"/>
  <c r="AF54" i="120"/>
  <c r="I6" i="119"/>
  <c r="N5" i="120"/>
  <c r="M9" i="120"/>
  <c r="AF5" i="120"/>
  <c r="AE5" i="120"/>
  <c r="N70" i="120"/>
  <c r="AF70" i="120"/>
  <c r="AE70" i="120"/>
  <c r="P26" i="120"/>
  <c r="Q26" i="120"/>
  <c r="P49" i="120"/>
  <c r="Q49" i="120"/>
  <c r="AE74" i="120"/>
  <c r="N74" i="120"/>
  <c r="AF74" i="120"/>
  <c r="N10" i="120"/>
  <c r="M14" i="120"/>
  <c r="AF10" i="120"/>
  <c r="AE10" i="120"/>
  <c r="M66" i="120"/>
  <c r="N68" i="120"/>
  <c r="AF68" i="120"/>
  <c r="AE68" i="120"/>
  <c r="N12" i="120"/>
  <c r="AF12" i="120"/>
  <c r="AE12" i="120"/>
  <c r="AE40" i="120"/>
  <c r="N40" i="120"/>
  <c r="AF40" i="120"/>
  <c r="AE17" i="120"/>
  <c r="N17" i="120"/>
  <c r="AF17" i="120"/>
  <c r="N27" i="120"/>
  <c r="AF27" i="120"/>
  <c r="AE27" i="120"/>
  <c r="N34" i="120"/>
  <c r="AF34" i="120"/>
  <c r="AE34" i="120"/>
  <c r="AF36" i="120"/>
  <c r="N36" i="120"/>
  <c r="AE36" i="120"/>
  <c r="N50" i="120"/>
  <c r="M51" i="120"/>
  <c r="AF50" i="120"/>
  <c r="AE50" i="120"/>
  <c r="Q75" i="120"/>
  <c r="P75" i="120"/>
  <c r="N31" i="120"/>
  <c r="AF31" i="120"/>
  <c r="AE31" i="120"/>
  <c r="P48" i="120"/>
  <c r="Q48" i="120"/>
  <c r="N52" i="120"/>
  <c r="AF52" i="120"/>
  <c r="AE52" i="120"/>
  <c r="M61" i="120"/>
  <c r="Q73" i="120"/>
  <c r="P73" i="120"/>
  <c r="N6" i="120"/>
  <c r="AF6" i="120"/>
  <c r="AE6" i="120"/>
  <c r="N8" i="120"/>
  <c r="AF8" i="120"/>
  <c r="AE8" i="120"/>
  <c r="AF64" i="120"/>
  <c r="AE64" i="120"/>
  <c r="N64" i="120"/>
  <c r="N71" i="120"/>
  <c r="AF71" i="120"/>
  <c r="AE71" i="120"/>
  <c r="N15" i="120"/>
  <c r="AF15" i="120"/>
  <c r="AE15" i="120"/>
  <c r="M22" i="120"/>
  <c r="N30" i="120"/>
  <c r="AF30" i="120"/>
  <c r="AE30" i="120"/>
  <c r="M38" i="120"/>
  <c r="N32" i="120"/>
  <c r="AF32" i="120"/>
  <c r="AE32" i="120"/>
  <c r="N53" i="120"/>
  <c r="AF53" i="120"/>
  <c r="AE53" i="120"/>
  <c r="N67" i="120"/>
  <c r="AF67" i="120"/>
  <c r="AE67" i="120"/>
  <c r="M77" i="120"/>
  <c r="N69" i="120"/>
  <c r="AF69" i="120"/>
  <c r="AE69" i="120"/>
  <c r="AF39" i="120"/>
  <c r="N43" i="120"/>
  <c r="N45" i="120"/>
  <c r="N59" i="120"/>
  <c r="N21" i="120"/>
  <c r="P23" i="120"/>
  <c r="P24" i="120"/>
  <c r="N39" i="120"/>
  <c r="N42" i="120"/>
  <c r="N44" i="120"/>
  <c r="P46" i="120"/>
  <c r="N58" i="120"/>
  <c r="N60" i="120"/>
  <c r="P62" i="120"/>
  <c r="P63" i="120"/>
  <c r="N20" i="120"/>
  <c r="N41" i="120"/>
  <c r="N57" i="120"/>
  <c r="Z2" i="120"/>
  <c r="L6" i="119" s="1"/>
  <c r="AE26" i="120"/>
  <c r="AE48" i="120"/>
  <c r="AE49" i="120"/>
  <c r="N56" i="120"/>
  <c r="N76" i="120"/>
  <c r="M29" i="120"/>
  <c r="P19" i="120"/>
  <c r="AE23" i="120"/>
  <c r="AE24" i="120"/>
  <c r="AE46" i="120"/>
  <c r="AE62" i="120"/>
  <c r="AE63" i="120"/>
  <c r="F6" i="119"/>
  <c r="AE45" i="120"/>
  <c r="AF62" i="120"/>
  <c r="E6" i="119"/>
  <c r="AE21" i="120"/>
  <c r="AE42" i="120"/>
  <c r="AE44" i="120"/>
  <c r="AE58" i="120"/>
  <c r="AE60" i="120"/>
  <c r="AE20" i="120"/>
  <c r="AE41" i="120"/>
  <c r="AE43" i="120"/>
  <c r="M47" i="120"/>
  <c r="AE57" i="120"/>
  <c r="AE59" i="120"/>
  <c r="AD81" i="118"/>
  <c r="Z81" i="118"/>
  <c r="Y81" i="118"/>
  <c r="O81" i="118"/>
  <c r="K81" i="118"/>
  <c r="AF80" i="118"/>
  <c r="AE80" i="118"/>
  <c r="V80" i="118"/>
  <c r="U80" i="118"/>
  <c r="O80" i="118"/>
  <c r="N80" i="118"/>
  <c r="M80" i="118"/>
  <c r="K80" i="118"/>
  <c r="Q80" i="118" s="1"/>
  <c r="G80" i="118"/>
  <c r="AF79" i="118"/>
  <c r="AE79" i="118"/>
  <c r="V79" i="118"/>
  <c r="U79" i="118"/>
  <c r="Q79" i="118"/>
  <c r="P79" i="118"/>
  <c r="O79" i="118"/>
  <c r="N79" i="118"/>
  <c r="M79" i="118"/>
  <c r="K79" i="118"/>
  <c r="G79" i="118"/>
  <c r="AE78" i="118"/>
  <c r="V78" i="118"/>
  <c r="M78" i="118" s="1"/>
  <c r="U78" i="118"/>
  <c r="O78" i="118"/>
  <c r="K78" i="118"/>
  <c r="G78" i="118"/>
  <c r="AF77" i="118"/>
  <c r="AE77" i="118"/>
  <c r="V77" i="118"/>
  <c r="U77" i="118"/>
  <c r="O77" i="118"/>
  <c r="M77" i="118"/>
  <c r="N77" i="118" s="1"/>
  <c r="K77" i="118"/>
  <c r="G77" i="118"/>
  <c r="AF76" i="118"/>
  <c r="AE76" i="118"/>
  <c r="V76" i="118"/>
  <c r="U76" i="118"/>
  <c r="O76" i="118"/>
  <c r="N76" i="118"/>
  <c r="P76" i="118" s="1"/>
  <c r="M76" i="118"/>
  <c r="K76" i="118"/>
  <c r="G76" i="118"/>
  <c r="V75" i="118"/>
  <c r="M75" i="118" s="1"/>
  <c r="U75" i="118"/>
  <c r="O75" i="118"/>
  <c r="K75" i="118"/>
  <c r="G75" i="118"/>
  <c r="AF74" i="118"/>
  <c r="AE74" i="118"/>
  <c r="V74" i="118"/>
  <c r="U74" i="118"/>
  <c r="P74" i="118"/>
  <c r="O74" i="118"/>
  <c r="M74" i="118"/>
  <c r="N74" i="118" s="1"/>
  <c r="Q74" i="118" s="1"/>
  <c r="K74" i="118"/>
  <c r="G74" i="118"/>
  <c r="AF73" i="118"/>
  <c r="AE73" i="118"/>
  <c r="V73" i="118"/>
  <c r="U73" i="118"/>
  <c r="Q73" i="118"/>
  <c r="P73" i="118"/>
  <c r="O73" i="118"/>
  <c r="N73" i="118"/>
  <c r="M73" i="118"/>
  <c r="K73" i="118"/>
  <c r="G73" i="118"/>
  <c r="AF72" i="118"/>
  <c r="AE72" i="118"/>
  <c r="V72" i="118"/>
  <c r="U72" i="118"/>
  <c r="O72" i="118"/>
  <c r="N72" i="118"/>
  <c r="M72" i="118"/>
  <c r="K72" i="118"/>
  <c r="G72" i="118"/>
  <c r="AF71" i="118"/>
  <c r="AE71" i="118"/>
  <c r="X71" i="118"/>
  <c r="W71" i="118"/>
  <c r="V71" i="118"/>
  <c r="O71" i="118"/>
  <c r="M71" i="118"/>
  <c r="N71" i="118" s="1"/>
  <c r="Q71" i="118" s="1"/>
  <c r="K71" i="118"/>
  <c r="G71" i="118"/>
  <c r="AD70" i="118"/>
  <c r="Z70" i="118"/>
  <c r="Y70" i="118"/>
  <c r="Y2" i="118" s="1"/>
  <c r="K6" i="117" s="1"/>
  <c r="O70" i="118"/>
  <c r="K70" i="118"/>
  <c r="AF69" i="118"/>
  <c r="AE69" i="118"/>
  <c r="V69" i="118"/>
  <c r="U69" i="118"/>
  <c r="O69" i="118"/>
  <c r="N69" i="118"/>
  <c r="M69" i="118"/>
  <c r="K69" i="118"/>
  <c r="G69" i="118"/>
  <c r="AF68" i="118"/>
  <c r="AE68" i="118"/>
  <c r="V68" i="118"/>
  <c r="U68" i="118"/>
  <c r="Q68" i="118"/>
  <c r="P68" i="118"/>
  <c r="O68" i="118"/>
  <c r="N68" i="118"/>
  <c r="M68" i="118"/>
  <c r="K68" i="118"/>
  <c r="G68" i="118"/>
  <c r="V67" i="118"/>
  <c r="U67" i="118"/>
  <c r="O67" i="118"/>
  <c r="M67" i="118"/>
  <c r="AE67" i="118" s="1"/>
  <c r="K67" i="118"/>
  <c r="G67" i="118"/>
  <c r="V66" i="118"/>
  <c r="O66" i="118"/>
  <c r="M66" i="118"/>
  <c r="AE66" i="118" s="1"/>
  <c r="K66" i="118"/>
  <c r="G66" i="118"/>
  <c r="AD65" i="118"/>
  <c r="Z65" i="118"/>
  <c r="Y65" i="118"/>
  <c r="O65" i="118"/>
  <c r="K65" i="118"/>
  <c r="AF64" i="118"/>
  <c r="AE64" i="118"/>
  <c r="V64" i="118"/>
  <c r="U64" i="118"/>
  <c r="O64" i="118"/>
  <c r="N64" i="118"/>
  <c r="M64" i="118"/>
  <c r="K64" i="118"/>
  <c r="Q64" i="118" s="1"/>
  <c r="G64" i="118"/>
  <c r="AF63" i="118"/>
  <c r="X63" i="118"/>
  <c r="W63" i="118"/>
  <c r="V63" i="118"/>
  <c r="U63" i="118"/>
  <c r="O63" i="118"/>
  <c r="M63" i="118"/>
  <c r="N63" i="118" s="1"/>
  <c r="K63" i="118"/>
  <c r="G63" i="118"/>
  <c r="AF62" i="118"/>
  <c r="AE62" i="118"/>
  <c r="V62" i="118"/>
  <c r="U62" i="118"/>
  <c r="O62" i="118"/>
  <c r="N62" i="118"/>
  <c r="M62" i="118"/>
  <c r="K62" i="118"/>
  <c r="Q62" i="118" s="1"/>
  <c r="G62" i="118"/>
  <c r="AF61" i="118"/>
  <c r="AE61" i="118"/>
  <c r="V61" i="118"/>
  <c r="U61" i="118"/>
  <c r="Q61" i="118"/>
  <c r="P61" i="118"/>
  <c r="O61" i="118"/>
  <c r="N61" i="118"/>
  <c r="M61" i="118"/>
  <c r="K61" i="118"/>
  <c r="G61" i="118"/>
  <c r="V60" i="118"/>
  <c r="M60" i="118" s="1"/>
  <c r="U60" i="118"/>
  <c r="O60" i="118"/>
  <c r="K60" i="118"/>
  <c r="G60" i="118"/>
  <c r="AF59" i="118"/>
  <c r="AE59" i="118"/>
  <c r="V59" i="118"/>
  <c r="U59" i="118"/>
  <c r="O59" i="118"/>
  <c r="M59" i="118"/>
  <c r="N59" i="118" s="1"/>
  <c r="K59" i="118"/>
  <c r="G59" i="118"/>
  <c r="AF58" i="118"/>
  <c r="AE58" i="118"/>
  <c r="V58" i="118"/>
  <c r="U58" i="118"/>
  <c r="O58" i="118"/>
  <c r="N58" i="118"/>
  <c r="P58" i="118" s="1"/>
  <c r="M58" i="118"/>
  <c r="K58" i="118"/>
  <c r="G58" i="118"/>
  <c r="V57" i="118"/>
  <c r="M57" i="118" s="1"/>
  <c r="U57" i="118"/>
  <c r="O57" i="118"/>
  <c r="K57" i="118"/>
  <c r="G57" i="118"/>
  <c r="V56" i="118"/>
  <c r="M56" i="118" s="1"/>
  <c r="O56" i="118"/>
  <c r="K56" i="118"/>
  <c r="G56" i="118"/>
  <c r="AD55" i="118"/>
  <c r="Z55" i="118"/>
  <c r="H19" i="117" s="1"/>
  <c r="Y55" i="118"/>
  <c r="O55" i="118"/>
  <c r="M55" i="118"/>
  <c r="N55" i="118" s="1"/>
  <c r="Q55" i="118" s="1"/>
  <c r="R52" i="118" s="1"/>
  <c r="K55" i="118"/>
  <c r="AF54" i="118"/>
  <c r="AE54" i="118"/>
  <c r="V54" i="118"/>
  <c r="U54" i="118"/>
  <c r="Q54" i="118"/>
  <c r="P54" i="118"/>
  <c r="O54" i="118"/>
  <c r="N54" i="118"/>
  <c r="M54" i="118"/>
  <c r="K54" i="118"/>
  <c r="G54" i="118"/>
  <c r="AF53" i="118"/>
  <c r="AE53" i="118"/>
  <c r="V53" i="118"/>
  <c r="U53" i="118"/>
  <c r="O53" i="118"/>
  <c r="N53" i="118"/>
  <c r="M53" i="118"/>
  <c r="K53" i="118"/>
  <c r="G53" i="118"/>
  <c r="AF52" i="118"/>
  <c r="AE52" i="118"/>
  <c r="V52" i="118"/>
  <c r="O52" i="118"/>
  <c r="N52" i="118"/>
  <c r="M52" i="118"/>
  <c r="K52" i="118"/>
  <c r="G52" i="118"/>
  <c r="AD51" i="118"/>
  <c r="Z51" i="118"/>
  <c r="Y51" i="118"/>
  <c r="O51" i="118"/>
  <c r="K51" i="118"/>
  <c r="V50" i="118"/>
  <c r="U50" i="118"/>
  <c r="O50" i="118"/>
  <c r="M50" i="118"/>
  <c r="AE50" i="118" s="1"/>
  <c r="K50" i="118"/>
  <c r="G50" i="118"/>
  <c r="V49" i="118"/>
  <c r="U49" i="118"/>
  <c r="O49" i="118"/>
  <c r="M49" i="118"/>
  <c r="AF49" i="118" s="1"/>
  <c r="K49" i="118"/>
  <c r="G49" i="118"/>
  <c r="AF48" i="118"/>
  <c r="AE48" i="118"/>
  <c r="V48" i="118"/>
  <c r="U48" i="118"/>
  <c r="O48" i="118"/>
  <c r="N48" i="118"/>
  <c r="M48" i="118"/>
  <c r="K48" i="118"/>
  <c r="Q48" i="118" s="1"/>
  <c r="G48" i="118"/>
  <c r="AF47" i="118"/>
  <c r="AE47" i="118"/>
  <c r="V47" i="118"/>
  <c r="U47" i="118"/>
  <c r="Q47" i="118"/>
  <c r="P47" i="118"/>
  <c r="O47" i="118"/>
  <c r="N47" i="118"/>
  <c r="M47" i="118"/>
  <c r="K47" i="118"/>
  <c r="G47" i="118"/>
  <c r="AE46" i="118"/>
  <c r="V46" i="118"/>
  <c r="M46" i="118" s="1"/>
  <c r="U46" i="118"/>
  <c r="O46" i="118"/>
  <c r="K46" i="118"/>
  <c r="G46" i="118"/>
  <c r="AF45" i="118"/>
  <c r="AE45" i="118"/>
  <c r="V45" i="118"/>
  <c r="U45" i="118"/>
  <c r="O45" i="118"/>
  <c r="M45" i="118"/>
  <c r="N45" i="118" s="1"/>
  <c r="K45" i="118"/>
  <c r="G45" i="118"/>
  <c r="AF44" i="118"/>
  <c r="AE44" i="118"/>
  <c r="V44" i="118"/>
  <c r="U44" i="118"/>
  <c r="O44" i="118"/>
  <c r="N44" i="118"/>
  <c r="P44" i="118" s="1"/>
  <c r="M44" i="118"/>
  <c r="K44" i="118"/>
  <c r="G44" i="118"/>
  <c r="X43" i="118"/>
  <c r="W43" i="118"/>
  <c r="V43" i="118"/>
  <c r="M43" i="118" s="1"/>
  <c r="O43" i="118"/>
  <c r="K43" i="118"/>
  <c r="G43" i="118"/>
  <c r="AD42" i="118"/>
  <c r="Z42" i="118"/>
  <c r="Y42" i="118"/>
  <c r="O42" i="118"/>
  <c r="K42" i="118"/>
  <c r="AF41" i="118"/>
  <c r="AE41" i="118"/>
  <c r="V41" i="118"/>
  <c r="U41" i="118"/>
  <c r="O41" i="118"/>
  <c r="N41" i="118"/>
  <c r="P41" i="118" s="1"/>
  <c r="M41" i="118"/>
  <c r="K41" i="118"/>
  <c r="G41" i="118"/>
  <c r="V40" i="118"/>
  <c r="M40" i="118" s="1"/>
  <c r="U40" i="118"/>
  <c r="O40" i="118"/>
  <c r="K40" i="118"/>
  <c r="G40" i="118"/>
  <c r="V39" i="118"/>
  <c r="M39" i="118" s="1"/>
  <c r="U39" i="118"/>
  <c r="O39" i="118"/>
  <c r="K39" i="118"/>
  <c r="G39" i="118"/>
  <c r="AF38" i="118"/>
  <c r="AE38" i="118"/>
  <c r="V38" i="118"/>
  <c r="U38" i="118"/>
  <c r="Q38" i="118"/>
  <c r="P38" i="118"/>
  <c r="O38" i="118"/>
  <c r="N38" i="118"/>
  <c r="M38" i="118"/>
  <c r="K38" i="118"/>
  <c r="G38" i="118"/>
  <c r="AF37" i="118"/>
  <c r="AE37" i="118"/>
  <c r="V37" i="118"/>
  <c r="U37" i="118"/>
  <c r="O37" i="118"/>
  <c r="N37" i="118"/>
  <c r="M37" i="118"/>
  <c r="K37" i="118"/>
  <c r="G37" i="118"/>
  <c r="AF36" i="118"/>
  <c r="AE36" i="118"/>
  <c r="V36" i="118"/>
  <c r="U36" i="118"/>
  <c r="Q36" i="118"/>
  <c r="P36" i="118"/>
  <c r="O36" i="118"/>
  <c r="N36" i="118"/>
  <c r="M36" i="118"/>
  <c r="K36" i="118"/>
  <c r="G36" i="118"/>
  <c r="V35" i="118"/>
  <c r="U35" i="118"/>
  <c r="O35" i="118"/>
  <c r="M35" i="118"/>
  <c r="AE35" i="118" s="1"/>
  <c r="K35" i="118"/>
  <c r="G35" i="118"/>
  <c r="AE34" i="118"/>
  <c r="X34" i="118"/>
  <c r="W34" i="118"/>
  <c r="V34" i="118"/>
  <c r="O34" i="118"/>
  <c r="N34" i="118"/>
  <c r="M34" i="118"/>
  <c r="AF34" i="118" s="1"/>
  <c r="K34" i="118"/>
  <c r="G34" i="118"/>
  <c r="AD33" i="118"/>
  <c r="Z33" i="118"/>
  <c r="Y33" i="118"/>
  <c r="O33" i="118"/>
  <c r="K33" i="118"/>
  <c r="V32" i="118"/>
  <c r="U32" i="118"/>
  <c r="O32" i="118"/>
  <c r="M32" i="118"/>
  <c r="AE32" i="118" s="1"/>
  <c r="K32" i="118"/>
  <c r="G32" i="118"/>
  <c r="AF31" i="118"/>
  <c r="AE31" i="118"/>
  <c r="X31" i="118"/>
  <c r="W31" i="118"/>
  <c r="V31" i="118"/>
  <c r="U31" i="118"/>
  <c r="Q31" i="118"/>
  <c r="P31" i="118"/>
  <c r="O31" i="118"/>
  <c r="N31" i="118"/>
  <c r="M31" i="118"/>
  <c r="K31" i="118"/>
  <c r="G31" i="118"/>
  <c r="V30" i="118"/>
  <c r="U30" i="118"/>
  <c r="O30" i="118"/>
  <c r="M30" i="118"/>
  <c r="AE30" i="118" s="1"/>
  <c r="K30" i="118"/>
  <c r="G30" i="118"/>
  <c r="V29" i="118"/>
  <c r="U29" i="118"/>
  <c r="O29" i="118"/>
  <c r="M29" i="118"/>
  <c r="AF29" i="118" s="1"/>
  <c r="K29" i="118"/>
  <c r="G29" i="118"/>
  <c r="AF28" i="118"/>
  <c r="AE28" i="118"/>
  <c r="V28" i="118"/>
  <c r="U28" i="118"/>
  <c r="O28" i="118"/>
  <c r="N28" i="118"/>
  <c r="M28" i="118"/>
  <c r="K28" i="118"/>
  <c r="Q28" i="118" s="1"/>
  <c r="G28" i="118"/>
  <c r="AF27" i="118"/>
  <c r="X27" i="118"/>
  <c r="W27" i="118"/>
  <c r="V27" i="118"/>
  <c r="U27" i="118"/>
  <c r="O27" i="118"/>
  <c r="M27" i="118"/>
  <c r="N27" i="118" s="1"/>
  <c r="K27" i="118"/>
  <c r="G27" i="118"/>
  <c r="V26" i="118"/>
  <c r="U26" i="118"/>
  <c r="O26" i="118"/>
  <c r="M26" i="118"/>
  <c r="AE26" i="118" s="1"/>
  <c r="K26" i="118"/>
  <c r="G26" i="118"/>
  <c r="V25" i="118"/>
  <c r="O25" i="118"/>
  <c r="M25" i="118"/>
  <c r="AE25" i="118" s="1"/>
  <c r="K25" i="118"/>
  <c r="G25" i="118"/>
  <c r="AD24" i="118"/>
  <c r="Z24" i="118"/>
  <c r="Y24" i="118"/>
  <c r="O24" i="118"/>
  <c r="K24" i="118"/>
  <c r="F13" i="117" s="1"/>
  <c r="V23" i="118"/>
  <c r="M23" i="118" s="1"/>
  <c r="AE23" i="118" s="1"/>
  <c r="U23" i="118"/>
  <c r="O23" i="118"/>
  <c r="K23" i="118"/>
  <c r="G23" i="118"/>
  <c r="AF22" i="118"/>
  <c r="AE22" i="118"/>
  <c r="X22" i="118"/>
  <c r="W22" i="118"/>
  <c r="V22" i="118"/>
  <c r="U22" i="118"/>
  <c r="Q22" i="118"/>
  <c r="O22" i="118"/>
  <c r="N22" i="118"/>
  <c r="M22" i="118"/>
  <c r="K22" i="118"/>
  <c r="P22" i="118" s="1"/>
  <c r="G22" i="118"/>
  <c r="AE21" i="118"/>
  <c r="V21" i="118"/>
  <c r="M21" i="118" s="1"/>
  <c r="U21" i="118"/>
  <c r="O21" i="118"/>
  <c r="K21" i="118"/>
  <c r="G21" i="118"/>
  <c r="F1" i="118" s="1"/>
  <c r="F2" i="118" s="1"/>
  <c r="AF20" i="118"/>
  <c r="AE20" i="118"/>
  <c r="V20" i="118"/>
  <c r="U20" i="118"/>
  <c r="O20" i="118"/>
  <c r="M20" i="118"/>
  <c r="N20" i="118" s="1"/>
  <c r="K20" i="118"/>
  <c r="G20" i="118"/>
  <c r="AF19" i="118"/>
  <c r="AE19" i="118"/>
  <c r="V19" i="118"/>
  <c r="U19" i="118"/>
  <c r="O19" i="118"/>
  <c r="N19" i="118"/>
  <c r="P19" i="118" s="1"/>
  <c r="M19" i="118"/>
  <c r="K19" i="118"/>
  <c r="G19" i="118"/>
  <c r="X18" i="118"/>
  <c r="W18" i="118"/>
  <c r="V18" i="118"/>
  <c r="U18" i="118"/>
  <c r="O18" i="118"/>
  <c r="M18" i="118"/>
  <c r="N18" i="118" s="1"/>
  <c r="K18" i="118"/>
  <c r="G18" i="118"/>
  <c r="AF17" i="118"/>
  <c r="AE17" i="118"/>
  <c r="V17" i="118"/>
  <c r="U17" i="118"/>
  <c r="O17" i="118"/>
  <c r="N17" i="118"/>
  <c r="P17" i="118" s="1"/>
  <c r="M17" i="118"/>
  <c r="K17" i="118"/>
  <c r="G17" i="118"/>
  <c r="V16" i="118"/>
  <c r="M16" i="118" s="1"/>
  <c r="U16" i="118"/>
  <c r="O16" i="118"/>
  <c r="K16" i="118"/>
  <c r="G16" i="118"/>
  <c r="V15" i="118"/>
  <c r="M15" i="118" s="1"/>
  <c r="O15" i="118"/>
  <c r="K15" i="118"/>
  <c r="G15" i="118"/>
  <c r="AD14" i="118"/>
  <c r="Z14" i="118"/>
  <c r="E19" i="117" s="1"/>
  <c r="Y14" i="118"/>
  <c r="O14" i="118"/>
  <c r="K14" i="118"/>
  <c r="AF13" i="118"/>
  <c r="AE13" i="118"/>
  <c r="V13" i="118"/>
  <c r="U13" i="118"/>
  <c r="Q13" i="118"/>
  <c r="P13" i="118"/>
  <c r="O13" i="118"/>
  <c r="N13" i="118"/>
  <c r="M13" i="118"/>
  <c r="K13" i="118"/>
  <c r="G13" i="118"/>
  <c r="X12" i="118"/>
  <c r="W12" i="118"/>
  <c r="V12" i="118"/>
  <c r="M12" i="118" s="1"/>
  <c r="U12" i="118"/>
  <c r="O12" i="118"/>
  <c r="K12" i="118"/>
  <c r="G12" i="118"/>
  <c r="AF11" i="118"/>
  <c r="AE11" i="118"/>
  <c r="V11" i="118"/>
  <c r="U11" i="118"/>
  <c r="Q11" i="118"/>
  <c r="P11" i="118"/>
  <c r="O11" i="118"/>
  <c r="N11" i="118"/>
  <c r="M11" i="118"/>
  <c r="K11" i="118"/>
  <c r="G11" i="118"/>
  <c r="X10" i="118"/>
  <c r="W10" i="118"/>
  <c r="V10" i="118"/>
  <c r="M10" i="118" s="1"/>
  <c r="O10" i="118"/>
  <c r="K10" i="118"/>
  <c r="G10" i="118"/>
  <c r="AD9" i="118"/>
  <c r="AD2" i="118" s="1"/>
  <c r="N6" i="117" s="1"/>
  <c r="Z9" i="118"/>
  <c r="D19" i="117" s="1"/>
  <c r="Y9" i="118"/>
  <c r="O9" i="118"/>
  <c r="K9" i="118"/>
  <c r="AF8" i="118"/>
  <c r="AE8" i="118"/>
  <c r="V8" i="118"/>
  <c r="U8" i="118"/>
  <c r="Q8" i="118"/>
  <c r="P8" i="118"/>
  <c r="O8" i="118"/>
  <c r="N8" i="118"/>
  <c r="M8" i="118"/>
  <c r="K8" i="118"/>
  <c r="G8" i="118"/>
  <c r="X7" i="118"/>
  <c r="W7" i="118"/>
  <c r="V7" i="118"/>
  <c r="M7" i="118" s="1"/>
  <c r="U7" i="118"/>
  <c r="O7" i="118"/>
  <c r="K7" i="118"/>
  <c r="G7" i="118"/>
  <c r="AF6" i="118"/>
  <c r="AE6" i="118"/>
  <c r="V6" i="118"/>
  <c r="U6" i="118"/>
  <c r="Q6" i="118"/>
  <c r="P6" i="118"/>
  <c r="O6" i="118"/>
  <c r="N6" i="118"/>
  <c r="M6" i="118"/>
  <c r="K6" i="118"/>
  <c r="G6" i="118"/>
  <c r="AF5" i="118"/>
  <c r="AE5" i="118"/>
  <c r="V5" i="118"/>
  <c r="Q5" i="118"/>
  <c r="P5" i="118"/>
  <c r="O5" i="118"/>
  <c r="N5" i="118"/>
  <c r="M5" i="118"/>
  <c r="K5" i="118"/>
  <c r="G5" i="118"/>
  <c r="AC2" i="118"/>
  <c r="H2" i="118"/>
  <c r="H1" i="118"/>
  <c r="D1" i="118"/>
  <c r="M22" i="117"/>
  <c r="L22" i="117"/>
  <c r="K22" i="117"/>
  <c r="J22" i="117"/>
  <c r="I22" i="117"/>
  <c r="H22" i="117"/>
  <c r="G22" i="117"/>
  <c r="F22" i="117"/>
  <c r="E22" i="117"/>
  <c r="D22" i="117"/>
  <c r="M21" i="117"/>
  <c r="L21" i="117"/>
  <c r="K21" i="117"/>
  <c r="J21" i="117"/>
  <c r="I21" i="117"/>
  <c r="H21" i="117"/>
  <c r="G21" i="117"/>
  <c r="F21" i="117"/>
  <c r="E21" i="117"/>
  <c r="D21" i="117"/>
  <c r="M20" i="117"/>
  <c r="L20" i="117"/>
  <c r="K20" i="117"/>
  <c r="J20" i="117"/>
  <c r="I20" i="117"/>
  <c r="H20" i="117"/>
  <c r="G20" i="117"/>
  <c r="F20" i="117"/>
  <c r="E20" i="117"/>
  <c r="D20" i="117"/>
  <c r="M19" i="117"/>
  <c r="L19" i="117"/>
  <c r="K19" i="117"/>
  <c r="J19" i="117"/>
  <c r="I19" i="117"/>
  <c r="G19" i="117"/>
  <c r="F19" i="117"/>
  <c r="M18" i="117"/>
  <c r="L18" i="117"/>
  <c r="K18" i="117"/>
  <c r="J18" i="117"/>
  <c r="I18" i="117"/>
  <c r="H18" i="117"/>
  <c r="G18" i="117"/>
  <c r="F18" i="117"/>
  <c r="E18" i="117"/>
  <c r="D18" i="117"/>
  <c r="M17" i="117"/>
  <c r="L17" i="117"/>
  <c r="K17" i="117"/>
  <c r="J17" i="117"/>
  <c r="I17" i="117"/>
  <c r="H17" i="117"/>
  <c r="G17" i="117"/>
  <c r="F17" i="117"/>
  <c r="E17" i="117"/>
  <c r="D17" i="117"/>
  <c r="M16" i="117"/>
  <c r="L16" i="117"/>
  <c r="K16" i="117"/>
  <c r="J16" i="117"/>
  <c r="I16" i="117"/>
  <c r="H16" i="117"/>
  <c r="G16" i="117"/>
  <c r="F16" i="117"/>
  <c r="E16" i="117"/>
  <c r="D16" i="117"/>
  <c r="M13" i="117"/>
  <c r="L13" i="117"/>
  <c r="K13" i="117"/>
  <c r="I6" i="117" s="1"/>
  <c r="J13" i="117"/>
  <c r="I13" i="117"/>
  <c r="H13" i="117"/>
  <c r="G13" i="117"/>
  <c r="E13" i="117"/>
  <c r="D13" i="117"/>
  <c r="M6" i="117"/>
  <c r="F3" i="117"/>
  <c r="C3" i="117"/>
  <c r="G8" i="125" l="1"/>
  <c r="F8" i="125"/>
  <c r="E8" i="125"/>
  <c r="E7" i="123"/>
  <c r="I7" i="123"/>
  <c r="K15" i="123"/>
  <c r="I8" i="123" s="1"/>
  <c r="F7" i="123"/>
  <c r="G7" i="123"/>
  <c r="G8" i="123"/>
  <c r="F8" i="123"/>
  <c r="E8" i="123"/>
  <c r="P14" i="122"/>
  <c r="E14" i="121"/>
  <c r="E15" i="121" s="1"/>
  <c r="Q14" i="122"/>
  <c r="R10" i="122" s="1"/>
  <c r="I14" i="121"/>
  <c r="I15" i="121" s="1"/>
  <c r="Q63" i="122"/>
  <c r="R53" i="122" s="1"/>
  <c r="P63" i="122"/>
  <c r="Q29" i="122"/>
  <c r="R23" i="122" s="1"/>
  <c r="P29" i="122"/>
  <c r="G14" i="121"/>
  <c r="G15" i="121" s="1"/>
  <c r="K14" i="121"/>
  <c r="Q38" i="122"/>
  <c r="R30" i="122" s="1"/>
  <c r="P38" i="122"/>
  <c r="F14" i="121"/>
  <c r="F15" i="121" s="1"/>
  <c r="Q22" i="122"/>
  <c r="R15" i="122" s="1"/>
  <c r="P22" i="122"/>
  <c r="M14" i="121"/>
  <c r="M15" i="121" s="1"/>
  <c r="Q80" i="122"/>
  <c r="R70" i="122" s="1"/>
  <c r="P80" i="122"/>
  <c r="P9" i="122"/>
  <c r="D14" i="121"/>
  <c r="D2" i="122"/>
  <c r="Q9" i="122"/>
  <c r="R5" i="122" s="1"/>
  <c r="L14" i="121"/>
  <c r="L15" i="121" s="1"/>
  <c r="Q47" i="122"/>
  <c r="R39" i="122" s="1"/>
  <c r="P47" i="122"/>
  <c r="P69" i="122"/>
  <c r="J14" i="121"/>
  <c r="J15" i="121" s="1"/>
  <c r="Q69" i="122"/>
  <c r="R64" i="122" s="1"/>
  <c r="Q57" i="120"/>
  <c r="P57" i="120"/>
  <c r="P67" i="120"/>
  <c r="Q67" i="120"/>
  <c r="Q16" i="120"/>
  <c r="P16" i="120"/>
  <c r="Q11" i="120"/>
  <c r="P11" i="120"/>
  <c r="Q41" i="120"/>
  <c r="P41" i="120"/>
  <c r="Q21" i="120"/>
  <c r="P21" i="120"/>
  <c r="P31" i="120"/>
  <c r="Q31" i="120"/>
  <c r="Q34" i="120"/>
  <c r="P34" i="120"/>
  <c r="P12" i="120"/>
  <c r="Q12" i="120"/>
  <c r="Q45" i="120"/>
  <c r="P45" i="120"/>
  <c r="Q20" i="120"/>
  <c r="P20" i="120"/>
  <c r="Q59" i="120"/>
  <c r="P59" i="120"/>
  <c r="Q15" i="120"/>
  <c r="P15" i="120"/>
  <c r="Q6" i="120"/>
  <c r="P6" i="120"/>
  <c r="Q54" i="120"/>
  <c r="P54" i="120"/>
  <c r="Q72" i="120"/>
  <c r="P72" i="120"/>
  <c r="Q43" i="120"/>
  <c r="P43" i="120"/>
  <c r="Q27" i="120"/>
  <c r="P27" i="120"/>
  <c r="P68" i="120"/>
  <c r="Q68" i="120"/>
  <c r="P7" i="120"/>
  <c r="Q7" i="120"/>
  <c r="N29" i="120"/>
  <c r="AF29" i="120"/>
  <c r="AG23" i="120" s="1"/>
  <c r="AE29" i="120"/>
  <c r="Q60" i="120"/>
  <c r="P60" i="120"/>
  <c r="Q71" i="120"/>
  <c r="P71" i="120"/>
  <c r="AF61" i="120"/>
  <c r="AG52" i="120" s="1"/>
  <c r="N61" i="120"/>
  <c r="AE61" i="120"/>
  <c r="N66" i="120"/>
  <c r="AF66" i="120"/>
  <c r="AG62" i="120" s="1"/>
  <c r="AE66" i="120"/>
  <c r="Q35" i="120"/>
  <c r="P35" i="120"/>
  <c r="Q37" i="120"/>
  <c r="P37" i="120"/>
  <c r="Q76" i="120"/>
  <c r="P76" i="120"/>
  <c r="Q58" i="120"/>
  <c r="P58" i="120"/>
  <c r="Q32" i="120"/>
  <c r="P32" i="120"/>
  <c r="Q64" i="120"/>
  <c r="P64" i="120"/>
  <c r="N51" i="120"/>
  <c r="AF51" i="120"/>
  <c r="AG48" i="120" s="1"/>
  <c r="AE51" i="120"/>
  <c r="Q17" i="120"/>
  <c r="P17" i="120"/>
  <c r="P65" i="120"/>
  <c r="Q65" i="120"/>
  <c r="Q56" i="120"/>
  <c r="P56" i="120"/>
  <c r="AF38" i="120"/>
  <c r="AG30" i="120" s="1"/>
  <c r="AE38" i="120"/>
  <c r="N38" i="120"/>
  <c r="Q50" i="120"/>
  <c r="P50" i="120"/>
  <c r="P70" i="120"/>
  <c r="Q70" i="120"/>
  <c r="Q44" i="120"/>
  <c r="P44" i="120"/>
  <c r="Q69" i="120"/>
  <c r="P69" i="120"/>
  <c r="Q52" i="120"/>
  <c r="P52" i="120"/>
  <c r="N14" i="120"/>
  <c r="AF14" i="120"/>
  <c r="AG10" i="120" s="1"/>
  <c r="AE14" i="120"/>
  <c r="Q33" i="120"/>
  <c r="P33" i="120"/>
  <c r="Q42" i="120"/>
  <c r="P42" i="120"/>
  <c r="AF77" i="120"/>
  <c r="AG67" i="120" s="1"/>
  <c r="AE77" i="120"/>
  <c r="N77" i="120"/>
  <c r="Q36" i="120"/>
  <c r="P36" i="120"/>
  <c r="Q40" i="120"/>
  <c r="P40" i="120"/>
  <c r="Q10" i="120"/>
  <c r="P10" i="120"/>
  <c r="P28" i="120"/>
  <c r="Q28" i="120"/>
  <c r="Q13" i="120"/>
  <c r="P13" i="120"/>
  <c r="N47" i="120"/>
  <c r="AF47" i="120"/>
  <c r="AG39" i="120" s="1"/>
  <c r="AE47" i="120"/>
  <c r="Q39" i="120"/>
  <c r="P39" i="120"/>
  <c r="Q30" i="120"/>
  <c r="P30" i="120"/>
  <c r="N9" i="120"/>
  <c r="AF9" i="120"/>
  <c r="AG5" i="120" s="1"/>
  <c r="AE9" i="120"/>
  <c r="Q53" i="120"/>
  <c r="P53" i="120"/>
  <c r="AF22" i="120"/>
  <c r="AG15" i="120" s="1"/>
  <c r="N22" i="120"/>
  <c r="AE22" i="120"/>
  <c r="Q8" i="120"/>
  <c r="P8" i="120"/>
  <c r="Q74" i="120"/>
  <c r="P74" i="120"/>
  <c r="Q5" i="120"/>
  <c r="P5" i="120"/>
  <c r="N40" i="118"/>
  <c r="AF40" i="118"/>
  <c r="AE40" i="118"/>
  <c r="Q72" i="118"/>
  <c r="P72" i="118"/>
  <c r="AF60" i="118"/>
  <c r="N60" i="118"/>
  <c r="Q63" i="118"/>
  <c r="P63" i="118"/>
  <c r="G6" i="117"/>
  <c r="F6" i="117"/>
  <c r="E6" i="117"/>
  <c r="N16" i="118"/>
  <c r="AF16" i="118"/>
  <c r="AE16" i="118"/>
  <c r="Q18" i="118"/>
  <c r="P18" i="118"/>
  <c r="H14" i="117"/>
  <c r="H15" i="117" s="1"/>
  <c r="P55" i="118"/>
  <c r="Q69" i="118"/>
  <c r="P69" i="118"/>
  <c r="I3" i="117"/>
  <c r="N21" i="118"/>
  <c r="AF21" i="118"/>
  <c r="Q34" i="118"/>
  <c r="P34" i="118"/>
  <c r="N39" i="118"/>
  <c r="AF39" i="118"/>
  <c r="AE39" i="118"/>
  <c r="N43" i="118"/>
  <c r="AF43" i="118"/>
  <c r="AE43" i="118"/>
  <c r="M51" i="118"/>
  <c r="AF46" i="118"/>
  <c r="N46" i="118"/>
  <c r="AE60" i="118"/>
  <c r="N7" i="118"/>
  <c r="M9" i="118"/>
  <c r="AE7" i="118"/>
  <c r="AF7" i="118"/>
  <c r="M14" i="118"/>
  <c r="N10" i="118"/>
  <c r="AF10" i="118"/>
  <c r="AE10" i="118"/>
  <c r="N57" i="118"/>
  <c r="AF57" i="118"/>
  <c r="AE57" i="118"/>
  <c r="Q59" i="118"/>
  <c r="P59" i="118"/>
  <c r="P71" i="118"/>
  <c r="Q52" i="118"/>
  <c r="P52" i="118"/>
  <c r="N56" i="118"/>
  <c r="M65" i="118"/>
  <c r="AF56" i="118"/>
  <c r="AE56" i="118"/>
  <c r="Q20" i="118"/>
  <c r="P20" i="118"/>
  <c r="Q37" i="118"/>
  <c r="P37" i="118"/>
  <c r="Q45" i="118"/>
  <c r="P45" i="118"/>
  <c r="N23" i="118"/>
  <c r="AF23" i="118"/>
  <c r="N12" i="118"/>
  <c r="AF12" i="118"/>
  <c r="AE12" i="118"/>
  <c r="N15" i="118"/>
  <c r="AF15" i="118"/>
  <c r="M24" i="118"/>
  <c r="AE15" i="118"/>
  <c r="Q53" i="118"/>
  <c r="P53" i="118"/>
  <c r="AF78" i="118"/>
  <c r="N78" i="118"/>
  <c r="Q27" i="118"/>
  <c r="P27" i="118"/>
  <c r="N75" i="118"/>
  <c r="AF75" i="118"/>
  <c r="AE75" i="118"/>
  <c r="M81" i="118"/>
  <c r="Q77" i="118"/>
  <c r="P77" i="118"/>
  <c r="Q17" i="118"/>
  <c r="Q19" i="118"/>
  <c r="AF25" i="118"/>
  <c r="AF26" i="118"/>
  <c r="AE27" i="118"/>
  <c r="M33" i="118"/>
  <c r="Q41" i="118"/>
  <c r="Q44" i="118"/>
  <c r="Q58" i="118"/>
  <c r="AE63" i="118"/>
  <c r="Q76" i="118"/>
  <c r="N32" i="118"/>
  <c r="N35" i="118"/>
  <c r="N50" i="118"/>
  <c r="N66" i="118"/>
  <c r="N67" i="118"/>
  <c r="N30" i="118"/>
  <c r="AE18" i="118"/>
  <c r="N29" i="118"/>
  <c r="N49" i="118"/>
  <c r="AF18" i="118"/>
  <c r="N25" i="118"/>
  <c r="N26" i="118"/>
  <c r="AE55" i="118"/>
  <c r="Z2" i="118"/>
  <c r="L6" i="117" s="1"/>
  <c r="M42" i="118"/>
  <c r="AF55" i="118"/>
  <c r="AG52" i="118" s="1"/>
  <c r="P28" i="118"/>
  <c r="P48" i="118"/>
  <c r="P62" i="118"/>
  <c r="P64" i="118"/>
  <c r="P80" i="118"/>
  <c r="AE29" i="118"/>
  <c r="AF30" i="118"/>
  <c r="AF32" i="118"/>
  <c r="AF35" i="118"/>
  <c r="AE49" i="118"/>
  <c r="AF50" i="118"/>
  <c r="AF66" i="118"/>
  <c r="AF67" i="118"/>
  <c r="M70" i="118"/>
  <c r="K15" i="121" l="1"/>
  <c r="I8" i="121" s="1"/>
  <c r="I7" i="121"/>
  <c r="G7" i="121"/>
  <c r="F7" i="121"/>
  <c r="E7" i="121"/>
  <c r="D15" i="121"/>
  <c r="P47" i="120"/>
  <c r="L14" i="119"/>
  <c r="L15" i="119" s="1"/>
  <c r="Q47" i="120"/>
  <c r="R39" i="120" s="1"/>
  <c r="Q9" i="120"/>
  <c r="R5" i="120" s="1"/>
  <c r="P9" i="120"/>
  <c r="D14" i="119"/>
  <c r="D2" i="120"/>
  <c r="Q51" i="120"/>
  <c r="R48" i="120" s="1"/>
  <c r="P51" i="120"/>
  <c r="H14" i="119"/>
  <c r="H15" i="119" s="1"/>
  <c r="K14" i="119"/>
  <c r="Q38" i="120"/>
  <c r="R30" i="120" s="1"/>
  <c r="P38" i="120"/>
  <c r="Q29" i="120"/>
  <c r="R23" i="120" s="1"/>
  <c r="P29" i="120"/>
  <c r="G14" i="119"/>
  <c r="G15" i="119" s="1"/>
  <c r="Q14" i="120"/>
  <c r="R10" i="120" s="1"/>
  <c r="P14" i="120"/>
  <c r="E14" i="119"/>
  <c r="E15" i="119" s="1"/>
  <c r="P66" i="120"/>
  <c r="J14" i="119"/>
  <c r="J15" i="119" s="1"/>
  <c r="Q66" i="120"/>
  <c r="R62" i="120" s="1"/>
  <c r="F14" i="119"/>
  <c r="F15" i="119" s="1"/>
  <c r="Q22" i="120"/>
  <c r="R15" i="120" s="1"/>
  <c r="P22" i="120"/>
  <c r="M14" i="119"/>
  <c r="M15" i="119" s="1"/>
  <c r="Q77" i="120"/>
  <c r="R67" i="120" s="1"/>
  <c r="P77" i="120"/>
  <c r="I14" i="119"/>
  <c r="I15" i="119" s="1"/>
  <c r="Q61" i="120"/>
  <c r="R52" i="120" s="1"/>
  <c r="P61" i="120"/>
  <c r="Q35" i="118"/>
  <c r="P35" i="118"/>
  <c r="Q32" i="118"/>
  <c r="P32" i="118"/>
  <c r="P46" i="118"/>
  <c r="Q46" i="118"/>
  <c r="P21" i="118"/>
  <c r="Q21" i="118"/>
  <c r="P26" i="118"/>
  <c r="Q26" i="118"/>
  <c r="N24" i="118"/>
  <c r="AE24" i="118"/>
  <c r="AF24" i="118"/>
  <c r="AG15" i="118" s="1"/>
  <c r="P25" i="118"/>
  <c r="Q25" i="118"/>
  <c r="AF81" i="118"/>
  <c r="AG71" i="118" s="1"/>
  <c r="AE81" i="118"/>
  <c r="N81" i="118"/>
  <c r="P57" i="118"/>
  <c r="Q57" i="118"/>
  <c r="AF51" i="118"/>
  <c r="AG43" i="118" s="1"/>
  <c r="AE51" i="118"/>
  <c r="N51" i="118"/>
  <c r="P15" i="118"/>
  <c r="Q15" i="118"/>
  <c r="Q49" i="118"/>
  <c r="P49" i="118"/>
  <c r="P60" i="118"/>
  <c r="Q60" i="118"/>
  <c r="Q29" i="118"/>
  <c r="P29" i="118"/>
  <c r="P75" i="118"/>
  <c r="Q75" i="118"/>
  <c r="AF65" i="118"/>
  <c r="AG56" i="118" s="1"/>
  <c r="AE65" i="118"/>
  <c r="N65" i="118"/>
  <c r="P10" i="118"/>
  <c r="Q10" i="118"/>
  <c r="P43" i="118"/>
  <c r="Q43" i="118"/>
  <c r="AF33" i="118"/>
  <c r="AG25" i="118" s="1"/>
  <c r="AE33" i="118"/>
  <c r="N33" i="118"/>
  <c r="Q12" i="118"/>
  <c r="P12" i="118"/>
  <c r="P56" i="118"/>
  <c r="Q56" i="118"/>
  <c r="N14" i="118"/>
  <c r="AF14" i="118"/>
  <c r="AG10" i="118" s="1"/>
  <c r="AE14" i="118"/>
  <c r="N70" i="118"/>
  <c r="AF70" i="118"/>
  <c r="AG66" i="118" s="1"/>
  <c r="AE70" i="118"/>
  <c r="Q30" i="118"/>
  <c r="P30" i="118"/>
  <c r="Q67" i="118"/>
  <c r="P67" i="118"/>
  <c r="P78" i="118"/>
  <c r="Q78" i="118"/>
  <c r="P23" i="118"/>
  <c r="Q23" i="118"/>
  <c r="Q39" i="118"/>
  <c r="P39" i="118"/>
  <c r="Q66" i="118"/>
  <c r="P66" i="118"/>
  <c r="N9" i="118"/>
  <c r="AF9" i="118"/>
  <c r="AG5" i="118" s="1"/>
  <c r="AE9" i="118"/>
  <c r="AE42" i="118"/>
  <c r="N42" i="118"/>
  <c r="AF42" i="118"/>
  <c r="AG34" i="118" s="1"/>
  <c r="Q50" i="118"/>
  <c r="P50" i="118"/>
  <c r="P7" i="118"/>
  <c r="Q7" i="118"/>
  <c r="P16" i="118"/>
  <c r="Q16" i="118"/>
  <c r="P40" i="118"/>
  <c r="Q40" i="118"/>
  <c r="G8" i="121" l="1"/>
  <c r="E8" i="121"/>
  <c r="F8" i="121"/>
  <c r="K15" i="119"/>
  <c r="I8" i="119" s="1"/>
  <c r="I7" i="119"/>
  <c r="D15" i="119"/>
  <c r="G7" i="119"/>
  <c r="F7" i="119"/>
  <c r="E7" i="119"/>
  <c r="E14" i="117"/>
  <c r="E15" i="117" s="1"/>
  <c r="P14" i="118"/>
  <c r="Q14" i="118"/>
  <c r="R10" i="118" s="1"/>
  <c r="Q51" i="118"/>
  <c r="R43" i="118" s="1"/>
  <c r="P51" i="118"/>
  <c r="L14" i="117"/>
  <c r="L15" i="117" s="1"/>
  <c r="F14" i="117"/>
  <c r="F15" i="117" s="1"/>
  <c r="P24" i="118"/>
  <c r="Q24" i="118"/>
  <c r="R15" i="118" s="1"/>
  <c r="P42" i="118"/>
  <c r="Q42" i="118"/>
  <c r="R34" i="118" s="1"/>
  <c r="K14" i="117"/>
  <c r="G14" i="117"/>
  <c r="G15" i="117" s="1"/>
  <c r="Q33" i="118"/>
  <c r="R25" i="118" s="1"/>
  <c r="P33" i="118"/>
  <c r="D14" i="117"/>
  <c r="P9" i="118"/>
  <c r="D2" i="118"/>
  <c r="Q9" i="118"/>
  <c r="R5" i="118" s="1"/>
  <c r="Q81" i="118"/>
  <c r="R71" i="118" s="1"/>
  <c r="P81" i="118"/>
  <c r="M14" i="117"/>
  <c r="M15" i="117" s="1"/>
  <c r="J14" i="117"/>
  <c r="J15" i="117" s="1"/>
  <c r="Q70" i="118"/>
  <c r="R66" i="118" s="1"/>
  <c r="P70" i="118"/>
  <c r="I14" i="117"/>
  <c r="I15" i="117" s="1"/>
  <c r="Q65" i="118"/>
  <c r="R56" i="118" s="1"/>
  <c r="P65" i="118"/>
  <c r="G8" i="119" l="1"/>
  <c r="E8" i="119"/>
  <c r="F8" i="119"/>
  <c r="K15" i="117"/>
  <c r="I8" i="117" s="1"/>
  <c r="I7" i="117"/>
  <c r="E7" i="117"/>
  <c r="D15" i="117"/>
  <c r="G7" i="117"/>
  <c r="F7" i="117"/>
  <c r="F8" i="117" l="1"/>
  <c r="G8" i="117"/>
  <c r="E8" i="117"/>
  <c r="AD69" i="116" l="1"/>
  <c r="Z69" i="116"/>
  <c r="Y69" i="116"/>
  <c r="O69" i="116"/>
  <c r="K69" i="116"/>
  <c r="AF68" i="116"/>
  <c r="V68" i="116"/>
  <c r="U68" i="116"/>
  <c r="O68" i="116"/>
  <c r="N68" i="116"/>
  <c r="Q68" i="116" s="1"/>
  <c r="M68" i="116"/>
  <c r="AE68" i="116" s="1"/>
  <c r="K68" i="116"/>
  <c r="G68" i="116"/>
  <c r="X67" i="116"/>
  <c r="W67" i="116"/>
  <c r="V67" i="116"/>
  <c r="U67" i="116"/>
  <c r="O67" i="116"/>
  <c r="M67" i="116"/>
  <c r="N67" i="116" s="1"/>
  <c r="K67" i="116"/>
  <c r="G67" i="116"/>
  <c r="V66" i="116"/>
  <c r="M66" i="116" s="1"/>
  <c r="U66" i="116"/>
  <c r="O66" i="116"/>
  <c r="K66" i="116"/>
  <c r="G66" i="116"/>
  <c r="AF65" i="116"/>
  <c r="AE65" i="116"/>
  <c r="V65" i="116"/>
  <c r="U65" i="116"/>
  <c r="O65" i="116"/>
  <c r="M65" i="116"/>
  <c r="N65" i="116" s="1"/>
  <c r="K65" i="116"/>
  <c r="G65" i="116"/>
  <c r="V64" i="116"/>
  <c r="M64" i="116" s="1"/>
  <c r="U64" i="116"/>
  <c r="O64" i="116"/>
  <c r="K64" i="116"/>
  <c r="G64" i="116"/>
  <c r="V63" i="116"/>
  <c r="M63" i="116" s="1"/>
  <c r="U63" i="116"/>
  <c r="O63" i="116"/>
  <c r="K63" i="116"/>
  <c r="G63" i="116"/>
  <c r="V62" i="116"/>
  <c r="M62" i="116" s="1"/>
  <c r="U62" i="116"/>
  <c r="O62" i="116"/>
  <c r="K62" i="116"/>
  <c r="G62" i="116"/>
  <c r="X61" i="116"/>
  <c r="W61" i="116"/>
  <c r="V61" i="116"/>
  <c r="M61" i="116" s="1"/>
  <c r="O61" i="116"/>
  <c r="K61" i="116"/>
  <c r="G61" i="116"/>
  <c r="AD60" i="116"/>
  <c r="Z60" i="116"/>
  <c r="J19" i="115" s="1"/>
  <c r="Y60" i="116"/>
  <c r="O60" i="116"/>
  <c r="K60" i="116"/>
  <c r="V59" i="116"/>
  <c r="M59" i="116" s="1"/>
  <c r="U59" i="116"/>
  <c r="O59" i="116"/>
  <c r="K59" i="116"/>
  <c r="G59" i="116"/>
  <c r="V58" i="116"/>
  <c r="M58" i="116" s="1"/>
  <c r="U58" i="116"/>
  <c r="O58" i="116"/>
  <c r="K58" i="116"/>
  <c r="G58" i="116"/>
  <c r="V57" i="116"/>
  <c r="M57" i="116" s="1"/>
  <c r="U57" i="116"/>
  <c r="O57" i="116"/>
  <c r="K57" i="116"/>
  <c r="G57" i="116"/>
  <c r="V56" i="116"/>
  <c r="M56" i="116" s="1"/>
  <c r="O56" i="116"/>
  <c r="K56" i="116"/>
  <c r="G56" i="116"/>
  <c r="AD55" i="116"/>
  <c r="Z55" i="116"/>
  <c r="Y55" i="116"/>
  <c r="I18" i="115" s="1"/>
  <c r="O55" i="116"/>
  <c r="K55" i="116"/>
  <c r="V54" i="116"/>
  <c r="U54" i="116"/>
  <c r="O54" i="116"/>
  <c r="M54" i="116"/>
  <c r="AF54" i="116" s="1"/>
  <c r="K54" i="116"/>
  <c r="G54" i="116"/>
  <c r="V53" i="116"/>
  <c r="U53" i="116"/>
  <c r="O53" i="116"/>
  <c r="M53" i="116"/>
  <c r="AF53" i="116" s="1"/>
  <c r="K53" i="116"/>
  <c r="G53" i="116"/>
  <c r="V52" i="116"/>
  <c r="U52" i="116"/>
  <c r="O52" i="116"/>
  <c r="N52" i="116"/>
  <c r="Q52" i="116" s="1"/>
  <c r="M52" i="116"/>
  <c r="AF52" i="116" s="1"/>
  <c r="K52" i="116"/>
  <c r="G52" i="116"/>
  <c r="V51" i="116"/>
  <c r="U51" i="116"/>
  <c r="O51" i="116"/>
  <c r="M51" i="116"/>
  <c r="AF51" i="116" s="1"/>
  <c r="K51" i="116"/>
  <c r="G51" i="116"/>
  <c r="AF50" i="116"/>
  <c r="V50" i="116"/>
  <c r="U50" i="116"/>
  <c r="O50" i="116"/>
  <c r="N50" i="116"/>
  <c r="Q50" i="116" s="1"/>
  <c r="M50" i="116"/>
  <c r="AE50" i="116" s="1"/>
  <c r="K50" i="116"/>
  <c r="G50" i="116"/>
  <c r="AF49" i="116"/>
  <c r="AE49" i="116"/>
  <c r="V49" i="116"/>
  <c r="U49" i="116"/>
  <c r="O49" i="116"/>
  <c r="M49" i="116"/>
  <c r="N49" i="116" s="1"/>
  <c r="K49" i="116"/>
  <c r="G49" i="116"/>
  <c r="V48" i="116"/>
  <c r="M48" i="116" s="1"/>
  <c r="U48" i="116"/>
  <c r="O48" i="116"/>
  <c r="K48" i="116"/>
  <c r="G48" i="116"/>
  <c r="V47" i="116"/>
  <c r="M47" i="116" s="1"/>
  <c r="O47" i="116"/>
  <c r="K47" i="116"/>
  <c r="G47" i="116"/>
  <c r="AD46" i="116"/>
  <c r="Z46" i="116"/>
  <c r="H19" i="115" s="1"/>
  <c r="Y46" i="116"/>
  <c r="O46" i="116"/>
  <c r="K46" i="116"/>
  <c r="V45" i="116"/>
  <c r="M45" i="116" s="1"/>
  <c r="U45" i="116"/>
  <c r="O45" i="116"/>
  <c r="K45" i="116"/>
  <c r="G45" i="116"/>
  <c r="V44" i="116"/>
  <c r="M44" i="116" s="1"/>
  <c r="U44" i="116"/>
  <c r="O44" i="116"/>
  <c r="K44" i="116"/>
  <c r="G44" i="116"/>
  <c r="V43" i="116"/>
  <c r="M43" i="116" s="1"/>
  <c r="O43" i="116"/>
  <c r="K43" i="116"/>
  <c r="G43" i="116"/>
  <c r="AD42" i="116"/>
  <c r="L21" i="115" s="1"/>
  <c r="Z42" i="116"/>
  <c r="L19" i="115" s="1"/>
  <c r="Y42" i="116"/>
  <c r="O42" i="116"/>
  <c r="K42" i="116"/>
  <c r="V41" i="116"/>
  <c r="M41" i="116" s="1"/>
  <c r="U41" i="116"/>
  <c r="O41" i="116"/>
  <c r="K41" i="116"/>
  <c r="G41" i="116"/>
  <c r="X40" i="116"/>
  <c r="W40" i="116"/>
  <c r="V40" i="116"/>
  <c r="M40" i="116" s="1"/>
  <c r="U40" i="116"/>
  <c r="O40" i="116"/>
  <c r="K40" i="116"/>
  <c r="G40" i="116"/>
  <c r="V39" i="116"/>
  <c r="M39" i="116" s="1"/>
  <c r="U39" i="116"/>
  <c r="O39" i="116"/>
  <c r="K39" i="116"/>
  <c r="G39" i="116"/>
  <c r="V38" i="116"/>
  <c r="U38" i="116"/>
  <c r="O38" i="116"/>
  <c r="M38" i="116"/>
  <c r="AF38" i="116" s="1"/>
  <c r="K38" i="116"/>
  <c r="G38" i="116"/>
  <c r="V37" i="116"/>
  <c r="U37" i="116"/>
  <c r="O37" i="116"/>
  <c r="M37" i="116"/>
  <c r="AF37" i="116" s="1"/>
  <c r="K37" i="116"/>
  <c r="G37" i="116"/>
  <c r="X36" i="116"/>
  <c r="W36" i="116"/>
  <c r="V36" i="116"/>
  <c r="M36" i="116" s="1"/>
  <c r="O36" i="116"/>
  <c r="K36" i="116"/>
  <c r="G36" i="116"/>
  <c r="AD35" i="116"/>
  <c r="Z35" i="116"/>
  <c r="Y35" i="116"/>
  <c r="O35" i="116"/>
  <c r="K35" i="116"/>
  <c r="V34" i="116"/>
  <c r="U34" i="116"/>
  <c r="O34" i="116"/>
  <c r="M34" i="116"/>
  <c r="AF34" i="116" s="1"/>
  <c r="K34" i="116"/>
  <c r="G34" i="116"/>
  <c r="AF33" i="116"/>
  <c r="V33" i="116"/>
  <c r="U33" i="116"/>
  <c r="O33" i="116"/>
  <c r="N33" i="116"/>
  <c r="Q33" i="116" s="1"/>
  <c r="M33" i="116"/>
  <c r="AE33" i="116" s="1"/>
  <c r="K33" i="116"/>
  <c r="G33" i="116"/>
  <c r="X32" i="116"/>
  <c r="W32" i="116"/>
  <c r="V32" i="116"/>
  <c r="U32" i="116"/>
  <c r="O32" i="116"/>
  <c r="M32" i="116"/>
  <c r="AF32" i="116" s="1"/>
  <c r="K32" i="116"/>
  <c r="G32" i="116"/>
  <c r="AF31" i="116"/>
  <c r="V31" i="116"/>
  <c r="U31" i="116"/>
  <c r="O31" i="116"/>
  <c r="N31" i="116"/>
  <c r="Q31" i="116" s="1"/>
  <c r="M31" i="116"/>
  <c r="AE31" i="116" s="1"/>
  <c r="K31" i="116"/>
  <c r="G31" i="116"/>
  <c r="V30" i="116"/>
  <c r="U30" i="116"/>
  <c r="O30" i="116"/>
  <c r="M30" i="116"/>
  <c r="AF30" i="116" s="1"/>
  <c r="K30" i="116"/>
  <c r="G30" i="116"/>
  <c r="AF29" i="116"/>
  <c r="V29" i="116"/>
  <c r="U29" i="116"/>
  <c r="O29" i="116"/>
  <c r="N29" i="116"/>
  <c r="Q29" i="116" s="1"/>
  <c r="M29" i="116"/>
  <c r="AE29" i="116" s="1"/>
  <c r="K29" i="116"/>
  <c r="G29" i="116"/>
  <c r="AF28" i="116"/>
  <c r="X28" i="116"/>
  <c r="W28" i="116"/>
  <c r="V28" i="116"/>
  <c r="O28" i="116"/>
  <c r="N28" i="116"/>
  <c r="Q28" i="116" s="1"/>
  <c r="M28" i="116"/>
  <c r="M35" i="116" s="1"/>
  <c r="K28" i="116"/>
  <c r="G28" i="116"/>
  <c r="AD27" i="116"/>
  <c r="Z27" i="116"/>
  <c r="Y27" i="116"/>
  <c r="O27" i="116"/>
  <c r="K27" i="116"/>
  <c r="AF26" i="116"/>
  <c r="V26" i="116"/>
  <c r="U26" i="116"/>
  <c r="O26" i="116"/>
  <c r="N26" i="116"/>
  <c r="Q26" i="116" s="1"/>
  <c r="M26" i="116"/>
  <c r="AE26" i="116" s="1"/>
  <c r="K26" i="116"/>
  <c r="G26" i="116"/>
  <c r="AF25" i="116"/>
  <c r="AE25" i="116"/>
  <c r="V25" i="116"/>
  <c r="U25" i="116"/>
  <c r="O25" i="116"/>
  <c r="M25" i="116"/>
  <c r="N25" i="116" s="1"/>
  <c r="K25" i="116"/>
  <c r="G25" i="116"/>
  <c r="V24" i="116"/>
  <c r="M24" i="116" s="1"/>
  <c r="U24" i="116"/>
  <c r="O24" i="116"/>
  <c r="K24" i="116"/>
  <c r="G24" i="116"/>
  <c r="V23" i="116"/>
  <c r="M23" i="116" s="1"/>
  <c r="U23" i="116"/>
  <c r="O23" i="116"/>
  <c r="K23" i="116"/>
  <c r="G23" i="116"/>
  <c r="V22" i="116"/>
  <c r="M22" i="116" s="1"/>
  <c r="U22" i="116"/>
  <c r="O22" i="116"/>
  <c r="K22" i="116"/>
  <c r="G22" i="116"/>
  <c r="V21" i="116"/>
  <c r="M21" i="116" s="1"/>
  <c r="O21" i="116"/>
  <c r="K21" i="116"/>
  <c r="G21" i="116"/>
  <c r="AD20" i="116"/>
  <c r="AD2" i="116" s="1"/>
  <c r="N6" i="115" s="1"/>
  <c r="Z20" i="116"/>
  <c r="Y20" i="116"/>
  <c r="F18" i="115" s="1"/>
  <c r="O20" i="116"/>
  <c r="K20" i="116"/>
  <c r="V19" i="116"/>
  <c r="M19" i="116" s="1"/>
  <c r="U19" i="116"/>
  <c r="O19" i="116"/>
  <c r="K19" i="116"/>
  <c r="G19" i="116"/>
  <c r="V18" i="116"/>
  <c r="M18" i="116" s="1"/>
  <c r="U18" i="116"/>
  <c r="O18" i="116"/>
  <c r="K18" i="116"/>
  <c r="G18" i="116"/>
  <c r="V17" i="116"/>
  <c r="U17" i="116"/>
  <c r="O17" i="116"/>
  <c r="M17" i="116"/>
  <c r="AF17" i="116" s="1"/>
  <c r="K17" i="116"/>
  <c r="G17" i="116"/>
  <c r="V16" i="116"/>
  <c r="U16" i="116"/>
  <c r="O16" i="116"/>
  <c r="M16" i="116"/>
  <c r="AF16" i="116" s="1"/>
  <c r="K16" i="116"/>
  <c r="G16" i="116"/>
  <c r="AF15" i="116"/>
  <c r="V15" i="116"/>
  <c r="U15" i="116"/>
  <c r="O15" i="116"/>
  <c r="N15" i="116"/>
  <c r="Q15" i="116" s="1"/>
  <c r="M15" i="116"/>
  <c r="AE15" i="116" s="1"/>
  <c r="K15" i="116"/>
  <c r="G15" i="116"/>
  <c r="V14" i="116"/>
  <c r="U14" i="116"/>
  <c r="O14" i="116"/>
  <c r="M14" i="116"/>
  <c r="AF14" i="116" s="1"/>
  <c r="K14" i="116"/>
  <c r="G14" i="116"/>
  <c r="V13" i="116"/>
  <c r="O13" i="116"/>
  <c r="M13" i="116"/>
  <c r="AF13" i="116" s="1"/>
  <c r="K13" i="116"/>
  <c r="G13" i="116"/>
  <c r="AD12" i="116"/>
  <c r="Z12" i="116"/>
  <c r="Y12" i="116"/>
  <c r="O12" i="116"/>
  <c r="K12" i="116"/>
  <c r="AF11" i="116"/>
  <c r="AE11" i="116"/>
  <c r="V11" i="116"/>
  <c r="U11" i="116"/>
  <c r="O11" i="116"/>
  <c r="M11" i="116"/>
  <c r="N11" i="116" s="1"/>
  <c r="K11" i="116"/>
  <c r="G11" i="116"/>
  <c r="V10" i="116"/>
  <c r="M10" i="116" s="1"/>
  <c r="U10" i="116"/>
  <c r="O10" i="116"/>
  <c r="K10" i="116"/>
  <c r="G10" i="116"/>
  <c r="AE9" i="116"/>
  <c r="X9" i="116"/>
  <c r="W9" i="116"/>
  <c r="V9" i="116"/>
  <c r="O9" i="116"/>
  <c r="N9" i="116"/>
  <c r="Q9" i="116" s="1"/>
  <c r="M9" i="116"/>
  <c r="AF9" i="116" s="1"/>
  <c r="K9" i="116"/>
  <c r="G9" i="116"/>
  <c r="AD8" i="116"/>
  <c r="Z8" i="116"/>
  <c r="Z2" i="116" s="1"/>
  <c r="L6" i="115" s="1"/>
  <c r="Y8" i="116"/>
  <c r="O8" i="116"/>
  <c r="K8" i="116"/>
  <c r="V7" i="116"/>
  <c r="M7" i="116" s="1"/>
  <c r="U7" i="116"/>
  <c r="O7" i="116"/>
  <c r="K7" i="116"/>
  <c r="G7" i="116"/>
  <c r="V6" i="116"/>
  <c r="M6" i="116" s="1"/>
  <c r="U6" i="116"/>
  <c r="O6" i="116"/>
  <c r="K6" i="116"/>
  <c r="G6" i="116"/>
  <c r="V5" i="116"/>
  <c r="M5" i="116" s="1"/>
  <c r="O5" i="116"/>
  <c r="K5" i="116"/>
  <c r="G5" i="116"/>
  <c r="F1" i="116" s="1"/>
  <c r="AC2" i="116"/>
  <c r="H2" i="116"/>
  <c r="H1" i="116"/>
  <c r="D1" i="116"/>
  <c r="M22" i="115"/>
  <c r="L22" i="115"/>
  <c r="K22" i="115"/>
  <c r="J22" i="115"/>
  <c r="I22" i="115"/>
  <c r="H22" i="115"/>
  <c r="G22" i="115"/>
  <c r="F22" i="115"/>
  <c r="E22" i="115"/>
  <c r="D22" i="115"/>
  <c r="M21" i="115"/>
  <c r="K21" i="115"/>
  <c r="J21" i="115"/>
  <c r="I21" i="115"/>
  <c r="H21" i="115"/>
  <c r="G21" i="115"/>
  <c r="F21" i="115"/>
  <c r="E21" i="115"/>
  <c r="D21" i="115"/>
  <c r="M20" i="115"/>
  <c r="L20" i="115"/>
  <c r="K20" i="115"/>
  <c r="J20" i="115"/>
  <c r="I20" i="115"/>
  <c r="H20" i="115"/>
  <c r="G20" i="115"/>
  <c r="F20" i="115"/>
  <c r="E20" i="115"/>
  <c r="D20" i="115"/>
  <c r="M19" i="115"/>
  <c r="K19" i="115"/>
  <c r="I19" i="115"/>
  <c r="G19" i="115"/>
  <c r="F19" i="115"/>
  <c r="E19" i="115"/>
  <c r="D19" i="115"/>
  <c r="M18" i="115"/>
  <c r="L18" i="115"/>
  <c r="K18" i="115"/>
  <c r="J18" i="115"/>
  <c r="H18" i="115"/>
  <c r="G18" i="115"/>
  <c r="E18" i="115"/>
  <c r="D18" i="115"/>
  <c r="M17" i="115"/>
  <c r="L17" i="115"/>
  <c r="K17" i="115"/>
  <c r="J17" i="115"/>
  <c r="I17" i="115"/>
  <c r="H17" i="115"/>
  <c r="G17" i="115"/>
  <c r="F17" i="115"/>
  <c r="E17" i="115"/>
  <c r="D17" i="115"/>
  <c r="M16" i="115"/>
  <c r="L16" i="115"/>
  <c r="K16" i="115"/>
  <c r="J16" i="115"/>
  <c r="I16" i="115"/>
  <c r="H16" i="115"/>
  <c r="G16" i="115"/>
  <c r="F16" i="115"/>
  <c r="E16" i="115"/>
  <c r="D16" i="115"/>
  <c r="M13" i="115"/>
  <c r="L13" i="115"/>
  <c r="K13" i="115"/>
  <c r="I6" i="115" s="1"/>
  <c r="J13" i="115"/>
  <c r="I13" i="115"/>
  <c r="H13" i="115"/>
  <c r="F6" i="115" s="1"/>
  <c r="G13" i="115"/>
  <c r="F13" i="115"/>
  <c r="E13" i="115"/>
  <c r="D13" i="115"/>
  <c r="M6" i="115"/>
  <c r="F3" i="115"/>
  <c r="C3" i="115"/>
  <c r="AE66" i="116" l="1"/>
  <c r="N66" i="116"/>
  <c r="Q66" i="116" s="1"/>
  <c r="AF66" i="116"/>
  <c r="N19" i="116"/>
  <c r="AF19" i="116"/>
  <c r="AE19" i="116"/>
  <c r="N24" i="116"/>
  <c r="AF24" i="116"/>
  <c r="AE24" i="116"/>
  <c r="AF35" i="116"/>
  <c r="AG28" i="116" s="1"/>
  <c r="AE35" i="116"/>
  <c r="N35" i="116"/>
  <c r="N62" i="116"/>
  <c r="AF62" i="116"/>
  <c r="AE62" i="116"/>
  <c r="N44" i="116"/>
  <c r="AF44" i="116"/>
  <c r="AE44" i="116"/>
  <c r="N21" i="116"/>
  <c r="AF21" i="116"/>
  <c r="AE21" i="116"/>
  <c r="M27" i="116"/>
  <c r="Q25" i="116"/>
  <c r="P25" i="116"/>
  <c r="N43" i="116"/>
  <c r="M46" i="116"/>
  <c r="AF43" i="116"/>
  <c r="AE43" i="116"/>
  <c r="N48" i="116"/>
  <c r="AF48" i="116"/>
  <c r="AE48" i="116"/>
  <c r="N58" i="116"/>
  <c r="AF58" i="116"/>
  <c r="AE58" i="116"/>
  <c r="Q67" i="116"/>
  <c r="P67" i="116"/>
  <c r="Q11" i="116"/>
  <c r="P11" i="116"/>
  <c r="N7" i="116"/>
  <c r="AF7" i="116"/>
  <c r="AE7" i="116"/>
  <c r="M42" i="116"/>
  <c r="AF36" i="116"/>
  <c r="AE36" i="116"/>
  <c r="N36" i="116"/>
  <c r="N40" i="116"/>
  <c r="AF40" i="116"/>
  <c r="AE40" i="116"/>
  <c r="N56" i="116"/>
  <c r="M60" i="116"/>
  <c r="AF56" i="116"/>
  <c r="AE56" i="116"/>
  <c r="N61" i="116"/>
  <c r="AF61" i="116"/>
  <c r="AE61" i="116"/>
  <c r="M69" i="116"/>
  <c r="N63" i="116"/>
  <c r="AF63" i="116"/>
  <c r="AE63" i="116"/>
  <c r="N6" i="116"/>
  <c r="AF6" i="116"/>
  <c r="AE6" i="116"/>
  <c r="N10" i="116"/>
  <c r="M12" i="116"/>
  <c r="AF10" i="116"/>
  <c r="AE10" i="116"/>
  <c r="AF39" i="116"/>
  <c r="AE39" i="116"/>
  <c r="N39" i="116"/>
  <c r="AF41" i="116"/>
  <c r="AE41" i="116"/>
  <c r="N41" i="116"/>
  <c r="Q49" i="116"/>
  <c r="P49" i="116"/>
  <c r="N5" i="116"/>
  <c r="M8" i="116"/>
  <c r="AF5" i="116"/>
  <c r="AE5" i="116"/>
  <c r="N45" i="116"/>
  <c r="AF45" i="116"/>
  <c r="AE45" i="116"/>
  <c r="Q65" i="116"/>
  <c r="P65" i="116"/>
  <c r="N22" i="116"/>
  <c r="AF22" i="116"/>
  <c r="AE22" i="116"/>
  <c r="AF18" i="116"/>
  <c r="AE18" i="116"/>
  <c r="N18" i="116"/>
  <c r="N23" i="116"/>
  <c r="AF23" i="116"/>
  <c r="AE23" i="116"/>
  <c r="N59" i="116"/>
  <c r="AF59" i="116"/>
  <c r="AE59" i="116"/>
  <c r="F2" i="116"/>
  <c r="I3" i="115"/>
  <c r="M55" i="116"/>
  <c r="N47" i="116"/>
  <c r="AF47" i="116"/>
  <c r="AE47" i="116"/>
  <c r="N57" i="116"/>
  <c r="AF57" i="116"/>
  <c r="AE57" i="116"/>
  <c r="N64" i="116"/>
  <c r="AF64" i="116"/>
  <c r="AE64" i="116"/>
  <c r="AE67" i="116"/>
  <c r="Y2" i="116"/>
  <c r="K6" i="115" s="1"/>
  <c r="N17" i="116"/>
  <c r="N38" i="116"/>
  <c r="N54" i="116"/>
  <c r="AF67" i="116"/>
  <c r="N16" i="116"/>
  <c r="N32" i="116"/>
  <c r="N34" i="116"/>
  <c r="N37" i="116"/>
  <c r="N53" i="116"/>
  <c r="E6" i="115"/>
  <c r="G6" i="115"/>
  <c r="N13" i="116"/>
  <c r="N14" i="116"/>
  <c r="N30" i="116"/>
  <c r="N51" i="116"/>
  <c r="P15" i="116"/>
  <c r="P28" i="116"/>
  <c r="P31" i="116"/>
  <c r="P33" i="116"/>
  <c r="P52" i="116"/>
  <c r="P9" i="116"/>
  <c r="AE17" i="116"/>
  <c r="P26" i="116"/>
  <c r="P29" i="116"/>
  <c r="AE38" i="116"/>
  <c r="P50" i="116"/>
  <c r="AE54" i="116"/>
  <c r="P68" i="116"/>
  <c r="AE16" i="116"/>
  <c r="M20" i="116"/>
  <c r="AE34" i="116"/>
  <c r="AE37" i="116"/>
  <c r="AE53" i="116"/>
  <c r="AE52" i="116"/>
  <c r="AE13" i="116"/>
  <c r="AE14" i="116"/>
  <c r="AE30" i="116"/>
  <c r="AE32" i="116"/>
  <c r="AE51" i="116"/>
  <c r="AE28" i="116"/>
  <c r="AD67" i="114"/>
  <c r="Z67" i="114"/>
  <c r="Y67" i="114"/>
  <c r="O67" i="114"/>
  <c r="M67" i="114"/>
  <c r="AF67" i="114" s="1"/>
  <c r="AG60" i="114" s="1"/>
  <c r="K67" i="114"/>
  <c r="AF66" i="114"/>
  <c r="AE66" i="114"/>
  <c r="V66" i="114"/>
  <c r="U66" i="114"/>
  <c r="Q66" i="114"/>
  <c r="P66" i="114"/>
  <c r="O66" i="114"/>
  <c r="N66" i="114"/>
  <c r="M66" i="114"/>
  <c r="K66" i="114"/>
  <c r="G66" i="114"/>
  <c r="AF65" i="114"/>
  <c r="AE65" i="114"/>
  <c r="V65" i="114"/>
  <c r="U65" i="114"/>
  <c r="P65" i="114"/>
  <c r="O65" i="114"/>
  <c r="N65" i="114"/>
  <c r="Q65" i="114" s="1"/>
  <c r="M65" i="114"/>
  <c r="K65" i="114"/>
  <c r="G65" i="114"/>
  <c r="AF64" i="114"/>
  <c r="AE64" i="114"/>
  <c r="V64" i="114"/>
  <c r="U64" i="114"/>
  <c r="O64" i="114"/>
  <c r="N64" i="114"/>
  <c r="Q64" i="114" s="1"/>
  <c r="M64" i="114"/>
  <c r="K64" i="114"/>
  <c r="G64" i="114"/>
  <c r="AF63" i="114"/>
  <c r="AE63" i="114"/>
  <c r="V63" i="114"/>
  <c r="U63" i="114"/>
  <c r="O63" i="114"/>
  <c r="M63" i="114"/>
  <c r="N63" i="114" s="1"/>
  <c r="K63" i="114"/>
  <c r="G63" i="114"/>
  <c r="AE62" i="114"/>
  <c r="V62" i="114"/>
  <c r="U62" i="114"/>
  <c r="O62" i="114"/>
  <c r="M62" i="114"/>
  <c r="N62" i="114" s="1"/>
  <c r="K62" i="114"/>
  <c r="G62" i="114"/>
  <c r="AF61" i="114"/>
  <c r="AE61" i="114"/>
  <c r="V61" i="114"/>
  <c r="U61" i="114"/>
  <c r="Q61" i="114"/>
  <c r="O61" i="114"/>
  <c r="N61" i="114"/>
  <c r="P61" i="114" s="1"/>
  <c r="M61" i="114"/>
  <c r="K61" i="114"/>
  <c r="G61" i="114"/>
  <c r="X60" i="114"/>
  <c r="W60" i="114"/>
  <c r="V60" i="114"/>
  <c r="O60" i="114"/>
  <c r="M60" i="114"/>
  <c r="N60" i="114" s="1"/>
  <c r="K60" i="114"/>
  <c r="G60" i="114"/>
  <c r="AE59" i="114"/>
  <c r="AD59" i="114"/>
  <c r="Z59" i="114"/>
  <c r="Y59" i="114"/>
  <c r="O59" i="114"/>
  <c r="M59" i="114"/>
  <c r="N59" i="114" s="1"/>
  <c r="K59" i="114"/>
  <c r="AF58" i="114"/>
  <c r="AE58" i="114"/>
  <c r="V58" i="114"/>
  <c r="U58" i="114"/>
  <c r="Q58" i="114"/>
  <c r="O58" i="114"/>
  <c r="N58" i="114"/>
  <c r="P58" i="114" s="1"/>
  <c r="M58" i="114"/>
  <c r="K58" i="114"/>
  <c r="G58" i="114"/>
  <c r="AF57" i="114"/>
  <c r="AE57" i="114"/>
  <c r="V57" i="114"/>
  <c r="U57" i="114"/>
  <c r="O57" i="114"/>
  <c r="M57" i="114"/>
  <c r="N57" i="114" s="1"/>
  <c r="K57" i="114"/>
  <c r="G57" i="114"/>
  <c r="AF56" i="114"/>
  <c r="AE56" i="114"/>
  <c r="V56" i="114"/>
  <c r="U56" i="114"/>
  <c r="O56" i="114"/>
  <c r="M56" i="114"/>
  <c r="N56" i="114" s="1"/>
  <c r="K56" i="114"/>
  <c r="G56" i="114"/>
  <c r="AF55" i="114"/>
  <c r="AE55" i="114"/>
  <c r="V55" i="114"/>
  <c r="O55" i="114"/>
  <c r="M55" i="114"/>
  <c r="N55" i="114" s="1"/>
  <c r="K55" i="114"/>
  <c r="G55" i="114"/>
  <c r="AD54" i="114"/>
  <c r="Z54" i="114"/>
  <c r="Y54" i="114"/>
  <c r="O54" i="114"/>
  <c r="K54" i="114"/>
  <c r="AF53" i="114"/>
  <c r="AE53" i="114"/>
  <c r="V53" i="114"/>
  <c r="U53" i="114"/>
  <c r="O53" i="114"/>
  <c r="N53" i="114"/>
  <c r="Q53" i="114" s="1"/>
  <c r="M53" i="114"/>
  <c r="K53" i="114"/>
  <c r="G53" i="114"/>
  <c r="AF52" i="114"/>
  <c r="AE52" i="114"/>
  <c r="V52" i="114"/>
  <c r="U52" i="114"/>
  <c r="O52" i="114"/>
  <c r="N52" i="114"/>
  <c r="Q52" i="114" s="1"/>
  <c r="M52" i="114"/>
  <c r="K52" i="114"/>
  <c r="G52" i="114"/>
  <c r="AF51" i="114"/>
  <c r="AE51" i="114"/>
  <c r="V51" i="114"/>
  <c r="U51" i="114"/>
  <c r="Q51" i="114"/>
  <c r="O51" i="114"/>
  <c r="N51" i="114"/>
  <c r="P51" i="114" s="1"/>
  <c r="M51" i="114"/>
  <c r="K51" i="114"/>
  <c r="G51" i="114"/>
  <c r="AF50" i="114"/>
  <c r="AE50" i="114"/>
  <c r="V50" i="114"/>
  <c r="U50" i="114"/>
  <c r="Q50" i="114"/>
  <c r="P50" i="114"/>
  <c r="O50" i="114"/>
  <c r="N50" i="114"/>
  <c r="M50" i="114"/>
  <c r="K50" i="114"/>
  <c r="G50" i="114"/>
  <c r="AF49" i="114"/>
  <c r="AE49" i="114"/>
  <c r="V49" i="114"/>
  <c r="U49" i="114"/>
  <c r="P49" i="114"/>
  <c r="O49" i="114"/>
  <c r="N49" i="114"/>
  <c r="Q49" i="114" s="1"/>
  <c r="M49" i="114"/>
  <c r="K49" i="114"/>
  <c r="G49" i="114"/>
  <c r="AF48" i="114"/>
  <c r="AE48" i="114"/>
  <c r="V48" i="114"/>
  <c r="U48" i="114"/>
  <c r="O48" i="114"/>
  <c r="N48" i="114"/>
  <c r="Q48" i="114" s="1"/>
  <c r="M48" i="114"/>
  <c r="K48" i="114"/>
  <c r="G48" i="114"/>
  <c r="AF47" i="114"/>
  <c r="AE47" i="114"/>
  <c r="V47" i="114"/>
  <c r="U47" i="114"/>
  <c r="O47" i="114"/>
  <c r="M47" i="114"/>
  <c r="N47" i="114" s="1"/>
  <c r="K47" i="114"/>
  <c r="G47" i="114"/>
  <c r="AF46" i="114"/>
  <c r="AE46" i="114"/>
  <c r="V46" i="114"/>
  <c r="O46" i="114"/>
  <c r="M46" i="114"/>
  <c r="M54" i="114" s="1"/>
  <c r="K46" i="114"/>
  <c r="G46" i="114"/>
  <c r="AE45" i="114"/>
  <c r="AD45" i="114"/>
  <c r="Z45" i="114"/>
  <c r="Y45" i="114"/>
  <c r="O45" i="114"/>
  <c r="M45" i="114"/>
  <c r="N45" i="114" s="1"/>
  <c r="K45" i="114"/>
  <c r="AF44" i="114"/>
  <c r="AE44" i="114"/>
  <c r="V44" i="114"/>
  <c r="U44" i="114"/>
  <c r="Q44" i="114"/>
  <c r="O44" i="114"/>
  <c r="N44" i="114"/>
  <c r="P44" i="114" s="1"/>
  <c r="M44" i="114"/>
  <c r="K44" i="114"/>
  <c r="G44" i="114"/>
  <c r="AF43" i="114"/>
  <c r="AE43" i="114"/>
  <c r="V43" i="114"/>
  <c r="U43" i="114"/>
  <c r="Q43" i="114"/>
  <c r="P43" i="114"/>
  <c r="O43" i="114"/>
  <c r="N43" i="114"/>
  <c r="M43" i="114"/>
  <c r="K43" i="114"/>
  <c r="G43" i="114"/>
  <c r="AF42" i="114"/>
  <c r="AE42" i="114"/>
  <c r="V42" i="114"/>
  <c r="Q42" i="114"/>
  <c r="P42" i="114"/>
  <c r="O42" i="114"/>
  <c r="N42" i="114"/>
  <c r="M42" i="114"/>
  <c r="K42" i="114"/>
  <c r="G42" i="114"/>
  <c r="AD41" i="114"/>
  <c r="Z41" i="114"/>
  <c r="Y41" i="114"/>
  <c r="O41" i="114"/>
  <c r="K41" i="114"/>
  <c r="AF40" i="114"/>
  <c r="AE40" i="114"/>
  <c r="V40" i="114"/>
  <c r="U40" i="114"/>
  <c r="O40" i="114"/>
  <c r="N40" i="114"/>
  <c r="P40" i="114" s="1"/>
  <c r="M40" i="114"/>
  <c r="K40" i="114"/>
  <c r="G40" i="114"/>
  <c r="AE39" i="114"/>
  <c r="X39" i="114"/>
  <c r="W39" i="114"/>
  <c r="V39" i="114"/>
  <c r="U39" i="114"/>
  <c r="O39" i="114"/>
  <c r="M39" i="114"/>
  <c r="M41" i="114" s="1"/>
  <c r="K39" i="114"/>
  <c r="G39" i="114"/>
  <c r="AF38" i="114"/>
  <c r="AE38" i="114"/>
  <c r="V38" i="114"/>
  <c r="U38" i="114"/>
  <c r="O38" i="114"/>
  <c r="N38" i="114"/>
  <c r="P38" i="114" s="1"/>
  <c r="M38" i="114"/>
  <c r="K38" i="114"/>
  <c r="G38" i="114"/>
  <c r="AF37" i="114"/>
  <c r="AE37" i="114"/>
  <c r="V37" i="114"/>
  <c r="U37" i="114"/>
  <c r="O37" i="114"/>
  <c r="N37" i="114"/>
  <c r="Q37" i="114" s="1"/>
  <c r="M37" i="114"/>
  <c r="K37" i="114"/>
  <c r="G37" i="114"/>
  <c r="AF36" i="114"/>
  <c r="AE36" i="114"/>
  <c r="V36" i="114"/>
  <c r="U36" i="114"/>
  <c r="O36" i="114"/>
  <c r="N36" i="114"/>
  <c r="Q36" i="114" s="1"/>
  <c r="M36" i="114"/>
  <c r="K36" i="114"/>
  <c r="G36" i="114"/>
  <c r="AF35" i="114"/>
  <c r="X35" i="114"/>
  <c r="W35" i="114"/>
  <c r="V35" i="114"/>
  <c r="O35" i="114"/>
  <c r="N35" i="114"/>
  <c r="P35" i="114" s="1"/>
  <c r="M35" i="114"/>
  <c r="AE35" i="114" s="1"/>
  <c r="K35" i="114"/>
  <c r="G35" i="114"/>
  <c r="AE34" i="114"/>
  <c r="AD34" i="114"/>
  <c r="Z34" i="114"/>
  <c r="Y34" i="114"/>
  <c r="O34" i="114"/>
  <c r="N34" i="114"/>
  <c r="K14" i="113" s="1"/>
  <c r="M34" i="114"/>
  <c r="AF34" i="114" s="1"/>
  <c r="AG28" i="114" s="1"/>
  <c r="K34" i="114"/>
  <c r="AF33" i="114"/>
  <c r="AE33" i="114"/>
  <c r="V33" i="114"/>
  <c r="U33" i="114"/>
  <c r="O33" i="114"/>
  <c r="N33" i="114"/>
  <c r="Q33" i="114" s="1"/>
  <c r="M33" i="114"/>
  <c r="K33" i="114"/>
  <c r="G33" i="114"/>
  <c r="AF32" i="114"/>
  <c r="AE32" i="114"/>
  <c r="X32" i="114"/>
  <c r="W32" i="114"/>
  <c r="V32" i="114"/>
  <c r="U32" i="114"/>
  <c r="O32" i="114"/>
  <c r="N32" i="114"/>
  <c r="Q32" i="114" s="1"/>
  <c r="M32" i="114"/>
  <c r="K32" i="114"/>
  <c r="G32" i="114"/>
  <c r="AF31" i="114"/>
  <c r="AE31" i="114"/>
  <c r="V31" i="114"/>
  <c r="U31" i="114"/>
  <c r="O31" i="114"/>
  <c r="N31" i="114"/>
  <c r="Q31" i="114" s="1"/>
  <c r="M31" i="114"/>
  <c r="K31" i="114"/>
  <c r="G31" i="114"/>
  <c r="AF30" i="114"/>
  <c r="AE30" i="114"/>
  <c r="V30" i="114"/>
  <c r="U30" i="114"/>
  <c r="Q30" i="114"/>
  <c r="O30" i="114"/>
  <c r="N30" i="114"/>
  <c r="P30" i="114" s="1"/>
  <c r="M30" i="114"/>
  <c r="K30" i="114"/>
  <c r="G30" i="114"/>
  <c r="AF29" i="114"/>
  <c r="AE29" i="114"/>
  <c r="V29" i="114"/>
  <c r="U29" i="114"/>
  <c r="Q29" i="114"/>
  <c r="P29" i="114"/>
  <c r="O29" i="114"/>
  <c r="N29" i="114"/>
  <c r="M29" i="114"/>
  <c r="K29" i="114"/>
  <c r="G29" i="114"/>
  <c r="AF28" i="114"/>
  <c r="AE28" i="114"/>
  <c r="X28" i="114"/>
  <c r="W28" i="114"/>
  <c r="V28" i="114"/>
  <c r="O28" i="114"/>
  <c r="N28" i="114"/>
  <c r="Q28" i="114" s="1"/>
  <c r="M28" i="114"/>
  <c r="K28" i="114"/>
  <c r="G28" i="114"/>
  <c r="AD27" i="114"/>
  <c r="Z27" i="114"/>
  <c r="Y27" i="114"/>
  <c r="O27" i="114"/>
  <c r="M27" i="114"/>
  <c r="AF27" i="114" s="1"/>
  <c r="AG21" i="114" s="1"/>
  <c r="K27" i="114"/>
  <c r="AF26" i="114"/>
  <c r="AE26" i="114"/>
  <c r="V26" i="114"/>
  <c r="U26" i="114"/>
  <c r="Q26" i="114"/>
  <c r="P26" i="114"/>
  <c r="O26" i="114"/>
  <c r="N26" i="114"/>
  <c r="M26" i="114"/>
  <c r="K26" i="114"/>
  <c r="G26" i="114"/>
  <c r="AF25" i="114"/>
  <c r="AE25" i="114"/>
  <c r="V25" i="114"/>
  <c r="U25" i="114"/>
  <c r="P25" i="114"/>
  <c r="O25" i="114"/>
  <c r="N25" i="114"/>
  <c r="Q25" i="114" s="1"/>
  <c r="M25" i="114"/>
  <c r="K25" i="114"/>
  <c r="G25" i="114"/>
  <c r="AF24" i="114"/>
  <c r="AE24" i="114"/>
  <c r="V24" i="114"/>
  <c r="U24" i="114"/>
  <c r="O24" i="114"/>
  <c r="N24" i="114"/>
  <c r="Q24" i="114" s="1"/>
  <c r="M24" i="114"/>
  <c r="K24" i="114"/>
  <c r="G24" i="114"/>
  <c r="AF23" i="114"/>
  <c r="AE23" i="114"/>
  <c r="V23" i="114"/>
  <c r="U23" i="114"/>
  <c r="O23" i="114"/>
  <c r="M23" i="114"/>
  <c r="N23" i="114" s="1"/>
  <c r="K23" i="114"/>
  <c r="G23" i="114"/>
  <c r="AF22" i="114"/>
  <c r="AE22" i="114"/>
  <c r="V22" i="114"/>
  <c r="U22" i="114"/>
  <c r="O22" i="114"/>
  <c r="M22" i="114"/>
  <c r="N22" i="114" s="1"/>
  <c r="K22" i="114"/>
  <c r="G22" i="114"/>
  <c r="AF21" i="114"/>
  <c r="AE21" i="114"/>
  <c r="V21" i="114"/>
  <c r="O21" i="114"/>
  <c r="M21" i="114"/>
  <c r="N21" i="114" s="1"/>
  <c r="K21" i="114"/>
  <c r="G21" i="114"/>
  <c r="AF20" i="114"/>
  <c r="AG13" i="114" s="1"/>
  <c r="AE20" i="114"/>
  <c r="AD20" i="114"/>
  <c r="Z20" i="114"/>
  <c r="Y20" i="114"/>
  <c r="O20" i="114"/>
  <c r="M20" i="114"/>
  <c r="N20" i="114" s="1"/>
  <c r="K20" i="114"/>
  <c r="AF19" i="114"/>
  <c r="AE19" i="114"/>
  <c r="V19" i="114"/>
  <c r="U19" i="114"/>
  <c r="Q19" i="114"/>
  <c r="P19" i="114"/>
  <c r="O19" i="114"/>
  <c r="N19" i="114"/>
  <c r="M19" i="114"/>
  <c r="K19" i="114"/>
  <c r="G19" i="114"/>
  <c r="AF18" i="114"/>
  <c r="AE18" i="114"/>
  <c r="V18" i="114"/>
  <c r="U18" i="114"/>
  <c r="O18" i="114"/>
  <c r="M18" i="114"/>
  <c r="N18" i="114" s="1"/>
  <c r="K18" i="114"/>
  <c r="G18" i="114"/>
  <c r="AF17" i="114"/>
  <c r="AE17" i="114"/>
  <c r="V17" i="114"/>
  <c r="U17" i="114"/>
  <c r="O17" i="114"/>
  <c r="N17" i="114"/>
  <c r="P17" i="114" s="1"/>
  <c r="M17" i="114"/>
  <c r="K17" i="114"/>
  <c r="G17" i="114"/>
  <c r="AF16" i="114"/>
  <c r="AE16" i="114"/>
  <c r="V16" i="114"/>
  <c r="U16" i="114"/>
  <c r="O16" i="114"/>
  <c r="N16" i="114"/>
  <c r="Q16" i="114" s="1"/>
  <c r="M16" i="114"/>
  <c r="K16" i="114"/>
  <c r="G16" i="114"/>
  <c r="AF15" i="114"/>
  <c r="AE15" i="114"/>
  <c r="V15" i="114"/>
  <c r="U15" i="114"/>
  <c r="O15" i="114"/>
  <c r="N15" i="114"/>
  <c r="Q15" i="114" s="1"/>
  <c r="M15" i="114"/>
  <c r="K15" i="114"/>
  <c r="G15" i="114"/>
  <c r="AF14" i="114"/>
  <c r="AE14" i="114"/>
  <c r="V14" i="114"/>
  <c r="U14" i="114"/>
  <c r="Q14" i="114"/>
  <c r="O14" i="114"/>
  <c r="N14" i="114"/>
  <c r="P14" i="114" s="1"/>
  <c r="M14" i="114"/>
  <c r="K14" i="114"/>
  <c r="G14" i="114"/>
  <c r="AF13" i="114"/>
  <c r="AE13" i="114"/>
  <c r="V13" i="114"/>
  <c r="Q13" i="114"/>
  <c r="O13" i="114"/>
  <c r="N13" i="114"/>
  <c r="P13" i="114" s="1"/>
  <c r="M13" i="114"/>
  <c r="K13" i="114"/>
  <c r="G13" i="114"/>
  <c r="AF12" i="114"/>
  <c r="AE12" i="114"/>
  <c r="AD12" i="114"/>
  <c r="Z12" i="114"/>
  <c r="Y12" i="114"/>
  <c r="Q12" i="114"/>
  <c r="R9" i="114" s="1"/>
  <c r="O12" i="114"/>
  <c r="N12" i="114"/>
  <c r="P12" i="114" s="1"/>
  <c r="M12" i="114"/>
  <c r="K12" i="114"/>
  <c r="AF11" i="114"/>
  <c r="AE11" i="114"/>
  <c r="V11" i="114"/>
  <c r="U11" i="114"/>
  <c r="P11" i="114"/>
  <c r="O11" i="114"/>
  <c r="N11" i="114"/>
  <c r="Q11" i="114" s="1"/>
  <c r="M11" i="114"/>
  <c r="K11" i="114"/>
  <c r="G11" i="114"/>
  <c r="AF10" i="114"/>
  <c r="AE10" i="114"/>
  <c r="V10" i="114"/>
  <c r="U10" i="114"/>
  <c r="O10" i="114"/>
  <c r="N10" i="114"/>
  <c r="Q10" i="114" s="1"/>
  <c r="M10" i="114"/>
  <c r="K10" i="114"/>
  <c r="G10" i="114"/>
  <c r="AG9" i="114"/>
  <c r="AF9" i="114"/>
  <c r="AE9" i="114"/>
  <c r="X9" i="114"/>
  <c r="W9" i="114"/>
  <c r="V9" i="114"/>
  <c r="Q9" i="114"/>
  <c r="P9" i="114"/>
  <c r="O9" i="114"/>
  <c r="N9" i="114"/>
  <c r="M9" i="114"/>
  <c r="K9" i="114"/>
  <c r="G9" i="114"/>
  <c r="AD8" i="114"/>
  <c r="Z8" i="114"/>
  <c r="Y8" i="114"/>
  <c r="O8" i="114"/>
  <c r="K8" i="114"/>
  <c r="AF7" i="114"/>
  <c r="AE7" i="114"/>
  <c r="V7" i="114"/>
  <c r="U7" i="114"/>
  <c r="O7" i="114"/>
  <c r="N7" i="114"/>
  <c r="Q7" i="114" s="1"/>
  <c r="M7" i="114"/>
  <c r="K7" i="114"/>
  <c r="G7" i="114"/>
  <c r="V6" i="114"/>
  <c r="M6" i="114" s="1"/>
  <c r="U6" i="114"/>
  <c r="O6" i="114"/>
  <c r="K6" i="114"/>
  <c r="G6" i="114"/>
  <c r="V5" i="114"/>
  <c r="M5" i="114" s="1"/>
  <c r="O5" i="114"/>
  <c r="K5" i="114"/>
  <c r="G5" i="114"/>
  <c r="AD2" i="114"/>
  <c r="Z2" i="114"/>
  <c r="L6" i="113" s="1"/>
  <c r="Y2" i="114"/>
  <c r="K6" i="113" s="1"/>
  <c r="H2" i="114"/>
  <c r="F2" i="114"/>
  <c r="H1" i="114"/>
  <c r="F1" i="114"/>
  <c r="D1" i="114"/>
  <c r="M22" i="113"/>
  <c r="L22" i="113"/>
  <c r="K22" i="113"/>
  <c r="J22" i="113"/>
  <c r="I22" i="113"/>
  <c r="H22" i="113"/>
  <c r="G22" i="113"/>
  <c r="F22" i="113"/>
  <c r="E22" i="113"/>
  <c r="D22" i="113"/>
  <c r="M21" i="113"/>
  <c r="L21" i="113"/>
  <c r="K21" i="113"/>
  <c r="J21" i="113"/>
  <c r="I21" i="113"/>
  <c r="H21" i="113"/>
  <c r="G21" i="113"/>
  <c r="F21" i="113"/>
  <c r="E21" i="113"/>
  <c r="D21" i="113"/>
  <c r="M20" i="113"/>
  <c r="L20" i="113"/>
  <c r="K20" i="113"/>
  <c r="J20" i="113"/>
  <c r="I20" i="113"/>
  <c r="H20" i="113"/>
  <c r="G20" i="113"/>
  <c r="F20" i="113"/>
  <c r="E20" i="113"/>
  <c r="D20" i="113"/>
  <c r="M19" i="113"/>
  <c r="L19" i="113"/>
  <c r="K19" i="113"/>
  <c r="J19" i="113"/>
  <c r="I19" i="113"/>
  <c r="H19" i="113"/>
  <c r="G19" i="113"/>
  <c r="F19" i="113"/>
  <c r="E19" i="113"/>
  <c r="D19" i="113"/>
  <c r="M18" i="113"/>
  <c r="L18" i="113"/>
  <c r="K18" i="113"/>
  <c r="J18" i="113"/>
  <c r="I18" i="113"/>
  <c r="H18" i="113"/>
  <c r="G18" i="113"/>
  <c r="F18" i="113"/>
  <c r="E18" i="113"/>
  <c r="D18" i="113"/>
  <c r="M17" i="113"/>
  <c r="L17" i="113"/>
  <c r="K17" i="113"/>
  <c r="J17" i="113"/>
  <c r="I17" i="113"/>
  <c r="H17" i="113"/>
  <c r="G17" i="113"/>
  <c r="F17" i="113"/>
  <c r="E17" i="113"/>
  <c r="D17" i="113"/>
  <c r="M16" i="113"/>
  <c r="L16" i="113"/>
  <c r="K16" i="113"/>
  <c r="J16" i="113"/>
  <c r="I16" i="113"/>
  <c r="H16" i="113"/>
  <c r="G16" i="113"/>
  <c r="F16" i="113"/>
  <c r="E16" i="113"/>
  <c r="D16" i="113"/>
  <c r="E15" i="113"/>
  <c r="E14" i="113"/>
  <c r="M13" i="113"/>
  <c r="I6" i="113" s="1"/>
  <c r="L13" i="113"/>
  <c r="K13" i="113"/>
  <c r="J13" i="113"/>
  <c r="I13" i="113"/>
  <c r="H13" i="113"/>
  <c r="G13" i="113"/>
  <c r="F13" i="113"/>
  <c r="E13" i="113"/>
  <c r="D13" i="113"/>
  <c r="G6" i="113" s="1"/>
  <c r="N6" i="113"/>
  <c r="M6" i="113"/>
  <c r="F6" i="113"/>
  <c r="I3" i="113"/>
  <c r="F3" i="113"/>
  <c r="C3" i="113"/>
  <c r="P66" i="116" l="1"/>
  <c r="Q30" i="116"/>
  <c r="P30" i="116"/>
  <c r="Q38" i="116"/>
  <c r="P38" i="116"/>
  <c r="Q47" i="116"/>
  <c r="P47" i="116"/>
  <c r="Q5" i="116"/>
  <c r="P5" i="116"/>
  <c r="Q10" i="116"/>
  <c r="P10" i="116"/>
  <c r="Q7" i="116"/>
  <c r="P7" i="116"/>
  <c r="N55" i="116"/>
  <c r="AF55" i="116"/>
  <c r="AG47" i="116" s="1"/>
  <c r="AE55" i="116"/>
  <c r="N60" i="116"/>
  <c r="AF60" i="116"/>
  <c r="AG56" i="116" s="1"/>
  <c r="AE60" i="116"/>
  <c r="N46" i="116"/>
  <c r="AF46" i="116"/>
  <c r="AG43" i="116" s="1"/>
  <c r="AE46" i="116"/>
  <c r="Q13" i="116"/>
  <c r="P13" i="116"/>
  <c r="Q56" i="116"/>
  <c r="P56" i="116"/>
  <c r="Q43" i="116"/>
  <c r="P43" i="116"/>
  <c r="P62" i="116"/>
  <c r="Q62" i="116"/>
  <c r="P22" i="116"/>
  <c r="Q22" i="116"/>
  <c r="Q41" i="116"/>
  <c r="P41" i="116"/>
  <c r="Q6" i="116"/>
  <c r="P6" i="116"/>
  <c r="Q35" i="116"/>
  <c r="R28" i="116" s="1"/>
  <c r="K14" i="115"/>
  <c r="P35" i="116"/>
  <c r="Q53" i="116"/>
  <c r="P53" i="116"/>
  <c r="Q40" i="116"/>
  <c r="P40" i="116"/>
  <c r="AF27" i="116"/>
  <c r="AG21" i="116" s="1"/>
  <c r="AE27" i="116"/>
  <c r="N27" i="116"/>
  <c r="Q17" i="116"/>
  <c r="P17" i="116"/>
  <c r="Q37" i="116"/>
  <c r="P37" i="116"/>
  <c r="Q64" i="116"/>
  <c r="P64" i="116"/>
  <c r="P59" i="116"/>
  <c r="Q59" i="116"/>
  <c r="Q39" i="116"/>
  <c r="P39" i="116"/>
  <c r="Q63" i="116"/>
  <c r="P63" i="116"/>
  <c r="Q36" i="116"/>
  <c r="P36" i="116"/>
  <c r="Q34" i="116"/>
  <c r="P34" i="116"/>
  <c r="AF69" i="116"/>
  <c r="AG61" i="116" s="1"/>
  <c r="AE69" i="116"/>
  <c r="N69" i="116"/>
  <c r="Q58" i="116"/>
  <c r="P58" i="116"/>
  <c r="Q32" i="116"/>
  <c r="P32" i="116"/>
  <c r="P45" i="116"/>
  <c r="Q45" i="116"/>
  <c r="P21" i="116"/>
  <c r="Q21" i="116"/>
  <c r="Q24" i="116"/>
  <c r="P24" i="116"/>
  <c r="Q16" i="116"/>
  <c r="P16" i="116"/>
  <c r="Q57" i="116"/>
  <c r="P57" i="116"/>
  <c r="Q23" i="116"/>
  <c r="P23" i="116"/>
  <c r="N42" i="116"/>
  <c r="AF42" i="116"/>
  <c r="AG36" i="116" s="1"/>
  <c r="AE42" i="116"/>
  <c r="Q14" i="116"/>
  <c r="P14" i="116"/>
  <c r="N20" i="116"/>
  <c r="AF20" i="116"/>
  <c r="AG13" i="116" s="1"/>
  <c r="AE20" i="116"/>
  <c r="Q18" i="116"/>
  <c r="P18" i="116"/>
  <c r="Q61" i="116"/>
  <c r="P61" i="116"/>
  <c r="Q48" i="116"/>
  <c r="P48" i="116"/>
  <c r="Q51" i="116"/>
  <c r="P51" i="116"/>
  <c r="Q54" i="116"/>
  <c r="P54" i="116"/>
  <c r="N8" i="116"/>
  <c r="AF8" i="116"/>
  <c r="AG5" i="116" s="1"/>
  <c r="AE8" i="116"/>
  <c r="AE12" i="116"/>
  <c r="N12" i="116"/>
  <c r="AF12" i="116"/>
  <c r="AG9" i="116" s="1"/>
  <c r="Q44" i="116"/>
  <c r="P44" i="116"/>
  <c r="Q19" i="116"/>
  <c r="P19" i="116"/>
  <c r="Q55" i="114"/>
  <c r="P55" i="114"/>
  <c r="N6" i="114"/>
  <c r="AE6" i="114"/>
  <c r="AF6" i="114"/>
  <c r="P21" i="114"/>
  <c r="Q21" i="114"/>
  <c r="Q45" i="114"/>
  <c r="R42" i="114" s="1"/>
  <c r="P45" i="114"/>
  <c r="H14" i="113"/>
  <c r="H15" i="113" s="1"/>
  <c r="Q47" i="114"/>
  <c r="P47" i="114"/>
  <c r="Q60" i="114"/>
  <c r="P60" i="114"/>
  <c r="Q63" i="114"/>
  <c r="P63" i="114"/>
  <c r="P22" i="114"/>
  <c r="Q22" i="114"/>
  <c r="AE54" i="114"/>
  <c r="AF54" i="114"/>
  <c r="AG46" i="114" s="1"/>
  <c r="N54" i="114"/>
  <c r="P18" i="114"/>
  <c r="Q18" i="114"/>
  <c r="Q56" i="114"/>
  <c r="P56" i="114"/>
  <c r="P20" i="114"/>
  <c r="F14" i="113"/>
  <c r="F15" i="113" s="1"/>
  <c r="Q20" i="114"/>
  <c r="R13" i="114" s="1"/>
  <c r="Q23" i="114"/>
  <c r="P23" i="114"/>
  <c r="P57" i="114"/>
  <c r="Q57" i="114"/>
  <c r="N5" i="114"/>
  <c r="AF5" i="114"/>
  <c r="M8" i="114"/>
  <c r="AE5" i="114"/>
  <c r="N41" i="114"/>
  <c r="AF41" i="114"/>
  <c r="AG35" i="114" s="1"/>
  <c r="AE41" i="114"/>
  <c r="Q59" i="114"/>
  <c r="R55" i="114" s="1"/>
  <c r="P59" i="114"/>
  <c r="J14" i="113"/>
  <c r="J15" i="113" s="1"/>
  <c r="K15" i="113"/>
  <c r="P62" i="114"/>
  <c r="Q62" i="114"/>
  <c r="N67" i="114"/>
  <c r="E6" i="113"/>
  <c r="N39" i="114"/>
  <c r="P16" i="114"/>
  <c r="Q17" i="114"/>
  <c r="P32" i="114"/>
  <c r="Q34" i="114"/>
  <c r="R28" i="114" s="1"/>
  <c r="Q35" i="114"/>
  <c r="P37" i="114"/>
  <c r="Q38" i="114"/>
  <c r="Q40" i="114"/>
  <c r="AF45" i="114"/>
  <c r="AG42" i="114" s="1"/>
  <c r="P53" i="114"/>
  <c r="AF59" i="114"/>
  <c r="AG55" i="114" s="1"/>
  <c r="AE60" i="114"/>
  <c r="AF62" i="114"/>
  <c r="P15" i="114"/>
  <c r="P28" i="114"/>
  <c r="P31" i="114"/>
  <c r="P33" i="114"/>
  <c r="P36" i="114"/>
  <c r="P52" i="114"/>
  <c r="AF60" i="114"/>
  <c r="N27" i="114"/>
  <c r="P34" i="114"/>
  <c r="N46" i="114"/>
  <c r="P7" i="114"/>
  <c r="P10" i="114"/>
  <c r="P24" i="114"/>
  <c r="AF39" i="114"/>
  <c r="P48" i="114"/>
  <c r="P64" i="114"/>
  <c r="AE27" i="114"/>
  <c r="AE67" i="114"/>
  <c r="C3" i="112"/>
  <c r="F3" i="112"/>
  <c r="I3" i="112"/>
  <c r="K6" i="112"/>
  <c r="L6" i="112"/>
  <c r="M6" i="112"/>
  <c r="N6" i="112"/>
  <c r="D13" i="112"/>
  <c r="E13" i="112"/>
  <c r="F13" i="112"/>
  <c r="G13" i="112"/>
  <c r="H13" i="112"/>
  <c r="I13" i="112"/>
  <c r="J13" i="112"/>
  <c r="K13" i="112"/>
  <c r="L13" i="112"/>
  <c r="M13" i="112"/>
  <c r="D14" i="112"/>
  <c r="E14" i="112"/>
  <c r="F14" i="112"/>
  <c r="F15" i="112" s="1"/>
  <c r="G14" i="112"/>
  <c r="H14" i="112"/>
  <c r="I14" i="112"/>
  <c r="I15" i="112" s="1"/>
  <c r="J14" i="112"/>
  <c r="J15" i="112" s="1"/>
  <c r="K14" i="112"/>
  <c r="I7" i="112" s="1"/>
  <c r="L14" i="112"/>
  <c r="L15" i="112" s="1"/>
  <c r="M14" i="112"/>
  <c r="D16" i="112"/>
  <c r="E16" i="112"/>
  <c r="F16" i="112"/>
  <c r="G16" i="112"/>
  <c r="H16" i="112"/>
  <c r="I16" i="112"/>
  <c r="J16" i="112"/>
  <c r="K16" i="112"/>
  <c r="L16" i="112"/>
  <c r="M16" i="112"/>
  <c r="D17" i="112"/>
  <c r="E17" i="112"/>
  <c r="F17" i="112"/>
  <c r="G17" i="112"/>
  <c r="H17" i="112"/>
  <c r="I17" i="112"/>
  <c r="J17" i="112"/>
  <c r="K17" i="112"/>
  <c r="L17" i="112"/>
  <c r="M17" i="112"/>
  <c r="D18" i="112"/>
  <c r="E18" i="112"/>
  <c r="F18" i="112"/>
  <c r="G18" i="112"/>
  <c r="H18" i="112"/>
  <c r="I18" i="112"/>
  <c r="J18" i="112"/>
  <c r="K18" i="112"/>
  <c r="L18" i="112"/>
  <c r="M18" i="112"/>
  <c r="D19" i="112"/>
  <c r="E19" i="112"/>
  <c r="F19" i="112"/>
  <c r="G19" i="112"/>
  <c r="H19" i="112"/>
  <c r="I19" i="112"/>
  <c r="J19" i="112"/>
  <c r="K19" i="112"/>
  <c r="L19" i="112"/>
  <c r="M19" i="112"/>
  <c r="D20" i="112"/>
  <c r="E20" i="112"/>
  <c r="F20" i="112"/>
  <c r="G20" i="112"/>
  <c r="H20" i="112"/>
  <c r="I20" i="112"/>
  <c r="J20" i="112"/>
  <c r="K20" i="112"/>
  <c r="L20" i="112"/>
  <c r="M20" i="112"/>
  <c r="D21" i="112"/>
  <c r="E21" i="112"/>
  <c r="F21" i="112"/>
  <c r="G21" i="112"/>
  <c r="H21" i="112"/>
  <c r="I21" i="112"/>
  <c r="J21" i="112"/>
  <c r="K21" i="112"/>
  <c r="L21" i="112"/>
  <c r="M21" i="112"/>
  <c r="D22" i="112"/>
  <c r="E22" i="112"/>
  <c r="F22" i="112"/>
  <c r="G22" i="112"/>
  <c r="H22" i="112"/>
  <c r="I22" i="112"/>
  <c r="J22" i="112"/>
  <c r="K22" i="112"/>
  <c r="L22" i="112"/>
  <c r="M22" i="112"/>
  <c r="D1" i="111"/>
  <c r="H1" i="111"/>
  <c r="H2" i="111"/>
  <c r="G5" i="111"/>
  <c r="K5" i="111"/>
  <c r="M5" i="111"/>
  <c r="N5" i="111" s="1"/>
  <c r="O5" i="111"/>
  <c r="V5" i="111"/>
  <c r="AE5" i="111"/>
  <c r="G6" i="111"/>
  <c r="K6" i="111"/>
  <c r="M6" i="111"/>
  <c r="N6" i="111" s="1"/>
  <c r="O6" i="111"/>
  <c r="U6" i="111"/>
  <c r="V6" i="111"/>
  <c r="AE6" i="111"/>
  <c r="AF6" i="111"/>
  <c r="G7" i="111"/>
  <c r="K7" i="111"/>
  <c r="M7" i="111"/>
  <c r="AE7" i="111" s="1"/>
  <c r="N7" i="111"/>
  <c r="O7" i="111"/>
  <c r="U7" i="111"/>
  <c r="V7" i="111"/>
  <c r="AF7" i="111"/>
  <c r="K8" i="111"/>
  <c r="O8" i="111"/>
  <c r="Y8" i="111"/>
  <c r="Z8" i="111"/>
  <c r="AD8" i="111"/>
  <c r="G9" i="111"/>
  <c r="K9" i="111"/>
  <c r="M9" i="111"/>
  <c r="AE9" i="111" s="1"/>
  <c r="N9" i="111"/>
  <c r="Q9" i="111" s="1"/>
  <c r="O9" i="111"/>
  <c r="P9" i="111"/>
  <c r="V9" i="111"/>
  <c r="W9" i="111"/>
  <c r="X9" i="111"/>
  <c r="AF9" i="111"/>
  <c r="G10" i="111"/>
  <c r="K10" i="111"/>
  <c r="M10" i="111"/>
  <c r="AE10" i="111" s="1"/>
  <c r="N10" i="111"/>
  <c r="O10" i="111"/>
  <c r="U10" i="111"/>
  <c r="V10" i="111"/>
  <c r="AF10" i="111"/>
  <c r="G11" i="111"/>
  <c r="K11" i="111"/>
  <c r="M11" i="111"/>
  <c r="O11" i="111"/>
  <c r="U11" i="111"/>
  <c r="V11" i="111"/>
  <c r="K12" i="111"/>
  <c r="O12" i="111"/>
  <c r="Y12" i="111"/>
  <c r="Z12" i="111"/>
  <c r="AD12" i="111"/>
  <c r="G13" i="111"/>
  <c r="K13" i="111"/>
  <c r="M13" i="111"/>
  <c r="N13" i="111"/>
  <c r="O13" i="111"/>
  <c r="P13" i="111"/>
  <c r="Q13" i="111"/>
  <c r="V13" i="111"/>
  <c r="G14" i="111"/>
  <c r="K14" i="111"/>
  <c r="M14" i="111"/>
  <c r="O14" i="111"/>
  <c r="U14" i="111"/>
  <c r="V14" i="111"/>
  <c r="G15" i="111"/>
  <c r="K15" i="111"/>
  <c r="M15" i="111"/>
  <c r="N15" i="111"/>
  <c r="Q15" i="111" s="1"/>
  <c r="O15" i="111"/>
  <c r="P15" i="111"/>
  <c r="U15" i="111"/>
  <c r="V15" i="111"/>
  <c r="G16" i="111"/>
  <c r="K16" i="111"/>
  <c r="O16" i="111"/>
  <c r="U16" i="111"/>
  <c r="V16" i="111"/>
  <c r="M16" i="111" s="1"/>
  <c r="G17" i="111"/>
  <c r="K17" i="111"/>
  <c r="O17" i="111"/>
  <c r="U17" i="111"/>
  <c r="V17" i="111"/>
  <c r="M17" i="111" s="1"/>
  <c r="AE17" i="111"/>
  <c r="G18" i="111"/>
  <c r="K18" i="111"/>
  <c r="O18" i="111"/>
  <c r="P18" i="111"/>
  <c r="Q18" i="111"/>
  <c r="U18" i="111"/>
  <c r="V18" i="111"/>
  <c r="M18" i="111" s="1"/>
  <c r="N18" i="111" s="1"/>
  <c r="AE18" i="111"/>
  <c r="AF18" i="111"/>
  <c r="G19" i="111"/>
  <c r="K19" i="111"/>
  <c r="O19" i="111"/>
  <c r="U19" i="111"/>
  <c r="V19" i="111"/>
  <c r="M19" i="111" s="1"/>
  <c r="N19" i="111" s="1"/>
  <c r="P19" i="111" s="1"/>
  <c r="AE19" i="111"/>
  <c r="AF19" i="111"/>
  <c r="K20" i="111"/>
  <c r="O20" i="111"/>
  <c r="Y20" i="111"/>
  <c r="Z20" i="111"/>
  <c r="AD20" i="111"/>
  <c r="G21" i="111"/>
  <c r="K21" i="111"/>
  <c r="O21" i="111"/>
  <c r="V21" i="111"/>
  <c r="M21" i="111" s="1"/>
  <c r="N21" i="111" s="1"/>
  <c r="AE21" i="111"/>
  <c r="G22" i="111"/>
  <c r="K22" i="111"/>
  <c r="O22" i="111"/>
  <c r="U22" i="111"/>
  <c r="V22" i="111"/>
  <c r="M22" i="111" s="1"/>
  <c r="N22" i="111" s="1"/>
  <c r="AE22" i="111"/>
  <c r="AF22" i="111"/>
  <c r="G23" i="111"/>
  <c r="K23" i="111"/>
  <c r="M23" i="111"/>
  <c r="N23" i="111" s="1"/>
  <c r="O23" i="111"/>
  <c r="U23" i="111"/>
  <c r="V23" i="111"/>
  <c r="G24" i="111"/>
  <c r="K24" i="111"/>
  <c r="M24" i="111"/>
  <c r="AE24" i="111" s="1"/>
  <c r="N24" i="111"/>
  <c r="O24" i="111"/>
  <c r="U24" i="111"/>
  <c r="V24" i="111"/>
  <c r="G25" i="111"/>
  <c r="K25" i="111"/>
  <c r="M25" i="111"/>
  <c r="N25" i="111"/>
  <c r="O25" i="111"/>
  <c r="U25" i="111"/>
  <c r="V25" i="111"/>
  <c r="G26" i="111"/>
  <c r="K26" i="111"/>
  <c r="M26" i="111"/>
  <c r="N26" i="111"/>
  <c r="Q26" i="111" s="1"/>
  <c r="O26" i="111"/>
  <c r="U26" i="111"/>
  <c r="V26" i="111"/>
  <c r="K27" i="111"/>
  <c r="O27" i="111"/>
  <c r="Y27" i="111"/>
  <c r="Y2" i="111" s="1"/>
  <c r="Z27" i="111"/>
  <c r="AD27" i="111"/>
  <c r="G28" i="111"/>
  <c r="K28" i="111"/>
  <c r="M28" i="111"/>
  <c r="N28" i="111"/>
  <c r="O28" i="111"/>
  <c r="P28" i="111"/>
  <c r="Q28" i="111"/>
  <c r="V28" i="111"/>
  <c r="W28" i="111"/>
  <c r="X28" i="111"/>
  <c r="G29" i="111"/>
  <c r="K29" i="111"/>
  <c r="M29" i="111"/>
  <c r="N29" i="111"/>
  <c r="Q29" i="111" s="1"/>
  <c r="O29" i="111"/>
  <c r="P29" i="111"/>
  <c r="U29" i="111"/>
  <c r="V29" i="111"/>
  <c r="G30" i="111"/>
  <c r="K30" i="111"/>
  <c r="M30" i="111"/>
  <c r="N30" i="111"/>
  <c r="Q30" i="111" s="1"/>
  <c r="O30" i="111"/>
  <c r="U30" i="111"/>
  <c r="V30" i="111"/>
  <c r="G31" i="111"/>
  <c r="K31" i="111"/>
  <c r="M31" i="111"/>
  <c r="N31" i="111"/>
  <c r="O31" i="111"/>
  <c r="P31" i="111"/>
  <c r="Q31" i="111"/>
  <c r="U31" i="111"/>
  <c r="V31" i="111"/>
  <c r="G32" i="111"/>
  <c r="K32" i="111"/>
  <c r="O32" i="111"/>
  <c r="U32" i="111"/>
  <c r="V32" i="111"/>
  <c r="M32" i="111" s="1"/>
  <c r="W32" i="111"/>
  <c r="X32" i="111"/>
  <c r="G33" i="111"/>
  <c r="K33" i="111"/>
  <c r="M33" i="111"/>
  <c r="N33" i="111"/>
  <c r="O33" i="111"/>
  <c r="P33" i="111"/>
  <c r="Q33" i="111"/>
  <c r="U33" i="111"/>
  <c r="V33" i="111"/>
  <c r="G34" i="111"/>
  <c r="K34" i="111"/>
  <c r="N34" i="111"/>
  <c r="Q34" i="111" s="1"/>
  <c r="O34" i="111"/>
  <c r="U34" i="111"/>
  <c r="V34" i="111"/>
  <c r="M34" i="111" s="1"/>
  <c r="G35" i="111"/>
  <c r="K35" i="111"/>
  <c r="O35" i="111"/>
  <c r="U35" i="111"/>
  <c r="V35" i="111"/>
  <c r="M35" i="111" s="1"/>
  <c r="K36" i="111"/>
  <c r="O36" i="111"/>
  <c r="Y36" i="111"/>
  <c r="Z36" i="111"/>
  <c r="Z2" i="111" s="1"/>
  <c r="AD36" i="111"/>
  <c r="AD2" i="111" s="1"/>
  <c r="G37" i="111"/>
  <c r="K37" i="111"/>
  <c r="O37" i="111"/>
  <c r="V37" i="111"/>
  <c r="M37" i="111" s="1"/>
  <c r="W37" i="111"/>
  <c r="X37" i="111"/>
  <c r="AE37" i="111"/>
  <c r="G38" i="111"/>
  <c r="K38" i="111"/>
  <c r="O38" i="111"/>
  <c r="U38" i="111"/>
  <c r="V38" i="111"/>
  <c r="M38" i="111" s="1"/>
  <c r="AE38" i="111"/>
  <c r="G39" i="111"/>
  <c r="K39" i="111"/>
  <c r="O39" i="111"/>
  <c r="U39" i="111"/>
  <c r="V39" i="111"/>
  <c r="M39" i="111" s="1"/>
  <c r="N39" i="111" s="1"/>
  <c r="P39" i="111" s="1"/>
  <c r="AE39" i="111"/>
  <c r="AF39" i="111"/>
  <c r="G40" i="111"/>
  <c r="K40" i="111"/>
  <c r="O40" i="111"/>
  <c r="U40" i="111"/>
  <c r="V40" i="111"/>
  <c r="M40" i="111" s="1"/>
  <c r="N40" i="111" s="1"/>
  <c r="P40" i="111" s="1"/>
  <c r="AE40" i="111"/>
  <c r="AF40" i="111"/>
  <c r="G41" i="111"/>
  <c r="K41" i="111"/>
  <c r="O41" i="111"/>
  <c r="U41" i="111"/>
  <c r="V41" i="111"/>
  <c r="M41" i="111" s="1"/>
  <c r="N41" i="111" s="1"/>
  <c r="AE41" i="111"/>
  <c r="AF41" i="111"/>
  <c r="G42" i="111"/>
  <c r="K42" i="111"/>
  <c r="O42" i="111"/>
  <c r="U42" i="111"/>
  <c r="V42" i="111"/>
  <c r="M42" i="111" s="1"/>
  <c r="N42" i="111" s="1"/>
  <c r="W42" i="111"/>
  <c r="X42" i="111"/>
  <c r="AE42" i="111"/>
  <c r="AF42" i="111"/>
  <c r="G43" i="111"/>
  <c r="K43" i="111"/>
  <c r="O43" i="111"/>
  <c r="U43" i="111"/>
  <c r="V43" i="111"/>
  <c r="M43" i="111" s="1"/>
  <c r="N43" i="111" s="1"/>
  <c r="AE43" i="111"/>
  <c r="AF43" i="111"/>
  <c r="G44" i="111"/>
  <c r="K44" i="111"/>
  <c r="O44" i="111"/>
  <c r="U44" i="111"/>
  <c r="V44" i="111"/>
  <c r="M44" i="111" s="1"/>
  <c r="N44" i="111" s="1"/>
  <c r="G45" i="111"/>
  <c r="K45" i="111"/>
  <c r="M45" i="111"/>
  <c r="N45" i="111" s="1"/>
  <c r="O45" i="111"/>
  <c r="U45" i="111"/>
  <c r="V45" i="111"/>
  <c r="AE45" i="111"/>
  <c r="AF45" i="111"/>
  <c r="K46" i="111"/>
  <c r="M46" i="111"/>
  <c r="AE46" i="111" s="1"/>
  <c r="O46" i="111"/>
  <c r="Y46" i="111"/>
  <c r="Z46" i="111"/>
  <c r="AD46" i="111"/>
  <c r="G47" i="111"/>
  <c r="K47" i="111"/>
  <c r="M47" i="111"/>
  <c r="N47" i="111"/>
  <c r="O47" i="111"/>
  <c r="V47" i="111"/>
  <c r="G48" i="111"/>
  <c r="K48" i="111"/>
  <c r="M48" i="111"/>
  <c r="N48" i="111"/>
  <c r="O48" i="111"/>
  <c r="U48" i="111"/>
  <c r="V48" i="111"/>
  <c r="G49" i="111"/>
  <c r="K49" i="111"/>
  <c r="M49" i="111"/>
  <c r="N49" i="111"/>
  <c r="Q49" i="111" s="1"/>
  <c r="O49" i="111"/>
  <c r="U49" i="111"/>
  <c r="V49" i="111"/>
  <c r="K50" i="111"/>
  <c r="O50" i="111"/>
  <c r="Y50" i="111"/>
  <c r="Z50" i="111"/>
  <c r="AD50" i="111"/>
  <c r="G51" i="111"/>
  <c r="K51" i="111"/>
  <c r="M51" i="111"/>
  <c r="N51" i="111"/>
  <c r="O51" i="111"/>
  <c r="P51" i="111"/>
  <c r="Q51" i="111"/>
  <c r="V51" i="111"/>
  <c r="G52" i="111"/>
  <c r="K52" i="111"/>
  <c r="M52" i="111"/>
  <c r="N52" i="111"/>
  <c r="O52" i="111"/>
  <c r="P52" i="111"/>
  <c r="Q52" i="111"/>
  <c r="U52" i="111"/>
  <c r="V52" i="111"/>
  <c r="G53" i="111"/>
  <c r="K53" i="111"/>
  <c r="N53" i="111"/>
  <c r="Q53" i="111" s="1"/>
  <c r="O53" i="111"/>
  <c r="P53" i="111"/>
  <c r="U53" i="111"/>
  <c r="V53" i="111"/>
  <c r="M53" i="111" s="1"/>
  <c r="G54" i="111"/>
  <c r="K54" i="111"/>
  <c r="O54" i="111"/>
  <c r="U54" i="111"/>
  <c r="V54" i="111"/>
  <c r="M54" i="111" s="1"/>
  <c r="AE54" i="111"/>
  <c r="G55" i="111"/>
  <c r="K55" i="111"/>
  <c r="O55" i="111"/>
  <c r="U55" i="111"/>
  <c r="V55" i="111"/>
  <c r="M55" i="111" s="1"/>
  <c r="N55" i="111" s="1"/>
  <c r="Q55" i="111" s="1"/>
  <c r="AE55" i="111"/>
  <c r="AF55" i="111"/>
  <c r="G56" i="111"/>
  <c r="K56" i="111"/>
  <c r="O56" i="111"/>
  <c r="P56" i="111"/>
  <c r="U56" i="111"/>
  <c r="V56" i="111"/>
  <c r="M56" i="111" s="1"/>
  <c r="N56" i="111" s="1"/>
  <c r="Q56" i="111" s="1"/>
  <c r="AE56" i="111"/>
  <c r="AF56" i="111"/>
  <c r="G57" i="111"/>
  <c r="K57" i="111"/>
  <c r="O57" i="111"/>
  <c r="U57" i="111"/>
  <c r="V57" i="111"/>
  <c r="M57" i="111" s="1"/>
  <c r="N57" i="111" s="1"/>
  <c r="P57" i="111" s="1"/>
  <c r="AE57" i="111"/>
  <c r="G58" i="111"/>
  <c r="K58" i="111"/>
  <c r="O58" i="111"/>
  <c r="U58" i="111"/>
  <c r="V58" i="111"/>
  <c r="M58" i="111" s="1"/>
  <c r="N58" i="111" s="1"/>
  <c r="AE58" i="111"/>
  <c r="AF58" i="111"/>
  <c r="K59" i="111"/>
  <c r="O59" i="111"/>
  <c r="Y59" i="111"/>
  <c r="Z59" i="111"/>
  <c r="AD59" i="111"/>
  <c r="G60" i="111"/>
  <c r="K60" i="111"/>
  <c r="M60" i="111"/>
  <c r="AF60" i="111" s="1"/>
  <c r="N60" i="111"/>
  <c r="O60" i="111"/>
  <c r="V60" i="111"/>
  <c r="AE60" i="111"/>
  <c r="G61" i="111"/>
  <c r="K61" i="111"/>
  <c r="M61" i="111"/>
  <c r="N61" i="111"/>
  <c r="O61" i="111"/>
  <c r="U61" i="111"/>
  <c r="V61" i="111"/>
  <c r="AE61" i="111"/>
  <c r="AF61" i="111"/>
  <c r="G62" i="111"/>
  <c r="K62" i="111"/>
  <c r="M62" i="111"/>
  <c r="AE62" i="111" s="1"/>
  <c r="N62" i="111"/>
  <c r="O62" i="111"/>
  <c r="U62" i="111"/>
  <c r="V62" i="111"/>
  <c r="AF62" i="111"/>
  <c r="G63" i="111"/>
  <c r="K63" i="111"/>
  <c r="M63" i="111"/>
  <c r="N63" i="111"/>
  <c r="Q63" i="111" s="1"/>
  <c r="O63" i="111"/>
  <c r="U63" i="111"/>
  <c r="V63" i="111"/>
  <c r="K64" i="111"/>
  <c r="O64" i="111"/>
  <c r="Y64" i="111"/>
  <c r="Z64" i="111"/>
  <c r="AD64" i="111"/>
  <c r="G65" i="111"/>
  <c r="K65" i="111"/>
  <c r="M65" i="111"/>
  <c r="N65" i="111"/>
  <c r="O65" i="111"/>
  <c r="P65" i="111"/>
  <c r="Q65" i="111"/>
  <c r="V65" i="111"/>
  <c r="W65" i="111"/>
  <c r="X65" i="111"/>
  <c r="G66" i="111"/>
  <c r="K66" i="111"/>
  <c r="M66" i="111"/>
  <c r="N66" i="111"/>
  <c r="Q66" i="111" s="1"/>
  <c r="O66" i="111"/>
  <c r="P66" i="111"/>
  <c r="U66" i="111"/>
  <c r="V66" i="111"/>
  <c r="G67" i="111"/>
  <c r="K67" i="111"/>
  <c r="M67" i="111"/>
  <c r="N67" i="111"/>
  <c r="P67" i="111" s="1"/>
  <c r="O67" i="111"/>
  <c r="U67" i="111"/>
  <c r="V67" i="111"/>
  <c r="G68" i="111"/>
  <c r="K68" i="111"/>
  <c r="M68" i="111"/>
  <c r="N68" i="111"/>
  <c r="O68" i="111"/>
  <c r="P68" i="111"/>
  <c r="Q68" i="111"/>
  <c r="U68" i="111"/>
  <c r="V68" i="111"/>
  <c r="G69" i="111"/>
  <c r="K69" i="111"/>
  <c r="O69" i="111"/>
  <c r="U69" i="111"/>
  <c r="V69" i="111"/>
  <c r="M69" i="111" s="1"/>
  <c r="G70" i="111"/>
  <c r="K70" i="111"/>
  <c r="O70" i="111"/>
  <c r="U70" i="111"/>
  <c r="V70" i="111"/>
  <c r="M70" i="111" s="1"/>
  <c r="W70" i="111"/>
  <c r="X70" i="111"/>
  <c r="G71" i="111"/>
  <c r="K71" i="111"/>
  <c r="M71" i="111"/>
  <c r="O71" i="111"/>
  <c r="U71" i="111"/>
  <c r="V71" i="111"/>
  <c r="K72" i="111"/>
  <c r="O72" i="111"/>
  <c r="Y72" i="111"/>
  <c r="Z72" i="111"/>
  <c r="AD72" i="111"/>
  <c r="L14" i="115" l="1"/>
  <c r="L15" i="115" s="1"/>
  <c r="Q42" i="116"/>
  <c r="R36" i="116" s="1"/>
  <c r="P42" i="116"/>
  <c r="Q27" i="116"/>
  <c r="R21" i="116" s="1"/>
  <c r="P27" i="116"/>
  <c r="G14" i="115"/>
  <c r="G15" i="115" s="1"/>
  <c r="Q12" i="116"/>
  <c r="R9" i="116" s="1"/>
  <c r="P12" i="116"/>
  <c r="E14" i="115"/>
  <c r="E15" i="115" s="1"/>
  <c r="Q46" i="116"/>
  <c r="R43" i="116" s="1"/>
  <c r="P46" i="116"/>
  <c r="H14" i="115"/>
  <c r="H15" i="115" s="1"/>
  <c r="Q69" i="116"/>
  <c r="R61" i="116" s="1"/>
  <c r="P69" i="116"/>
  <c r="M14" i="115"/>
  <c r="M15" i="115" s="1"/>
  <c r="Q60" i="116"/>
  <c r="R56" i="116" s="1"/>
  <c r="P60" i="116"/>
  <c r="J14" i="115"/>
  <c r="J15" i="115" s="1"/>
  <c r="D2" i="116"/>
  <c r="Q8" i="116"/>
  <c r="R5" i="116" s="1"/>
  <c r="P8" i="116"/>
  <c r="D14" i="115"/>
  <c r="P20" i="116"/>
  <c r="F14" i="115"/>
  <c r="F15" i="115" s="1"/>
  <c r="Q20" i="116"/>
  <c r="R13" i="116" s="1"/>
  <c r="K15" i="115"/>
  <c r="I14" i="115"/>
  <c r="I15" i="115" s="1"/>
  <c r="Q55" i="116"/>
  <c r="R47" i="116" s="1"/>
  <c r="P55" i="116"/>
  <c r="Q46" i="114"/>
  <c r="P46" i="114"/>
  <c r="Q67" i="114"/>
  <c r="R60" i="114" s="1"/>
  <c r="P67" i="114"/>
  <c r="M14" i="113"/>
  <c r="M15" i="113" s="1"/>
  <c r="AF8" i="114"/>
  <c r="AG5" i="114" s="1"/>
  <c r="N8" i="114"/>
  <c r="AE8" i="114"/>
  <c r="Q27" i="114"/>
  <c r="R21" i="114" s="1"/>
  <c r="P27" i="114"/>
  <c r="G14" i="113"/>
  <c r="G15" i="113" s="1"/>
  <c r="Q5" i="114"/>
  <c r="P5" i="114"/>
  <c r="Q6" i="114"/>
  <c r="P6" i="114"/>
  <c r="I14" i="113"/>
  <c r="I15" i="113" s="1"/>
  <c r="Q54" i="114"/>
  <c r="R46" i="114" s="1"/>
  <c r="P54" i="114"/>
  <c r="P39" i="114"/>
  <c r="Q39" i="114"/>
  <c r="L14" i="113"/>
  <c r="P41" i="114"/>
  <c r="Q41" i="114"/>
  <c r="R35" i="114" s="1"/>
  <c r="H15" i="112"/>
  <c r="G15" i="112"/>
  <c r="E6" i="112"/>
  <c r="K15" i="112"/>
  <c r="F7" i="112"/>
  <c r="G6" i="112"/>
  <c r="M15" i="112"/>
  <c r="D15" i="112"/>
  <c r="I6" i="112"/>
  <c r="E7" i="112"/>
  <c r="E15" i="112"/>
  <c r="F8" i="112" s="1"/>
  <c r="F6" i="112"/>
  <c r="G7" i="112"/>
  <c r="AE69" i="111"/>
  <c r="AF69" i="111"/>
  <c r="N69" i="111"/>
  <c r="Q23" i="111"/>
  <c r="P23" i="111"/>
  <c r="P44" i="111"/>
  <c r="Q44" i="111"/>
  <c r="AF11" i="111"/>
  <c r="AE11" i="111"/>
  <c r="AE67" i="111"/>
  <c r="AF67" i="111"/>
  <c r="Q39" i="111"/>
  <c r="M8" i="111"/>
  <c r="AF46" i="111"/>
  <c r="AG37" i="111" s="1"/>
  <c r="AE71" i="111"/>
  <c r="AF71" i="111"/>
  <c r="AF14" i="111"/>
  <c r="AE14" i="111"/>
  <c r="AE49" i="111"/>
  <c r="AF49" i="111"/>
  <c r="P21" i="111"/>
  <c r="Q21" i="111"/>
  <c r="AE16" i="111"/>
  <c r="AF16" i="111"/>
  <c r="M59" i="111"/>
  <c r="AF32" i="111"/>
  <c r="AE32" i="111"/>
  <c r="P60" i="111"/>
  <c r="Q60" i="111"/>
  <c r="Q57" i="111"/>
  <c r="AE47" i="111"/>
  <c r="AF47" i="111"/>
  <c r="AE15" i="111"/>
  <c r="AF15" i="111"/>
  <c r="Q5" i="111"/>
  <c r="P5" i="111"/>
  <c r="AE68" i="111"/>
  <c r="AF68" i="111"/>
  <c r="P42" i="111"/>
  <c r="Q42" i="111"/>
  <c r="AE31" i="111"/>
  <c r="AF31" i="111"/>
  <c r="AE70" i="111"/>
  <c r="AF70" i="111"/>
  <c r="F1" i="111"/>
  <c r="F2" i="111" s="1"/>
  <c r="P61" i="111"/>
  <c r="Q61" i="111"/>
  <c r="M50" i="111"/>
  <c r="AF17" i="111"/>
  <c r="N17" i="111"/>
  <c r="M12" i="111"/>
  <c r="P48" i="111"/>
  <c r="Q48" i="111"/>
  <c r="P43" i="111"/>
  <c r="Q43" i="111"/>
  <c r="P25" i="111"/>
  <c r="Q25" i="111"/>
  <c r="P10" i="111"/>
  <c r="Q10" i="111"/>
  <c r="AF48" i="111"/>
  <c r="AE48" i="111"/>
  <c r="Q40" i="111"/>
  <c r="AF25" i="111"/>
  <c r="AE25" i="111"/>
  <c r="AF66" i="111"/>
  <c r="AE66" i="111"/>
  <c r="P62" i="111"/>
  <c r="Q62" i="111"/>
  <c r="P55" i="111"/>
  <c r="AE33" i="111"/>
  <c r="AF33" i="111"/>
  <c r="AE29" i="111"/>
  <c r="AF29" i="111"/>
  <c r="N70" i="111"/>
  <c r="P49" i="111"/>
  <c r="AF44" i="111"/>
  <c r="AF38" i="111"/>
  <c r="N38" i="111"/>
  <c r="P34" i="111"/>
  <c r="P30" i="111"/>
  <c r="P26" i="111"/>
  <c r="P7" i="111"/>
  <c r="Q7" i="111"/>
  <c r="AF35" i="111"/>
  <c r="N35" i="111"/>
  <c r="AF30" i="111"/>
  <c r="AE30" i="111"/>
  <c r="AE26" i="111"/>
  <c r="AF26" i="111"/>
  <c r="AE63" i="111"/>
  <c r="AF63" i="111"/>
  <c r="AF54" i="111"/>
  <c r="N54" i="111"/>
  <c r="P47" i="111"/>
  <c r="Q47" i="111"/>
  <c r="P24" i="111"/>
  <c r="Q24" i="111"/>
  <c r="Q19" i="111"/>
  <c r="P22" i="111"/>
  <c r="Q22" i="111"/>
  <c r="Q58" i="111"/>
  <c r="P58" i="111"/>
  <c r="M27" i="111"/>
  <c r="N16" i="111"/>
  <c r="M64" i="111"/>
  <c r="Q45" i="111"/>
  <c r="P45" i="111"/>
  <c r="AE34" i="111"/>
  <c r="AF34" i="111"/>
  <c r="N32" i="111"/>
  <c r="AF23" i="111"/>
  <c r="Q6" i="111"/>
  <c r="P6" i="111"/>
  <c r="AE51" i="111"/>
  <c r="AF51" i="111"/>
  <c r="AF37" i="111"/>
  <c r="N37" i="111"/>
  <c r="AE28" i="111"/>
  <c r="AF28" i="111"/>
  <c r="M36" i="111"/>
  <c r="AE23" i="111"/>
  <c r="M20" i="111"/>
  <c r="AF13" i="111"/>
  <c r="AE13" i="111"/>
  <c r="Q67" i="111"/>
  <c r="AE65" i="111"/>
  <c r="M72" i="111"/>
  <c r="AF65" i="111"/>
  <c r="AE53" i="111"/>
  <c r="AF53" i="111"/>
  <c r="N71" i="111"/>
  <c r="P63" i="111"/>
  <c r="AF57" i="111"/>
  <c r="AE52" i="111"/>
  <c r="AF52" i="111"/>
  <c r="N46" i="111"/>
  <c r="AE44" i="111"/>
  <c r="P41" i="111"/>
  <c r="Q41" i="111"/>
  <c r="AE35" i="111"/>
  <c r="AF24" i="111"/>
  <c r="AF21" i="111"/>
  <c r="N14" i="111"/>
  <c r="N11" i="111"/>
  <c r="AF5" i="111"/>
  <c r="AD76" i="108"/>
  <c r="Z76" i="108"/>
  <c r="Y76" i="108"/>
  <c r="O76" i="108"/>
  <c r="K76" i="108"/>
  <c r="AF75" i="108"/>
  <c r="AE75" i="108"/>
  <c r="V75" i="108"/>
  <c r="U75" i="108"/>
  <c r="O75" i="108"/>
  <c r="N75" i="108"/>
  <c r="M75" i="108"/>
  <c r="K75" i="108"/>
  <c r="G75" i="108"/>
  <c r="AF74" i="108"/>
  <c r="AE74" i="108"/>
  <c r="V74" i="108"/>
  <c r="U74" i="108"/>
  <c r="O74" i="108"/>
  <c r="M74" i="108"/>
  <c r="N74" i="108" s="1"/>
  <c r="K74" i="108"/>
  <c r="G74" i="108"/>
  <c r="V73" i="108"/>
  <c r="M73" i="108" s="1"/>
  <c r="U73" i="108"/>
  <c r="O73" i="108"/>
  <c r="K73" i="108"/>
  <c r="G73" i="108"/>
  <c r="AF72" i="108"/>
  <c r="AE72" i="108"/>
  <c r="X72" i="108"/>
  <c r="W72" i="108"/>
  <c r="V72" i="108"/>
  <c r="M72" i="108" s="1"/>
  <c r="N72" i="108" s="1"/>
  <c r="U72" i="108"/>
  <c r="Q72" i="108"/>
  <c r="P72" i="108"/>
  <c r="O72" i="108"/>
  <c r="K72" i="108"/>
  <c r="G72" i="108"/>
  <c r="AF71" i="108"/>
  <c r="AE71" i="108"/>
  <c r="V71" i="108"/>
  <c r="U71" i="108"/>
  <c r="O71" i="108"/>
  <c r="N71" i="108"/>
  <c r="Q71" i="108" s="1"/>
  <c r="M71" i="108"/>
  <c r="K71" i="108"/>
  <c r="G71" i="108"/>
  <c r="AF70" i="108"/>
  <c r="AE70" i="108"/>
  <c r="V70" i="108"/>
  <c r="M70" i="108" s="1"/>
  <c r="N70" i="108" s="1"/>
  <c r="P70" i="108" s="1"/>
  <c r="U70" i="108"/>
  <c r="Q70" i="108"/>
  <c r="O70" i="108"/>
  <c r="K70" i="108"/>
  <c r="G70" i="108"/>
  <c r="AF69" i="108"/>
  <c r="V69" i="108"/>
  <c r="U69" i="108"/>
  <c r="O69" i="108"/>
  <c r="M69" i="108"/>
  <c r="K69" i="108"/>
  <c r="G69" i="108"/>
  <c r="V68" i="108"/>
  <c r="U68" i="108"/>
  <c r="O68" i="108"/>
  <c r="M68" i="108"/>
  <c r="M76" i="108" s="1"/>
  <c r="N76" i="108" s="1"/>
  <c r="K68" i="108"/>
  <c r="G68" i="108"/>
  <c r="AF67" i="108"/>
  <c r="AE67" i="108"/>
  <c r="X67" i="108"/>
  <c r="W67" i="108"/>
  <c r="V67" i="108"/>
  <c r="O67" i="108"/>
  <c r="N67" i="108"/>
  <c r="Q67" i="108" s="1"/>
  <c r="M67" i="108"/>
  <c r="K67" i="108"/>
  <c r="G67" i="108"/>
  <c r="AD66" i="108"/>
  <c r="J21" i="107" s="1"/>
  <c r="Z66" i="108"/>
  <c r="J19" i="107" s="1"/>
  <c r="Y66" i="108"/>
  <c r="O66" i="108"/>
  <c r="M66" i="108"/>
  <c r="N66" i="108" s="1"/>
  <c r="J14" i="107" s="1"/>
  <c r="J15" i="107" s="1"/>
  <c r="K66" i="108"/>
  <c r="AE65" i="108"/>
  <c r="V65" i="108"/>
  <c r="M65" i="108" s="1"/>
  <c r="U65" i="108"/>
  <c r="O65" i="108"/>
  <c r="K65" i="108"/>
  <c r="G65" i="108"/>
  <c r="V64" i="108"/>
  <c r="U64" i="108"/>
  <c r="O64" i="108"/>
  <c r="M64" i="108"/>
  <c r="AE64" i="108" s="1"/>
  <c r="K64" i="108"/>
  <c r="G64" i="108"/>
  <c r="AF63" i="108"/>
  <c r="AE63" i="108"/>
  <c r="V63" i="108"/>
  <c r="M63" i="108" s="1"/>
  <c r="N63" i="108" s="1"/>
  <c r="P63" i="108" s="1"/>
  <c r="U63" i="108"/>
  <c r="Q63" i="108"/>
  <c r="O63" i="108"/>
  <c r="K63" i="108"/>
  <c r="G63" i="108"/>
  <c r="V62" i="108"/>
  <c r="O62" i="108"/>
  <c r="N62" i="108"/>
  <c r="P62" i="108" s="1"/>
  <c r="M62" i="108"/>
  <c r="K62" i="108"/>
  <c r="G62" i="108"/>
  <c r="AD61" i="108"/>
  <c r="Z61" i="108"/>
  <c r="Y61" i="108"/>
  <c r="O61" i="108"/>
  <c r="K61" i="108"/>
  <c r="V60" i="108"/>
  <c r="U60" i="108"/>
  <c r="O60" i="108"/>
  <c r="M60" i="108"/>
  <c r="AF60" i="108" s="1"/>
  <c r="K60" i="108"/>
  <c r="G60" i="108"/>
  <c r="X59" i="108"/>
  <c r="W59" i="108"/>
  <c r="V59" i="108"/>
  <c r="U59" i="108"/>
  <c r="O59" i="108"/>
  <c r="M59" i="108"/>
  <c r="N59" i="108" s="1"/>
  <c r="K59" i="108"/>
  <c r="G59" i="108"/>
  <c r="AE58" i="108"/>
  <c r="V58" i="108"/>
  <c r="M58" i="108" s="1"/>
  <c r="U58" i="108"/>
  <c r="O58" i="108"/>
  <c r="K58" i="108"/>
  <c r="G58" i="108"/>
  <c r="AF57" i="108"/>
  <c r="AE57" i="108"/>
  <c r="V57" i="108"/>
  <c r="U57" i="108"/>
  <c r="O57" i="108"/>
  <c r="M57" i="108"/>
  <c r="N57" i="108" s="1"/>
  <c r="K57" i="108"/>
  <c r="G57" i="108"/>
  <c r="AF56" i="108"/>
  <c r="AE56" i="108"/>
  <c r="V56" i="108"/>
  <c r="U56" i="108"/>
  <c r="Q56" i="108"/>
  <c r="O56" i="108"/>
  <c r="M56" i="108"/>
  <c r="N56" i="108" s="1"/>
  <c r="P56" i="108" s="1"/>
  <c r="K56" i="108"/>
  <c r="G56" i="108"/>
  <c r="AF55" i="108"/>
  <c r="V55" i="108"/>
  <c r="U55" i="108"/>
  <c r="O55" i="108"/>
  <c r="M55" i="108"/>
  <c r="K55" i="108"/>
  <c r="G55" i="108"/>
  <c r="AF54" i="108"/>
  <c r="AE54" i="108"/>
  <c r="V54" i="108"/>
  <c r="U54" i="108"/>
  <c r="O54" i="108"/>
  <c r="N54" i="108"/>
  <c r="M54" i="108"/>
  <c r="K54" i="108"/>
  <c r="G54" i="108"/>
  <c r="V53" i="108"/>
  <c r="U53" i="108"/>
  <c r="O53" i="108"/>
  <c r="M53" i="108"/>
  <c r="AF53" i="108" s="1"/>
  <c r="K53" i="108"/>
  <c r="G53" i="108"/>
  <c r="V52" i="108"/>
  <c r="M52" i="108" s="1"/>
  <c r="O52" i="108"/>
  <c r="K52" i="108"/>
  <c r="G52" i="108"/>
  <c r="AD51" i="108"/>
  <c r="Z51" i="108"/>
  <c r="Y51" i="108"/>
  <c r="H18" i="107" s="1"/>
  <c r="O51" i="108"/>
  <c r="K51" i="108"/>
  <c r="AE50" i="108"/>
  <c r="V50" i="108"/>
  <c r="U50" i="108"/>
  <c r="O50" i="108"/>
  <c r="M50" i="108"/>
  <c r="AF50" i="108" s="1"/>
  <c r="K50" i="108"/>
  <c r="G50" i="108"/>
  <c r="AE49" i="108"/>
  <c r="V49" i="108"/>
  <c r="M49" i="108" s="1"/>
  <c r="U49" i="108"/>
  <c r="O49" i="108"/>
  <c r="K49" i="108"/>
  <c r="G49" i="108"/>
  <c r="AF48" i="108"/>
  <c r="AE48" i="108"/>
  <c r="V48" i="108"/>
  <c r="Q48" i="108"/>
  <c r="P48" i="108"/>
  <c r="O48" i="108"/>
  <c r="N48" i="108"/>
  <c r="M48" i="108"/>
  <c r="K48" i="108"/>
  <c r="G48" i="108"/>
  <c r="AD47" i="108"/>
  <c r="Z47" i="108"/>
  <c r="Y47" i="108"/>
  <c r="O47" i="108"/>
  <c r="K47" i="108"/>
  <c r="V46" i="108"/>
  <c r="U46" i="108"/>
  <c r="O46" i="108"/>
  <c r="M46" i="108"/>
  <c r="N46" i="108" s="1"/>
  <c r="K46" i="108"/>
  <c r="G46" i="108"/>
  <c r="AF45" i="108"/>
  <c r="AE45" i="108"/>
  <c r="V45" i="108"/>
  <c r="U45" i="108"/>
  <c r="O45" i="108"/>
  <c r="N45" i="108"/>
  <c r="Q45" i="108" s="1"/>
  <c r="M45" i="108"/>
  <c r="K45" i="108"/>
  <c r="G45" i="108"/>
  <c r="AF44" i="108"/>
  <c r="AE44" i="108"/>
  <c r="V44" i="108"/>
  <c r="U44" i="108"/>
  <c r="O44" i="108"/>
  <c r="M44" i="108"/>
  <c r="N44" i="108" s="1"/>
  <c r="K44" i="108"/>
  <c r="G44" i="108"/>
  <c r="V43" i="108"/>
  <c r="M43" i="108" s="1"/>
  <c r="U43" i="108"/>
  <c r="O43" i="108"/>
  <c r="K43" i="108"/>
  <c r="G43" i="108"/>
  <c r="AF42" i="108"/>
  <c r="AE42" i="108"/>
  <c r="X42" i="108"/>
  <c r="W42" i="108"/>
  <c r="V42" i="108"/>
  <c r="M42" i="108" s="1"/>
  <c r="N42" i="108" s="1"/>
  <c r="U42" i="108"/>
  <c r="Q42" i="108"/>
  <c r="P42" i="108"/>
  <c r="O42" i="108"/>
  <c r="K42" i="108"/>
  <c r="G42" i="108"/>
  <c r="AF41" i="108"/>
  <c r="AE41" i="108"/>
  <c r="V41" i="108"/>
  <c r="U41" i="108"/>
  <c r="O41" i="108"/>
  <c r="N41" i="108"/>
  <c r="Q41" i="108" s="1"/>
  <c r="M41" i="108"/>
  <c r="K41" i="108"/>
  <c r="G41" i="108"/>
  <c r="V40" i="108"/>
  <c r="U40" i="108"/>
  <c r="O40" i="108"/>
  <c r="M40" i="108"/>
  <c r="N40" i="108" s="1"/>
  <c r="P40" i="108" s="1"/>
  <c r="K40" i="108"/>
  <c r="G40" i="108"/>
  <c r="AF39" i="108"/>
  <c r="V39" i="108"/>
  <c r="U39" i="108"/>
  <c r="O39" i="108"/>
  <c r="M39" i="108"/>
  <c r="K39" i="108"/>
  <c r="G39" i="108"/>
  <c r="V38" i="108"/>
  <c r="U38" i="108"/>
  <c r="O38" i="108"/>
  <c r="M38" i="108"/>
  <c r="AF38" i="108" s="1"/>
  <c r="K38" i="108"/>
  <c r="G38" i="108"/>
  <c r="AF37" i="108"/>
  <c r="AE37" i="108"/>
  <c r="X37" i="108"/>
  <c r="W37" i="108"/>
  <c r="V37" i="108"/>
  <c r="O37" i="108"/>
  <c r="N37" i="108"/>
  <c r="Q37" i="108" s="1"/>
  <c r="M37" i="108"/>
  <c r="K37" i="108"/>
  <c r="G37" i="108"/>
  <c r="AD36" i="108"/>
  <c r="K21" i="107" s="1"/>
  <c r="Z36" i="108"/>
  <c r="K19" i="107" s="1"/>
  <c r="Y36" i="108"/>
  <c r="O36" i="108"/>
  <c r="M36" i="108"/>
  <c r="AF36" i="108" s="1"/>
  <c r="AG28" i="108" s="1"/>
  <c r="K36" i="108"/>
  <c r="AE35" i="108"/>
  <c r="V35" i="108"/>
  <c r="M35" i="108" s="1"/>
  <c r="U35" i="108"/>
  <c r="O35" i="108"/>
  <c r="K35" i="108"/>
  <c r="G35" i="108"/>
  <c r="AF34" i="108"/>
  <c r="AE34" i="108"/>
  <c r="V34" i="108"/>
  <c r="U34" i="108"/>
  <c r="O34" i="108"/>
  <c r="N34" i="108"/>
  <c r="Q34" i="108" s="1"/>
  <c r="M34" i="108"/>
  <c r="K34" i="108"/>
  <c r="G34" i="108"/>
  <c r="AF33" i="108"/>
  <c r="AE33" i="108"/>
  <c r="V33" i="108"/>
  <c r="U33" i="108"/>
  <c r="Q33" i="108"/>
  <c r="O33" i="108"/>
  <c r="M33" i="108"/>
  <c r="N33" i="108" s="1"/>
  <c r="P33" i="108" s="1"/>
  <c r="K33" i="108"/>
  <c r="G33" i="108"/>
  <c r="AF32" i="108"/>
  <c r="X32" i="108"/>
  <c r="W32" i="108"/>
  <c r="V32" i="108"/>
  <c r="U32" i="108"/>
  <c r="O32" i="108"/>
  <c r="N32" i="108"/>
  <c r="P32" i="108" s="1"/>
  <c r="M32" i="108"/>
  <c r="AE32" i="108" s="1"/>
  <c r="K32" i="108"/>
  <c r="G32" i="108"/>
  <c r="AF31" i="108"/>
  <c r="V31" i="108"/>
  <c r="M31" i="108" s="1"/>
  <c r="AE31" i="108" s="1"/>
  <c r="U31" i="108"/>
  <c r="O31" i="108"/>
  <c r="N31" i="108"/>
  <c r="Q31" i="108" s="1"/>
  <c r="K31" i="108"/>
  <c r="G31" i="108"/>
  <c r="AF30" i="108"/>
  <c r="AE30" i="108"/>
  <c r="V30" i="108"/>
  <c r="U30" i="108"/>
  <c r="O30" i="108"/>
  <c r="N30" i="108"/>
  <c r="Q30" i="108" s="1"/>
  <c r="M30" i="108"/>
  <c r="K30" i="108"/>
  <c r="G30" i="108"/>
  <c r="V29" i="108"/>
  <c r="U29" i="108"/>
  <c r="O29" i="108"/>
  <c r="M29" i="108"/>
  <c r="K29" i="108"/>
  <c r="G29" i="108"/>
  <c r="AE28" i="108"/>
  <c r="X28" i="108"/>
  <c r="W28" i="108"/>
  <c r="V28" i="108"/>
  <c r="O28" i="108"/>
  <c r="M28" i="108"/>
  <c r="K28" i="108"/>
  <c r="G28" i="108"/>
  <c r="AD27" i="108"/>
  <c r="Z27" i="108"/>
  <c r="Y27" i="108"/>
  <c r="G18" i="107" s="1"/>
  <c r="O27" i="108"/>
  <c r="K27" i="108"/>
  <c r="V26" i="108"/>
  <c r="U26" i="108"/>
  <c r="O26" i="108"/>
  <c r="M26" i="108"/>
  <c r="M27" i="108" s="1"/>
  <c r="K26" i="108"/>
  <c r="G26" i="108"/>
  <c r="AE25" i="108"/>
  <c r="V25" i="108"/>
  <c r="U25" i="108"/>
  <c r="Q25" i="108"/>
  <c r="O25" i="108"/>
  <c r="N25" i="108"/>
  <c r="P25" i="108" s="1"/>
  <c r="M25" i="108"/>
  <c r="AF25" i="108" s="1"/>
  <c r="K25" i="108"/>
  <c r="G25" i="108"/>
  <c r="AF24" i="108"/>
  <c r="V24" i="108"/>
  <c r="M24" i="108" s="1"/>
  <c r="AE24" i="108" s="1"/>
  <c r="U24" i="108"/>
  <c r="Q24" i="108"/>
  <c r="P24" i="108"/>
  <c r="O24" i="108"/>
  <c r="N24" i="108"/>
  <c r="K24" i="108"/>
  <c r="G24" i="108"/>
  <c r="AF23" i="108"/>
  <c r="AE23" i="108"/>
  <c r="V23" i="108"/>
  <c r="U23" i="108"/>
  <c r="Q23" i="108"/>
  <c r="P23" i="108"/>
  <c r="O23" i="108"/>
  <c r="N23" i="108"/>
  <c r="M23" i="108"/>
  <c r="K23" i="108"/>
  <c r="G23" i="108"/>
  <c r="V22" i="108"/>
  <c r="U22" i="108"/>
  <c r="O22" i="108"/>
  <c r="M22" i="108"/>
  <c r="K22" i="108"/>
  <c r="G22" i="108"/>
  <c r="AE21" i="108"/>
  <c r="V21" i="108"/>
  <c r="M21" i="108" s="1"/>
  <c r="O21" i="108"/>
  <c r="K21" i="108"/>
  <c r="G21" i="108"/>
  <c r="AD20" i="108"/>
  <c r="Z20" i="108"/>
  <c r="Y20" i="108"/>
  <c r="O20" i="108"/>
  <c r="K20" i="108"/>
  <c r="V19" i="108"/>
  <c r="U19" i="108"/>
  <c r="O19" i="108"/>
  <c r="M19" i="108"/>
  <c r="N19" i="108" s="1"/>
  <c r="P19" i="108" s="1"/>
  <c r="K19" i="108"/>
  <c r="G19" i="108"/>
  <c r="AF18" i="108"/>
  <c r="V18" i="108"/>
  <c r="U18" i="108"/>
  <c r="O18" i="108"/>
  <c r="M18" i="108"/>
  <c r="K18" i="108"/>
  <c r="G18" i="108"/>
  <c r="V17" i="108"/>
  <c r="U17" i="108"/>
  <c r="O17" i="108"/>
  <c r="M17" i="108"/>
  <c r="AF17" i="108" s="1"/>
  <c r="K17" i="108"/>
  <c r="G17" i="108"/>
  <c r="AE16" i="108"/>
  <c r="V16" i="108"/>
  <c r="U16" i="108"/>
  <c r="O16" i="108"/>
  <c r="N16" i="108"/>
  <c r="P16" i="108" s="1"/>
  <c r="M16" i="108"/>
  <c r="AF16" i="108" s="1"/>
  <c r="K16" i="108"/>
  <c r="G16" i="108"/>
  <c r="AF15" i="108"/>
  <c r="V15" i="108"/>
  <c r="M15" i="108" s="1"/>
  <c r="AE15" i="108" s="1"/>
  <c r="U15" i="108"/>
  <c r="Q15" i="108"/>
  <c r="P15" i="108"/>
  <c r="O15" i="108"/>
  <c r="N15" i="108"/>
  <c r="K15" i="108"/>
  <c r="G15" i="108"/>
  <c r="AF14" i="108"/>
  <c r="AE14" i="108"/>
  <c r="V14" i="108"/>
  <c r="U14" i="108"/>
  <c r="O14" i="108"/>
  <c r="M14" i="108"/>
  <c r="N14" i="108" s="1"/>
  <c r="K14" i="108"/>
  <c r="G14" i="108"/>
  <c r="AE13" i="108"/>
  <c r="V13" i="108"/>
  <c r="Q13" i="108"/>
  <c r="O13" i="108"/>
  <c r="N13" i="108"/>
  <c r="P13" i="108" s="1"/>
  <c r="M13" i="108"/>
  <c r="K13" i="108"/>
  <c r="G13" i="108"/>
  <c r="AD12" i="108"/>
  <c r="E21" i="107" s="1"/>
  <c r="Z12" i="108"/>
  <c r="E19" i="107" s="1"/>
  <c r="Y12" i="108"/>
  <c r="O12" i="108"/>
  <c r="K12" i="108"/>
  <c r="AF11" i="108"/>
  <c r="AE11" i="108"/>
  <c r="V11" i="108"/>
  <c r="U11" i="108"/>
  <c r="O11" i="108"/>
  <c r="N11" i="108"/>
  <c r="Q11" i="108" s="1"/>
  <c r="M11" i="108"/>
  <c r="K11" i="108"/>
  <c r="G11" i="108"/>
  <c r="AF10" i="108"/>
  <c r="AE10" i="108"/>
  <c r="V10" i="108"/>
  <c r="U10" i="108"/>
  <c r="Q10" i="108"/>
  <c r="O10" i="108"/>
  <c r="M10" i="108"/>
  <c r="N10" i="108" s="1"/>
  <c r="P10" i="108" s="1"/>
  <c r="K10" i="108"/>
  <c r="G10" i="108"/>
  <c r="X9" i="108"/>
  <c r="W9" i="108"/>
  <c r="V9" i="108"/>
  <c r="O9" i="108"/>
  <c r="N9" i="108"/>
  <c r="Q9" i="108" s="1"/>
  <c r="M9" i="108"/>
  <c r="K9" i="108"/>
  <c r="G9" i="108"/>
  <c r="AD8" i="108"/>
  <c r="Z8" i="108"/>
  <c r="Z2" i="108" s="1"/>
  <c r="Y8" i="108"/>
  <c r="Y2" i="108" s="1"/>
  <c r="O8" i="108"/>
  <c r="M8" i="108"/>
  <c r="K8" i="108"/>
  <c r="AF7" i="108"/>
  <c r="AE7" i="108"/>
  <c r="V7" i="108"/>
  <c r="U7" i="108"/>
  <c r="O7" i="108"/>
  <c r="N7" i="108"/>
  <c r="Q7" i="108" s="1"/>
  <c r="M7" i="108"/>
  <c r="K7" i="108"/>
  <c r="G7" i="108"/>
  <c r="AE6" i="108"/>
  <c r="V6" i="108"/>
  <c r="U6" i="108"/>
  <c r="O6" i="108"/>
  <c r="N6" i="108"/>
  <c r="P6" i="108" s="1"/>
  <c r="M6" i="108"/>
  <c r="AF6" i="108" s="1"/>
  <c r="K6" i="108"/>
  <c r="G6" i="108"/>
  <c r="AF5" i="108"/>
  <c r="AE5" i="108"/>
  <c r="V5" i="108"/>
  <c r="M5" i="108" s="1"/>
  <c r="N5" i="108" s="1"/>
  <c r="Q5" i="108"/>
  <c r="P5" i="108"/>
  <c r="O5" i="108"/>
  <c r="K5" i="108"/>
  <c r="G5" i="108"/>
  <c r="F1" i="108" s="1"/>
  <c r="I3" i="107" s="1"/>
  <c r="AD2" i="108"/>
  <c r="AC2" i="108"/>
  <c r="H2" i="108"/>
  <c r="F2" i="108"/>
  <c r="H1" i="108"/>
  <c r="D1" i="108"/>
  <c r="M22" i="107"/>
  <c r="L22" i="107"/>
  <c r="K22" i="107"/>
  <c r="J22" i="107"/>
  <c r="I22" i="107"/>
  <c r="H22" i="107"/>
  <c r="G22" i="107"/>
  <c r="F22" i="107"/>
  <c r="E22" i="107"/>
  <c r="D22" i="107"/>
  <c r="M21" i="107"/>
  <c r="L21" i="107"/>
  <c r="I21" i="107"/>
  <c r="H21" i="107"/>
  <c r="G21" i="107"/>
  <c r="F21" i="107"/>
  <c r="D21" i="107"/>
  <c r="M20" i="107"/>
  <c r="L20" i="107"/>
  <c r="K20" i="107"/>
  <c r="J20" i="107"/>
  <c r="I20" i="107"/>
  <c r="H20" i="107"/>
  <c r="G20" i="107"/>
  <c r="F20" i="107"/>
  <c r="E20" i="107"/>
  <c r="D20" i="107"/>
  <c r="M19" i="107"/>
  <c r="L19" i="107"/>
  <c r="I19" i="107"/>
  <c r="H19" i="107"/>
  <c r="G19" i="107"/>
  <c r="F19" i="107"/>
  <c r="D19" i="107"/>
  <c r="M18" i="107"/>
  <c r="L18" i="107"/>
  <c r="K18" i="107"/>
  <c r="J18" i="107"/>
  <c r="I18" i="107"/>
  <c r="F18" i="107"/>
  <c r="E18" i="107"/>
  <c r="D18" i="107"/>
  <c r="M17" i="107"/>
  <c r="L17" i="107"/>
  <c r="K17" i="107"/>
  <c r="J17" i="107"/>
  <c r="I17" i="107"/>
  <c r="H17" i="107"/>
  <c r="G17" i="107"/>
  <c r="F17" i="107"/>
  <c r="E17" i="107"/>
  <c r="D17" i="107"/>
  <c r="M16" i="107"/>
  <c r="L16" i="107"/>
  <c r="K16" i="107"/>
  <c r="J16" i="107"/>
  <c r="I16" i="107"/>
  <c r="H16" i="107"/>
  <c r="G16" i="107"/>
  <c r="F16" i="107"/>
  <c r="E16" i="107"/>
  <c r="D16" i="107"/>
  <c r="M13" i="107"/>
  <c r="L13" i="107"/>
  <c r="K13" i="107"/>
  <c r="J13" i="107"/>
  <c r="I13" i="107"/>
  <c r="H13" i="107"/>
  <c r="G13" i="107"/>
  <c r="F13" i="107"/>
  <c r="E6" i="107" s="1"/>
  <c r="E13" i="107"/>
  <c r="D13" i="107"/>
  <c r="N6" i="107"/>
  <c r="M6" i="107"/>
  <c r="L6" i="107"/>
  <c r="K6" i="107"/>
  <c r="I6" i="107"/>
  <c r="G6" i="107"/>
  <c r="F6" i="107"/>
  <c r="F3" i="107"/>
  <c r="C3" i="107"/>
  <c r="D15" i="115" l="1"/>
  <c r="E7" i="115"/>
  <c r="G7" i="115"/>
  <c r="F7" i="115"/>
  <c r="I7" i="115"/>
  <c r="I8" i="115"/>
  <c r="L15" i="113"/>
  <c r="I8" i="113" s="1"/>
  <c r="I7" i="113"/>
  <c r="D2" i="114"/>
  <c r="Q8" i="114"/>
  <c r="R5" i="114" s="1"/>
  <c r="P8" i="114"/>
  <c r="D14" i="113"/>
  <c r="G8" i="112"/>
  <c r="I8" i="112"/>
  <c r="E8" i="112"/>
  <c r="Q35" i="111"/>
  <c r="P35" i="111"/>
  <c r="AF59" i="111"/>
  <c r="AG51" i="111" s="1"/>
  <c r="N59" i="111"/>
  <c r="AE59" i="111"/>
  <c r="AE8" i="111"/>
  <c r="AF8" i="111"/>
  <c r="AG5" i="111" s="1"/>
  <c r="N8" i="111"/>
  <c r="P11" i="111"/>
  <c r="Q11" i="111"/>
  <c r="N36" i="111"/>
  <c r="AE36" i="111"/>
  <c r="AF36" i="111"/>
  <c r="AG28" i="111" s="1"/>
  <c r="AF50" i="111"/>
  <c r="AG47" i="111" s="1"/>
  <c r="AE50" i="111"/>
  <c r="N50" i="111"/>
  <c r="P14" i="111"/>
  <c r="Q14" i="111"/>
  <c r="P71" i="111"/>
  <c r="Q71" i="111"/>
  <c r="AE64" i="111"/>
  <c r="AF64" i="111"/>
  <c r="AG60" i="111" s="1"/>
  <c r="N64" i="111"/>
  <c r="P37" i="111"/>
  <c r="Q37" i="111"/>
  <c r="AF27" i="111"/>
  <c r="AG21" i="111" s="1"/>
  <c r="AE27" i="111"/>
  <c r="N27" i="111"/>
  <c r="P38" i="111"/>
  <c r="Q38" i="111"/>
  <c r="P46" i="111"/>
  <c r="Q46" i="111"/>
  <c r="R37" i="111" s="1"/>
  <c r="P54" i="111"/>
  <c r="Q54" i="111"/>
  <c r="Q16" i="111"/>
  <c r="P16" i="111"/>
  <c r="AF72" i="111"/>
  <c r="AG65" i="111" s="1"/>
  <c r="N72" i="111"/>
  <c r="AE72" i="111"/>
  <c r="AE12" i="111"/>
  <c r="AF12" i="111"/>
  <c r="AG9" i="111" s="1"/>
  <c r="N12" i="111"/>
  <c r="P69" i="111"/>
  <c r="Q69" i="111"/>
  <c r="N20" i="111"/>
  <c r="AE20" i="111"/>
  <c r="AF20" i="111"/>
  <c r="AG13" i="111" s="1"/>
  <c r="Q32" i="111"/>
  <c r="P32" i="111"/>
  <c r="Q70" i="111"/>
  <c r="P70" i="111"/>
  <c r="P17" i="111"/>
  <c r="Q17" i="111"/>
  <c r="Q74" i="108"/>
  <c r="P74" i="108"/>
  <c r="Q14" i="108"/>
  <c r="P14" i="108"/>
  <c r="P46" i="108"/>
  <c r="Q46" i="108"/>
  <c r="Q44" i="108"/>
  <c r="P44" i="108"/>
  <c r="AE27" i="108"/>
  <c r="N27" i="108"/>
  <c r="AF27" i="108"/>
  <c r="AG21" i="108" s="1"/>
  <c r="P59" i="108"/>
  <c r="Q59" i="108"/>
  <c r="P76" i="108"/>
  <c r="M14" i="107"/>
  <c r="M15" i="107" s="1"/>
  <c r="Q76" i="108"/>
  <c r="R67" i="108" s="1"/>
  <c r="Q57" i="108"/>
  <c r="P57" i="108"/>
  <c r="Q6" i="108"/>
  <c r="N36" i="108"/>
  <c r="K14" i="107" s="1"/>
  <c r="N68" i="108"/>
  <c r="Q19" i="108"/>
  <c r="Q40" i="108"/>
  <c r="N53" i="108"/>
  <c r="N17" i="108"/>
  <c r="N38" i="108"/>
  <c r="N64" i="108"/>
  <c r="AF19" i="108"/>
  <c r="N26" i="108"/>
  <c r="Q26" i="108" s="1"/>
  <c r="P30" i="108"/>
  <c r="Q32" i="108"/>
  <c r="P34" i="108"/>
  <c r="AE36" i="108"/>
  <c r="AF40" i="108"/>
  <c r="N60" i="108"/>
  <c r="AF68" i="108"/>
  <c r="AE19" i="108"/>
  <c r="M47" i="108"/>
  <c r="AE68" i="108"/>
  <c r="Q62" i="108"/>
  <c r="P9" i="108"/>
  <c r="P11" i="108"/>
  <c r="AF64" i="108"/>
  <c r="P71" i="108"/>
  <c r="P7" i="108"/>
  <c r="AE26" i="108"/>
  <c r="P45" i="108"/>
  <c r="P67" i="108"/>
  <c r="AF26" i="108"/>
  <c r="AE60" i="108"/>
  <c r="AE40" i="108"/>
  <c r="M51" i="108"/>
  <c r="N50" i="108"/>
  <c r="Q16" i="108"/>
  <c r="P31" i="108"/>
  <c r="AE17" i="108"/>
  <c r="AE38" i="108"/>
  <c r="AE53" i="108"/>
  <c r="P37" i="108"/>
  <c r="P41" i="108"/>
  <c r="N8" i="108"/>
  <c r="AF8" i="108"/>
  <c r="AG5" i="108" s="1"/>
  <c r="AE8" i="108"/>
  <c r="AF9" i="108"/>
  <c r="AE9" i="108"/>
  <c r="M12" i="108"/>
  <c r="AE12" i="108" s="1"/>
  <c r="M20" i="108"/>
  <c r="AF13" i="108"/>
  <c r="Q17" i="108"/>
  <c r="P17" i="108"/>
  <c r="AE18" i="108"/>
  <c r="N18" i="108"/>
  <c r="AF21" i="108"/>
  <c r="N21" i="108"/>
  <c r="N22" i="108"/>
  <c r="AF22" i="108"/>
  <c r="AE22" i="108"/>
  <c r="AF28" i="108"/>
  <c r="N28" i="108"/>
  <c r="N29" i="108"/>
  <c r="AF29" i="108"/>
  <c r="AE29" i="108"/>
  <c r="AF35" i="108"/>
  <c r="N35" i="108"/>
  <c r="Q38" i="108"/>
  <c r="P38" i="108"/>
  <c r="AE39" i="108"/>
  <c r="N39" i="108"/>
  <c r="N43" i="108"/>
  <c r="AF43" i="108"/>
  <c r="AE43" i="108"/>
  <c r="AF46" i="108"/>
  <c r="AE46" i="108"/>
  <c r="AF49" i="108"/>
  <c r="N49" i="108"/>
  <c r="M61" i="108"/>
  <c r="N52" i="108"/>
  <c r="AF52" i="108"/>
  <c r="AE52" i="108"/>
  <c r="Q54" i="108"/>
  <c r="P54" i="108"/>
  <c r="AE55" i="108"/>
  <c r="N55" i="108"/>
  <c r="AF58" i="108"/>
  <c r="N58" i="108"/>
  <c r="AF59" i="108"/>
  <c r="AE59" i="108"/>
  <c r="AF62" i="108"/>
  <c r="AE62" i="108"/>
  <c r="AF65" i="108"/>
  <c r="N65" i="108"/>
  <c r="AF66" i="108"/>
  <c r="AG62" i="108" s="1"/>
  <c r="AE66" i="108"/>
  <c r="Q66" i="108"/>
  <c r="R62" i="108" s="1"/>
  <c r="P66" i="108"/>
  <c r="Q68" i="108"/>
  <c r="P68" i="108"/>
  <c r="AE69" i="108"/>
  <c r="N69" i="108"/>
  <c r="N73" i="108"/>
  <c r="AF73" i="108"/>
  <c r="AE73" i="108"/>
  <c r="Q75" i="108"/>
  <c r="P75" i="108"/>
  <c r="AF76" i="108"/>
  <c r="AG67" i="108" s="1"/>
  <c r="AE76" i="108"/>
  <c r="AD80" i="106"/>
  <c r="Z80" i="106"/>
  <c r="Y80" i="106"/>
  <c r="O80" i="106"/>
  <c r="K80" i="106"/>
  <c r="AF79" i="106"/>
  <c r="AE79" i="106"/>
  <c r="V79" i="106"/>
  <c r="U79" i="106"/>
  <c r="O79" i="106"/>
  <c r="N79" i="106"/>
  <c r="Q79" i="106" s="1"/>
  <c r="M79" i="106"/>
  <c r="K79" i="106"/>
  <c r="G79" i="106"/>
  <c r="AF78" i="106"/>
  <c r="AE78" i="106"/>
  <c r="V78" i="106"/>
  <c r="U78" i="106"/>
  <c r="Q78" i="106"/>
  <c r="O78" i="106"/>
  <c r="N78" i="106"/>
  <c r="P78" i="106" s="1"/>
  <c r="M78" i="106"/>
  <c r="K78" i="106"/>
  <c r="G78" i="106"/>
  <c r="AF77" i="106"/>
  <c r="AE77" i="106"/>
  <c r="V77" i="106"/>
  <c r="U77" i="106"/>
  <c r="O77" i="106"/>
  <c r="M77" i="106"/>
  <c r="N77" i="106" s="1"/>
  <c r="K77" i="106"/>
  <c r="G77" i="106"/>
  <c r="AF76" i="106"/>
  <c r="AE76" i="106"/>
  <c r="X76" i="106"/>
  <c r="W76" i="106"/>
  <c r="V76" i="106"/>
  <c r="U76" i="106"/>
  <c r="Q76" i="106"/>
  <c r="P76" i="106"/>
  <c r="O76" i="106"/>
  <c r="N76" i="106"/>
  <c r="M76" i="106"/>
  <c r="K76" i="106"/>
  <c r="G76" i="106"/>
  <c r="V75" i="106"/>
  <c r="U75" i="106"/>
  <c r="O75" i="106"/>
  <c r="M75" i="106"/>
  <c r="N75" i="106" s="1"/>
  <c r="K75" i="106"/>
  <c r="G75" i="106"/>
  <c r="AF74" i="106"/>
  <c r="AE74" i="106"/>
  <c r="V74" i="106"/>
  <c r="U74" i="106"/>
  <c r="P74" i="106"/>
  <c r="O74" i="106"/>
  <c r="N74" i="106"/>
  <c r="Q74" i="106" s="1"/>
  <c r="M74" i="106"/>
  <c r="K74" i="106"/>
  <c r="G74" i="106"/>
  <c r="AF73" i="106"/>
  <c r="AE73" i="106"/>
  <c r="V73" i="106"/>
  <c r="U73" i="106"/>
  <c r="Q73" i="106"/>
  <c r="P73" i="106"/>
  <c r="O73" i="106"/>
  <c r="N73" i="106"/>
  <c r="M73" i="106"/>
  <c r="K73" i="106"/>
  <c r="G73" i="106"/>
  <c r="AF72" i="106"/>
  <c r="X72" i="106"/>
  <c r="W72" i="106"/>
  <c r="V72" i="106"/>
  <c r="O72" i="106"/>
  <c r="M72" i="106"/>
  <c r="N72" i="106" s="1"/>
  <c r="K72" i="106"/>
  <c r="G72" i="106"/>
  <c r="AD71" i="106"/>
  <c r="Z71" i="106"/>
  <c r="Y71" i="106"/>
  <c r="O71" i="106"/>
  <c r="K71" i="106"/>
  <c r="V70" i="106"/>
  <c r="U70" i="106"/>
  <c r="O70" i="106"/>
  <c r="M70" i="106"/>
  <c r="N70" i="106" s="1"/>
  <c r="K70" i="106"/>
  <c r="G70" i="106"/>
  <c r="AF69" i="106"/>
  <c r="AE69" i="106"/>
  <c r="V69" i="106"/>
  <c r="U69" i="106"/>
  <c r="Q69" i="106"/>
  <c r="P69" i="106"/>
  <c r="O69" i="106"/>
  <c r="N69" i="106"/>
  <c r="M69" i="106"/>
  <c r="K69" i="106"/>
  <c r="G69" i="106"/>
  <c r="V68" i="106"/>
  <c r="U68" i="106"/>
  <c r="O68" i="106"/>
  <c r="M68" i="106"/>
  <c r="N68" i="106" s="1"/>
  <c r="K68" i="106"/>
  <c r="G68" i="106"/>
  <c r="AF67" i="106"/>
  <c r="AE67" i="106"/>
  <c r="V67" i="106"/>
  <c r="U67" i="106"/>
  <c r="P67" i="106"/>
  <c r="O67" i="106"/>
  <c r="N67" i="106"/>
  <c r="Q67" i="106" s="1"/>
  <c r="M67" i="106"/>
  <c r="K67" i="106"/>
  <c r="G67" i="106"/>
  <c r="AF66" i="106"/>
  <c r="AE66" i="106"/>
  <c r="V66" i="106"/>
  <c r="Q66" i="106"/>
  <c r="P66" i="106"/>
  <c r="O66" i="106"/>
  <c r="N66" i="106"/>
  <c r="M66" i="106"/>
  <c r="K66" i="106"/>
  <c r="G66" i="106"/>
  <c r="AD65" i="106"/>
  <c r="Z65" i="106"/>
  <c r="Y65" i="106"/>
  <c r="O65" i="106"/>
  <c r="K65" i="106"/>
  <c r="AF64" i="106"/>
  <c r="AE64" i="106"/>
  <c r="V64" i="106"/>
  <c r="U64" i="106"/>
  <c r="Q64" i="106"/>
  <c r="O64" i="106"/>
  <c r="N64" i="106"/>
  <c r="P64" i="106" s="1"/>
  <c r="M64" i="106"/>
  <c r="K64" i="106"/>
  <c r="G64" i="106"/>
  <c r="X63" i="106"/>
  <c r="W63" i="106"/>
  <c r="V63" i="106"/>
  <c r="U63" i="106"/>
  <c r="O63" i="106"/>
  <c r="M63" i="106"/>
  <c r="N63" i="106" s="1"/>
  <c r="K63" i="106"/>
  <c r="G63" i="106"/>
  <c r="AF62" i="106"/>
  <c r="AE62" i="106"/>
  <c r="V62" i="106"/>
  <c r="U62" i="106"/>
  <c r="Q62" i="106"/>
  <c r="P62" i="106"/>
  <c r="O62" i="106"/>
  <c r="N62" i="106"/>
  <c r="M62" i="106"/>
  <c r="K62" i="106"/>
  <c r="G62" i="106"/>
  <c r="V61" i="106"/>
  <c r="U61" i="106"/>
  <c r="O61" i="106"/>
  <c r="M61" i="106"/>
  <c r="N61" i="106" s="1"/>
  <c r="K61" i="106"/>
  <c r="G61" i="106"/>
  <c r="AF60" i="106"/>
  <c r="AE60" i="106"/>
  <c r="V60" i="106"/>
  <c r="U60" i="106"/>
  <c r="P60" i="106"/>
  <c r="O60" i="106"/>
  <c r="N60" i="106"/>
  <c r="Q60" i="106" s="1"/>
  <c r="M60" i="106"/>
  <c r="K60" i="106"/>
  <c r="G60" i="106"/>
  <c r="AF59" i="106"/>
  <c r="AE59" i="106"/>
  <c r="V59" i="106"/>
  <c r="U59" i="106"/>
  <c r="Q59" i="106"/>
  <c r="P59" i="106"/>
  <c r="O59" i="106"/>
  <c r="N59" i="106"/>
  <c r="M59" i="106"/>
  <c r="K59" i="106"/>
  <c r="G59" i="106"/>
  <c r="AF58" i="106"/>
  <c r="AE58" i="106"/>
  <c r="V58" i="106"/>
  <c r="U58" i="106"/>
  <c r="Q58" i="106"/>
  <c r="P58" i="106"/>
  <c r="O58" i="106"/>
  <c r="N58" i="106"/>
  <c r="M58" i="106"/>
  <c r="K58" i="106"/>
  <c r="G58" i="106"/>
  <c r="AF57" i="106"/>
  <c r="AE57" i="106"/>
  <c r="V57" i="106"/>
  <c r="U57" i="106"/>
  <c r="Q57" i="106"/>
  <c r="P57" i="106"/>
  <c r="O57" i="106"/>
  <c r="N57" i="106"/>
  <c r="M57" i="106"/>
  <c r="K57" i="106"/>
  <c r="G57" i="106"/>
  <c r="AF56" i="106"/>
  <c r="AE56" i="106"/>
  <c r="V56" i="106"/>
  <c r="O56" i="106"/>
  <c r="M56" i="106"/>
  <c r="M65" i="106" s="1"/>
  <c r="K56" i="106"/>
  <c r="G56" i="106"/>
  <c r="AD55" i="106"/>
  <c r="Z55" i="106"/>
  <c r="Y55" i="106"/>
  <c r="O55" i="106"/>
  <c r="K55" i="106"/>
  <c r="V54" i="106"/>
  <c r="U54" i="106"/>
  <c r="O54" i="106"/>
  <c r="M54" i="106"/>
  <c r="N54" i="106" s="1"/>
  <c r="K54" i="106"/>
  <c r="G54" i="106"/>
  <c r="AF53" i="106"/>
  <c r="AE53" i="106"/>
  <c r="V53" i="106"/>
  <c r="U53" i="106"/>
  <c r="Q53" i="106"/>
  <c r="P53" i="106"/>
  <c r="O53" i="106"/>
  <c r="N53" i="106"/>
  <c r="M53" i="106"/>
  <c r="K53" i="106"/>
  <c r="G53" i="106"/>
  <c r="AF52" i="106"/>
  <c r="AE52" i="106"/>
  <c r="V52" i="106"/>
  <c r="O52" i="106"/>
  <c r="N52" i="106"/>
  <c r="Q52" i="106" s="1"/>
  <c r="M52" i="106"/>
  <c r="K52" i="106"/>
  <c r="G52" i="106"/>
  <c r="AD51" i="106"/>
  <c r="Z51" i="106"/>
  <c r="Y51" i="106"/>
  <c r="O51" i="106"/>
  <c r="K51" i="106"/>
  <c r="AF50" i="106"/>
  <c r="AE50" i="106"/>
  <c r="V50" i="106"/>
  <c r="U50" i="106"/>
  <c r="Q50" i="106"/>
  <c r="P50" i="106"/>
  <c r="O50" i="106"/>
  <c r="N50" i="106"/>
  <c r="M50" i="106"/>
  <c r="K50" i="106"/>
  <c r="G50" i="106"/>
  <c r="AF49" i="106"/>
  <c r="AE49" i="106"/>
  <c r="V49" i="106"/>
  <c r="U49" i="106"/>
  <c r="O49" i="106"/>
  <c r="N49" i="106"/>
  <c r="Q49" i="106" s="1"/>
  <c r="M49" i="106"/>
  <c r="K49" i="106"/>
  <c r="G49" i="106"/>
  <c r="AF48" i="106"/>
  <c r="AE48" i="106"/>
  <c r="V48" i="106"/>
  <c r="U48" i="106"/>
  <c r="Q48" i="106"/>
  <c r="O48" i="106"/>
  <c r="N48" i="106"/>
  <c r="P48" i="106" s="1"/>
  <c r="M48" i="106"/>
  <c r="K48" i="106"/>
  <c r="G48" i="106"/>
  <c r="AF47" i="106"/>
  <c r="AE47" i="106"/>
  <c r="V47" i="106"/>
  <c r="U47" i="106"/>
  <c r="O47" i="106"/>
  <c r="M47" i="106"/>
  <c r="N47" i="106" s="1"/>
  <c r="K47" i="106"/>
  <c r="G47" i="106"/>
  <c r="AF46" i="106"/>
  <c r="AE46" i="106"/>
  <c r="V46" i="106"/>
  <c r="U46" i="106"/>
  <c r="O46" i="106"/>
  <c r="N46" i="106"/>
  <c r="Q46" i="106" s="1"/>
  <c r="M46" i="106"/>
  <c r="K46" i="106"/>
  <c r="G46" i="106"/>
  <c r="V45" i="106"/>
  <c r="U45" i="106"/>
  <c r="O45" i="106"/>
  <c r="M45" i="106"/>
  <c r="N45" i="106" s="1"/>
  <c r="K45" i="106"/>
  <c r="G45" i="106"/>
  <c r="AF44" i="106"/>
  <c r="AE44" i="106"/>
  <c r="V44" i="106"/>
  <c r="U44" i="106"/>
  <c r="Q44" i="106"/>
  <c r="P44" i="106"/>
  <c r="O44" i="106"/>
  <c r="N44" i="106"/>
  <c r="M44" i="106"/>
  <c r="K44" i="106"/>
  <c r="G44" i="106"/>
  <c r="V43" i="106"/>
  <c r="U43" i="106"/>
  <c r="O43" i="106"/>
  <c r="M43" i="106"/>
  <c r="N43" i="106" s="1"/>
  <c r="K43" i="106"/>
  <c r="G43" i="106"/>
  <c r="AF42" i="106"/>
  <c r="AE42" i="106"/>
  <c r="V42" i="106"/>
  <c r="U42" i="106"/>
  <c r="P42" i="106"/>
  <c r="O42" i="106"/>
  <c r="N42" i="106"/>
  <c r="Q42" i="106" s="1"/>
  <c r="M42" i="106"/>
  <c r="K42" i="106"/>
  <c r="G42" i="106"/>
  <c r="AF41" i="106"/>
  <c r="AE41" i="106"/>
  <c r="V41" i="106"/>
  <c r="U41" i="106"/>
  <c r="Q41" i="106"/>
  <c r="P41" i="106"/>
  <c r="O41" i="106"/>
  <c r="N41" i="106"/>
  <c r="M41" i="106"/>
  <c r="K41" i="106"/>
  <c r="G41" i="106"/>
  <c r="AF40" i="106"/>
  <c r="X40" i="106"/>
  <c r="W40" i="106"/>
  <c r="V40" i="106"/>
  <c r="O40" i="106"/>
  <c r="M40" i="106"/>
  <c r="N40" i="106" s="1"/>
  <c r="K40" i="106"/>
  <c r="G40" i="106"/>
  <c r="AD39" i="106"/>
  <c r="Z39" i="106"/>
  <c r="Y39" i="106"/>
  <c r="O39" i="106"/>
  <c r="K39" i="106"/>
  <c r="V38" i="106"/>
  <c r="U38" i="106"/>
  <c r="O38" i="106"/>
  <c r="M38" i="106"/>
  <c r="N38" i="106" s="1"/>
  <c r="K38" i="106"/>
  <c r="G38" i="106"/>
  <c r="AF37" i="106"/>
  <c r="AE37" i="106"/>
  <c r="V37" i="106"/>
  <c r="U37" i="106"/>
  <c r="Q37" i="106"/>
  <c r="P37" i="106"/>
  <c r="O37" i="106"/>
  <c r="N37" i="106"/>
  <c r="M37" i="106"/>
  <c r="K37" i="106"/>
  <c r="G37" i="106"/>
  <c r="V36" i="106"/>
  <c r="U36" i="106"/>
  <c r="O36" i="106"/>
  <c r="M36" i="106"/>
  <c r="N36" i="106" s="1"/>
  <c r="K36" i="106"/>
  <c r="G36" i="106"/>
  <c r="AF35" i="106"/>
  <c r="AE35" i="106"/>
  <c r="X35" i="106"/>
  <c r="W35" i="106"/>
  <c r="V35" i="106"/>
  <c r="U35" i="106"/>
  <c r="Q35" i="106"/>
  <c r="P35" i="106"/>
  <c r="O35" i="106"/>
  <c r="N35" i="106"/>
  <c r="M35" i="106"/>
  <c r="K35" i="106"/>
  <c r="G35" i="106"/>
  <c r="AF34" i="106"/>
  <c r="AE34" i="106"/>
  <c r="V34" i="106"/>
  <c r="U34" i="106"/>
  <c r="Q34" i="106"/>
  <c r="P34" i="106"/>
  <c r="O34" i="106"/>
  <c r="N34" i="106"/>
  <c r="M34" i="106"/>
  <c r="K34" i="106"/>
  <c r="G34" i="106"/>
  <c r="AF33" i="106"/>
  <c r="AE33" i="106"/>
  <c r="V33" i="106"/>
  <c r="U33" i="106"/>
  <c r="O33" i="106"/>
  <c r="N33" i="106"/>
  <c r="Q33" i="106" s="1"/>
  <c r="M33" i="106"/>
  <c r="K33" i="106"/>
  <c r="G33" i="106"/>
  <c r="AF32" i="106"/>
  <c r="AE32" i="106"/>
  <c r="V32" i="106"/>
  <c r="U32" i="106"/>
  <c r="Q32" i="106"/>
  <c r="P32" i="106"/>
  <c r="O32" i="106"/>
  <c r="N32" i="106"/>
  <c r="M32" i="106"/>
  <c r="K32" i="106"/>
  <c r="G32" i="106"/>
  <c r="X31" i="106"/>
  <c r="W31" i="106"/>
  <c r="V31" i="106"/>
  <c r="O31" i="106"/>
  <c r="M31" i="106"/>
  <c r="M39" i="106" s="1"/>
  <c r="K31" i="106"/>
  <c r="G31" i="106"/>
  <c r="AD30" i="106"/>
  <c r="Z30" i="106"/>
  <c r="Y30" i="106"/>
  <c r="O30" i="106"/>
  <c r="K30" i="106"/>
  <c r="AF29" i="106"/>
  <c r="AE29" i="106"/>
  <c r="V29" i="106"/>
  <c r="U29" i="106"/>
  <c r="Q29" i="106"/>
  <c r="P29" i="106"/>
  <c r="O29" i="106"/>
  <c r="N29" i="106"/>
  <c r="M29" i="106"/>
  <c r="K29" i="106"/>
  <c r="G29" i="106"/>
  <c r="AF28" i="106"/>
  <c r="AE28" i="106"/>
  <c r="V28" i="106"/>
  <c r="U28" i="106"/>
  <c r="Q28" i="106"/>
  <c r="P28" i="106"/>
  <c r="O28" i="106"/>
  <c r="N28" i="106"/>
  <c r="M28" i="106"/>
  <c r="K28" i="106"/>
  <c r="G28" i="106"/>
  <c r="AF27" i="106"/>
  <c r="AE27" i="106"/>
  <c r="V27" i="106"/>
  <c r="U27" i="106"/>
  <c r="Q27" i="106"/>
  <c r="P27" i="106"/>
  <c r="O27" i="106"/>
  <c r="N27" i="106"/>
  <c r="M27" i="106"/>
  <c r="K27" i="106"/>
  <c r="G27" i="106"/>
  <c r="AF26" i="106"/>
  <c r="AE26" i="106"/>
  <c r="V26" i="106"/>
  <c r="U26" i="106"/>
  <c r="O26" i="106"/>
  <c r="N26" i="106"/>
  <c r="Q26" i="106" s="1"/>
  <c r="M26" i="106"/>
  <c r="K26" i="106"/>
  <c r="G26" i="106"/>
  <c r="AF25" i="106"/>
  <c r="AE25" i="106"/>
  <c r="V25" i="106"/>
  <c r="U25" i="106"/>
  <c r="Q25" i="106"/>
  <c r="P25" i="106"/>
  <c r="O25" i="106"/>
  <c r="N25" i="106"/>
  <c r="M25" i="106"/>
  <c r="K25" i="106"/>
  <c r="G25" i="106"/>
  <c r="V24" i="106"/>
  <c r="O24" i="106"/>
  <c r="M24" i="106"/>
  <c r="N24" i="106" s="1"/>
  <c r="K24" i="106"/>
  <c r="G24" i="106"/>
  <c r="AD23" i="106"/>
  <c r="Z23" i="106"/>
  <c r="Y23" i="106"/>
  <c r="O23" i="106"/>
  <c r="K23" i="106"/>
  <c r="V22" i="106"/>
  <c r="U22" i="106"/>
  <c r="O22" i="106"/>
  <c r="M22" i="106"/>
  <c r="AE22" i="106" s="1"/>
  <c r="K22" i="106"/>
  <c r="G22" i="106"/>
  <c r="AF21" i="106"/>
  <c r="AE21" i="106"/>
  <c r="X21" i="106"/>
  <c r="W21" i="106"/>
  <c r="V21" i="106"/>
  <c r="U21" i="106"/>
  <c r="Q21" i="106"/>
  <c r="P21" i="106"/>
  <c r="O21" i="106"/>
  <c r="N21" i="106"/>
  <c r="M21" i="106"/>
  <c r="K21" i="106"/>
  <c r="G21" i="106"/>
  <c r="AF20" i="106"/>
  <c r="AE20" i="106"/>
  <c r="V20" i="106"/>
  <c r="U20" i="106"/>
  <c r="Q20" i="106"/>
  <c r="P20" i="106"/>
  <c r="O20" i="106"/>
  <c r="N20" i="106"/>
  <c r="M20" i="106"/>
  <c r="K20" i="106"/>
  <c r="G20" i="106"/>
  <c r="AF19" i="106"/>
  <c r="AE19" i="106"/>
  <c r="V19" i="106"/>
  <c r="U19" i="106"/>
  <c r="O19" i="106"/>
  <c r="N19" i="106"/>
  <c r="Q19" i="106" s="1"/>
  <c r="M19" i="106"/>
  <c r="K19" i="106"/>
  <c r="G19" i="106"/>
  <c r="AF18" i="106"/>
  <c r="AE18" i="106"/>
  <c r="V18" i="106"/>
  <c r="U18" i="106"/>
  <c r="Q18" i="106"/>
  <c r="P18" i="106"/>
  <c r="O18" i="106"/>
  <c r="N18" i="106"/>
  <c r="M18" i="106"/>
  <c r="K18" i="106"/>
  <c r="G18" i="106"/>
  <c r="V17" i="106"/>
  <c r="U17" i="106"/>
  <c r="O17" i="106"/>
  <c r="M17" i="106"/>
  <c r="N17" i="106" s="1"/>
  <c r="K17" i="106"/>
  <c r="G17" i="106"/>
  <c r="AF16" i="106"/>
  <c r="AE16" i="106"/>
  <c r="V16" i="106"/>
  <c r="U16" i="106"/>
  <c r="Q16" i="106"/>
  <c r="P16" i="106"/>
  <c r="O16" i="106"/>
  <c r="N16" i="106"/>
  <c r="M16" i="106"/>
  <c r="K16" i="106"/>
  <c r="G16" i="106"/>
  <c r="V15" i="106"/>
  <c r="O15" i="106"/>
  <c r="M15" i="106"/>
  <c r="N15" i="106" s="1"/>
  <c r="K15" i="106"/>
  <c r="G15" i="106"/>
  <c r="AD14" i="106"/>
  <c r="Z14" i="106"/>
  <c r="Y14" i="106"/>
  <c r="O14" i="106"/>
  <c r="K14" i="106"/>
  <c r="AF13" i="106"/>
  <c r="AE13" i="106"/>
  <c r="V13" i="106"/>
  <c r="U13" i="106"/>
  <c r="Q13" i="106"/>
  <c r="P13" i="106"/>
  <c r="O13" i="106"/>
  <c r="N13" i="106"/>
  <c r="M13" i="106"/>
  <c r="K13" i="106"/>
  <c r="G13" i="106"/>
  <c r="AF12" i="106"/>
  <c r="AE12" i="106"/>
  <c r="X12" i="106"/>
  <c r="W12" i="106"/>
  <c r="V12" i="106"/>
  <c r="U12" i="106"/>
  <c r="O12" i="106"/>
  <c r="N12" i="106"/>
  <c r="Q12" i="106" s="1"/>
  <c r="M12" i="106"/>
  <c r="K12" i="106"/>
  <c r="G12" i="106"/>
  <c r="AF11" i="106"/>
  <c r="AE11" i="106"/>
  <c r="V11" i="106"/>
  <c r="U11" i="106"/>
  <c r="Q11" i="106"/>
  <c r="P11" i="106"/>
  <c r="O11" i="106"/>
  <c r="N11" i="106"/>
  <c r="M11" i="106"/>
  <c r="K11" i="106"/>
  <c r="G11" i="106"/>
  <c r="X10" i="106"/>
  <c r="W10" i="106"/>
  <c r="V10" i="106"/>
  <c r="O10" i="106"/>
  <c r="M10" i="106"/>
  <c r="N10" i="106" s="1"/>
  <c r="K10" i="106"/>
  <c r="G10" i="106"/>
  <c r="AD9" i="106"/>
  <c r="Z9" i="106"/>
  <c r="Y9" i="106"/>
  <c r="O9" i="106"/>
  <c r="K9" i="106"/>
  <c r="AF8" i="106"/>
  <c r="AE8" i="106"/>
  <c r="V8" i="106"/>
  <c r="U8" i="106"/>
  <c r="Q8" i="106"/>
  <c r="P8" i="106"/>
  <c r="O8" i="106"/>
  <c r="N8" i="106"/>
  <c r="M8" i="106"/>
  <c r="K8" i="106"/>
  <c r="G8" i="106"/>
  <c r="AF7" i="106"/>
  <c r="AE7" i="106"/>
  <c r="X7" i="106"/>
  <c r="W7" i="106"/>
  <c r="V7" i="106"/>
  <c r="U7" i="106"/>
  <c r="O7" i="106"/>
  <c r="N7" i="106"/>
  <c r="Q7" i="106" s="1"/>
  <c r="M7" i="106"/>
  <c r="K7" i="106"/>
  <c r="G7" i="106"/>
  <c r="AF6" i="106"/>
  <c r="AE6" i="106"/>
  <c r="V6" i="106"/>
  <c r="U6" i="106"/>
  <c r="Q6" i="106"/>
  <c r="P6" i="106"/>
  <c r="O6" i="106"/>
  <c r="N6" i="106"/>
  <c r="M6" i="106"/>
  <c r="K6" i="106"/>
  <c r="G6" i="106"/>
  <c r="V5" i="106"/>
  <c r="O5" i="106"/>
  <c r="M5" i="106"/>
  <c r="N5" i="106" s="1"/>
  <c r="K5" i="106"/>
  <c r="G5" i="106"/>
  <c r="AD2" i="106"/>
  <c r="Z2" i="106"/>
  <c r="Y2" i="106"/>
  <c r="H2" i="106"/>
  <c r="F2" i="106"/>
  <c r="H1" i="106"/>
  <c r="F1" i="106"/>
  <c r="D1" i="106"/>
  <c r="M22" i="105"/>
  <c r="L22" i="105"/>
  <c r="K22" i="105"/>
  <c r="J22" i="105"/>
  <c r="I22" i="105"/>
  <c r="H22" i="105"/>
  <c r="G22" i="105"/>
  <c r="F22" i="105"/>
  <c r="E22" i="105"/>
  <c r="D22" i="105"/>
  <c r="M21" i="105"/>
  <c r="L21" i="105"/>
  <c r="K21" i="105"/>
  <c r="J21" i="105"/>
  <c r="I21" i="105"/>
  <c r="H21" i="105"/>
  <c r="G21" i="105"/>
  <c r="F21" i="105"/>
  <c r="E21" i="105"/>
  <c r="D21" i="105"/>
  <c r="M20" i="105"/>
  <c r="L20" i="105"/>
  <c r="K20" i="105"/>
  <c r="J20" i="105"/>
  <c r="I20" i="105"/>
  <c r="H20" i="105"/>
  <c r="G20" i="105"/>
  <c r="F20" i="105"/>
  <c r="E20" i="105"/>
  <c r="D20" i="105"/>
  <c r="M19" i="105"/>
  <c r="L19" i="105"/>
  <c r="K19" i="105"/>
  <c r="J19" i="105"/>
  <c r="I19" i="105"/>
  <c r="H19" i="105"/>
  <c r="G19" i="105"/>
  <c r="F19" i="105"/>
  <c r="E19" i="105"/>
  <c r="D19" i="105"/>
  <c r="M18" i="105"/>
  <c r="L18" i="105"/>
  <c r="K18" i="105"/>
  <c r="J18" i="105"/>
  <c r="I18" i="105"/>
  <c r="H18" i="105"/>
  <c r="G18" i="105"/>
  <c r="F18" i="105"/>
  <c r="E18" i="105"/>
  <c r="D18" i="105"/>
  <c r="M17" i="105"/>
  <c r="L17" i="105"/>
  <c r="K17" i="105"/>
  <c r="J17" i="105"/>
  <c r="I17" i="105"/>
  <c r="H17" i="105"/>
  <c r="G17" i="105"/>
  <c r="F17" i="105"/>
  <c r="E17" i="105"/>
  <c r="D17" i="105"/>
  <c r="M16" i="105"/>
  <c r="L16" i="105"/>
  <c r="K16" i="105"/>
  <c r="J16" i="105"/>
  <c r="I16" i="105"/>
  <c r="H16" i="105"/>
  <c r="G16" i="105"/>
  <c r="F16" i="105"/>
  <c r="E16" i="105"/>
  <c r="D16" i="105"/>
  <c r="M13" i="105"/>
  <c r="L13" i="105"/>
  <c r="I6" i="105" s="1"/>
  <c r="K13" i="105"/>
  <c r="J13" i="105"/>
  <c r="I13" i="105"/>
  <c r="H13" i="105"/>
  <c r="G13" i="105"/>
  <c r="G6" i="105" s="1"/>
  <c r="F13" i="105"/>
  <c r="E13" i="105"/>
  <c r="D13" i="105"/>
  <c r="N6" i="105"/>
  <c r="M6" i="105"/>
  <c r="L6" i="105"/>
  <c r="K6" i="105"/>
  <c r="I3" i="105"/>
  <c r="F3" i="105"/>
  <c r="C3" i="105"/>
  <c r="F8" i="115" l="1"/>
  <c r="G8" i="115"/>
  <c r="E8" i="115"/>
  <c r="G7" i="113"/>
  <c r="E7" i="113"/>
  <c r="D15" i="113"/>
  <c r="F7" i="113"/>
  <c r="Q8" i="111"/>
  <c r="R5" i="111" s="1"/>
  <c r="D2" i="111"/>
  <c r="P8" i="111"/>
  <c r="P20" i="111"/>
  <c r="Q20" i="111"/>
  <c r="R13" i="111" s="1"/>
  <c r="Q12" i="111"/>
  <c r="R9" i="111" s="1"/>
  <c r="P12" i="111"/>
  <c r="P64" i="111"/>
  <c r="Q64" i="111"/>
  <c r="R60" i="111" s="1"/>
  <c r="Q27" i="111"/>
  <c r="R21" i="111" s="1"/>
  <c r="P27" i="111"/>
  <c r="Q50" i="111"/>
  <c r="R47" i="111" s="1"/>
  <c r="P50" i="111"/>
  <c r="P59" i="111"/>
  <c r="Q59" i="111"/>
  <c r="R51" i="111" s="1"/>
  <c r="P36" i="111"/>
  <c r="Q36" i="111"/>
  <c r="R28" i="111" s="1"/>
  <c r="P72" i="111"/>
  <c r="Q72" i="111"/>
  <c r="R65" i="111" s="1"/>
  <c r="K15" i="107"/>
  <c r="Q22" i="108"/>
  <c r="P22" i="108"/>
  <c r="P21" i="108"/>
  <c r="Q21" i="108"/>
  <c r="P18" i="108"/>
  <c r="Q18" i="108"/>
  <c r="Q43" i="108"/>
  <c r="P43" i="108"/>
  <c r="P50" i="108"/>
  <c r="Q50" i="108"/>
  <c r="AF51" i="108"/>
  <c r="AG48" i="108" s="1"/>
  <c r="AE51" i="108"/>
  <c r="N51" i="108"/>
  <c r="P65" i="108"/>
  <c r="Q65" i="108"/>
  <c r="AF47" i="108"/>
  <c r="AG37" i="108" s="1"/>
  <c r="AE47" i="108"/>
  <c r="N47" i="108"/>
  <c r="Q39" i="108"/>
  <c r="P39" i="108"/>
  <c r="Q55" i="108"/>
  <c r="P55" i="108"/>
  <c r="P36" i="108"/>
  <c r="N20" i="108"/>
  <c r="AF20" i="108"/>
  <c r="AG13" i="108" s="1"/>
  <c r="AE20" i="108"/>
  <c r="G14" i="107"/>
  <c r="G15" i="107" s="1"/>
  <c r="Q27" i="108"/>
  <c r="R21" i="108" s="1"/>
  <c r="P27" i="108"/>
  <c r="Q64" i="108"/>
  <c r="P64" i="108"/>
  <c r="Q52" i="108"/>
  <c r="P52" i="108"/>
  <c r="Q49" i="108"/>
  <c r="P49" i="108"/>
  <c r="Q8" i="108"/>
  <c r="R5" i="108" s="1"/>
  <c r="P8" i="108"/>
  <c r="D14" i="107"/>
  <c r="P53" i="108"/>
  <c r="Q53" i="108"/>
  <c r="P26" i="108"/>
  <c r="Q60" i="108"/>
  <c r="P60" i="108"/>
  <c r="P58" i="108"/>
  <c r="Q58" i="108"/>
  <c r="Q36" i="108"/>
  <c r="R28" i="108" s="1"/>
  <c r="P73" i="108"/>
  <c r="Q73" i="108"/>
  <c r="Q35" i="108"/>
  <c r="P35" i="108"/>
  <c r="Q69" i="108"/>
  <c r="P69" i="108"/>
  <c r="N61" i="108"/>
  <c r="AE61" i="108"/>
  <c r="AF61" i="108"/>
  <c r="AG52" i="108" s="1"/>
  <c r="Q29" i="108"/>
  <c r="P29" i="108"/>
  <c r="P28" i="108"/>
  <c r="Q28" i="108"/>
  <c r="AF12" i="108"/>
  <c r="AG9" i="108" s="1"/>
  <c r="N12" i="108"/>
  <c r="Q43" i="106"/>
  <c r="P43" i="106"/>
  <c r="P38" i="106"/>
  <c r="Q38" i="106"/>
  <c r="P72" i="106"/>
  <c r="Q72" i="106"/>
  <c r="N65" i="106"/>
  <c r="AF65" i="106"/>
  <c r="AG56" i="106" s="1"/>
  <c r="AE65" i="106"/>
  <c r="P24" i="106"/>
  <c r="Q24" i="106"/>
  <c r="P40" i="106"/>
  <c r="Q40" i="106"/>
  <c r="Q15" i="106"/>
  <c r="P15" i="106"/>
  <c r="P54" i="106"/>
  <c r="Q54" i="106"/>
  <c r="Q36" i="106"/>
  <c r="P36" i="106"/>
  <c r="P5" i="106"/>
  <c r="Q5" i="106"/>
  <c r="Q10" i="106"/>
  <c r="P10" i="106"/>
  <c r="P17" i="106"/>
  <c r="Q17" i="106"/>
  <c r="P77" i="106"/>
  <c r="Q77" i="106"/>
  <c r="AF39" i="106"/>
  <c r="AG31" i="106" s="1"/>
  <c r="AE39" i="106"/>
  <c r="N39" i="106"/>
  <c r="P47" i="106"/>
  <c r="Q47" i="106"/>
  <c r="P63" i="106"/>
  <c r="Q63" i="106"/>
  <c r="P70" i="106"/>
  <c r="Q70" i="106"/>
  <c r="Q75" i="106"/>
  <c r="P75" i="106"/>
  <c r="Q61" i="106"/>
  <c r="P61" i="106"/>
  <c r="Q68" i="106"/>
  <c r="P68" i="106"/>
  <c r="P45" i="106"/>
  <c r="Q45" i="106"/>
  <c r="P7" i="106"/>
  <c r="M9" i="106"/>
  <c r="P12" i="106"/>
  <c r="M14" i="106"/>
  <c r="AF15" i="106"/>
  <c r="P19" i="106"/>
  <c r="AF22" i="106"/>
  <c r="P26" i="106"/>
  <c r="M30" i="106"/>
  <c r="P33" i="106"/>
  <c r="AF36" i="106"/>
  <c r="AF43" i="106"/>
  <c r="AF61" i="106"/>
  <c r="AF68" i="106"/>
  <c r="AF75" i="106"/>
  <c r="AE36" i="106"/>
  <c r="AE43" i="106"/>
  <c r="AE61" i="106"/>
  <c r="AE68" i="106"/>
  <c r="AE75" i="106"/>
  <c r="N22" i="106"/>
  <c r="AE5" i="106"/>
  <c r="AE10" i="106"/>
  <c r="AE24" i="106"/>
  <c r="AE31" i="106"/>
  <c r="AE38" i="106"/>
  <c r="AE45" i="106"/>
  <c r="P49" i="106"/>
  <c r="AE54" i="106"/>
  <c r="AE70" i="106"/>
  <c r="P79" i="106"/>
  <c r="AF5" i="106"/>
  <c r="AF10" i="106"/>
  <c r="AE17" i="106"/>
  <c r="M23" i="106"/>
  <c r="AF24" i="106"/>
  <c r="AF31" i="106"/>
  <c r="AF38" i="106"/>
  <c r="AF45" i="106"/>
  <c r="AF54" i="106"/>
  <c r="AF70" i="106"/>
  <c r="N31" i="106"/>
  <c r="AF17" i="106"/>
  <c r="AE63" i="106"/>
  <c r="M55" i="106"/>
  <c r="AF63" i="106"/>
  <c r="M71" i="106"/>
  <c r="AE40" i="106"/>
  <c r="AE72" i="106"/>
  <c r="E6" i="105"/>
  <c r="F6" i="105"/>
  <c r="P46" i="106"/>
  <c r="M80" i="106"/>
  <c r="AE15" i="106"/>
  <c r="M51" i="106"/>
  <c r="P52" i="106"/>
  <c r="N56" i="106"/>
  <c r="AD77" i="104"/>
  <c r="Z77" i="104"/>
  <c r="Y77" i="104"/>
  <c r="O77" i="104"/>
  <c r="K77" i="104"/>
  <c r="AF76" i="104"/>
  <c r="AE76" i="104"/>
  <c r="V76" i="104"/>
  <c r="U76" i="104"/>
  <c r="O76" i="104"/>
  <c r="N76" i="104"/>
  <c r="Q76" i="104" s="1"/>
  <c r="M76" i="104"/>
  <c r="K76" i="104"/>
  <c r="G76" i="104"/>
  <c r="AE75" i="104"/>
  <c r="V75" i="104"/>
  <c r="U75" i="104"/>
  <c r="O75" i="104"/>
  <c r="M75" i="104"/>
  <c r="K75" i="104"/>
  <c r="G75" i="104"/>
  <c r="AF74" i="104"/>
  <c r="AE74" i="104"/>
  <c r="X74" i="104"/>
  <c r="W74" i="104"/>
  <c r="V74" i="104"/>
  <c r="U74" i="104"/>
  <c r="Q74" i="104"/>
  <c r="O74" i="104"/>
  <c r="M74" i="104"/>
  <c r="N74" i="104" s="1"/>
  <c r="P74" i="104" s="1"/>
  <c r="K74" i="104"/>
  <c r="G74" i="104"/>
  <c r="V73" i="104"/>
  <c r="U73" i="104"/>
  <c r="Q73" i="104"/>
  <c r="P73" i="104"/>
  <c r="O73" i="104"/>
  <c r="N73" i="104"/>
  <c r="M73" i="104"/>
  <c r="K73" i="104"/>
  <c r="G73" i="104"/>
  <c r="AF72" i="104"/>
  <c r="AE72" i="104"/>
  <c r="V72" i="104"/>
  <c r="U72" i="104"/>
  <c r="O72" i="104"/>
  <c r="N72" i="104"/>
  <c r="M72" i="104"/>
  <c r="K72" i="104"/>
  <c r="G72" i="104"/>
  <c r="V71" i="104"/>
  <c r="U71" i="104"/>
  <c r="O71" i="104"/>
  <c r="N71" i="104"/>
  <c r="Q71" i="104" s="1"/>
  <c r="M71" i="104"/>
  <c r="K71" i="104"/>
  <c r="G71" i="104"/>
  <c r="X70" i="104"/>
  <c r="W70" i="104"/>
  <c r="V70" i="104"/>
  <c r="O70" i="104"/>
  <c r="M70" i="104"/>
  <c r="K70" i="104"/>
  <c r="G70" i="104"/>
  <c r="AD69" i="104"/>
  <c r="Z69" i="104"/>
  <c r="Y69" i="104"/>
  <c r="J18" i="103" s="1"/>
  <c r="O69" i="104"/>
  <c r="K69" i="104"/>
  <c r="AF68" i="104"/>
  <c r="AE68" i="104"/>
  <c r="V68" i="104"/>
  <c r="U68" i="104"/>
  <c r="O68" i="104"/>
  <c r="N68" i="104"/>
  <c r="M68" i="104"/>
  <c r="K68" i="104"/>
  <c r="G68" i="104"/>
  <c r="AF67" i="104"/>
  <c r="AE67" i="104"/>
  <c r="V67" i="104"/>
  <c r="U67" i="104"/>
  <c r="Q67" i="104"/>
  <c r="O67" i="104"/>
  <c r="M67" i="104"/>
  <c r="N67" i="104" s="1"/>
  <c r="P67" i="104" s="1"/>
  <c r="K67" i="104"/>
  <c r="G67" i="104"/>
  <c r="V66" i="104"/>
  <c r="U66" i="104"/>
  <c r="Q66" i="104"/>
  <c r="P66" i="104"/>
  <c r="O66" i="104"/>
  <c r="N66" i="104"/>
  <c r="M66" i="104"/>
  <c r="K66" i="104"/>
  <c r="G66" i="104"/>
  <c r="AF65" i="104"/>
  <c r="AE65" i="104"/>
  <c r="V65" i="104"/>
  <c r="U65" i="104"/>
  <c r="O65" i="104"/>
  <c r="N65" i="104"/>
  <c r="M65" i="104"/>
  <c r="K65" i="104"/>
  <c r="G65" i="104"/>
  <c r="AE64" i="104"/>
  <c r="V64" i="104"/>
  <c r="Q64" i="104"/>
  <c r="O64" i="104"/>
  <c r="N64" i="104"/>
  <c r="P64" i="104" s="1"/>
  <c r="M64" i="104"/>
  <c r="K64" i="104"/>
  <c r="G64" i="104"/>
  <c r="AD63" i="104"/>
  <c r="Z63" i="104"/>
  <c r="Y63" i="104"/>
  <c r="I18" i="103" s="1"/>
  <c r="O63" i="104"/>
  <c r="K63" i="104"/>
  <c r="V62" i="104"/>
  <c r="U62" i="104"/>
  <c r="O62" i="104"/>
  <c r="N62" i="104"/>
  <c r="P62" i="104" s="1"/>
  <c r="M62" i="104"/>
  <c r="AF62" i="104" s="1"/>
  <c r="K62" i="104"/>
  <c r="G62" i="104"/>
  <c r="AE61" i="104"/>
  <c r="X61" i="104"/>
  <c r="W61" i="104"/>
  <c r="V61" i="104"/>
  <c r="U61" i="104"/>
  <c r="O61" i="104"/>
  <c r="N61" i="104"/>
  <c r="M61" i="104"/>
  <c r="AF61" i="104" s="1"/>
  <c r="K61" i="104"/>
  <c r="G61" i="104"/>
  <c r="AF60" i="104"/>
  <c r="AE60" i="104"/>
  <c r="V60" i="104"/>
  <c r="U60" i="104"/>
  <c r="Q60" i="104"/>
  <c r="O60" i="104"/>
  <c r="M60" i="104"/>
  <c r="N60" i="104" s="1"/>
  <c r="P60" i="104" s="1"/>
  <c r="K60" i="104"/>
  <c r="G60" i="104"/>
  <c r="V59" i="104"/>
  <c r="U59" i="104"/>
  <c r="O59" i="104"/>
  <c r="N59" i="104"/>
  <c r="Q59" i="104" s="1"/>
  <c r="M59" i="104"/>
  <c r="K59" i="104"/>
  <c r="G59" i="104"/>
  <c r="AF58" i="104"/>
  <c r="AE58" i="104"/>
  <c r="V58" i="104"/>
  <c r="U58" i="104"/>
  <c r="O58" i="104"/>
  <c r="N58" i="104"/>
  <c r="M58" i="104"/>
  <c r="K58" i="104"/>
  <c r="G58" i="104"/>
  <c r="V57" i="104"/>
  <c r="U57" i="104"/>
  <c r="Q57" i="104"/>
  <c r="O57" i="104"/>
  <c r="N57" i="104"/>
  <c r="P57" i="104" s="1"/>
  <c r="M57" i="104"/>
  <c r="K57" i="104"/>
  <c r="G57" i="104"/>
  <c r="AF56" i="104"/>
  <c r="V56" i="104"/>
  <c r="U56" i="104"/>
  <c r="O56" i="104"/>
  <c r="M56" i="104"/>
  <c r="AE56" i="104" s="1"/>
  <c r="K56" i="104"/>
  <c r="G56" i="104"/>
  <c r="AF55" i="104"/>
  <c r="AE55" i="104"/>
  <c r="V55" i="104"/>
  <c r="U55" i="104"/>
  <c r="Q55" i="104"/>
  <c r="O55" i="104"/>
  <c r="N55" i="104"/>
  <c r="P55" i="104" s="1"/>
  <c r="M55" i="104"/>
  <c r="K55" i="104"/>
  <c r="G55" i="104"/>
  <c r="AE54" i="104"/>
  <c r="V54" i="104"/>
  <c r="O54" i="104"/>
  <c r="N54" i="104"/>
  <c r="M54" i="104"/>
  <c r="K54" i="104"/>
  <c r="G54" i="104"/>
  <c r="AD53" i="104"/>
  <c r="Z53" i="104"/>
  <c r="Y53" i="104"/>
  <c r="O53" i="104"/>
  <c r="K53" i="104"/>
  <c r="AF52" i="104"/>
  <c r="AE52" i="104"/>
  <c r="V52" i="104"/>
  <c r="U52" i="104"/>
  <c r="O52" i="104"/>
  <c r="N52" i="104"/>
  <c r="Q52" i="104" s="1"/>
  <c r="M52" i="104"/>
  <c r="K52" i="104"/>
  <c r="G52" i="104"/>
  <c r="AE51" i="104"/>
  <c r="V51" i="104"/>
  <c r="U51" i="104"/>
  <c r="O51" i="104"/>
  <c r="M51" i="104"/>
  <c r="N51" i="104" s="1"/>
  <c r="P51" i="104" s="1"/>
  <c r="K51" i="104"/>
  <c r="G51" i="104"/>
  <c r="V50" i="104"/>
  <c r="Q50" i="104"/>
  <c r="P50" i="104"/>
  <c r="O50" i="104"/>
  <c r="N50" i="104"/>
  <c r="M50" i="104"/>
  <c r="K50" i="104"/>
  <c r="G50" i="104"/>
  <c r="AD49" i="104"/>
  <c r="Z49" i="104"/>
  <c r="Y49" i="104"/>
  <c r="O49" i="104"/>
  <c r="K49" i="104"/>
  <c r="AF48" i="104"/>
  <c r="AE48" i="104"/>
  <c r="V48" i="104"/>
  <c r="U48" i="104"/>
  <c r="Q48" i="104"/>
  <c r="P48" i="104"/>
  <c r="O48" i="104"/>
  <c r="N48" i="104"/>
  <c r="M48" i="104"/>
  <c r="K48" i="104"/>
  <c r="G48" i="104"/>
  <c r="V47" i="104"/>
  <c r="U47" i="104"/>
  <c r="O47" i="104"/>
  <c r="M47" i="104"/>
  <c r="AF47" i="104" s="1"/>
  <c r="K47" i="104"/>
  <c r="G47" i="104"/>
  <c r="AF46" i="104"/>
  <c r="AE46" i="104"/>
  <c r="V46" i="104"/>
  <c r="U46" i="104"/>
  <c r="O46" i="104"/>
  <c r="N46" i="104"/>
  <c r="Q46" i="104" s="1"/>
  <c r="M46" i="104"/>
  <c r="K46" i="104"/>
  <c r="G46" i="104"/>
  <c r="AE45" i="104"/>
  <c r="X45" i="104"/>
  <c r="W45" i="104"/>
  <c r="V45" i="104"/>
  <c r="U45" i="104"/>
  <c r="P45" i="104"/>
  <c r="O45" i="104"/>
  <c r="N45" i="104"/>
  <c r="Q45" i="104" s="1"/>
  <c r="M45" i="104"/>
  <c r="AF45" i="104" s="1"/>
  <c r="K45" i="104"/>
  <c r="G45" i="104"/>
  <c r="AF44" i="104"/>
  <c r="AE44" i="104"/>
  <c r="V44" i="104"/>
  <c r="U44" i="104"/>
  <c r="Q44" i="104"/>
  <c r="O44" i="104"/>
  <c r="M44" i="104"/>
  <c r="N44" i="104" s="1"/>
  <c r="P44" i="104" s="1"/>
  <c r="K44" i="104"/>
  <c r="G44" i="104"/>
  <c r="V43" i="104"/>
  <c r="U43" i="104"/>
  <c r="O43" i="104"/>
  <c r="N43" i="104"/>
  <c r="Q43" i="104" s="1"/>
  <c r="M43" i="104"/>
  <c r="K43" i="104"/>
  <c r="G43" i="104"/>
  <c r="AF42" i="104"/>
  <c r="AE42" i="104"/>
  <c r="V42" i="104"/>
  <c r="U42" i="104"/>
  <c r="O42" i="104"/>
  <c r="N42" i="104"/>
  <c r="M42" i="104"/>
  <c r="K42" i="104"/>
  <c r="G42" i="104"/>
  <c r="AE41" i="104"/>
  <c r="V41" i="104"/>
  <c r="U41" i="104"/>
  <c r="O41" i="104"/>
  <c r="N41" i="104"/>
  <c r="Q41" i="104" s="1"/>
  <c r="M41" i="104"/>
  <c r="AF41" i="104" s="1"/>
  <c r="K41" i="104"/>
  <c r="G41" i="104"/>
  <c r="X40" i="104"/>
  <c r="W40" i="104"/>
  <c r="V40" i="104"/>
  <c r="O40" i="104"/>
  <c r="N40" i="104"/>
  <c r="M40" i="104"/>
  <c r="K40" i="104"/>
  <c r="G40" i="104"/>
  <c r="AD39" i="104"/>
  <c r="Z39" i="104"/>
  <c r="Y39" i="104"/>
  <c r="K18" i="103" s="1"/>
  <c r="O39" i="104"/>
  <c r="K39" i="104"/>
  <c r="AF38" i="104"/>
  <c r="AE38" i="104"/>
  <c r="V38" i="104"/>
  <c r="U38" i="104"/>
  <c r="P38" i="104"/>
  <c r="O38" i="104"/>
  <c r="N38" i="104"/>
  <c r="Q38" i="104" s="1"/>
  <c r="M38" i="104"/>
  <c r="K38" i="104"/>
  <c r="G38" i="104"/>
  <c r="V37" i="104"/>
  <c r="U37" i="104"/>
  <c r="Q37" i="104"/>
  <c r="O37" i="104"/>
  <c r="M37" i="104"/>
  <c r="N37" i="104" s="1"/>
  <c r="P37" i="104" s="1"/>
  <c r="K37" i="104"/>
  <c r="G37" i="104"/>
  <c r="V36" i="104"/>
  <c r="U36" i="104"/>
  <c r="Q36" i="104"/>
  <c r="P36" i="104"/>
  <c r="O36" i="104"/>
  <c r="N36" i="104"/>
  <c r="M36" i="104"/>
  <c r="K36" i="104"/>
  <c r="G36" i="104"/>
  <c r="AF35" i="104"/>
  <c r="AE35" i="104"/>
  <c r="X35" i="104"/>
  <c r="W35" i="104"/>
  <c r="V35" i="104"/>
  <c r="U35" i="104"/>
  <c r="Q35" i="104"/>
  <c r="P35" i="104"/>
  <c r="O35" i="104"/>
  <c r="M35" i="104"/>
  <c r="N35" i="104" s="1"/>
  <c r="K35" i="104"/>
  <c r="G35" i="104"/>
  <c r="AF34" i="104"/>
  <c r="AE34" i="104"/>
  <c r="V34" i="104"/>
  <c r="U34" i="104"/>
  <c r="O34" i="104"/>
  <c r="N34" i="104"/>
  <c r="Q34" i="104" s="1"/>
  <c r="M34" i="104"/>
  <c r="K34" i="104"/>
  <c r="G34" i="104"/>
  <c r="V33" i="104"/>
  <c r="U33" i="104"/>
  <c r="O33" i="104"/>
  <c r="M33" i="104"/>
  <c r="K33" i="104"/>
  <c r="G33" i="104"/>
  <c r="AF32" i="104"/>
  <c r="AE32" i="104"/>
  <c r="V32" i="104"/>
  <c r="M32" i="104" s="1"/>
  <c r="U32" i="104"/>
  <c r="Q32" i="104"/>
  <c r="P32" i="104"/>
  <c r="O32" i="104"/>
  <c r="N32" i="104"/>
  <c r="K32" i="104"/>
  <c r="G32" i="104"/>
  <c r="AF31" i="104"/>
  <c r="AE31" i="104"/>
  <c r="X31" i="104"/>
  <c r="W31" i="104"/>
  <c r="V31" i="104"/>
  <c r="O31" i="104"/>
  <c r="N31" i="104"/>
  <c r="Q31" i="104" s="1"/>
  <c r="M31" i="104"/>
  <c r="M39" i="104" s="1"/>
  <c r="N39" i="104" s="1"/>
  <c r="K14" i="103" s="1"/>
  <c r="K31" i="104"/>
  <c r="G31" i="104"/>
  <c r="AF30" i="104"/>
  <c r="AD30" i="104"/>
  <c r="G21" i="103" s="1"/>
  <c r="Z30" i="104"/>
  <c r="Y30" i="104"/>
  <c r="O30" i="104"/>
  <c r="N30" i="104"/>
  <c r="Q30" i="104" s="1"/>
  <c r="R24" i="104" s="1"/>
  <c r="K30" i="104"/>
  <c r="AE29" i="104"/>
  <c r="V29" i="104"/>
  <c r="U29" i="104"/>
  <c r="O29" i="104"/>
  <c r="N29" i="104"/>
  <c r="Q29" i="104" s="1"/>
  <c r="M29" i="104"/>
  <c r="AF29" i="104" s="1"/>
  <c r="K29" i="104"/>
  <c r="G29" i="104"/>
  <c r="AF28" i="104"/>
  <c r="V28" i="104"/>
  <c r="U28" i="104"/>
  <c r="O28" i="104"/>
  <c r="M28" i="104"/>
  <c r="AE28" i="104" s="1"/>
  <c r="K28" i="104"/>
  <c r="G28" i="104"/>
  <c r="AF27" i="104"/>
  <c r="AE27" i="104"/>
  <c r="V27" i="104"/>
  <c r="U27" i="104"/>
  <c r="O27" i="104"/>
  <c r="N27" i="104"/>
  <c r="P27" i="104" s="1"/>
  <c r="M27" i="104"/>
  <c r="K27" i="104"/>
  <c r="G27" i="104"/>
  <c r="V26" i="104"/>
  <c r="U26" i="104"/>
  <c r="O26" i="104"/>
  <c r="M26" i="104"/>
  <c r="K26" i="104"/>
  <c r="G26" i="104"/>
  <c r="AF25" i="104"/>
  <c r="AE25" i="104"/>
  <c r="V25" i="104"/>
  <c r="M25" i="104" s="1"/>
  <c r="U25" i="104"/>
  <c r="Q25" i="104"/>
  <c r="P25" i="104"/>
  <c r="O25" i="104"/>
  <c r="N25" i="104"/>
  <c r="K25" i="104"/>
  <c r="G25" i="104"/>
  <c r="AG24" i="104"/>
  <c r="AF24" i="104"/>
  <c r="AE24" i="104"/>
  <c r="V24" i="104"/>
  <c r="P24" i="104"/>
  <c r="O24" i="104"/>
  <c r="N24" i="104"/>
  <c r="Q24" i="104" s="1"/>
  <c r="M24" i="104"/>
  <c r="M30" i="104" s="1"/>
  <c r="AE30" i="104" s="1"/>
  <c r="K24" i="104"/>
  <c r="G24" i="104"/>
  <c r="AD23" i="104"/>
  <c r="F21" i="103" s="1"/>
  <c r="Z23" i="104"/>
  <c r="F19" i="103" s="1"/>
  <c r="Y23" i="104"/>
  <c r="O23" i="104"/>
  <c r="M23" i="104"/>
  <c r="AF23" i="104" s="1"/>
  <c r="AG15" i="104" s="1"/>
  <c r="K23" i="104"/>
  <c r="V22" i="104"/>
  <c r="U22" i="104"/>
  <c r="Q22" i="104"/>
  <c r="O22" i="104"/>
  <c r="N22" i="104"/>
  <c r="P22" i="104" s="1"/>
  <c r="M22" i="104"/>
  <c r="K22" i="104"/>
  <c r="G22" i="104"/>
  <c r="AF21" i="104"/>
  <c r="AE21" i="104"/>
  <c r="X21" i="104"/>
  <c r="W21" i="104"/>
  <c r="V21" i="104"/>
  <c r="U21" i="104"/>
  <c r="Q21" i="104"/>
  <c r="P21" i="104"/>
  <c r="O21" i="104"/>
  <c r="M21" i="104"/>
  <c r="N21" i="104" s="1"/>
  <c r="K21" i="104"/>
  <c r="G21" i="104"/>
  <c r="AF20" i="104"/>
  <c r="AE20" i="104"/>
  <c r="V20" i="104"/>
  <c r="U20" i="104"/>
  <c r="Q20" i="104"/>
  <c r="O20" i="104"/>
  <c r="N20" i="104"/>
  <c r="P20" i="104" s="1"/>
  <c r="M20" i="104"/>
  <c r="K20" i="104"/>
  <c r="G20" i="104"/>
  <c r="V19" i="104"/>
  <c r="U19" i="104"/>
  <c r="O19" i="104"/>
  <c r="M19" i="104"/>
  <c r="K19" i="104"/>
  <c r="G19" i="104"/>
  <c r="AF18" i="104"/>
  <c r="AE18" i="104"/>
  <c r="V18" i="104"/>
  <c r="M18" i="104" s="1"/>
  <c r="U18" i="104"/>
  <c r="Q18" i="104"/>
  <c r="P18" i="104"/>
  <c r="O18" i="104"/>
  <c r="N18" i="104"/>
  <c r="K18" i="104"/>
  <c r="G18" i="104"/>
  <c r="AF17" i="104"/>
  <c r="AE17" i="104"/>
  <c r="V17" i="104"/>
  <c r="U17" i="104"/>
  <c r="O17" i="104"/>
  <c r="N17" i="104"/>
  <c r="M17" i="104"/>
  <c r="K17" i="104"/>
  <c r="G17" i="104"/>
  <c r="AF16" i="104"/>
  <c r="AE16" i="104"/>
  <c r="V16" i="104"/>
  <c r="M16" i="104" s="1"/>
  <c r="N16" i="104" s="1"/>
  <c r="U16" i="104"/>
  <c r="Q16" i="104"/>
  <c r="P16" i="104"/>
  <c r="O16" i="104"/>
  <c r="K16" i="104"/>
  <c r="G16" i="104"/>
  <c r="V15" i="104"/>
  <c r="Q15" i="104"/>
  <c r="P15" i="104"/>
  <c r="O15" i="104"/>
  <c r="N15" i="104"/>
  <c r="M15" i="104"/>
  <c r="K15" i="104"/>
  <c r="G15" i="104"/>
  <c r="AD14" i="104"/>
  <c r="E21" i="103" s="1"/>
  <c r="Z14" i="104"/>
  <c r="Y14" i="104"/>
  <c r="O14" i="104"/>
  <c r="K14" i="104"/>
  <c r="AE13" i="104"/>
  <c r="V13" i="104"/>
  <c r="U13" i="104"/>
  <c r="O13" i="104"/>
  <c r="N13" i="104"/>
  <c r="Q13" i="104" s="1"/>
  <c r="M13" i="104"/>
  <c r="AF13" i="104" s="1"/>
  <c r="K13" i="104"/>
  <c r="G13" i="104"/>
  <c r="X12" i="104"/>
  <c r="W12" i="104"/>
  <c r="V12" i="104"/>
  <c r="U12" i="104"/>
  <c r="O12" i="104"/>
  <c r="M12" i="104"/>
  <c r="AF12" i="104" s="1"/>
  <c r="K12" i="104"/>
  <c r="G12" i="104"/>
  <c r="AF11" i="104"/>
  <c r="AE11" i="104"/>
  <c r="V11" i="104"/>
  <c r="M11" i="104" s="1"/>
  <c r="U11" i="104"/>
  <c r="Q11" i="104"/>
  <c r="P11" i="104"/>
  <c r="O11" i="104"/>
  <c r="N11" i="104"/>
  <c r="K11" i="104"/>
  <c r="G11" i="104"/>
  <c r="AF10" i="104"/>
  <c r="AE10" i="104"/>
  <c r="X10" i="104"/>
  <c r="W10" i="104"/>
  <c r="V10" i="104"/>
  <c r="Q10" i="104"/>
  <c r="P10" i="104"/>
  <c r="O10" i="104"/>
  <c r="N10" i="104"/>
  <c r="M10" i="104"/>
  <c r="K10" i="104"/>
  <c r="G10" i="104"/>
  <c r="AD9" i="104"/>
  <c r="Z9" i="104"/>
  <c r="Y9" i="104"/>
  <c r="O9" i="104"/>
  <c r="N9" i="104"/>
  <c r="P9" i="104" s="1"/>
  <c r="K9" i="104"/>
  <c r="AE8" i="104"/>
  <c r="V8" i="104"/>
  <c r="U8" i="104"/>
  <c r="Q8" i="104"/>
  <c r="O8" i="104"/>
  <c r="N8" i="104"/>
  <c r="P8" i="104" s="1"/>
  <c r="M8" i="104"/>
  <c r="AF8" i="104" s="1"/>
  <c r="K8" i="104"/>
  <c r="G8" i="104"/>
  <c r="AF7" i="104"/>
  <c r="X7" i="104"/>
  <c r="W7" i="104"/>
  <c r="V7" i="104"/>
  <c r="U7" i="104"/>
  <c r="O7" i="104"/>
  <c r="M7" i="104"/>
  <c r="K7" i="104"/>
  <c r="G7" i="104"/>
  <c r="AF6" i="104"/>
  <c r="AE6" i="104"/>
  <c r="V6" i="104"/>
  <c r="M6" i="104" s="1"/>
  <c r="U6" i="104"/>
  <c r="Q6" i="104"/>
  <c r="P6" i="104"/>
  <c r="O6" i="104"/>
  <c r="N6" i="104"/>
  <c r="K6" i="104"/>
  <c r="G6" i="104"/>
  <c r="AF5" i="104"/>
  <c r="AE5" i="104"/>
  <c r="V5" i="104"/>
  <c r="O5" i="104"/>
  <c r="N5" i="104"/>
  <c r="Q5" i="104" s="1"/>
  <c r="M5" i="104"/>
  <c r="M9" i="104" s="1"/>
  <c r="AE9" i="104" s="1"/>
  <c r="K5" i="104"/>
  <c r="G5" i="104"/>
  <c r="F1" i="104" s="1"/>
  <c r="F2" i="104" s="1"/>
  <c r="AD2" i="104"/>
  <c r="Z2" i="104"/>
  <c r="Y2" i="104"/>
  <c r="H2" i="104"/>
  <c r="H1" i="104"/>
  <c r="D1" i="104"/>
  <c r="M22" i="103"/>
  <c r="L22" i="103"/>
  <c r="K22" i="103"/>
  <c r="J22" i="103"/>
  <c r="I22" i="103"/>
  <c r="H22" i="103"/>
  <c r="G22" i="103"/>
  <c r="F22" i="103"/>
  <c r="E22" i="103"/>
  <c r="D22" i="103"/>
  <c r="M21" i="103"/>
  <c r="L21" i="103"/>
  <c r="K21" i="103"/>
  <c r="J21" i="103"/>
  <c r="I21" i="103"/>
  <c r="H21" i="103"/>
  <c r="D21" i="103"/>
  <c r="M20" i="103"/>
  <c r="L20" i="103"/>
  <c r="K20" i="103"/>
  <c r="J20" i="103"/>
  <c r="I20" i="103"/>
  <c r="H20" i="103"/>
  <c r="G20" i="103"/>
  <c r="F20" i="103"/>
  <c r="E20" i="103"/>
  <c r="D20" i="103"/>
  <c r="M19" i="103"/>
  <c r="L19" i="103"/>
  <c r="K19" i="103"/>
  <c r="J19" i="103"/>
  <c r="I19" i="103"/>
  <c r="H19" i="103"/>
  <c r="G19" i="103"/>
  <c r="E19" i="103"/>
  <c r="D19" i="103"/>
  <c r="M18" i="103"/>
  <c r="L18" i="103"/>
  <c r="H18" i="103"/>
  <c r="G18" i="103"/>
  <c r="F18" i="103"/>
  <c r="E18" i="103"/>
  <c r="D18" i="103"/>
  <c r="M17" i="103"/>
  <c r="L17" i="103"/>
  <c r="K17" i="103"/>
  <c r="J17" i="103"/>
  <c r="I17" i="103"/>
  <c r="H17" i="103"/>
  <c r="G17" i="103"/>
  <c r="F17" i="103"/>
  <c r="E17" i="103"/>
  <c r="D17" i="103"/>
  <c r="M16" i="103"/>
  <c r="L16" i="103"/>
  <c r="K16" i="103"/>
  <c r="J16" i="103"/>
  <c r="I16" i="103"/>
  <c r="H16" i="103"/>
  <c r="G16" i="103"/>
  <c r="F16" i="103"/>
  <c r="E16" i="103"/>
  <c r="D16" i="103"/>
  <c r="G14" i="103"/>
  <c r="G15" i="103" s="1"/>
  <c r="D14" i="103"/>
  <c r="M13" i="103"/>
  <c r="L13" i="103"/>
  <c r="K13" i="103"/>
  <c r="J13" i="103"/>
  <c r="I13" i="103"/>
  <c r="G6" i="103" s="1"/>
  <c r="H13" i="103"/>
  <c r="G13" i="103"/>
  <c r="F13" i="103"/>
  <c r="E13" i="103"/>
  <c r="D13" i="103"/>
  <c r="N6" i="103"/>
  <c r="M6" i="103"/>
  <c r="L6" i="103"/>
  <c r="K6" i="103"/>
  <c r="I6" i="103"/>
  <c r="F3" i="103"/>
  <c r="C3" i="103"/>
  <c r="G8" i="113" l="1"/>
  <c r="F8" i="113"/>
  <c r="E8" i="113"/>
  <c r="Q61" i="108"/>
  <c r="R52" i="108" s="1"/>
  <c r="P61" i="108"/>
  <c r="I14" i="107"/>
  <c r="I15" i="107" s="1"/>
  <c r="L14" i="107"/>
  <c r="Q47" i="108"/>
  <c r="R37" i="108" s="1"/>
  <c r="P47" i="108"/>
  <c r="F14" i="107"/>
  <c r="F15" i="107" s="1"/>
  <c r="Q20" i="108"/>
  <c r="R13" i="108" s="1"/>
  <c r="P20" i="108"/>
  <c r="D2" i="108"/>
  <c r="H14" i="107"/>
  <c r="H15" i="107" s="1"/>
  <c r="Q51" i="108"/>
  <c r="R48" i="108" s="1"/>
  <c r="P51" i="108"/>
  <c r="Q12" i="108"/>
  <c r="R9" i="108" s="1"/>
  <c r="P12" i="108"/>
  <c r="E14" i="107"/>
  <c r="E15" i="107" s="1"/>
  <c r="D15" i="107"/>
  <c r="AF51" i="106"/>
  <c r="AG40" i="106" s="1"/>
  <c r="AE51" i="106"/>
  <c r="N51" i="106"/>
  <c r="AF80" i="106"/>
  <c r="AG72" i="106" s="1"/>
  <c r="AE80" i="106"/>
  <c r="N80" i="106"/>
  <c r="AF30" i="106"/>
  <c r="AG24" i="106" s="1"/>
  <c r="AE30" i="106"/>
  <c r="N30" i="106"/>
  <c r="AF55" i="106"/>
  <c r="AG52" i="106" s="1"/>
  <c r="N55" i="106"/>
  <c r="AE55" i="106"/>
  <c r="AF14" i="106"/>
  <c r="AG10" i="106" s="1"/>
  <c r="AE14" i="106"/>
  <c r="N14" i="106"/>
  <c r="I14" i="105"/>
  <c r="I15" i="105" s="1"/>
  <c r="Q65" i="106"/>
  <c r="R56" i="106" s="1"/>
  <c r="P65" i="106"/>
  <c r="Q31" i="106"/>
  <c r="P31" i="106"/>
  <c r="AF9" i="106"/>
  <c r="AG5" i="106" s="1"/>
  <c r="AE9" i="106"/>
  <c r="N9" i="106"/>
  <c r="Q22" i="106"/>
  <c r="P22" i="106"/>
  <c r="AF23" i="106"/>
  <c r="AG15" i="106" s="1"/>
  <c r="AE23" i="106"/>
  <c r="N23" i="106"/>
  <c r="AF71" i="106"/>
  <c r="AG66" i="106" s="1"/>
  <c r="N71" i="106"/>
  <c r="AE71" i="106"/>
  <c r="Q39" i="106"/>
  <c r="R31" i="106" s="1"/>
  <c r="P39" i="106"/>
  <c r="K14" i="105"/>
  <c r="P56" i="106"/>
  <c r="Q56" i="106"/>
  <c r="P31" i="104"/>
  <c r="Q39" i="104"/>
  <c r="R31" i="104" s="1"/>
  <c r="P43" i="104"/>
  <c r="AF51" i="104"/>
  <c r="Q62" i="104"/>
  <c r="P71" i="104"/>
  <c r="AE62" i="104"/>
  <c r="P29" i="104"/>
  <c r="P41" i="104"/>
  <c r="N23" i="104"/>
  <c r="F14" i="103" s="1"/>
  <c r="F15" i="103" s="1"/>
  <c r="Q27" i="104"/>
  <c r="AE39" i="104"/>
  <c r="AE37" i="104"/>
  <c r="AF39" i="104"/>
  <c r="AG31" i="104" s="1"/>
  <c r="P76" i="104"/>
  <c r="P5" i="104"/>
  <c r="AF37" i="104"/>
  <c r="P52" i="104"/>
  <c r="AE23" i="104"/>
  <c r="D15" i="103"/>
  <c r="AF9" i="104"/>
  <c r="AG5" i="104" s="1"/>
  <c r="P13" i="104"/>
  <c r="P30" i="104"/>
  <c r="P46" i="104"/>
  <c r="I3" i="103"/>
  <c r="E6" i="103"/>
  <c r="P34" i="104"/>
  <c r="P59" i="104"/>
  <c r="F6" i="103"/>
  <c r="M14" i="104"/>
  <c r="P39" i="104"/>
  <c r="K15" i="103"/>
  <c r="Q51" i="104"/>
  <c r="AE7" i="104"/>
  <c r="N7" i="104"/>
  <c r="Q9" i="104"/>
  <c r="R5" i="104" s="1"/>
  <c r="AE12" i="104"/>
  <c r="N12" i="104"/>
  <c r="AF15" i="104"/>
  <c r="AE15" i="104"/>
  <c r="Q17" i="104"/>
  <c r="P17" i="104"/>
  <c r="AF19" i="104"/>
  <c r="AE19" i="104"/>
  <c r="N19" i="104"/>
  <c r="AF22" i="104"/>
  <c r="AE22" i="104"/>
  <c r="Q23" i="104"/>
  <c r="R15" i="104" s="1"/>
  <c r="P23" i="104"/>
  <c r="AF26" i="104"/>
  <c r="AE26" i="104"/>
  <c r="N26" i="104"/>
  <c r="AF33" i="104"/>
  <c r="AE33" i="104"/>
  <c r="N33" i="104"/>
  <c r="AF36" i="104"/>
  <c r="AE36" i="104"/>
  <c r="AF40" i="104"/>
  <c r="AE40" i="104"/>
  <c r="M49" i="104"/>
  <c r="Q40" i="104"/>
  <c r="P40" i="104"/>
  <c r="Q42" i="104"/>
  <c r="P42" i="104"/>
  <c r="AF43" i="104"/>
  <c r="AE43" i="104"/>
  <c r="M53" i="104"/>
  <c r="AF50" i="104"/>
  <c r="AE50" i="104"/>
  <c r="AF54" i="104"/>
  <c r="M63" i="104"/>
  <c r="Q54" i="104"/>
  <c r="P54" i="104"/>
  <c r="AF57" i="104"/>
  <c r="AE57" i="104"/>
  <c r="Q58" i="104"/>
  <c r="P58" i="104"/>
  <c r="AF59" i="104"/>
  <c r="AE59" i="104"/>
  <c r="Q61" i="104"/>
  <c r="P61" i="104"/>
  <c r="M69" i="104"/>
  <c r="AF64" i="104"/>
  <c r="Q65" i="104"/>
  <c r="P65" i="104"/>
  <c r="AF66" i="104"/>
  <c r="AE66" i="104"/>
  <c r="Q68" i="104"/>
  <c r="P68" i="104"/>
  <c r="AF70" i="104"/>
  <c r="AE70" i="104"/>
  <c r="M77" i="104"/>
  <c r="N70" i="104"/>
  <c r="AF71" i="104"/>
  <c r="AE71" i="104"/>
  <c r="Q72" i="104"/>
  <c r="P72" i="104"/>
  <c r="AF73" i="104"/>
  <c r="AE73" i="104"/>
  <c r="AF75" i="104"/>
  <c r="N75" i="104"/>
  <c r="N47" i="104"/>
  <c r="N28" i="104"/>
  <c r="N56" i="104"/>
  <c r="AE47" i="104"/>
  <c r="AD80" i="100"/>
  <c r="Z80" i="100"/>
  <c r="Y80" i="100"/>
  <c r="O80" i="100"/>
  <c r="K80" i="100"/>
  <c r="V79" i="100"/>
  <c r="U79" i="100"/>
  <c r="O79" i="100"/>
  <c r="M79" i="100"/>
  <c r="AF79" i="100" s="1"/>
  <c r="K79" i="100"/>
  <c r="G79" i="100"/>
  <c r="V78" i="100"/>
  <c r="U78" i="100"/>
  <c r="O78" i="100"/>
  <c r="M78" i="100"/>
  <c r="K78" i="100"/>
  <c r="G78" i="100"/>
  <c r="V77" i="100"/>
  <c r="M77" i="100" s="1"/>
  <c r="N77" i="100" s="1"/>
  <c r="U77" i="100"/>
  <c r="Q77" i="100"/>
  <c r="P77" i="100"/>
  <c r="O77" i="100"/>
  <c r="K77" i="100"/>
  <c r="G77" i="100"/>
  <c r="X76" i="100"/>
  <c r="W76" i="100"/>
  <c r="V76" i="100"/>
  <c r="U76" i="100"/>
  <c r="O76" i="100"/>
  <c r="M76" i="100"/>
  <c r="K76" i="100"/>
  <c r="G76" i="100"/>
  <c r="V75" i="100"/>
  <c r="M75" i="100" s="1"/>
  <c r="N75" i="100" s="1"/>
  <c r="U75" i="100"/>
  <c r="O75" i="100"/>
  <c r="K75" i="100"/>
  <c r="G75" i="100"/>
  <c r="V74" i="100"/>
  <c r="M74" i="100" s="1"/>
  <c r="U74" i="100"/>
  <c r="O74" i="100"/>
  <c r="K74" i="100"/>
  <c r="G74" i="100"/>
  <c r="AF73" i="100"/>
  <c r="V73" i="100"/>
  <c r="U73" i="100"/>
  <c r="O73" i="100"/>
  <c r="M73" i="100"/>
  <c r="AE73" i="100" s="1"/>
  <c r="K73" i="100"/>
  <c r="G73" i="100"/>
  <c r="X72" i="100"/>
  <c r="W72" i="100"/>
  <c r="V72" i="100"/>
  <c r="M72" i="100" s="1"/>
  <c r="N72" i="100" s="1"/>
  <c r="Q72" i="100"/>
  <c r="P72" i="100"/>
  <c r="O72" i="100"/>
  <c r="K72" i="100"/>
  <c r="G72" i="100"/>
  <c r="AD71" i="100"/>
  <c r="Z71" i="100"/>
  <c r="Y71" i="100"/>
  <c r="J18" i="99" s="1"/>
  <c r="O71" i="100"/>
  <c r="K71" i="100"/>
  <c r="V70" i="100"/>
  <c r="M70" i="100" s="1"/>
  <c r="N70" i="100" s="1"/>
  <c r="P70" i="100" s="1"/>
  <c r="U70" i="100"/>
  <c r="Q70" i="100"/>
  <c r="O70" i="100"/>
  <c r="K70" i="100"/>
  <c r="G70" i="100"/>
  <c r="V69" i="100"/>
  <c r="U69" i="100"/>
  <c r="O69" i="100"/>
  <c r="M69" i="100"/>
  <c r="N69" i="100" s="1"/>
  <c r="K69" i="100"/>
  <c r="G69" i="100"/>
  <c r="V68" i="100"/>
  <c r="M68" i="100" s="1"/>
  <c r="N68" i="100" s="1"/>
  <c r="U68" i="100"/>
  <c r="O68" i="100"/>
  <c r="K68" i="100"/>
  <c r="G68" i="100"/>
  <c r="V67" i="100"/>
  <c r="M67" i="100" s="1"/>
  <c r="U67" i="100"/>
  <c r="O67" i="100"/>
  <c r="K67" i="100"/>
  <c r="G67" i="100"/>
  <c r="V66" i="100"/>
  <c r="O66" i="100"/>
  <c r="M66" i="100"/>
  <c r="AF66" i="100" s="1"/>
  <c r="K66" i="100"/>
  <c r="G66" i="100"/>
  <c r="AD65" i="100"/>
  <c r="Z65" i="100"/>
  <c r="Y65" i="100"/>
  <c r="I18" i="99" s="1"/>
  <c r="O65" i="100"/>
  <c r="K65" i="100"/>
  <c r="V64" i="100"/>
  <c r="U64" i="100"/>
  <c r="O64" i="100"/>
  <c r="M64" i="100"/>
  <c r="N64" i="100" s="1"/>
  <c r="K64" i="100"/>
  <c r="G64" i="100"/>
  <c r="X63" i="100"/>
  <c r="W63" i="100"/>
  <c r="V63" i="100"/>
  <c r="M63" i="100" s="1"/>
  <c r="N63" i="100" s="1"/>
  <c r="P63" i="100" s="1"/>
  <c r="U63" i="100"/>
  <c r="Q63" i="100"/>
  <c r="O63" i="100"/>
  <c r="K63" i="100"/>
  <c r="G63" i="100"/>
  <c r="V62" i="100"/>
  <c r="U62" i="100"/>
  <c r="Q62" i="100"/>
  <c r="O62" i="100"/>
  <c r="N62" i="100"/>
  <c r="P62" i="100" s="1"/>
  <c r="M62" i="100"/>
  <c r="K62" i="100"/>
  <c r="G62" i="100"/>
  <c r="V61" i="100"/>
  <c r="M61" i="100" s="1"/>
  <c r="N61" i="100" s="1"/>
  <c r="U61" i="100"/>
  <c r="O61" i="100"/>
  <c r="K61" i="100"/>
  <c r="G61" i="100"/>
  <c r="V60" i="100"/>
  <c r="M60" i="100" s="1"/>
  <c r="U60" i="100"/>
  <c r="O60" i="100"/>
  <c r="K60" i="100"/>
  <c r="G60" i="100"/>
  <c r="AF59" i="100"/>
  <c r="V59" i="100"/>
  <c r="U59" i="100"/>
  <c r="O59" i="100"/>
  <c r="M59" i="100"/>
  <c r="AE59" i="100" s="1"/>
  <c r="K59" i="100"/>
  <c r="G59" i="100"/>
  <c r="V58" i="100"/>
  <c r="M58" i="100" s="1"/>
  <c r="U58" i="100"/>
  <c r="O58" i="100"/>
  <c r="K58" i="100"/>
  <c r="G58" i="100"/>
  <c r="V57" i="100"/>
  <c r="U57" i="100"/>
  <c r="O57" i="100"/>
  <c r="M57" i="100"/>
  <c r="K57" i="100"/>
  <c r="G57" i="100"/>
  <c r="V56" i="100"/>
  <c r="M56" i="100" s="1"/>
  <c r="AF56" i="100" s="1"/>
  <c r="O56" i="100"/>
  <c r="K56" i="100"/>
  <c r="G56" i="100"/>
  <c r="AD55" i="100"/>
  <c r="Z55" i="100"/>
  <c r="Y55" i="100"/>
  <c r="H18" i="99" s="1"/>
  <c r="O55" i="100"/>
  <c r="K55" i="100"/>
  <c r="V54" i="100"/>
  <c r="M54" i="100" s="1"/>
  <c r="N54" i="100" s="1"/>
  <c r="P54" i="100" s="1"/>
  <c r="U54" i="100"/>
  <c r="Q54" i="100"/>
  <c r="O54" i="100"/>
  <c r="K54" i="100"/>
  <c r="G54" i="100"/>
  <c r="V53" i="100"/>
  <c r="U53" i="100"/>
  <c r="Q53" i="100"/>
  <c r="P53" i="100"/>
  <c r="O53" i="100"/>
  <c r="N53" i="100"/>
  <c r="M53" i="100"/>
  <c r="K53" i="100"/>
  <c r="G53" i="100"/>
  <c r="AF52" i="100"/>
  <c r="AE52" i="100"/>
  <c r="V52" i="100"/>
  <c r="O52" i="100"/>
  <c r="N52" i="100"/>
  <c r="Q52" i="100" s="1"/>
  <c r="M52" i="100"/>
  <c r="K52" i="100"/>
  <c r="G52" i="100"/>
  <c r="AD51" i="100"/>
  <c r="L21" i="99" s="1"/>
  <c r="Z51" i="100"/>
  <c r="L19" i="99" s="1"/>
  <c r="Y51" i="100"/>
  <c r="L18" i="99" s="1"/>
  <c r="O51" i="100"/>
  <c r="K51" i="100"/>
  <c r="V50" i="100"/>
  <c r="U50" i="100"/>
  <c r="O50" i="100"/>
  <c r="M50" i="100"/>
  <c r="AF50" i="100" s="1"/>
  <c r="K50" i="100"/>
  <c r="G50" i="100"/>
  <c r="V49" i="100"/>
  <c r="U49" i="100"/>
  <c r="O49" i="100"/>
  <c r="M49" i="100"/>
  <c r="AE49" i="100" s="1"/>
  <c r="K49" i="100"/>
  <c r="G49" i="100"/>
  <c r="V48" i="100"/>
  <c r="U48" i="100"/>
  <c r="O48" i="100"/>
  <c r="M48" i="100"/>
  <c r="N48" i="100" s="1"/>
  <c r="K48" i="100"/>
  <c r="G48" i="100"/>
  <c r="X47" i="100"/>
  <c r="W47" i="100"/>
  <c r="V47" i="100"/>
  <c r="M47" i="100" s="1"/>
  <c r="N47" i="100" s="1"/>
  <c r="P47" i="100" s="1"/>
  <c r="U47" i="100"/>
  <c r="Q47" i="100"/>
  <c r="O47" i="100"/>
  <c r="K47" i="100"/>
  <c r="G47" i="100"/>
  <c r="V46" i="100"/>
  <c r="U46" i="100"/>
  <c r="Q46" i="100"/>
  <c r="O46" i="100"/>
  <c r="N46" i="100"/>
  <c r="P46" i="100" s="1"/>
  <c r="M46" i="100"/>
  <c r="K46" i="100"/>
  <c r="G46" i="100"/>
  <c r="V45" i="100"/>
  <c r="M45" i="100" s="1"/>
  <c r="N45" i="100" s="1"/>
  <c r="U45" i="100"/>
  <c r="O45" i="100"/>
  <c r="K45" i="100"/>
  <c r="G45" i="100"/>
  <c r="V44" i="100"/>
  <c r="M44" i="100" s="1"/>
  <c r="U44" i="100"/>
  <c r="O44" i="100"/>
  <c r="K44" i="100"/>
  <c r="G44" i="100"/>
  <c r="AF43" i="100"/>
  <c r="V43" i="100"/>
  <c r="U43" i="100"/>
  <c r="O43" i="100"/>
  <c r="M43" i="100"/>
  <c r="AE43" i="100" s="1"/>
  <c r="K43" i="100"/>
  <c r="G43" i="100"/>
  <c r="X42" i="100"/>
  <c r="W42" i="100"/>
  <c r="V42" i="100"/>
  <c r="M42" i="100" s="1"/>
  <c r="N42" i="100" s="1"/>
  <c r="P42" i="100" s="1"/>
  <c r="Q42" i="100"/>
  <c r="O42" i="100"/>
  <c r="K42" i="100"/>
  <c r="G42" i="100"/>
  <c r="AD41" i="100"/>
  <c r="Z41" i="100"/>
  <c r="Y41" i="100"/>
  <c r="K18" i="99" s="1"/>
  <c r="O41" i="100"/>
  <c r="K41" i="100"/>
  <c r="V40" i="100"/>
  <c r="M40" i="100" s="1"/>
  <c r="N40" i="100" s="1"/>
  <c r="P40" i="100" s="1"/>
  <c r="U40" i="100"/>
  <c r="Q40" i="100"/>
  <c r="O40" i="100"/>
  <c r="K40" i="100"/>
  <c r="G40" i="100"/>
  <c r="V39" i="100"/>
  <c r="U39" i="100"/>
  <c r="O39" i="100"/>
  <c r="M39" i="100"/>
  <c r="K39" i="100"/>
  <c r="G39" i="100"/>
  <c r="V38" i="100"/>
  <c r="M38" i="100" s="1"/>
  <c r="N38" i="100" s="1"/>
  <c r="U38" i="100"/>
  <c r="O38" i="100"/>
  <c r="K38" i="100"/>
  <c r="G38" i="100"/>
  <c r="V37" i="100"/>
  <c r="M37" i="100" s="1"/>
  <c r="U37" i="100"/>
  <c r="O37" i="100"/>
  <c r="K37" i="100"/>
  <c r="G37" i="100"/>
  <c r="AF36" i="100"/>
  <c r="V36" i="100"/>
  <c r="U36" i="100"/>
  <c r="O36" i="100"/>
  <c r="M36" i="100"/>
  <c r="AE36" i="100" s="1"/>
  <c r="K36" i="100"/>
  <c r="G36" i="100"/>
  <c r="V35" i="100"/>
  <c r="M35" i="100" s="1"/>
  <c r="U35" i="100"/>
  <c r="O35" i="100"/>
  <c r="K35" i="100"/>
  <c r="G35" i="100"/>
  <c r="V34" i="100"/>
  <c r="U34" i="100"/>
  <c r="O34" i="100"/>
  <c r="M34" i="100"/>
  <c r="K34" i="100"/>
  <c r="G34" i="100"/>
  <c r="V33" i="100"/>
  <c r="M33" i="100" s="1"/>
  <c r="AE33" i="100" s="1"/>
  <c r="U33" i="100"/>
  <c r="O33" i="100"/>
  <c r="N33" i="100"/>
  <c r="Q33" i="100" s="1"/>
  <c r="K33" i="100"/>
  <c r="G33" i="100"/>
  <c r="X32" i="100"/>
  <c r="W32" i="100"/>
  <c r="V32" i="100"/>
  <c r="O32" i="100"/>
  <c r="M32" i="100"/>
  <c r="N32" i="100" s="1"/>
  <c r="K32" i="100"/>
  <c r="G32" i="100"/>
  <c r="AD31" i="100"/>
  <c r="AD2" i="100" s="1"/>
  <c r="N6" i="99" s="1"/>
  <c r="Z31" i="100"/>
  <c r="Y31" i="100"/>
  <c r="O31" i="100"/>
  <c r="K31" i="100"/>
  <c r="V30" i="100"/>
  <c r="M30" i="100" s="1"/>
  <c r="U30" i="100"/>
  <c r="O30" i="100"/>
  <c r="K30" i="100"/>
  <c r="G30" i="100"/>
  <c r="X29" i="100"/>
  <c r="W29" i="100"/>
  <c r="V29" i="100"/>
  <c r="U29" i="100"/>
  <c r="O29" i="100"/>
  <c r="M29" i="100"/>
  <c r="K29" i="100"/>
  <c r="G29" i="100"/>
  <c r="AF28" i="100"/>
  <c r="AE28" i="100"/>
  <c r="V28" i="100"/>
  <c r="M28" i="100" s="1"/>
  <c r="N28" i="100" s="1"/>
  <c r="U28" i="100"/>
  <c r="O28" i="100"/>
  <c r="K28" i="100"/>
  <c r="G28" i="100"/>
  <c r="V27" i="100"/>
  <c r="U27" i="100"/>
  <c r="O27" i="100"/>
  <c r="M27" i="100"/>
  <c r="N27" i="100" s="1"/>
  <c r="K27" i="100"/>
  <c r="G27" i="100"/>
  <c r="V26" i="100"/>
  <c r="M26" i="100" s="1"/>
  <c r="N26" i="100" s="1"/>
  <c r="P26" i="100" s="1"/>
  <c r="U26" i="100"/>
  <c r="Q26" i="100"/>
  <c r="O26" i="100"/>
  <c r="K26" i="100"/>
  <c r="G26" i="100"/>
  <c r="V25" i="100"/>
  <c r="U25" i="100"/>
  <c r="O25" i="100"/>
  <c r="M25" i="100"/>
  <c r="K25" i="100"/>
  <c r="G25" i="100"/>
  <c r="V24" i="100"/>
  <c r="M24" i="100" s="1"/>
  <c r="AE24" i="100" s="1"/>
  <c r="O24" i="100"/>
  <c r="K24" i="100"/>
  <c r="G24" i="100"/>
  <c r="AD23" i="100"/>
  <c r="Z23" i="100"/>
  <c r="Y23" i="100"/>
  <c r="F18" i="99" s="1"/>
  <c r="O23" i="100"/>
  <c r="K23" i="100"/>
  <c r="F13" i="99" s="1"/>
  <c r="AF22" i="100"/>
  <c r="V22" i="100"/>
  <c r="U22" i="100"/>
  <c r="O22" i="100"/>
  <c r="M22" i="100"/>
  <c r="AE22" i="100" s="1"/>
  <c r="K22" i="100"/>
  <c r="G22" i="100"/>
  <c r="AF21" i="100"/>
  <c r="AE21" i="100"/>
  <c r="X21" i="100"/>
  <c r="W21" i="100"/>
  <c r="V21" i="100"/>
  <c r="M21" i="100" s="1"/>
  <c r="N21" i="100" s="1"/>
  <c r="U21" i="100"/>
  <c r="O21" i="100"/>
  <c r="K21" i="100"/>
  <c r="G21" i="100"/>
  <c r="V20" i="100"/>
  <c r="U20" i="100"/>
  <c r="O20" i="100"/>
  <c r="M20" i="100"/>
  <c r="K20" i="100"/>
  <c r="G20" i="100"/>
  <c r="V19" i="100"/>
  <c r="M19" i="100" s="1"/>
  <c r="N19" i="100" s="1"/>
  <c r="Q19" i="100" s="1"/>
  <c r="U19" i="100"/>
  <c r="O19" i="100"/>
  <c r="K19" i="100"/>
  <c r="G19" i="100"/>
  <c r="V18" i="100"/>
  <c r="U18" i="100"/>
  <c r="O18" i="100"/>
  <c r="M18" i="100"/>
  <c r="K18" i="100"/>
  <c r="G18" i="100"/>
  <c r="V17" i="100"/>
  <c r="M17" i="100" s="1"/>
  <c r="N17" i="100" s="1"/>
  <c r="U17" i="100"/>
  <c r="O17" i="100"/>
  <c r="K17" i="100"/>
  <c r="G17" i="100"/>
  <c r="V16" i="100"/>
  <c r="M16" i="100" s="1"/>
  <c r="U16" i="100"/>
  <c r="O16" i="100"/>
  <c r="K16" i="100"/>
  <c r="G16" i="100"/>
  <c r="AF15" i="100"/>
  <c r="V15" i="100"/>
  <c r="O15" i="100"/>
  <c r="M15" i="100"/>
  <c r="AE15" i="100" s="1"/>
  <c r="K15" i="100"/>
  <c r="G15" i="100"/>
  <c r="AD14" i="100"/>
  <c r="Z14" i="100"/>
  <c r="Y14" i="100"/>
  <c r="E18" i="99" s="1"/>
  <c r="O14" i="100"/>
  <c r="K14" i="100"/>
  <c r="V13" i="100"/>
  <c r="U13" i="100"/>
  <c r="O13" i="100"/>
  <c r="M13" i="100"/>
  <c r="K13" i="100"/>
  <c r="G13" i="100"/>
  <c r="AF12" i="100"/>
  <c r="AE12" i="100"/>
  <c r="X12" i="100"/>
  <c r="W12" i="100"/>
  <c r="V12" i="100"/>
  <c r="M12" i="100" s="1"/>
  <c r="N12" i="100" s="1"/>
  <c r="Q12" i="100" s="1"/>
  <c r="U12" i="100"/>
  <c r="O12" i="100"/>
  <c r="K12" i="100"/>
  <c r="G12" i="100"/>
  <c r="V11" i="100"/>
  <c r="U11" i="100"/>
  <c r="O11" i="100"/>
  <c r="M11" i="100"/>
  <c r="K11" i="100"/>
  <c r="G11" i="100"/>
  <c r="AF10" i="100"/>
  <c r="AE10" i="100"/>
  <c r="X10" i="100"/>
  <c r="W10" i="100"/>
  <c r="V10" i="100"/>
  <c r="O10" i="100"/>
  <c r="M10" i="100"/>
  <c r="N10" i="100" s="1"/>
  <c r="K10" i="100"/>
  <c r="G10" i="100"/>
  <c r="AD9" i="100"/>
  <c r="Z9" i="100"/>
  <c r="Y9" i="100"/>
  <c r="D18" i="99" s="1"/>
  <c r="O9" i="100"/>
  <c r="M9" i="100"/>
  <c r="AF9" i="100" s="1"/>
  <c r="AG5" i="100" s="1"/>
  <c r="K9" i="100"/>
  <c r="V8" i="100"/>
  <c r="U8" i="100"/>
  <c r="O8" i="100"/>
  <c r="M8" i="100"/>
  <c r="K8" i="100"/>
  <c r="G8" i="100"/>
  <c r="AF7" i="100"/>
  <c r="AE7" i="100"/>
  <c r="X7" i="100"/>
  <c r="W7" i="100"/>
  <c r="V7" i="100"/>
  <c r="M7" i="100" s="1"/>
  <c r="N7" i="100" s="1"/>
  <c r="U7" i="100"/>
  <c r="Q7" i="100"/>
  <c r="P7" i="100"/>
  <c r="O7" i="100"/>
  <c r="K7" i="100"/>
  <c r="G7" i="100"/>
  <c r="V6" i="100"/>
  <c r="U6" i="100"/>
  <c r="O6" i="100"/>
  <c r="M6" i="100"/>
  <c r="K6" i="100"/>
  <c r="G6" i="100"/>
  <c r="V5" i="100"/>
  <c r="M5" i="100" s="1"/>
  <c r="N5" i="100" s="1"/>
  <c r="O5" i="100"/>
  <c r="K5" i="100"/>
  <c r="G5" i="100"/>
  <c r="AC2" i="100"/>
  <c r="M6" i="99" s="1"/>
  <c r="H2" i="100"/>
  <c r="H1" i="100"/>
  <c r="F1" i="100"/>
  <c r="I3" i="99" s="1"/>
  <c r="D1" i="100"/>
  <c r="M22" i="99"/>
  <c r="L22" i="99"/>
  <c r="K22" i="99"/>
  <c r="J22" i="99"/>
  <c r="I22" i="99"/>
  <c r="H22" i="99"/>
  <c r="G22" i="99"/>
  <c r="F22" i="99"/>
  <c r="E22" i="99"/>
  <c r="D22" i="99"/>
  <c r="M21" i="99"/>
  <c r="K21" i="99"/>
  <c r="J21" i="99"/>
  <c r="I21" i="99"/>
  <c r="H21" i="99"/>
  <c r="G21" i="99"/>
  <c r="F21" i="99"/>
  <c r="E21" i="99"/>
  <c r="D21" i="99"/>
  <c r="M20" i="99"/>
  <c r="L20" i="99"/>
  <c r="K20" i="99"/>
  <c r="J20" i="99"/>
  <c r="I20" i="99"/>
  <c r="H20" i="99"/>
  <c r="G20" i="99"/>
  <c r="F20" i="99"/>
  <c r="E20" i="99"/>
  <c r="D20" i="99"/>
  <c r="M19" i="99"/>
  <c r="K19" i="99"/>
  <c r="J19" i="99"/>
  <c r="I19" i="99"/>
  <c r="H19" i="99"/>
  <c r="G19" i="99"/>
  <c r="F19" i="99"/>
  <c r="E19" i="99"/>
  <c r="D19" i="99"/>
  <c r="M18" i="99"/>
  <c r="G18" i="99"/>
  <c r="M17" i="99"/>
  <c r="L17" i="99"/>
  <c r="K17" i="99"/>
  <c r="J17" i="99"/>
  <c r="I17" i="99"/>
  <c r="H17" i="99"/>
  <c r="G17" i="99"/>
  <c r="F17" i="99"/>
  <c r="E17" i="99"/>
  <c r="D17" i="99"/>
  <c r="M16" i="99"/>
  <c r="L16" i="99"/>
  <c r="K16" i="99"/>
  <c r="J16" i="99"/>
  <c r="I16" i="99"/>
  <c r="H16" i="99"/>
  <c r="G16" i="99"/>
  <c r="F16" i="99"/>
  <c r="E16" i="99"/>
  <c r="D16" i="99"/>
  <c r="M13" i="99"/>
  <c r="L13" i="99"/>
  <c r="K13" i="99"/>
  <c r="I6" i="99" s="1"/>
  <c r="J13" i="99"/>
  <c r="I13" i="99"/>
  <c r="H13" i="99"/>
  <c r="G13" i="99"/>
  <c r="E13" i="99"/>
  <c r="D13" i="99"/>
  <c r="F3" i="99"/>
  <c r="C3" i="99"/>
  <c r="E7" i="107" l="1"/>
  <c r="L15" i="107"/>
  <c r="I8" i="107" s="1"/>
  <c r="I7" i="107"/>
  <c r="G7" i="107"/>
  <c r="F7" i="107"/>
  <c r="G8" i="107"/>
  <c r="F8" i="107"/>
  <c r="E8" i="107"/>
  <c r="Q14" i="106"/>
  <c r="R10" i="106" s="1"/>
  <c r="P14" i="106"/>
  <c r="E14" i="105"/>
  <c r="E15" i="105" s="1"/>
  <c r="Q71" i="106"/>
  <c r="R66" i="106" s="1"/>
  <c r="P71" i="106"/>
  <c r="J14" i="105"/>
  <c r="J15" i="105" s="1"/>
  <c r="D14" i="105"/>
  <c r="D2" i="106"/>
  <c r="Q9" i="106"/>
  <c r="R5" i="106" s="1"/>
  <c r="P9" i="106"/>
  <c r="Q51" i="106"/>
  <c r="R40" i="106" s="1"/>
  <c r="P51" i="106"/>
  <c r="L14" i="105"/>
  <c r="L15" i="105" s="1"/>
  <c r="G14" i="105"/>
  <c r="G15" i="105" s="1"/>
  <c r="Q30" i="106"/>
  <c r="R24" i="106" s="1"/>
  <c r="P30" i="106"/>
  <c r="K15" i="105"/>
  <c r="H14" i="105"/>
  <c r="H15" i="105" s="1"/>
  <c r="Q55" i="106"/>
  <c r="R52" i="106" s="1"/>
  <c r="P55" i="106"/>
  <c r="F14" i="105"/>
  <c r="F15" i="105" s="1"/>
  <c r="Q23" i="106"/>
  <c r="R15" i="106" s="1"/>
  <c r="P23" i="106"/>
  <c r="Q80" i="106"/>
  <c r="R72" i="106" s="1"/>
  <c r="P80" i="106"/>
  <c r="M14" i="105"/>
  <c r="M15" i="105" s="1"/>
  <c r="N69" i="104"/>
  <c r="AF69" i="104"/>
  <c r="AG64" i="104" s="1"/>
  <c r="AE69" i="104"/>
  <c r="N49" i="104"/>
  <c r="AE49" i="104"/>
  <c r="AF49" i="104"/>
  <c r="AG40" i="104" s="1"/>
  <c r="P12" i="104"/>
  <c r="Q12" i="104"/>
  <c r="N53" i="104"/>
  <c r="AF53" i="104"/>
  <c r="AG50" i="104" s="1"/>
  <c r="AE53" i="104"/>
  <c r="P19" i="104"/>
  <c r="Q19" i="104"/>
  <c r="Q56" i="104"/>
  <c r="P56" i="104"/>
  <c r="Q28" i="104"/>
  <c r="P28" i="104"/>
  <c r="P47" i="104"/>
  <c r="Q47" i="104"/>
  <c r="P33" i="104"/>
  <c r="Q33" i="104"/>
  <c r="P26" i="104"/>
  <c r="Q26" i="104"/>
  <c r="N14" i="104"/>
  <c r="AF14" i="104"/>
  <c r="AG10" i="104" s="1"/>
  <c r="AE14" i="104"/>
  <c r="P7" i="104"/>
  <c r="Q7" i="104"/>
  <c r="Q75" i="104"/>
  <c r="P75" i="104"/>
  <c r="Q70" i="104"/>
  <c r="P70" i="104"/>
  <c r="AF77" i="104"/>
  <c r="AG70" i="104" s="1"/>
  <c r="AE77" i="104"/>
  <c r="N77" i="104"/>
  <c r="AF63" i="104"/>
  <c r="AG54" i="104" s="1"/>
  <c r="AE63" i="104"/>
  <c r="N63" i="104"/>
  <c r="Q63" i="104" s="1"/>
  <c r="R54" i="104" s="1"/>
  <c r="P64" i="100"/>
  <c r="Q64" i="100"/>
  <c r="AF35" i="100"/>
  <c r="AE35" i="100"/>
  <c r="N35" i="100"/>
  <c r="Q69" i="100"/>
  <c r="P69" i="100"/>
  <c r="G6" i="99"/>
  <c r="F6" i="99"/>
  <c r="E6" i="99"/>
  <c r="AF16" i="100"/>
  <c r="N16" i="100"/>
  <c r="M23" i="100"/>
  <c r="AE16" i="100"/>
  <c r="Q27" i="100"/>
  <c r="P27" i="100"/>
  <c r="Q28" i="100"/>
  <c r="P28" i="100"/>
  <c r="AF74" i="100"/>
  <c r="AE74" i="100"/>
  <c r="N74" i="100"/>
  <c r="P48" i="100"/>
  <c r="Q48" i="100"/>
  <c r="P32" i="100"/>
  <c r="Q32" i="100"/>
  <c r="AF58" i="100"/>
  <c r="AE58" i="100"/>
  <c r="N58" i="100"/>
  <c r="AF67" i="100"/>
  <c r="N67" i="100"/>
  <c r="AE67" i="100"/>
  <c r="M71" i="100"/>
  <c r="AF30" i="100"/>
  <c r="N30" i="100"/>
  <c r="AE30" i="100"/>
  <c r="AF37" i="100"/>
  <c r="N37" i="100"/>
  <c r="AE37" i="100"/>
  <c r="AF60" i="100"/>
  <c r="AE60" i="100"/>
  <c r="N60" i="100"/>
  <c r="Q21" i="100"/>
  <c r="P21" i="100"/>
  <c r="AF44" i="100"/>
  <c r="AE44" i="100"/>
  <c r="N44" i="100"/>
  <c r="AF18" i="100"/>
  <c r="AE18" i="100"/>
  <c r="AF33" i="100"/>
  <c r="AE38" i="100"/>
  <c r="M41" i="100"/>
  <c r="AF49" i="100"/>
  <c r="AE56" i="100"/>
  <c r="Q68" i="100"/>
  <c r="P68" i="100"/>
  <c r="N18" i="100"/>
  <c r="AF25" i="100"/>
  <c r="AE25" i="100"/>
  <c r="AF38" i="100"/>
  <c r="Q45" i="100"/>
  <c r="P45" i="100"/>
  <c r="AE47" i="100"/>
  <c r="Q61" i="100"/>
  <c r="P61" i="100"/>
  <c r="AE63" i="100"/>
  <c r="AE68" i="100"/>
  <c r="AE79" i="100"/>
  <c r="AF6" i="100"/>
  <c r="AE6" i="100"/>
  <c r="AF8" i="100"/>
  <c r="AE8" i="100"/>
  <c r="P19" i="100"/>
  <c r="N6" i="100"/>
  <c r="N8" i="100"/>
  <c r="N49" i="100"/>
  <c r="N79" i="100"/>
  <c r="AE29" i="100"/>
  <c r="N29" i="100"/>
  <c r="AE19" i="100"/>
  <c r="F2" i="100"/>
  <c r="Q17" i="100"/>
  <c r="P17" i="100"/>
  <c r="AF19" i="100"/>
  <c r="N24" i="100"/>
  <c r="M31" i="100"/>
  <c r="AE26" i="100"/>
  <c r="P33" i="100"/>
  <c r="AE17" i="100"/>
  <c r="AF26" i="100"/>
  <c r="Y2" i="100"/>
  <c r="K6" i="99" s="1"/>
  <c r="N9" i="100"/>
  <c r="AF17" i="100"/>
  <c r="AF24" i="100"/>
  <c r="AE40" i="100"/>
  <c r="AE42" i="100"/>
  <c r="Z2" i="100"/>
  <c r="L6" i="99" s="1"/>
  <c r="AF11" i="100"/>
  <c r="AE11" i="100"/>
  <c r="AF13" i="100"/>
  <c r="AE13" i="100"/>
  <c r="AE20" i="100"/>
  <c r="AF20" i="100"/>
  <c r="AF40" i="100"/>
  <c r="AF42" i="100"/>
  <c r="AE70" i="100"/>
  <c r="AE72" i="100"/>
  <c r="N11" i="100"/>
  <c r="N13" i="100"/>
  <c r="N20" i="100"/>
  <c r="AF27" i="100"/>
  <c r="AE27" i="100"/>
  <c r="Q38" i="100"/>
  <c r="P38" i="100"/>
  <c r="M65" i="100"/>
  <c r="N56" i="100"/>
  <c r="AF70" i="100"/>
  <c r="AF72" i="100"/>
  <c r="AF34" i="100"/>
  <c r="AE34" i="100"/>
  <c r="N34" i="100"/>
  <c r="AF45" i="100"/>
  <c r="AF54" i="100"/>
  <c r="AF61" i="100"/>
  <c r="AE75" i="100"/>
  <c r="AE77" i="100"/>
  <c r="Q5" i="100"/>
  <c r="P5" i="100"/>
  <c r="AE9" i="100"/>
  <c r="M14" i="100"/>
  <c r="AE39" i="100"/>
  <c r="AF39" i="100"/>
  <c r="AF75" i="100"/>
  <c r="AF77" i="100"/>
  <c r="M80" i="100"/>
  <c r="AF5" i="100"/>
  <c r="AE46" i="100"/>
  <c r="AF46" i="100"/>
  <c r="AE62" i="100"/>
  <c r="AF62" i="100"/>
  <c r="N25" i="100"/>
  <c r="AF29" i="100"/>
  <c r="AE32" i="100"/>
  <c r="AF32" i="100"/>
  <c r="AE45" i="100"/>
  <c r="AF47" i="100"/>
  <c r="AE54" i="100"/>
  <c r="AE61" i="100"/>
  <c r="AF63" i="100"/>
  <c r="AF68" i="100"/>
  <c r="Q75" i="100"/>
  <c r="P75" i="100"/>
  <c r="AF48" i="100"/>
  <c r="AE48" i="100"/>
  <c r="M55" i="100"/>
  <c r="AF57" i="100"/>
  <c r="AE57" i="100"/>
  <c r="N57" i="100"/>
  <c r="AF64" i="100"/>
  <c r="AE64" i="100"/>
  <c r="AE69" i="100"/>
  <c r="AF69" i="100"/>
  <c r="AF76" i="100"/>
  <c r="AE76" i="100"/>
  <c r="AF78" i="100"/>
  <c r="AE78" i="100"/>
  <c r="Q10" i="100"/>
  <c r="P10" i="100"/>
  <c r="P12" i="100"/>
  <c r="M51" i="100"/>
  <c r="N76" i="100"/>
  <c r="N78" i="100"/>
  <c r="AE5" i="100"/>
  <c r="N39" i="100"/>
  <c r="AE53" i="100"/>
  <c r="AF53" i="100"/>
  <c r="N15" i="100"/>
  <c r="N22" i="100"/>
  <c r="N36" i="100"/>
  <c r="N43" i="100"/>
  <c r="N59" i="100"/>
  <c r="N73" i="100"/>
  <c r="P52" i="100"/>
  <c r="N50" i="100"/>
  <c r="N66" i="100"/>
  <c r="AE50" i="100"/>
  <c r="AE66" i="100"/>
  <c r="G63" i="96"/>
  <c r="G64" i="96"/>
  <c r="G65" i="96"/>
  <c r="G66" i="96"/>
  <c r="G67" i="96"/>
  <c r="G68" i="96"/>
  <c r="G62" i="96"/>
  <c r="G60" i="96"/>
  <c r="G57" i="96"/>
  <c r="G58" i="96"/>
  <c r="G59" i="96"/>
  <c r="G56" i="96"/>
  <c r="G47" i="96"/>
  <c r="G48" i="96"/>
  <c r="G49" i="96"/>
  <c r="G50" i="96"/>
  <c r="G51" i="96"/>
  <c r="G52" i="96"/>
  <c r="G53" i="96"/>
  <c r="G54" i="96"/>
  <c r="G46" i="96"/>
  <c r="G43" i="96"/>
  <c r="G44" i="96"/>
  <c r="G42" i="96"/>
  <c r="G35" i="96"/>
  <c r="G36" i="96"/>
  <c r="G37" i="96"/>
  <c r="G38" i="96"/>
  <c r="G39" i="96"/>
  <c r="G40" i="96"/>
  <c r="G34" i="96"/>
  <c r="G29" i="96"/>
  <c r="G30" i="96"/>
  <c r="G31" i="96"/>
  <c r="G32" i="96"/>
  <c r="G28" i="96"/>
  <c r="G22" i="96"/>
  <c r="G23" i="96"/>
  <c r="G24" i="96"/>
  <c r="G25" i="96"/>
  <c r="G26" i="96"/>
  <c r="G21" i="96"/>
  <c r="G14" i="96"/>
  <c r="G15" i="96"/>
  <c r="G16" i="96"/>
  <c r="G17" i="96"/>
  <c r="G18" i="96"/>
  <c r="G19" i="96"/>
  <c r="G13" i="96"/>
  <c r="G11" i="96"/>
  <c r="G10" i="96"/>
  <c r="G9" i="96"/>
  <c r="G6" i="96"/>
  <c r="G7" i="96"/>
  <c r="G5" i="96"/>
  <c r="F2" i="92"/>
  <c r="D2" i="92"/>
  <c r="F1" i="92"/>
  <c r="D1" i="92"/>
  <c r="I7" i="105" l="1"/>
  <c r="I8" i="105"/>
  <c r="G7" i="105"/>
  <c r="F7" i="105"/>
  <c r="E7" i="105"/>
  <c r="D15" i="105"/>
  <c r="P77" i="104"/>
  <c r="Q77" i="104"/>
  <c r="R70" i="104" s="1"/>
  <c r="M14" i="103"/>
  <c r="M15" i="103" s="1"/>
  <c r="Q53" i="104"/>
  <c r="R50" i="104" s="1"/>
  <c r="P53" i="104"/>
  <c r="H14" i="103"/>
  <c r="H15" i="103" s="1"/>
  <c r="Q14" i="104"/>
  <c r="R10" i="104" s="1"/>
  <c r="E14" i="103"/>
  <c r="P14" i="104"/>
  <c r="D2" i="104"/>
  <c r="P49" i="104"/>
  <c r="Q49" i="104"/>
  <c r="R40" i="104" s="1"/>
  <c r="L14" i="103"/>
  <c r="J14" i="103"/>
  <c r="J15" i="103" s="1"/>
  <c r="P69" i="104"/>
  <c r="Q69" i="104"/>
  <c r="R64" i="104" s="1"/>
  <c r="P63" i="104"/>
  <c r="I14" i="103"/>
  <c r="I15" i="103" s="1"/>
  <c r="Q57" i="100"/>
  <c r="P57" i="100"/>
  <c r="Q18" i="100"/>
  <c r="P18" i="100"/>
  <c r="AF65" i="100"/>
  <c r="AG56" i="100" s="1"/>
  <c r="AE65" i="100"/>
  <c r="N65" i="100"/>
  <c r="Q8" i="100"/>
  <c r="P8" i="100"/>
  <c r="AF41" i="100"/>
  <c r="AG32" i="100" s="1"/>
  <c r="AE41" i="100"/>
  <c r="N41" i="100"/>
  <c r="Q13" i="100"/>
  <c r="P13" i="100"/>
  <c r="Q44" i="100"/>
  <c r="P44" i="100"/>
  <c r="Q22" i="100"/>
  <c r="P22" i="100"/>
  <c r="AF80" i="100"/>
  <c r="AG72" i="100" s="1"/>
  <c r="AE80" i="100"/>
  <c r="N80" i="100"/>
  <c r="AF23" i="100"/>
  <c r="AG15" i="100" s="1"/>
  <c r="N23" i="100"/>
  <c r="AE23" i="100"/>
  <c r="Q35" i="100"/>
  <c r="P35" i="100"/>
  <c r="P36" i="100"/>
  <c r="Q36" i="100"/>
  <c r="Q29" i="100"/>
  <c r="P29" i="100"/>
  <c r="Q37" i="100"/>
  <c r="P37" i="100"/>
  <c r="Q15" i="100"/>
  <c r="P15" i="100"/>
  <c r="Q79" i="100"/>
  <c r="P79" i="100"/>
  <c r="Q56" i="100"/>
  <c r="P56" i="100"/>
  <c r="AF71" i="100"/>
  <c r="AG66" i="100" s="1"/>
  <c r="AE71" i="100"/>
  <c r="N71" i="100"/>
  <c r="D14" i="99"/>
  <c r="P9" i="100"/>
  <c r="Q9" i="100"/>
  <c r="R5" i="100" s="1"/>
  <c r="Q11" i="100"/>
  <c r="P11" i="100"/>
  <c r="N31" i="100"/>
  <c r="AF31" i="100"/>
  <c r="AG24" i="100" s="1"/>
  <c r="AE31" i="100"/>
  <c r="Q66" i="100"/>
  <c r="P66" i="100"/>
  <c r="Q24" i="100"/>
  <c r="P24" i="100"/>
  <c r="P78" i="100"/>
  <c r="Q78" i="100"/>
  <c r="N51" i="100"/>
  <c r="AF51" i="100"/>
  <c r="AG42" i="100" s="1"/>
  <c r="AE51" i="100"/>
  <c r="Q50" i="100"/>
  <c r="P50" i="100"/>
  <c r="P59" i="100"/>
  <c r="Q59" i="100"/>
  <c r="AF55" i="100"/>
  <c r="AG52" i="100" s="1"/>
  <c r="AE55" i="100"/>
  <c r="N55" i="100"/>
  <c r="Q30" i="100"/>
  <c r="P30" i="100"/>
  <c r="Q39" i="100"/>
  <c r="P39" i="100"/>
  <c r="Q16" i="100"/>
  <c r="P16" i="100"/>
  <c r="Q67" i="100"/>
  <c r="P67" i="100"/>
  <c r="Q20" i="100"/>
  <c r="P20" i="100"/>
  <c r="Q58" i="100"/>
  <c r="P58" i="100"/>
  <c r="Q25" i="100"/>
  <c r="P25" i="100"/>
  <c r="Q34" i="100"/>
  <c r="P34" i="100"/>
  <c r="P43" i="100"/>
  <c r="Q43" i="100"/>
  <c r="P49" i="100"/>
  <c r="Q49" i="100"/>
  <c r="Q6" i="100"/>
  <c r="P6" i="100"/>
  <c r="Q76" i="100"/>
  <c r="P76" i="100"/>
  <c r="N14" i="100"/>
  <c r="AF14" i="100"/>
  <c r="AG10" i="100" s="1"/>
  <c r="AE14" i="100"/>
  <c r="P73" i="100"/>
  <c r="Q73" i="100"/>
  <c r="Q60" i="100"/>
  <c r="P60" i="100"/>
  <c r="Q74" i="100"/>
  <c r="P74" i="100"/>
  <c r="AD69" i="96"/>
  <c r="Z69" i="96"/>
  <c r="Y69" i="96"/>
  <c r="O69" i="96"/>
  <c r="K69" i="96"/>
  <c r="V68" i="96"/>
  <c r="U68" i="96"/>
  <c r="O68" i="96"/>
  <c r="M68" i="96"/>
  <c r="K68" i="96"/>
  <c r="X67" i="96"/>
  <c r="W67" i="96"/>
  <c r="V67" i="96"/>
  <c r="U67" i="96"/>
  <c r="O67" i="96"/>
  <c r="M67" i="96"/>
  <c r="AF67" i="96" s="1"/>
  <c r="K67" i="96"/>
  <c r="V66" i="96"/>
  <c r="M66" i="96" s="1"/>
  <c r="U66" i="96"/>
  <c r="O66" i="96"/>
  <c r="K66" i="96"/>
  <c r="V65" i="96"/>
  <c r="U65" i="96"/>
  <c r="O65" i="96"/>
  <c r="M65" i="96"/>
  <c r="AF65" i="96" s="1"/>
  <c r="K65" i="96"/>
  <c r="V64" i="96"/>
  <c r="M64" i="96" s="1"/>
  <c r="U64" i="96"/>
  <c r="O64" i="96"/>
  <c r="K64" i="96"/>
  <c r="V63" i="96"/>
  <c r="U63" i="96"/>
  <c r="O63" i="96"/>
  <c r="M63" i="96"/>
  <c r="AF63" i="96" s="1"/>
  <c r="K63" i="96"/>
  <c r="X62" i="96"/>
  <c r="W62" i="96"/>
  <c r="V62" i="96"/>
  <c r="M62" i="96" s="1"/>
  <c r="O62" i="96"/>
  <c r="K62" i="96"/>
  <c r="AD61" i="96"/>
  <c r="Z61" i="96"/>
  <c r="Y61" i="96"/>
  <c r="O61" i="96"/>
  <c r="K61" i="96"/>
  <c r="J13" i="95" s="1"/>
  <c r="V60" i="96"/>
  <c r="M60" i="96" s="1"/>
  <c r="N60" i="96" s="1"/>
  <c r="U60" i="96"/>
  <c r="O60" i="96"/>
  <c r="K60" i="96"/>
  <c r="V59" i="96"/>
  <c r="U59" i="96"/>
  <c r="O59" i="96"/>
  <c r="M59" i="96"/>
  <c r="K59" i="96"/>
  <c r="AF58" i="96"/>
  <c r="AE58" i="96"/>
  <c r="V58" i="96"/>
  <c r="M58" i="96" s="1"/>
  <c r="N58" i="96" s="1"/>
  <c r="U58" i="96"/>
  <c r="O58" i="96"/>
  <c r="K58" i="96"/>
  <c r="V57" i="96"/>
  <c r="U57" i="96"/>
  <c r="O57" i="96"/>
  <c r="M57" i="96"/>
  <c r="AE57" i="96" s="1"/>
  <c r="K57" i="96"/>
  <c r="AF56" i="96"/>
  <c r="AE56" i="96"/>
  <c r="V56" i="96"/>
  <c r="O56" i="96"/>
  <c r="N56" i="96"/>
  <c r="Q56" i="96" s="1"/>
  <c r="M56" i="96"/>
  <c r="K56" i="96"/>
  <c r="AD55" i="96"/>
  <c r="Z55" i="96"/>
  <c r="I19" i="95" s="1"/>
  <c r="Y55" i="96"/>
  <c r="O55" i="96"/>
  <c r="K55" i="96"/>
  <c r="I13" i="95" s="1"/>
  <c r="AF54" i="96"/>
  <c r="AE54" i="96"/>
  <c r="V54" i="96"/>
  <c r="U54" i="96"/>
  <c r="O54" i="96"/>
  <c r="N54" i="96"/>
  <c r="Q54" i="96" s="1"/>
  <c r="M54" i="96"/>
  <c r="K54" i="96"/>
  <c r="X53" i="96"/>
  <c r="W53" i="96"/>
  <c r="V53" i="96"/>
  <c r="U53" i="96"/>
  <c r="O53" i="96"/>
  <c r="M53" i="96"/>
  <c r="N53" i="96" s="1"/>
  <c r="K53" i="96"/>
  <c r="AF52" i="96"/>
  <c r="AE52" i="96"/>
  <c r="V52" i="96"/>
  <c r="U52" i="96"/>
  <c r="O52" i="96"/>
  <c r="N52" i="96"/>
  <c r="Q52" i="96" s="1"/>
  <c r="M52" i="96"/>
  <c r="K52" i="96"/>
  <c r="V51" i="96"/>
  <c r="U51" i="96"/>
  <c r="O51" i="96"/>
  <c r="M51" i="96"/>
  <c r="K51" i="96"/>
  <c r="AF50" i="96"/>
  <c r="AE50" i="96"/>
  <c r="V50" i="96"/>
  <c r="U50" i="96"/>
  <c r="O50" i="96"/>
  <c r="N50" i="96"/>
  <c r="Q50" i="96" s="1"/>
  <c r="M50" i="96"/>
  <c r="K50" i="96"/>
  <c r="V49" i="96"/>
  <c r="U49" i="96"/>
  <c r="O49" i="96"/>
  <c r="M49" i="96"/>
  <c r="N49" i="96" s="1"/>
  <c r="K49" i="96"/>
  <c r="AF48" i="96"/>
  <c r="AE48" i="96"/>
  <c r="V48" i="96"/>
  <c r="U48" i="96"/>
  <c r="O48" i="96"/>
  <c r="N48" i="96"/>
  <c r="Q48" i="96" s="1"/>
  <c r="M48" i="96"/>
  <c r="K48" i="96"/>
  <c r="V47" i="96"/>
  <c r="U47" i="96"/>
  <c r="O47" i="96"/>
  <c r="M47" i="96"/>
  <c r="K47" i="96"/>
  <c r="AF46" i="96"/>
  <c r="AE46" i="96"/>
  <c r="V46" i="96"/>
  <c r="O46" i="96"/>
  <c r="N46" i="96"/>
  <c r="P46" i="96" s="1"/>
  <c r="M46" i="96"/>
  <c r="K46" i="96"/>
  <c r="AD45" i="96"/>
  <c r="H21" i="95" s="1"/>
  <c r="Z45" i="96"/>
  <c r="H19" i="95" s="1"/>
  <c r="Y45" i="96"/>
  <c r="H18" i="95" s="1"/>
  <c r="O45" i="96"/>
  <c r="K45" i="96"/>
  <c r="V44" i="96"/>
  <c r="U44" i="96"/>
  <c r="O44" i="96"/>
  <c r="M44" i="96"/>
  <c r="AF44" i="96" s="1"/>
  <c r="K44" i="96"/>
  <c r="V43" i="96"/>
  <c r="M43" i="96" s="1"/>
  <c r="U43" i="96"/>
  <c r="O43" i="96"/>
  <c r="K43" i="96"/>
  <c r="V42" i="96"/>
  <c r="O42" i="96"/>
  <c r="M42" i="96"/>
  <c r="M45" i="96" s="1"/>
  <c r="K42" i="96"/>
  <c r="AD41" i="96"/>
  <c r="Z41" i="96"/>
  <c r="Y41" i="96"/>
  <c r="Y2" i="96" s="1"/>
  <c r="K6" i="95" s="1"/>
  <c r="O41" i="96"/>
  <c r="K41" i="96"/>
  <c r="V40" i="96"/>
  <c r="U40" i="96"/>
  <c r="O40" i="96"/>
  <c r="M40" i="96"/>
  <c r="AF40" i="96" s="1"/>
  <c r="K40" i="96"/>
  <c r="X39" i="96"/>
  <c r="W39" i="96"/>
  <c r="V39" i="96"/>
  <c r="M39" i="96" s="1"/>
  <c r="N39" i="96" s="1"/>
  <c r="U39" i="96"/>
  <c r="O39" i="96"/>
  <c r="K39" i="96"/>
  <c r="V38" i="96"/>
  <c r="U38" i="96"/>
  <c r="O38" i="96"/>
  <c r="M38" i="96"/>
  <c r="K38" i="96"/>
  <c r="V37" i="96"/>
  <c r="M37" i="96" s="1"/>
  <c r="N37" i="96" s="1"/>
  <c r="U37" i="96"/>
  <c r="O37" i="96"/>
  <c r="K37" i="96"/>
  <c r="V36" i="96"/>
  <c r="U36" i="96"/>
  <c r="O36" i="96"/>
  <c r="M36" i="96"/>
  <c r="K36" i="96"/>
  <c r="V35" i="96"/>
  <c r="M35" i="96" s="1"/>
  <c r="N35" i="96" s="1"/>
  <c r="U35" i="96"/>
  <c r="O35" i="96"/>
  <c r="K35" i="96"/>
  <c r="X34" i="96"/>
  <c r="W34" i="96"/>
  <c r="V34" i="96"/>
  <c r="O34" i="96"/>
  <c r="M34" i="96"/>
  <c r="K34" i="96"/>
  <c r="AD33" i="96"/>
  <c r="Z33" i="96"/>
  <c r="Y33" i="96"/>
  <c r="O33" i="96"/>
  <c r="K33" i="96"/>
  <c r="V32" i="96"/>
  <c r="U32" i="96"/>
  <c r="Q32" i="96"/>
  <c r="P32" i="96"/>
  <c r="O32" i="96"/>
  <c r="N32" i="96"/>
  <c r="M32" i="96"/>
  <c r="K32" i="96"/>
  <c r="X31" i="96"/>
  <c r="W31" i="96"/>
  <c r="V31" i="96"/>
  <c r="U31" i="96"/>
  <c r="O31" i="96"/>
  <c r="M31" i="96"/>
  <c r="AF31" i="96" s="1"/>
  <c r="K31" i="96"/>
  <c r="V30" i="96"/>
  <c r="M30" i="96" s="1"/>
  <c r="U30" i="96"/>
  <c r="O30" i="96"/>
  <c r="K30" i="96"/>
  <c r="V29" i="96"/>
  <c r="U29" i="96"/>
  <c r="O29" i="96"/>
  <c r="M29" i="96"/>
  <c r="AF29" i="96" s="1"/>
  <c r="K29" i="96"/>
  <c r="X28" i="96"/>
  <c r="W28" i="96"/>
  <c r="V28" i="96"/>
  <c r="M28" i="96" s="1"/>
  <c r="O28" i="96"/>
  <c r="K28" i="96"/>
  <c r="AD27" i="96"/>
  <c r="Z27" i="96"/>
  <c r="Y27" i="96"/>
  <c r="O27" i="96"/>
  <c r="K27" i="96"/>
  <c r="G13" i="95" s="1"/>
  <c r="V26" i="96"/>
  <c r="M26" i="96" s="1"/>
  <c r="N26" i="96" s="1"/>
  <c r="U26" i="96"/>
  <c r="O26" i="96"/>
  <c r="K26" i="96"/>
  <c r="V25" i="96"/>
  <c r="U25" i="96"/>
  <c r="O25" i="96"/>
  <c r="M25" i="96"/>
  <c r="K25" i="96"/>
  <c r="V24" i="96"/>
  <c r="M24" i="96" s="1"/>
  <c r="N24" i="96" s="1"/>
  <c r="U24" i="96"/>
  <c r="O24" i="96"/>
  <c r="K24" i="96"/>
  <c r="V23" i="96"/>
  <c r="U23" i="96"/>
  <c r="O23" i="96"/>
  <c r="M23" i="96"/>
  <c r="K23" i="96"/>
  <c r="V22" i="96"/>
  <c r="M22" i="96" s="1"/>
  <c r="N22" i="96" s="1"/>
  <c r="U22" i="96"/>
  <c r="O22" i="96"/>
  <c r="K22" i="96"/>
  <c r="V21" i="96"/>
  <c r="O21" i="96"/>
  <c r="M21" i="96"/>
  <c r="K21" i="96"/>
  <c r="AD20" i="96"/>
  <c r="Z20" i="96"/>
  <c r="Y20" i="96"/>
  <c r="O20" i="96"/>
  <c r="K20" i="96"/>
  <c r="V19" i="96"/>
  <c r="U19" i="96"/>
  <c r="O19" i="96"/>
  <c r="M19" i="96"/>
  <c r="N19" i="96" s="1"/>
  <c r="K19" i="96"/>
  <c r="AF18" i="96"/>
  <c r="AE18" i="96"/>
  <c r="V18" i="96"/>
  <c r="U18" i="96"/>
  <c r="O18" i="96"/>
  <c r="N18" i="96"/>
  <c r="Q18" i="96" s="1"/>
  <c r="M18" i="96"/>
  <c r="K18" i="96"/>
  <c r="V17" i="96"/>
  <c r="U17" i="96"/>
  <c r="O17" i="96"/>
  <c r="M17" i="96"/>
  <c r="K17" i="96"/>
  <c r="AF16" i="96"/>
  <c r="AE16" i="96"/>
  <c r="V16" i="96"/>
  <c r="U16" i="96"/>
  <c r="O16" i="96"/>
  <c r="N16" i="96"/>
  <c r="Q16" i="96" s="1"/>
  <c r="M16" i="96"/>
  <c r="K16" i="96"/>
  <c r="V15" i="96"/>
  <c r="U15" i="96"/>
  <c r="O15" i="96"/>
  <c r="M15" i="96"/>
  <c r="K15" i="96"/>
  <c r="AF14" i="96"/>
  <c r="AE14" i="96"/>
  <c r="V14" i="96"/>
  <c r="U14" i="96"/>
  <c r="O14" i="96"/>
  <c r="N14" i="96"/>
  <c r="Q14" i="96" s="1"/>
  <c r="M14" i="96"/>
  <c r="K14" i="96"/>
  <c r="V13" i="96"/>
  <c r="P13" i="96"/>
  <c r="O13" i="96"/>
  <c r="N13" i="96"/>
  <c r="Q13" i="96" s="1"/>
  <c r="M13" i="96"/>
  <c r="K13" i="96"/>
  <c r="AD12" i="96"/>
  <c r="Z12" i="96"/>
  <c r="Y12" i="96"/>
  <c r="O12" i="96"/>
  <c r="K12" i="96"/>
  <c r="V11" i="96"/>
  <c r="U11" i="96"/>
  <c r="O11" i="96"/>
  <c r="M11" i="96"/>
  <c r="K11" i="96"/>
  <c r="AF10" i="96"/>
  <c r="AE10" i="96"/>
  <c r="V10" i="96"/>
  <c r="U10" i="96"/>
  <c r="O10" i="96"/>
  <c r="N10" i="96"/>
  <c r="Q10" i="96" s="1"/>
  <c r="M10" i="96"/>
  <c r="K10" i="96"/>
  <c r="X9" i="96"/>
  <c r="W9" i="96"/>
  <c r="V9" i="96"/>
  <c r="M9" i="96" s="1"/>
  <c r="O9" i="96"/>
  <c r="K9" i="96"/>
  <c r="AD8" i="96"/>
  <c r="Z8" i="96"/>
  <c r="Y8" i="96"/>
  <c r="O8" i="96"/>
  <c r="K8" i="96"/>
  <c r="V7" i="96"/>
  <c r="M7" i="96" s="1"/>
  <c r="N7" i="96" s="1"/>
  <c r="P7" i="96" s="1"/>
  <c r="U7" i="96"/>
  <c r="O7" i="96"/>
  <c r="K7" i="96"/>
  <c r="V6" i="96"/>
  <c r="U6" i="96"/>
  <c r="O6" i="96"/>
  <c r="M6" i="96"/>
  <c r="AF6" i="96" s="1"/>
  <c r="K6" i="96"/>
  <c r="V5" i="96"/>
  <c r="M5" i="96" s="1"/>
  <c r="AE5" i="96" s="1"/>
  <c r="O5" i="96"/>
  <c r="K5" i="96"/>
  <c r="H2" i="96"/>
  <c r="H1" i="96"/>
  <c r="F1" i="96"/>
  <c r="F2" i="96" s="1"/>
  <c r="D1" i="96"/>
  <c r="F3" i="95" s="1"/>
  <c r="M22" i="95"/>
  <c r="L22" i="95"/>
  <c r="K22" i="95"/>
  <c r="J22" i="95"/>
  <c r="I22" i="95"/>
  <c r="H22" i="95"/>
  <c r="G22" i="95"/>
  <c r="F22" i="95"/>
  <c r="E22" i="95"/>
  <c r="D22" i="95"/>
  <c r="M21" i="95"/>
  <c r="K21" i="95"/>
  <c r="J21" i="95"/>
  <c r="I21" i="95"/>
  <c r="G21" i="95"/>
  <c r="F21" i="95"/>
  <c r="E21" i="95"/>
  <c r="D21" i="95"/>
  <c r="M20" i="95"/>
  <c r="L20" i="95"/>
  <c r="K20" i="95"/>
  <c r="J20" i="95"/>
  <c r="I20" i="95"/>
  <c r="H20" i="95"/>
  <c r="G20" i="95"/>
  <c r="F20" i="95"/>
  <c r="E20" i="95"/>
  <c r="D20" i="95"/>
  <c r="M19" i="95"/>
  <c r="K19" i="95"/>
  <c r="J19" i="95"/>
  <c r="G19" i="95"/>
  <c r="F19" i="95"/>
  <c r="E19" i="95"/>
  <c r="D19" i="95"/>
  <c r="M18" i="95"/>
  <c r="L18" i="95"/>
  <c r="K18" i="95"/>
  <c r="J18" i="95"/>
  <c r="I18" i="95"/>
  <c r="G18" i="95"/>
  <c r="F18" i="95"/>
  <c r="E18" i="95"/>
  <c r="D18" i="95"/>
  <c r="M17" i="95"/>
  <c r="L17" i="95"/>
  <c r="K17" i="95"/>
  <c r="J17" i="95"/>
  <c r="I17" i="95"/>
  <c r="H17" i="95"/>
  <c r="G17" i="95"/>
  <c r="F17" i="95"/>
  <c r="E17" i="95"/>
  <c r="D17" i="95"/>
  <c r="M16" i="95"/>
  <c r="L16" i="95"/>
  <c r="K16" i="95"/>
  <c r="J16" i="95"/>
  <c r="I16" i="95"/>
  <c r="H16" i="95"/>
  <c r="G16" i="95"/>
  <c r="F16" i="95"/>
  <c r="E16" i="95"/>
  <c r="D16" i="95"/>
  <c r="M13" i="95"/>
  <c r="L13" i="95"/>
  <c r="K13" i="95"/>
  <c r="I6" i="95" s="1"/>
  <c r="H13" i="95"/>
  <c r="F13" i="95"/>
  <c r="E13" i="95"/>
  <c r="D13" i="95"/>
  <c r="M6" i="95"/>
  <c r="C3" i="95"/>
  <c r="E8" i="105" l="1"/>
  <c r="G8" i="105"/>
  <c r="F8" i="105"/>
  <c r="E15" i="103"/>
  <c r="G7" i="103"/>
  <c r="E7" i="103"/>
  <c r="F7" i="103"/>
  <c r="L15" i="103"/>
  <c r="I8" i="103" s="1"/>
  <c r="I7" i="103"/>
  <c r="E14" i="99"/>
  <c r="E15" i="99" s="1"/>
  <c r="Q14" i="100"/>
  <c r="R10" i="100" s="1"/>
  <c r="P14" i="100"/>
  <c r="G14" i="99"/>
  <c r="G15" i="99" s="1"/>
  <c r="Q31" i="100"/>
  <c r="R24" i="100" s="1"/>
  <c r="P31" i="100"/>
  <c r="I14" i="99"/>
  <c r="I15" i="99" s="1"/>
  <c r="Q65" i="100"/>
  <c r="R56" i="100" s="1"/>
  <c r="P65" i="100"/>
  <c r="L14" i="99"/>
  <c r="L15" i="99" s="1"/>
  <c r="Q51" i="100"/>
  <c r="R42" i="100" s="1"/>
  <c r="P51" i="100"/>
  <c r="K14" i="99"/>
  <c r="Q41" i="100"/>
  <c r="R32" i="100" s="1"/>
  <c r="P41" i="100"/>
  <c r="H14" i="99"/>
  <c r="H15" i="99" s="1"/>
  <c r="Q55" i="100"/>
  <c r="R52" i="100" s="1"/>
  <c r="P55" i="100"/>
  <c r="D2" i="100"/>
  <c r="F14" i="99"/>
  <c r="F15" i="99" s="1"/>
  <c r="Q23" i="100"/>
  <c r="R15" i="100" s="1"/>
  <c r="P23" i="100"/>
  <c r="D15" i="99"/>
  <c r="J14" i="99"/>
  <c r="J15" i="99" s="1"/>
  <c r="Q71" i="100"/>
  <c r="R66" i="100" s="1"/>
  <c r="P71" i="100"/>
  <c r="Q80" i="100"/>
  <c r="R72" i="100" s="1"/>
  <c r="P80" i="100"/>
  <c r="M14" i="99"/>
  <c r="M15" i="99" s="1"/>
  <c r="Q53" i="96"/>
  <c r="P53" i="96"/>
  <c r="Q49" i="96"/>
  <c r="P49" i="96"/>
  <c r="Q19" i="96"/>
  <c r="P19" i="96"/>
  <c r="AF26" i="96"/>
  <c r="AF11" i="96"/>
  <c r="AE11" i="96"/>
  <c r="AE39" i="96"/>
  <c r="AF17" i="96"/>
  <c r="AE17" i="96"/>
  <c r="AE60" i="96"/>
  <c r="N30" i="96"/>
  <c r="AF30" i="96"/>
  <c r="AE30" i="96"/>
  <c r="AF5" i="96"/>
  <c r="AF47" i="96"/>
  <c r="AE47" i="96"/>
  <c r="AF68" i="96"/>
  <c r="AE68" i="96"/>
  <c r="N47" i="96"/>
  <c r="N68" i="96"/>
  <c r="AF15" i="96"/>
  <c r="AE15" i="96"/>
  <c r="AE24" i="96"/>
  <c r="AE37" i="96"/>
  <c r="M55" i="96"/>
  <c r="N9" i="96"/>
  <c r="M12" i="96"/>
  <c r="AE9" i="96"/>
  <c r="AF9" i="96"/>
  <c r="N15" i="96"/>
  <c r="AF21" i="96"/>
  <c r="AE21" i="96"/>
  <c r="AF24" i="96"/>
  <c r="AF37" i="96"/>
  <c r="N21" i="96"/>
  <c r="M33" i="96"/>
  <c r="N28" i="96"/>
  <c r="AF28" i="96"/>
  <c r="Q58" i="96"/>
  <c r="P58" i="96"/>
  <c r="Q22" i="96"/>
  <c r="P22" i="96"/>
  <c r="Q35" i="96"/>
  <c r="P35" i="96"/>
  <c r="N45" i="96"/>
  <c r="AE45" i="96"/>
  <c r="AF45" i="96"/>
  <c r="AG42" i="96" s="1"/>
  <c r="AF51" i="96"/>
  <c r="AE51" i="96"/>
  <c r="N66" i="96"/>
  <c r="AF66" i="96"/>
  <c r="AE66" i="96"/>
  <c r="AF23" i="96"/>
  <c r="AE23" i="96"/>
  <c r="N23" i="96"/>
  <c r="AE36" i="96"/>
  <c r="AF36" i="96"/>
  <c r="N36" i="96"/>
  <c r="AF49" i="96"/>
  <c r="AE49" i="96"/>
  <c r="AF60" i="96"/>
  <c r="Z2" i="96"/>
  <c r="L6" i="95" s="1"/>
  <c r="L19" i="95"/>
  <c r="AE7" i="96"/>
  <c r="AE22" i="96"/>
  <c r="AE35" i="96"/>
  <c r="N51" i="96"/>
  <c r="AE26" i="96"/>
  <c r="G6" i="95"/>
  <c r="AF34" i="96"/>
  <c r="AE34" i="96"/>
  <c r="M41" i="96"/>
  <c r="AE38" i="96"/>
  <c r="AF38" i="96"/>
  <c r="N38" i="96"/>
  <c r="AE28" i="96"/>
  <c r="AF32" i="96"/>
  <c r="AE32" i="96"/>
  <c r="AD2" i="96"/>
  <c r="N6" i="95" s="1"/>
  <c r="L21" i="95"/>
  <c r="Q60" i="96"/>
  <c r="P60" i="96"/>
  <c r="M27" i="96"/>
  <c r="M8" i="96"/>
  <c r="N5" i="96"/>
  <c r="N43" i="96"/>
  <c r="AF43" i="96"/>
  <c r="AE43" i="96"/>
  <c r="N64" i="96"/>
  <c r="AF64" i="96"/>
  <c r="AE64" i="96"/>
  <c r="AE25" i="96"/>
  <c r="AF25" i="96"/>
  <c r="N25" i="96"/>
  <c r="M69" i="96"/>
  <c r="N62" i="96"/>
  <c r="AE62" i="96"/>
  <c r="AF62" i="96"/>
  <c r="Q7" i="96"/>
  <c r="AE13" i="96"/>
  <c r="M20" i="96"/>
  <c r="AF13" i="96"/>
  <c r="AE59" i="96"/>
  <c r="AF59" i="96"/>
  <c r="N59" i="96"/>
  <c r="AF19" i="96"/>
  <c r="AE19" i="96"/>
  <c r="AF7" i="96"/>
  <c r="AF22" i="96"/>
  <c r="Q26" i="96"/>
  <c r="P26" i="96"/>
  <c r="AF35" i="96"/>
  <c r="Q39" i="96"/>
  <c r="P39" i="96"/>
  <c r="N11" i="96"/>
  <c r="AF39" i="96"/>
  <c r="N17" i="96"/>
  <c r="Q24" i="96"/>
  <c r="P24" i="96"/>
  <c r="N34" i="96"/>
  <c r="Q37" i="96"/>
  <c r="P37" i="96"/>
  <c r="AF53" i="96"/>
  <c r="AE53" i="96"/>
  <c r="N57" i="96"/>
  <c r="N6" i="96"/>
  <c r="N40" i="96"/>
  <c r="N29" i="96"/>
  <c r="N31" i="96"/>
  <c r="N44" i="96"/>
  <c r="N63" i="96"/>
  <c r="N65" i="96"/>
  <c r="N67" i="96"/>
  <c r="E6" i="95"/>
  <c r="AE6" i="96"/>
  <c r="P10" i="96"/>
  <c r="AE40" i="96"/>
  <c r="Q46" i="96"/>
  <c r="P48" i="96"/>
  <c r="P50" i="96"/>
  <c r="P52" i="96"/>
  <c r="M61" i="96"/>
  <c r="N42" i="96"/>
  <c r="AF57" i="96"/>
  <c r="AE42" i="96"/>
  <c r="P14" i="96"/>
  <c r="P16" i="96"/>
  <c r="P18" i="96"/>
  <c r="AE29" i="96"/>
  <c r="AF42" i="96"/>
  <c r="AE44" i="96"/>
  <c r="P54" i="96"/>
  <c r="AE63" i="96"/>
  <c r="AE65" i="96"/>
  <c r="P56" i="96"/>
  <c r="F6" i="95"/>
  <c r="AE31" i="96"/>
  <c r="AE67" i="96"/>
  <c r="I3" i="95"/>
  <c r="AD66" i="94"/>
  <c r="Z66" i="94"/>
  <c r="M19" i="93" s="1"/>
  <c r="Y66" i="94"/>
  <c r="O66" i="94"/>
  <c r="K66" i="94"/>
  <c r="V65" i="94"/>
  <c r="U65" i="94"/>
  <c r="O65" i="94"/>
  <c r="M65" i="94"/>
  <c r="AE65" i="94" s="1"/>
  <c r="K65" i="94"/>
  <c r="G65" i="94"/>
  <c r="AF64" i="94"/>
  <c r="AE64" i="94"/>
  <c r="V64" i="94"/>
  <c r="U64" i="94"/>
  <c r="O64" i="94"/>
  <c r="N64" i="94"/>
  <c r="Q64" i="94" s="1"/>
  <c r="M64" i="94"/>
  <c r="K64" i="94"/>
  <c r="P64" i="94" s="1"/>
  <c r="G64" i="94"/>
  <c r="AE63" i="94"/>
  <c r="V63" i="94"/>
  <c r="U63" i="94"/>
  <c r="O63" i="94"/>
  <c r="M63" i="94"/>
  <c r="N63" i="94" s="1"/>
  <c r="K63" i="94"/>
  <c r="G63" i="94"/>
  <c r="V62" i="94"/>
  <c r="M62" i="94" s="1"/>
  <c r="U62" i="94"/>
  <c r="O62" i="94"/>
  <c r="K62" i="94"/>
  <c r="G62" i="94"/>
  <c r="AF61" i="94"/>
  <c r="AE61" i="94"/>
  <c r="V61" i="94"/>
  <c r="U61" i="94"/>
  <c r="O61" i="94"/>
  <c r="M61" i="94"/>
  <c r="N61" i="94" s="1"/>
  <c r="K61" i="94"/>
  <c r="G61" i="94"/>
  <c r="AF60" i="94"/>
  <c r="AE60" i="94"/>
  <c r="X60" i="94"/>
  <c r="W60" i="94"/>
  <c r="V60" i="94"/>
  <c r="O60" i="94"/>
  <c r="M60" i="94"/>
  <c r="N60" i="94" s="1"/>
  <c r="K60" i="94"/>
  <c r="G60" i="94"/>
  <c r="AD59" i="94"/>
  <c r="Z59" i="94"/>
  <c r="Y59" i="94"/>
  <c r="O59" i="94"/>
  <c r="K59" i="94"/>
  <c r="AF58" i="94"/>
  <c r="AE58" i="94"/>
  <c r="V58" i="94"/>
  <c r="U58" i="94"/>
  <c r="O58" i="94"/>
  <c r="M58" i="94"/>
  <c r="N58" i="94" s="1"/>
  <c r="K58" i="94"/>
  <c r="G58" i="94"/>
  <c r="V57" i="94"/>
  <c r="M57" i="94" s="1"/>
  <c r="U57" i="94"/>
  <c r="O57" i="94"/>
  <c r="K57" i="94"/>
  <c r="G57" i="94"/>
  <c r="V56" i="94"/>
  <c r="M56" i="94" s="1"/>
  <c r="U56" i="94"/>
  <c r="O56" i="94"/>
  <c r="K56" i="94"/>
  <c r="G56" i="94"/>
  <c r="V55" i="94"/>
  <c r="M55" i="94" s="1"/>
  <c r="U55" i="94"/>
  <c r="O55" i="94"/>
  <c r="K55" i="94"/>
  <c r="G55" i="94"/>
  <c r="V54" i="94"/>
  <c r="M54" i="94" s="1"/>
  <c r="O54" i="94"/>
  <c r="K54" i="94"/>
  <c r="G54" i="94"/>
  <c r="AD53" i="94"/>
  <c r="Z53" i="94"/>
  <c r="Y53" i="94"/>
  <c r="O53" i="94"/>
  <c r="K53" i="94"/>
  <c r="AE52" i="94"/>
  <c r="V52" i="94"/>
  <c r="U52" i="94"/>
  <c r="O52" i="94"/>
  <c r="M52" i="94"/>
  <c r="AF52" i="94" s="1"/>
  <c r="K52" i="94"/>
  <c r="G52" i="94"/>
  <c r="V51" i="94"/>
  <c r="M51" i="94" s="1"/>
  <c r="U51" i="94"/>
  <c r="O51" i="94"/>
  <c r="K51" i="94"/>
  <c r="G51" i="94"/>
  <c r="V50" i="94"/>
  <c r="U50" i="94"/>
  <c r="O50" i="94"/>
  <c r="M50" i="94"/>
  <c r="AF50" i="94" s="1"/>
  <c r="K50" i="94"/>
  <c r="G50" i="94"/>
  <c r="V49" i="94"/>
  <c r="U49" i="94"/>
  <c r="O49" i="94"/>
  <c r="M49" i="94"/>
  <c r="AE49" i="94" s="1"/>
  <c r="K49" i="94"/>
  <c r="G49" i="94"/>
  <c r="AF48" i="94"/>
  <c r="AE48" i="94"/>
  <c r="V48" i="94"/>
  <c r="U48" i="94"/>
  <c r="P48" i="94"/>
  <c r="O48" i="94"/>
  <c r="N48" i="94"/>
  <c r="Q48" i="94" s="1"/>
  <c r="M48" i="94"/>
  <c r="K48" i="94"/>
  <c r="G48" i="94"/>
  <c r="AE47" i="94"/>
  <c r="V47" i="94"/>
  <c r="U47" i="94"/>
  <c r="O47" i="94"/>
  <c r="M47" i="94"/>
  <c r="N47" i="94" s="1"/>
  <c r="K47" i="94"/>
  <c r="G47" i="94"/>
  <c r="V46" i="94"/>
  <c r="M46" i="94" s="1"/>
  <c r="U46" i="94"/>
  <c r="O46" i="94"/>
  <c r="K46" i="94"/>
  <c r="G46" i="94"/>
  <c r="V45" i="94"/>
  <c r="M45" i="94" s="1"/>
  <c r="O45" i="94"/>
  <c r="K45" i="94"/>
  <c r="G45" i="94"/>
  <c r="AD44" i="94"/>
  <c r="Z44" i="94"/>
  <c r="H19" i="93" s="1"/>
  <c r="Y44" i="94"/>
  <c r="O44" i="94"/>
  <c r="K44" i="94"/>
  <c r="V43" i="94"/>
  <c r="M43" i="94" s="1"/>
  <c r="U43" i="94"/>
  <c r="O43" i="94"/>
  <c r="K43" i="94"/>
  <c r="G43" i="94"/>
  <c r="V42" i="94"/>
  <c r="M42" i="94" s="1"/>
  <c r="U42" i="94"/>
  <c r="O42" i="94"/>
  <c r="K42" i="94"/>
  <c r="G42" i="94"/>
  <c r="V41" i="94"/>
  <c r="M41" i="94" s="1"/>
  <c r="O41" i="94"/>
  <c r="K41" i="94"/>
  <c r="G41" i="94"/>
  <c r="AD40" i="94"/>
  <c r="Z40" i="94"/>
  <c r="Y40" i="94"/>
  <c r="O40" i="94"/>
  <c r="K40" i="94"/>
  <c r="V39" i="94"/>
  <c r="M39" i="94" s="1"/>
  <c r="U39" i="94"/>
  <c r="O39" i="94"/>
  <c r="K39" i="94"/>
  <c r="G39" i="94"/>
  <c r="AE38" i="94"/>
  <c r="V38" i="94"/>
  <c r="U38" i="94"/>
  <c r="O38" i="94"/>
  <c r="M38" i="94"/>
  <c r="AF38" i="94" s="1"/>
  <c r="K38" i="94"/>
  <c r="G38" i="94"/>
  <c r="V37" i="94"/>
  <c r="M37" i="94" s="1"/>
  <c r="U37" i="94"/>
  <c r="O37" i="94"/>
  <c r="K37" i="94"/>
  <c r="G37" i="94"/>
  <c r="V36" i="94"/>
  <c r="U36" i="94"/>
  <c r="O36" i="94"/>
  <c r="M36" i="94"/>
  <c r="AF36" i="94" s="1"/>
  <c r="K36" i="94"/>
  <c r="G36" i="94"/>
  <c r="V35" i="94"/>
  <c r="U35" i="94"/>
  <c r="O35" i="94"/>
  <c r="M35" i="94"/>
  <c r="AE35" i="94" s="1"/>
  <c r="K35" i="94"/>
  <c r="G35" i="94"/>
  <c r="X34" i="94"/>
  <c r="W34" i="94"/>
  <c r="V34" i="94"/>
  <c r="M34" i="94" s="1"/>
  <c r="O34" i="94"/>
  <c r="K34" i="94"/>
  <c r="G34" i="94"/>
  <c r="AD33" i="94"/>
  <c r="Z33" i="94"/>
  <c r="Y33" i="94"/>
  <c r="O33" i="94"/>
  <c r="K33" i="94"/>
  <c r="V32" i="94"/>
  <c r="U32" i="94"/>
  <c r="O32" i="94"/>
  <c r="M32" i="94"/>
  <c r="AE32" i="94" s="1"/>
  <c r="K32" i="94"/>
  <c r="G32" i="94"/>
  <c r="X31" i="94"/>
  <c r="W31" i="94"/>
  <c r="V31" i="94"/>
  <c r="U31" i="94"/>
  <c r="O31" i="94"/>
  <c r="M31" i="94"/>
  <c r="N31" i="94" s="1"/>
  <c r="K31" i="94"/>
  <c r="G31" i="94"/>
  <c r="V30" i="94"/>
  <c r="U30" i="94"/>
  <c r="O30" i="94"/>
  <c r="M30" i="94"/>
  <c r="AE30" i="94" s="1"/>
  <c r="K30" i="94"/>
  <c r="G30" i="94"/>
  <c r="AF29" i="94"/>
  <c r="AE29" i="94"/>
  <c r="V29" i="94"/>
  <c r="U29" i="94"/>
  <c r="P29" i="94"/>
  <c r="O29" i="94"/>
  <c r="N29" i="94"/>
  <c r="Q29" i="94" s="1"/>
  <c r="M29" i="94"/>
  <c r="K29" i="94"/>
  <c r="G29" i="94"/>
  <c r="X28" i="94"/>
  <c r="W28" i="94"/>
  <c r="V28" i="94"/>
  <c r="O28" i="94"/>
  <c r="M28" i="94"/>
  <c r="N28" i="94" s="1"/>
  <c r="K28" i="94"/>
  <c r="G28" i="94"/>
  <c r="AD27" i="94"/>
  <c r="Z27" i="94"/>
  <c r="Y27" i="94"/>
  <c r="G18" i="93" s="1"/>
  <c r="O27" i="94"/>
  <c r="K27" i="94"/>
  <c r="AF26" i="94"/>
  <c r="AE26" i="94"/>
  <c r="V26" i="94"/>
  <c r="U26" i="94"/>
  <c r="P26" i="94"/>
  <c r="O26" i="94"/>
  <c r="N26" i="94"/>
  <c r="Q26" i="94" s="1"/>
  <c r="M26" i="94"/>
  <c r="K26" i="94"/>
  <c r="G26" i="94"/>
  <c r="AE25" i="94"/>
  <c r="V25" i="94"/>
  <c r="U25" i="94"/>
  <c r="O25" i="94"/>
  <c r="M25" i="94"/>
  <c r="N25" i="94" s="1"/>
  <c r="K25" i="94"/>
  <c r="G25" i="94"/>
  <c r="V24" i="94"/>
  <c r="M24" i="94" s="1"/>
  <c r="U24" i="94"/>
  <c r="O24" i="94"/>
  <c r="K24" i="94"/>
  <c r="G24" i="94"/>
  <c r="AE23" i="94"/>
  <c r="V23" i="94"/>
  <c r="U23" i="94"/>
  <c r="O23" i="94"/>
  <c r="M23" i="94"/>
  <c r="N23" i="94" s="1"/>
  <c r="K23" i="94"/>
  <c r="G23" i="94"/>
  <c r="V22" i="94"/>
  <c r="M22" i="94" s="1"/>
  <c r="U22" i="94"/>
  <c r="O22" i="94"/>
  <c r="K22" i="94"/>
  <c r="G22" i="94"/>
  <c r="V21" i="94"/>
  <c r="M21" i="94" s="1"/>
  <c r="O21" i="94"/>
  <c r="K21" i="94"/>
  <c r="G21" i="94"/>
  <c r="AD20" i="94"/>
  <c r="Z20" i="94"/>
  <c r="F19" i="93" s="1"/>
  <c r="Y20" i="94"/>
  <c r="O20" i="94"/>
  <c r="K20" i="94"/>
  <c r="V19" i="94"/>
  <c r="M19" i="94" s="1"/>
  <c r="U19" i="94"/>
  <c r="O19" i="94"/>
  <c r="K19" i="94"/>
  <c r="G19" i="94"/>
  <c r="AF18" i="94"/>
  <c r="V18" i="94"/>
  <c r="U18" i="94"/>
  <c r="Q18" i="94"/>
  <c r="P18" i="94"/>
  <c r="O18" i="94"/>
  <c r="N18" i="94"/>
  <c r="M18" i="94"/>
  <c r="AE18" i="94" s="1"/>
  <c r="K18" i="94"/>
  <c r="G18" i="94"/>
  <c r="AE17" i="94"/>
  <c r="V17" i="94"/>
  <c r="U17" i="94"/>
  <c r="O17" i="94"/>
  <c r="M17" i="94"/>
  <c r="AF17" i="94" s="1"/>
  <c r="K17" i="94"/>
  <c r="G17" i="94"/>
  <c r="V16" i="94"/>
  <c r="M16" i="94" s="1"/>
  <c r="U16" i="94"/>
  <c r="O16" i="94"/>
  <c r="K16" i="94"/>
  <c r="G16" i="94"/>
  <c r="V15" i="94"/>
  <c r="U15" i="94"/>
  <c r="O15" i="94"/>
  <c r="M15" i="94"/>
  <c r="AF15" i="94" s="1"/>
  <c r="K15" i="94"/>
  <c r="G15" i="94"/>
  <c r="V14" i="94"/>
  <c r="U14" i="94"/>
  <c r="O14" i="94"/>
  <c r="M14" i="94"/>
  <c r="AE14" i="94" s="1"/>
  <c r="K14" i="94"/>
  <c r="G14" i="94"/>
  <c r="V13" i="94"/>
  <c r="O13" i="94"/>
  <c r="M13" i="94"/>
  <c r="AE13" i="94" s="1"/>
  <c r="K13" i="94"/>
  <c r="G13" i="94"/>
  <c r="AD12" i="94"/>
  <c r="Z12" i="94"/>
  <c r="Y12" i="94"/>
  <c r="O12" i="94"/>
  <c r="K12" i="94"/>
  <c r="E13" i="93" s="1"/>
  <c r="AE11" i="94"/>
  <c r="V11" i="94"/>
  <c r="U11" i="94"/>
  <c r="O11" i="94"/>
  <c r="M11" i="94"/>
  <c r="N11" i="94" s="1"/>
  <c r="K11" i="94"/>
  <c r="G11" i="94"/>
  <c r="V10" i="94"/>
  <c r="M10" i="94" s="1"/>
  <c r="U10" i="94"/>
  <c r="O10" i="94"/>
  <c r="K10" i="94"/>
  <c r="G10" i="94"/>
  <c r="AF9" i="94"/>
  <c r="AE9" i="94"/>
  <c r="X9" i="94"/>
  <c r="W9" i="94"/>
  <c r="V9" i="94"/>
  <c r="O9" i="94"/>
  <c r="N9" i="94"/>
  <c r="Q9" i="94" s="1"/>
  <c r="M9" i="94"/>
  <c r="K9" i="94"/>
  <c r="P9" i="94" s="1"/>
  <c r="G9" i="94"/>
  <c r="AD8" i="94"/>
  <c r="AD2" i="94" s="1"/>
  <c r="N6" i="93" s="1"/>
  <c r="Z8" i="94"/>
  <c r="Y8" i="94"/>
  <c r="O8" i="94"/>
  <c r="K8" i="94"/>
  <c r="V7" i="94"/>
  <c r="M7" i="94" s="1"/>
  <c r="U7" i="94"/>
  <c r="O7" i="94"/>
  <c r="K7" i="94"/>
  <c r="G7" i="94"/>
  <c r="AE6" i="94"/>
  <c r="V6" i="94"/>
  <c r="U6" i="94"/>
  <c r="O6" i="94"/>
  <c r="M6" i="94"/>
  <c r="N6" i="94" s="1"/>
  <c r="K6" i="94"/>
  <c r="G6" i="94"/>
  <c r="AE5" i="94"/>
  <c r="V5" i="94"/>
  <c r="O5" i="94"/>
  <c r="M5" i="94"/>
  <c r="N5" i="94" s="1"/>
  <c r="K5" i="94"/>
  <c r="G5" i="94"/>
  <c r="F1" i="94" s="1"/>
  <c r="Y2" i="94"/>
  <c r="K6" i="93" s="1"/>
  <c r="H2" i="94"/>
  <c r="H1" i="94"/>
  <c r="D1" i="94"/>
  <c r="M22" i="93"/>
  <c r="L22" i="93"/>
  <c r="K22" i="93"/>
  <c r="J22" i="93"/>
  <c r="I22" i="93"/>
  <c r="H22" i="93"/>
  <c r="G22" i="93"/>
  <c r="F22" i="93"/>
  <c r="E22" i="93"/>
  <c r="D22" i="93"/>
  <c r="M21" i="93"/>
  <c r="L21" i="93"/>
  <c r="K21" i="93"/>
  <c r="J21" i="93"/>
  <c r="I21" i="93"/>
  <c r="H21" i="93"/>
  <c r="G21" i="93"/>
  <c r="F21" i="93"/>
  <c r="E21" i="93"/>
  <c r="D21" i="93"/>
  <c r="M20" i="93"/>
  <c r="L20" i="93"/>
  <c r="K20" i="93"/>
  <c r="J20" i="93"/>
  <c r="I20" i="93"/>
  <c r="H20" i="93"/>
  <c r="G20" i="93"/>
  <c r="F20" i="93"/>
  <c r="E20" i="93"/>
  <c r="D20" i="93"/>
  <c r="L19" i="93"/>
  <c r="K19" i="93"/>
  <c r="J19" i="93"/>
  <c r="I19" i="93"/>
  <c r="G19" i="93"/>
  <c r="E19" i="93"/>
  <c r="D19" i="93"/>
  <c r="M18" i="93"/>
  <c r="L18" i="93"/>
  <c r="K18" i="93"/>
  <c r="J18" i="93"/>
  <c r="I18" i="93"/>
  <c r="H18" i="93"/>
  <c r="F18" i="93"/>
  <c r="E18" i="93"/>
  <c r="D18" i="93"/>
  <c r="M17" i="93"/>
  <c r="L17" i="93"/>
  <c r="K17" i="93"/>
  <c r="J17" i="93"/>
  <c r="I17" i="93"/>
  <c r="H17" i="93"/>
  <c r="G17" i="93"/>
  <c r="F17" i="93"/>
  <c r="E17" i="93"/>
  <c r="D17" i="93"/>
  <c r="M16" i="93"/>
  <c r="L16" i="93"/>
  <c r="K16" i="93"/>
  <c r="J16" i="93"/>
  <c r="I16" i="93"/>
  <c r="H16" i="93"/>
  <c r="G16" i="93"/>
  <c r="F16" i="93"/>
  <c r="E16" i="93"/>
  <c r="D16" i="93"/>
  <c r="M13" i="93"/>
  <c r="L13" i="93"/>
  <c r="K13" i="93"/>
  <c r="I6" i="93" s="1"/>
  <c r="J13" i="93"/>
  <c r="I13" i="93"/>
  <c r="H13" i="93"/>
  <c r="G13" i="93"/>
  <c r="F13" i="93"/>
  <c r="D13" i="93"/>
  <c r="M6" i="93"/>
  <c r="F3" i="93"/>
  <c r="C3" i="93"/>
  <c r="F8" i="103" l="1"/>
  <c r="E8" i="103"/>
  <c r="G8" i="103"/>
  <c r="I7" i="99"/>
  <c r="K15" i="99"/>
  <c r="I8" i="99" s="1"/>
  <c r="F8" i="99"/>
  <c r="E8" i="99"/>
  <c r="G8" i="99"/>
  <c r="E7" i="99"/>
  <c r="F7" i="99"/>
  <c r="G7" i="99"/>
  <c r="P21" i="96"/>
  <c r="Q21" i="96"/>
  <c r="Q17" i="96"/>
  <c r="P17" i="96"/>
  <c r="AF33" i="96"/>
  <c r="AG28" i="96" s="1"/>
  <c r="N33" i="96"/>
  <c r="AE33" i="96"/>
  <c r="AF69" i="96"/>
  <c r="AG62" i="96" s="1"/>
  <c r="N69" i="96"/>
  <c r="AE69" i="96"/>
  <c r="Q38" i="96"/>
  <c r="P38" i="96"/>
  <c r="Q67" i="96"/>
  <c r="P67" i="96"/>
  <c r="P31" i="96"/>
  <c r="Q31" i="96"/>
  <c r="Q64" i="96"/>
  <c r="P64" i="96"/>
  <c r="P29" i="96"/>
  <c r="Q29" i="96"/>
  <c r="Q51" i="96"/>
  <c r="P51" i="96"/>
  <c r="Q6" i="96"/>
  <c r="P6" i="96"/>
  <c r="Q9" i="96"/>
  <c r="P9" i="96"/>
  <c r="Q5" i="96"/>
  <c r="P5" i="96"/>
  <c r="AF55" i="96"/>
  <c r="AG46" i="96" s="1"/>
  <c r="AE55" i="96"/>
  <c r="N55" i="96"/>
  <c r="Q68" i="96"/>
  <c r="P68" i="96"/>
  <c r="P11" i="96"/>
  <c r="Q11" i="96"/>
  <c r="Q23" i="96"/>
  <c r="P23" i="96"/>
  <c r="P65" i="96"/>
  <c r="Q65" i="96"/>
  <c r="N41" i="96"/>
  <c r="AF41" i="96"/>
  <c r="AG34" i="96" s="1"/>
  <c r="AE41" i="96"/>
  <c r="Q30" i="96"/>
  <c r="P30" i="96"/>
  <c r="P44" i="96"/>
  <c r="Q44" i="96"/>
  <c r="Q66" i="96"/>
  <c r="P66" i="96"/>
  <c r="Q40" i="96"/>
  <c r="P40" i="96"/>
  <c r="AF12" i="96"/>
  <c r="AG9" i="96" s="1"/>
  <c r="N12" i="96"/>
  <c r="AE12" i="96"/>
  <c r="P43" i="96"/>
  <c r="Q43" i="96"/>
  <c r="Q57" i="96"/>
  <c r="P57" i="96"/>
  <c r="Q59" i="96"/>
  <c r="P59" i="96"/>
  <c r="H14" i="95"/>
  <c r="H15" i="95" s="1"/>
  <c r="Q45" i="96"/>
  <c r="R42" i="96" s="1"/>
  <c r="P45" i="96"/>
  <c r="AF8" i="96"/>
  <c r="AG5" i="96" s="1"/>
  <c r="AE8" i="96"/>
  <c r="N8" i="96"/>
  <c r="Q42" i="96"/>
  <c r="P42" i="96"/>
  <c r="AE27" i="96"/>
  <c r="AF27" i="96"/>
  <c r="AG21" i="96" s="1"/>
  <c r="N27" i="96"/>
  <c r="Q47" i="96"/>
  <c r="P47" i="96"/>
  <c r="Q28" i="96"/>
  <c r="P28" i="96"/>
  <c r="Q62" i="96"/>
  <c r="P62" i="96"/>
  <c r="Q25" i="96"/>
  <c r="P25" i="96"/>
  <c r="P63" i="96"/>
  <c r="Q63" i="96"/>
  <c r="Q15" i="96"/>
  <c r="P15" i="96"/>
  <c r="AE61" i="96"/>
  <c r="AF61" i="96"/>
  <c r="AG56" i="96" s="1"/>
  <c r="N61" i="96"/>
  <c r="N20" i="96"/>
  <c r="AF20" i="96"/>
  <c r="AG13" i="96" s="1"/>
  <c r="AE20" i="96"/>
  <c r="Q34" i="96"/>
  <c r="P34" i="96"/>
  <c r="Q36" i="96"/>
  <c r="P36" i="96"/>
  <c r="Q11" i="94"/>
  <c r="P11" i="94"/>
  <c r="N21" i="94"/>
  <c r="M27" i="94"/>
  <c r="AF21" i="94"/>
  <c r="AE21" i="94"/>
  <c r="M53" i="94"/>
  <c r="N45" i="94"/>
  <c r="AF45" i="94"/>
  <c r="AE45" i="94"/>
  <c r="AF55" i="94"/>
  <c r="AE55" i="94"/>
  <c r="N55" i="94"/>
  <c r="AE34" i="94"/>
  <c r="M40" i="94"/>
  <c r="N34" i="94"/>
  <c r="AF34" i="94"/>
  <c r="P58" i="94"/>
  <c r="Q58" i="94"/>
  <c r="Q60" i="94"/>
  <c r="P60" i="94"/>
  <c r="AF51" i="94"/>
  <c r="AE51" i="94"/>
  <c r="N51" i="94"/>
  <c r="P6" i="94"/>
  <c r="Q6" i="94"/>
  <c r="G6" i="93"/>
  <c r="F6" i="93"/>
  <c r="E6" i="93"/>
  <c r="AF19" i="94"/>
  <c r="AE19" i="94"/>
  <c r="N19" i="94"/>
  <c r="N43" i="94"/>
  <c r="AF43" i="94"/>
  <c r="AE43" i="94"/>
  <c r="AF16" i="94"/>
  <c r="AE16" i="94"/>
  <c r="N16" i="94"/>
  <c r="N22" i="94"/>
  <c r="AF22" i="94"/>
  <c r="AE22" i="94"/>
  <c r="N24" i="94"/>
  <c r="AF24" i="94"/>
  <c r="AE24" i="94"/>
  <c r="Q31" i="94"/>
  <c r="P31" i="94"/>
  <c r="N41" i="94"/>
  <c r="M44" i="94"/>
  <c r="AF41" i="94"/>
  <c r="AE41" i="94"/>
  <c r="N46" i="94"/>
  <c r="AF46" i="94"/>
  <c r="AE46" i="94"/>
  <c r="N56" i="94"/>
  <c r="AF56" i="94"/>
  <c r="AE56" i="94"/>
  <c r="AF54" i="94"/>
  <c r="M59" i="94"/>
  <c r="AE54" i="94"/>
  <c r="N54" i="94"/>
  <c r="I3" i="93"/>
  <c r="F2" i="94"/>
  <c r="Q28" i="94"/>
  <c r="P28" i="94"/>
  <c r="N10" i="94"/>
  <c r="AF10" i="94"/>
  <c r="M12" i="94"/>
  <c r="AE10" i="94"/>
  <c r="P5" i="94"/>
  <c r="Q5" i="94"/>
  <c r="P23" i="94"/>
  <c r="Q23" i="94"/>
  <c r="Q25" i="94"/>
  <c r="P25" i="94"/>
  <c r="AF37" i="94"/>
  <c r="AE37" i="94"/>
  <c r="N37" i="94"/>
  <c r="AF39" i="94"/>
  <c r="AE39" i="94"/>
  <c r="N39" i="94"/>
  <c r="Q47" i="94"/>
  <c r="P47" i="94"/>
  <c r="N62" i="94"/>
  <c r="AF62" i="94"/>
  <c r="AE62" i="94"/>
  <c r="N57" i="94"/>
  <c r="AF57" i="94"/>
  <c r="AE57" i="94"/>
  <c r="N42" i="94"/>
  <c r="AF42" i="94"/>
  <c r="AE42" i="94"/>
  <c r="N7" i="94"/>
  <c r="AF7" i="94"/>
  <c r="AE7" i="94"/>
  <c r="P61" i="94"/>
  <c r="Q61" i="94"/>
  <c r="Q63" i="94"/>
  <c r="P63" i="94"/>
  <c r="AF13" i="94"/>
  <c r="AF14" i="94"/>
  <c r="AE28" i="94"/>
  <c r="AF30" i="94"/>
  <c r="AE31" i="94"/>
  <c r="AF32" i="94"/>
  <c r="AF35" i="94"/>
  <c r="AF49" i="94"/>
  <c r="AF65" i="94"/>
  <c r="AF28" i="94"/>
  <c r="AF31" i="94"/>
  <c r="AF11" i="94"/>
  <c r="N17" i="94"/>
  <c r="AF25" i="94"/>
  <c r="M33" i="94"/>
  <c r="N38" i="94"/>
  <c r="AF47" i="94"/>
  <c r="N52" i="94"/>
  <c r="AF63" i="94"/>
  <c r="M66" i="94"/>
  <c r="Z2" i="94"/>
  <c r="L6" i="93" s="1"/>
  <c r="AF5" i="94"/>
  <c r="AF6" i="94"/>
  <c r="N15" i="94"/>
  <c r="AF23" i="94"/>
  <c r="N36" i="94"/>
  <c r="N50" i="94"/>
  <c r="M8" i="94"/>
  <c r="N13" i="94"/>
  <c r="N14" i="94"/>
  <c r="N30" i="94"/>
  <c r="N32" i="94"/>
  <c r="N35" i="94"/>
  <c r="N49" i="94"/>
  <c r="N65" i="94"/>
  <c r="M20" i="94"/>
  <c r="AE15" i="94"/>
  <c r="AE36" i="94"/>
  <c r="AE50" i="94"/>
  <c r="P41" i="96" l="1"/>
  <c r="Q41" i="96"/>
  <c r="R34" i="96" s="1"/>
  <c r="L14" i="95"/>
  <c r="L15" i="95" s="1"/>
  <c r="E14" i="95"/>
  <c r="E15" i="95" s="1"/>
  <c r="Q12" i="96"/>
  <c r="R9" i="96" s="1"/>
  <c r="P12" i="96"/>
  <c r="G14" i="95"/>
  <c r="G15" i="95" s="1"/>
  <c r="Q27" i="96"/>
  <c r="R21" i="96" s="1"/>
  <c r="P27" i="96"/>
  <c r="F14" i="95"/>
  <c r="F15" i="95" s="1"/>
  <c r="Q20" i="96"/>
  <c r="R13" i="96" s="1"/>
  <c r="P20" i="96"/>
  <c r="Q69" i="96"/>
  <c r="R62" i="96" s="1"/>
  <c r="P69" i="96"/>
  <c r="M14" i="95"/>
  <c r="M15" i="95" s="1"/>
  <c r="D2" i="96"/>
  <c r="Q8" i="96"/>
  <c r="R5" i="96" s="1"/>
  <c r="P8" i="96"/>
  <c r="D14" i="95"/>
  <c r="Q55" i="96"/>
  <c r="R46" i="96" s="1"/>
  <c r="P55" i="96"/>
  <c r="I14" i="95"/>
  <c r="I15" i="95" s="1"/>
  <c r="Q33" i="96"/>
  <c r="R28" i="96" s="1"/>
  <c r="P33" i="96"/>
  <c r="K14" i="95"/>
  <c r="Q61" i="96"/>
  <c r="R56" i="96" s="1"/>
  <c r="P61" i="96"/>
  <c r="J14" i="95"/>
  <c r="J15" i="95" s="1"/>
  <c r="Q51" i="94"/>
  <c r="P51" i="94"/>
  <c r="Q54" i="94"/>
  <c r="P54" i="94"/>
  <c r="Q62" i="94"/>
  <c r="P62" i="94"/>
  <c r="Q7" i="94"/>
  <c r="P7" i="94"/>
  <c r="Q19" i="94"/>
  <c r="P19" i="94"/>
  <c r="Q45" i="94"/>
  <c r="P45" i="94"/>
  <c r="Q32" i="94"/>
  <c r="P32" i="94"/>
  <c r="Q43" i="94"/>
  <c r="P43" i="94"/>
  <c r="Q14" i="94"/>
  <c r="P14" i="94"/>
  <c r="N12" i="94"/>
  <c r="AF12" i="94"/>
  <c r="AG9" i="94" s="1"/>
  <c r="AE12" i="94"/>
  <c r="AF53" i="94"/>
  <c r="AG45" i="94" s="1"/>
  <c r="AE53" i="94"/>
  <c r="N53" i="94"/>
  <c r="P39" i="94"/>
  <c r="Q39" i="94"/>
  <c r="Q56" i="94"/>
  <c r="P56" i="94"/>
  <c r="Q24" i="94"/>
  <c r="P24" i="94"/>
  <c r="AF33" i="94"/>
  <c r="AG28" i="94" s="1"/>
  <c r="AE33" i="94"/>
  <c r="N33" i="94"/>
  <c r="Q42" i="94"/>
  <c r="P42" i="94"/>
  <c r="Q37" i="94"/>
  <c r="P37" i="94"/>
  <c r="Q10" i="94"/>
  <c r="P10" i="94"/>
  <c r="AF59" i="94"/>
  <c r="AG54" i="94" s="1"/>
  <c r="N59" i="94"/>
  <c r="AE59" i="94"/>
  <c r="Q13" i="94"/>
  <c r="P13" i="94"/>
  <c r="N8" i="94"/>
  <c r="AF8" i="94"/>
  <c r="AG5" i="94" s="1"/>
  <c r="AE8" i="94"/>
  <c r="Q34" i="94"/>
  <c r="P34" i="94"/>
  <c r="AE27" i="94"/>
  <c r="N27" i="94"/>
  <c r="AF27" i="94"/>
  <c r="AG21" i="94" s="1"/>
  <c r="Q49" i="94"/>
  <c r="P49" i="94"/>
  <c r="Q30" i="94"/>
  <c r="P30" i="94"/>
  <c r="Q17" i="94"/>
  <c r="P17" i="94"/>
  <c r="Q46" i="94"/>
  <c r="P46" i="94"/>
  <c r="N40" i="94"/>
  <c r="AF40" i="94"/>
  <c r="AG34" i="94" s="1"/>
  <c r="AE40" i="94"/>
  <c r="Q21" i="94"/>
  <c r="P21" i="94"/>
  <c r="Q35" i="94"/>
  <c r="P35" i="94"/>
  <c r="Q41" i="94"/>
  <c r="P41" i="94"/>
  <c r="Q52" i="94"/>
  <c r="P52" i="94"/>
  <c r="Q38" i="94"/>
  <c r="P38" i="94"/>
  <c r="N20" i="94"/>
  <c r="AF20" i="94"/>
  <c r="AG13" i="94" s="1"/>
  <c r="AE20" i="94"/>
  <c r="Q57" i="94"/>
  <c r="P57" i="94"/>
  <c r="Q16" i="94"/>
  <c r="P16" i="94"/>
  <c r="N44" i="94"/>
  <c r="AE44" i="94"/>
  <c r="AF44" i="94"/>
  <c r="AG41" i="94" s="1"/>
  <c r="AF66" i="94"/>
  <c r="AG60" i="94" s="1"/>
  <c r="AE66" i="94"/>
  <c r="N66" i="94"/>
  <c r="Q50" i="94"/>
  <c r="P50" i="94"/>
  <c r="Q36" i="94"/>
  <c r="P36" i="94"/>
  <c r="Q22" i="94"/>
  <c r="P22" i="94"/>
  <c r="Q15" i="94"/>
  <c r="P15" i="94"/>
  <c r="Q65" i="94"/>
  <c r="P65" i="94"/>
  <c r="Q55" i="94"/>
  <c r="P55" i="94"/>
  <c r="G7" i="95" l="1"/>
  <c r="F7" i="95"/>
  <c r="E7" i="95"/>
  <c r="D15" i="95"/>
  <c r="K15" i="95"/>
  <c r="I8" i="95" s="1"/>
  <c r="I7" i="95"/>
  <c r="I14" i="93"/>
  <c r="I15" i="93" s="1"/>
  <c r="Q53" i="94"/>
  <c r="R45" i="94" s="1"/>
  <c r="P53" i="94"/>
  <c r="K14" i="93"/>
  <c r="Q33" i="94"/>
  <c r="R28" i="94" s="1"/>
  <c r="P33" i="94"/>
  <c r="Q8" i="94"/>
  <c r="R5" i="94" s="1"/>
  <c r="P8" i="94"/>
  <c r="D14" i="93"/>
  <c r="D2" i="94"/>
  <c r="M14" i="93"/>
  <c r="M15" i="93" s="1"/>
  <c r="Q66" i="94"/>
  <c r="R60" i="94" s="1"/>
  <c r="P66" i="94"/>
  <c r="F14" i="93"/>
  <c r="F15" i="93" s="1"/>
  <c r="Q20" i="94"/>
  <c r="R13" i="94" s="1"/>
  <c r="P20" i="94"/>
  <c r="Q44" i="94"/>
  <c r="R41" i="94" s="1"/>
  <c r="P44" i="94"/>
  <c r="H14" i="93"/>
  <c r="H15" i="93" s="1"/>
  <c r="Q12" i="94"/>
  <c r="R9" i="94" s="1"/>
  <c r="E14" i="93"/>
  <c r="E15" i="93" s="1"/>
  <c r="P12" i="94"/>
  <c r="Q59" i="94"/>
  <c r="R54" i="94" s="1"/>
  <c r="P59" i="94"/>
  <c r="J14" i="93"/>
  <c r="J15" i="93" s="1"/>
  <c r="Q27" i="94"/>
  <c r="R21" i="94" s="1"/>
  <c r="G14" i="93"/>
  <c r="G15" i="93" s="1"/>
  <c r="P27" i="94"/>
  <c r="L14" i="93"/>
  <c r="L15" i="93" s="1"/>
  <c r="Q40" i="94"/>
  <c r="R34" i="94" s="1"/>
  <c r="P40" i="94"/>
  <c r="F8" i="95" l="1"/>
  <c r="G8" i="95"/>
  <c r="E8" i="95"/>
  <c r="D15" i="93"/>
  <c r="G7" i="93"/>
  <c r="F7" i="93"/>
  <c r="E7" i="93"/>
  <c r="K15" i="93"/>
  <c r="I8" i="93" s="1"/>
  <c r="I7" i="93"/>
  <c r="G8" i="93" l="1"/>
  <c r="F8" i="93"/>
  <c r="E8" i="93"/>
  <c r="AD71" i="92" l="1"/>
  <c r="Z71" i="92"/>
  <c r="Y71" i="92"/>
  <c r="O71" i="92"/>
  <c r="K71" i="92"/>
  <c r="AF70" i="92"/>
  <c r="V70" i="92"/>
  <c r="U70" i="92"/>
  <c r="O70" i="92"/>
  <c r="M70" i="92"/>
  <c r="AE70" i="92" s="1"/>
  <c r="K70" i="92"/>
  <c r="G70" i="92"/>
  <c r="AF69" i="92"/>
  <c r="AE69" i="92"/>
  <c r="V69" i="92"/>
  <c r="U69" i="92"/>
  <c r="O69" i="92"/>
  <c r="M69" i="92"/>
  <c r="N69" i="92" s="1"/>
  <c r="K69" i="92"/>
  <c r="G69" i="92"/>
  <c r="AF68" i="92"/>
  <c r="AE68" i="92"/>
  <c r="X68" i="92"/>
  <c r="W68" i="92"/>
  <c r="V68" i="92"/>
  <c r="U68" i="92"/>
  <c r="O68" i="92"/>
  <c r="M68" i="92"/>
  <c r="N68" i="92" s="1"/>
  <c r="K68" i="92"/>
  <c r="G68" i="92"/>
  <c r="AF67" i="92"/>
  <c r="AE67" i="92"/>
  <c r="V67" i="92"/>
  <c r="U67" i="92"/>
  <c r="O67" i="92"/>
  <c r="M67" i="92"/>
  <c r="N67" i="92" s="1"/>
  <c r="K67" i="92"/>
  <c r="G67" i="92"/>
  <c r="V66" i="92"/>
  <c r="M66" i="92" s="1"/>
  <c r="U66" i="92"/>
  <c r="O66" i="92"/>
  <c r="K66" i="92"/>
  <c r="G66" i="92"/>
  <c r="V65" i="92"/>
  <c r="M65" i="92" s="1"/>
  <c r="U65" i="92"/>
  <c r="O65" i="92"/>
  <c r="K65" i="92"/>
  <c r="G65" i="92"/>
  <c r="V64" i="92"/>
  <c r="M64" i="92" s="1"/>
  <c r="U64" i="92"/>
  <c r="O64" i="92"/>
  <c r="K64" i="92"/>
  <c r="G64" i="92"/>
  <c r="X63" i="92"/>
  <c r="W63" i="92"/>
  <c r="V63" i="92"/>
  <c r="M63" i="92" s="1"/>
  <c r="O63" i="92"/>
  <c r="K63" i="92"/>
  <c r="G63" i="92"/>
  <c r="AD62" i="92"/>
  <c r="Z62" i="92"/>
  <c r="Y62" i="92"/>
  <c r="O62" i="92"/>
  <c r="K62" i="92"/>
  <c r="V61" i="92"/>
  <c r="M61" i="92" s="1"/>
  <c r="U61" i="92"/>
  <c r="O61" i="92"/>
  <c r="K61" i="92"/>
  <c r="G61" i="92"/>
  <c r="V60" i="92"/>
  <c r="M60" i="92" s="1"/>
  <c r="U60" i="92"/>
  <c r="O60" i="92"/>
  <c r="K60" i="92"/>
  <c r="G60" i="92"/>
  <c r="V59" i="92"/>
  <c r="M59" i="92" s="1"/>
  <c r="U59" i="92"/>
  <c r="O59" i="92"/>
  <c r="K59" i="92"/>
  <c r="G59" i="92"/>
  <c r="V58" i="92"/>
  <c r="M58" i="92" s="1"/>
  <c r="U58" i="92"/>
  <c r="O58" i="92"/>
  <c r="K58" i="92"/>
  <c r="G58" i="92"/>
  <c r="AE57" i="92"/>
  <c r="V57" i="92"/>
  <c r="O57" i="92"/>
  <c r="N57" i="92"/>
  <c r="Q57" i="92" s="1"/>
  <c r="M57" i="92"/>
  <c r="AF57" i="92" s="1"/>
  <c r="K57" i="92"/>
  <c r="G57" i="92"/>
  <c r="AD56" i="92"/>
  <c r="Z56" i="92"/>
  <c r="Y56" i="92"/>
  <c r="O56" i="92"/>
  <c r="K56" i="92"/>
  <c r="V55" i="92"/>
  <c r="U55" i="92"/>
  <c r="O55" i="92"/>
  <c r="M55" i="92"/>
  <c r="AF55" i="92" s="1"/>
  <c r="K55" i="92"/>
  <c r="G55" i="92"/>
  <c r="V54" i="92"/>
  <c r="U54" i="92"/>
  <c r="O54" i="92"/>
  <c r="M54" i="92"/>
  <c r="AF54" i="92" s="1"/>
  <c r="K54" i="92"/>
  <c r="G54" i="92"/>
  <c r="V53" i="92"/>
  <c r="U53" i="92"/>
  <c r="O53" i="92"/>
  <c r="M53" i="92"/>
  <c r="AF53" i="92" s="1"/>
  <c r="K53" i="92"/>
  <c r="G53" i="92"/>
  <c r="AF52" i="92"/>
  <c r="V52" i="92"/>
  <c r="U52" i="92"/>
  <c r="O52" i="92"/>
  <c r="M52" i="92"/>
  <c r="AE52" i="92" s="1"/>
  <c r="K52" i="92"/>
  <c r="G52" i="92"/>
  <c r="V51" i="92"/>
  <c r="M51" i="92" s="1"/>
  <c r="U51" i="92"/>
  <c r="O51" i="92"/>
  <c r="K51" i="92"/>
  <c r="G51" i="92"/>
  <c r="V50" i="92"/>
  <c r="M50" i="92" s="1"/>
  <c r="U50" i="92"/>
  <c r="O50" i="92"/>
  <c r="K50" i="92"/>
  <c r="G50" i="92"/>
  <c r="V49" i="92"/>
  <c r="M49" i="92" s="1"/>
  <c r="U49" i="92"/>
  <c r="O49" i="92"/>
  <c r="K49" i="92"/>
  <c r="G49" i="92"/>
  <c r="V48" i="92"/>
  <c r="M48" i="92" s="1"/>
  <c r="O48" i="92"/>
  <c r="K48" i="92"/>
  <c r="G48" i="92"/>
  <c r="AD47" i="92"/>
  <c r="Z47" i="92"/>
  <c r="Y47" i="92"/>
  <c r="O47" i="92"/>
  <c r="N47" i="92"/>
  <c r="Q47" i="92" s="1"/>
  <c r="R44" i="92" s="1"/>
  <c r="M47" i="92"/>
  <c r="AF47" i="92" s="1"/>
  <c r="AG44" i="92" s="1"/>
  <c r="K47" i="92"/>
  <c r="V46" i="92"/>
  <c r="U46" i="92"/>
  <c r="O46" i="92"/>
  <c r="M46" i="92"/>
  <c r="N46" i="92" s="1"/>
  <c r="K46" i="92"/>
  <c r="G46" i="92"/>
  <c r="V45" i="92"/>
  <c r="U45" i="92"/>
  <c r="O45" i="92"/>
  <c r="M45" i="92"/>
  <c r="N45" i="92" s="1"/>
  <c r="K45" i="92"/>
  <c r="G45" i="92"/>
  <c r="V44" i="92"/>
  <c r="O44" i="92"/>
  <c r="M44" i="92"/>
  <c r="N44" i="92" s="1"/>
  <c r="K44" i="92"/>
  <c r="G44" i="92"/>
  <c r="AD43" i="92"/>
  <c r="Z43" i="92"/>
  <c r="Y43" i="92"/>
  <c r="O43" i="92"/>
  <c r="K43" i="92"/>
  <c r="AF42" i="92"/>
  <c r="V42" i="92"/>
  <c r="U42" i="92"/>
  <c r="O42" i="92"/>
  <c r="M42" i="92"/>
  <c r="AE42" i="92" s="1"/>
  <c r="K42" i="92"/>
  <c r="G42" i="92"/>
  <c r="AF41" i="92"/>
  <c r="AE41" i="92"/>
  <c r="X41" i="92"/>
  <c r="W41" i="92"/>
  <c r="V41" i="92"/>
  <c r="U41" i="92"/>
  <c r="O41" i="92"/>
  <c r="N41" i="92"/>
  <c r="Q41" i="92" s="1"/>
  <c r="M41" i="92"/>
  <c r="K41" i="92"/>
  <c r="G41" i="92"/>
  <c r="AF40" i="92"/>
  <c r="V40" i="92"/>
  <c r="U40" i="92"/>
  <c r="O40" i="92"/>
  <c r="M40" i="92"/>
  <c r="AE40" i="92" s="1"/>
  <c r="K40" i="92"/>
  <c r="G40" i="92"/>
  <c r="AE39" i="92"/>
  <c r="V39" i="92"/>
  <c r="U39" i="92"/>
  <c r="O39" i="92"/>
  <c r="M39" i="92"/>
  <c r="AF39" i="92" s="1"/>
  <c r="K39" i="92"/>
  <c r="G39" i="92"/>
  <c r="V38" i="92"/>
  <c r="M38" i="92" s="1"/>
  <c r="U38" i="92"/>
  <c r="O38" i="92"/>
  <c r="K38" i="92"/>
  <c r="G38" i="92"/>
  <c r="V37" i="92"/>
  <c r="M37" i="92" s="1"/>
  <c r="U37" i="92"/>
  <c r="O37" i="92"/>
  <c r="K37" i="92"/>
  <c r="G37" i="92"/>
  <c r="X36" i="92"/>
  <c r="W36" i="92"/>
  <c r="V36" i="92"/>
  <c r="O36" i="92"/>
  <c r="M36" i="92"/>
  <c r="AF36" i="92" s="1"/>
  <c r="K36" i="92"/>
  <c r="G36" i="92"/>
  <c r="AD35" i="92"/>
  <c r="Z35" i="92"/>
  <c r="Y35" i="92"/>
  <c r="O35" i="92"/>
  <c r="K35" i="92"/>
  <c r="V34" i="92"/>
  <c r="M34" i="92" s="1"/>
  <c r="U34" i="92"/>
  <c r="O34" i="92"/>
  <c r="K34" i="92"/>
  <c r="G34" i="92"/>
  <c r="V33" i="92"/>
  <c r="M33" i="92" s="1"/>
  <c r="U33" i="92"/>
  <c r="O33" i="92"/>
  <c r="K33" i="92"/>
  <c r="G33" i="92"/>
  <c r="X32" i="92"/>
  <c r="W32" i="92"/>
  <c r="V32" i="92"/>
  <c r="M32" i="92" s="1"/>
  <c r="U32" i="92"/>
  <c r="O32" i="92"/>
  <c r="K32" i="92"/>
  <c r="G32" i="92"/>
  <c r="V31" i="92"/>
  <c r="M31" i="92" s="1"/>
  <c r="U31" i="92"/>
  <c r="O31" i="92"/>
  <c r="K31" i="92"/>
  <c r="G31" i="92"/>
  <c r="V30" i="92"/>
  <c r="M30" i="92" s="1"/>
  <c r="U30" i="92"/>
  <c r="O30" i="92"/>
  <c r="K30" i="92"/>
  <c r="G30" i="92"/>
  <c r="AF29" i="92"/>
  <c r="AE29" i="92"/>
  <c r="X29" i="92"/>
  <c r="W29" i="92"/>
  <c r="V29" i="92"/>
  <c r="O29" i="92"/>
  <c r="M29" i="92"/>
  <c r="N29" i="92" s="1"/>
  <c r="K29" i="92"/>
  <c r="G29" i="92"/>
  <c r="AD28" i="92"/>
  <c r="Z28" i="92"/>
  <c r="Y28" i="92"/>
  <c r="O28" i="92"/>
  <c r="K28" i="92"/>
  <c r="V27" i="92"/>
  <c r="M27" i="92" s="1"/>
  <c r="U27" i="92"/>
  <c r="O27" i="92"/>
  <c r="K27" i="92"/>
  <c r="G27" i="92"/>
  <c r="V26" i="92"/>
  <c r="M26" i="92" s="1"/>
  <c r="U26" i="92"/>
  <c r="O26" i="92"/>
  <c r="K26" i="92"/>
  <c r="G26" i="92"/>
  <c r="V25" i="92"/>
  <c r="M25" i="92" s="1"/>
  <c r="U25" i="92"/>
  <c r="O25" i="92"/>
  <c r="K25" i="92"/>
  <c r="G25" i="92"/>
  <c r="V24" i="92"/>
  <c r="U24" i="92"/>
  <c r="O24" i="92"/>
  <c r="M24" i="92"/>
  <c r="N24" i="92" s="1"/>
  <c r="K24" i="92"/>
  <c r="G24" i="92"/>
  <c r="V23" i="92"/>
  <c r="M23" i="92" s="1"/>
  <c r="U23" i="92"/>
  <c r="O23" i="92"/>
  <c r="K23" i="92"/>
  <c r="G23" i="92"/>
  <c r="V22" i="92"/>
  <c r="U22" i="92"/>
  <c r="O22" i="92"/>
  <c r="M22" i="92"/>
  <c r="N22" i="92" s="1"/>
  <c r="K22" i="92"/>
  <c r="G22" i="92"/>
  <c r="V21" i="92"/>
  <c r="O21" i="92"/>
  <c r="M21" i="92"/>
  <c r="N21" i="92" s="1"/>
  <c r="K21" i="92"/>
  <c r="G21" i="92"/>
  <c r="AD20" i="92"/>
  <c r="Z20" i="92"/>
  <c r="Y20" i="92"/>
  <c r="O20" i="92"/>
  <c r="K20" i="92"/>
  <c r="AF19" i="92"/>
  <c r="V19" i="92"/>
  <c r="U19" i="92"/>
  <c r="O19" i="92"/>
  <c r="M19" i="92"/>
  <c r="AE19" i="92" s="1"/>
  <c r="K19" i="92"/>
  <c r="G19" i="92"/>
  <c r="AE18" i="92"/>
  <c r="V18" i="92"/>
  <c r="U18" i="92"/>
  <c r="O18" i="92"/>
  <c r="M18" i="92"/>
  <c r="AF18" i="92" s="1"/>
  <c r="K18" i="92"/>
  <c r="G18" i="92"/>
  <c r="V17" i="92"/>
  <c r="M17" i="92" s="1"/>
  <c r="U17" i="92"/>
  <c r="O17" i="92"/>
  <c r="K17" i="92"/>
  <c r="G17" i="92"/>
  <c r="V16" i="92"/>
  <c r="U16" i="92"/>
  <c r="O16" i="92"/>
  <c r="M16" i="92"/>
  <c r="AF16" i="92" s="1"/>
  <c r="K16" i="92"/>
  <c r="G16" i="92"/>
  <c r="V15" i="92"/>
  <c r="M15" i="92" s="1"/>
  <c r="U15" i="92"/>
  <c r="O15" i="92"/>
  <c r="K15" i="92"/>
  <c r="G15" i="92"/>
  <c r="V14" i="92"/>
  <c r="U14" i="92"/>
  <c r="O14" i="92"/>
  <c r="M14" i="92"/>
  <c r="N14" i="92" s="1"/>
  <c r="K14" i="92"/>
  <c r="G14" i="92"/>
  <c r="V13" i="92"/>
  <c r="O13" i="92"/>
  <c r="M13" i="92"/>
  <c r="M20" i="92" s="1"/>
  <c r="K13" i="92"/>
  <c r="G13" i="92"/>
  <c r="AD12" i="92"/>
  <c r="Z12" i="92"/>
  <c r="Y12" i="92"/>
  <c r="O12" i="92"/>
  <c r="K12" i="92"/>
  <c r="V11" i="92"/>
  <c r="U11" i="92"/>
  <c r="O11" i="92"/>
  <c r="M11" i="92"/>
  <c r="N11" i="92" s="1"/>
  <c r="K11" i="92"/>
  <c r="G11" i="92"/>
  <c r="V10" i="92"/>
  <c r="U10" i="92"/>
  <c r="O10" i="92"/>
  <c r="M10" i="92"/>
  <c r="N10" i="92" s="1"/>
  <c r="K10" i="92"/>
  <c r="G10" i="92"/>
  <c r="X9" i="92"/>
  <c r="W9" i="92"/>
  <c r="V9" i="92"/>
  <c r="M9" i="92" s="1"/>
  <c r="O9" i="92"/>
  <c r="K9" i="92"/>
  <c r="G9" i="92"/>
  <c r="AD8" i="92"/>
  <c r="Z8" i="92"/>
  <c r="Y8" i="92"/>
  <c r="O8" i="92"/>
  <c r="K8" i="92"/>
  <c r="V7" i="92"/>
  <c r="M7" i="92" s="1"/>
  <c r="U7" i="92"/>
  <c r="O7" i="92"/>
  <c r="K7" i="92"/>
  <c r="G7" i="92"/>
  <c r="V6" i="92"/>
  <c r="U6" i="92"/>
  <c r="O6" i="92"/>
  <c r="M6" i="92"/>
  <c r="N6" i="92" s="1"/>
  <c r="K6" i="92"/>
  <c r="G6" i="92"/>
  <c r="V5" i="92"/>
  <c r="O5" i="92"/>
  <c r="M5" i="92"/>
  <c r="N5" i="92" s="1"/>
  <c r="K5" i="92"/>
  <c r="G5" i="92"/>
  <c r="AD2" i="92"/>
  <c r="Z2" i="92"/>
  <c r="Y2" i="92"/>
  <c r="H2" i="92"/>
  <c r="H1" i="92"/>
  <c r="M22" i="91"/>
  <c r="L22" i="91"/>
  <c r="K22" i="91"/>
  <c r="J22" i="91"/>
  <c r="I22" i="91"/>
  <c r="H22" i="91"/>
  <c r="G22" i="91"/>
  <c r="F22" i="91"/>
  <c r="E22" i="91"/>
  <c r="D22" i="91"/>
  <c r="M21" i="91"/>
  <c r="L21" i="91"/>
  <c r="K21" i="91"/>
  <c r="J21" i="91"/>
  <c r="I21" i="91"/>
  <c r="H21" i="91"/>
  <c r="G21" i="91"/>
  <c r="F21" i="91"/>
  <c r="E21" i="91"/>
  <c r="D21" i="91"/>
  <c r="M20" i="91"/>
  <c r="L20" i="91"/>
  <c r="K20" i="91"/>
  <c r="J20" i="91"/>
  <c r="I20" i="91"/>
  <c r="H20" i="91"/>
  <c r="G20" i="91"/>
  <c r="F20" i="91"/>
  <c r="E20" i="91"/>
  <c r="D20" i="91"/>
  <c r="M19" i="91"/>
  <c r="L19" i="91"/>
  <c r="K19" i="91"/>
  <c r="J19" i="91"/>
  <c r="I19" i="91"/>
  <c r="H19" i="91"/>
  <c r="G19" i="91"/>
  <c r="F19" i="91"/>
  <c r="E19" i="91"/>
  <c r="D19" i="91"/>
  <c r="M18" i="91"/>
  <c r="L18" i="91"/>
  <c r="K18" i="91"/>
  <c r="J18" i="91"/>
  <c r="I18" i="91"/>
  <c r="H18" i="91"/>
  <c r="G18" i="91"/>
  <c r="F18" i="91"/>
  <c r="E18" i="91"/>
  <c r="D18" i="91"/>
  <c r="M17" i="91"/>
  <c r="L17" i="91"/>
  <c r="K17" i="91"/>
  <c r="J17" i="91"/>
  <c r="I17" i="91"/>
  <c r="H17" i="91"/>
  <c r="G17" i="91"/>
  <c r="F17" i="91"/>
  <c r="E17" i="91"/>
  <c r="D17" i="91"/>
  <c r="M16" i="91"/>
  <c r="L16" i="91"/>
  <c r="K16" i="91"/>
  <c r="J16" i="91"/>
  <c r="I16" i="91"/>
  <c r="H16" i="91"/>
  <c r="G16" i="91"/>
  <c r="F16" i="91"/>
  <c r="E16" i="91"/>
  <c r="D16" i="91"/>
  <c r="H14" i="91"/>
  <c r="M13" i="91"/>
  <c r="L13" i="91"/>
  <c r="K13" i="91"/>
  <c r="I6" i="91" s="1"/>
  <c r="J13" i="91"/>
  <c r="I13" i="91"/>
  <c r="H13" i="91"/>
  <c r="H15" i="91" s="1"/>
  <c r="G13" i="91"/>
  <c r="F13" i="91"/>
  <c r="E13" i="91"/>
  <c r="D13" i="91"/>
  <c r="N6" i="91"/>
  <c r="M6" i="91"/>
  <c r="L6" i="91"/>
  <c r="K6" i="91"/>
  <c r="I3" i="91"/>
  <c r="F3" i="91"/>
  <c r="C3" i="91"/>
  <c r="N64" i="92" l="1"/>
  <c r="AF64" i="92"/>
  <c r="AE64" i="92"/>
  <c r="N49" i="92"/>
  <c r="AF49" i="92"/>
  <c r="AE49" i="92"/>
  <c r="Q67" i="92"/>
  <c r="P67" i="92"/>
  <c r="Q21" i="92"/>
  <c r="P21" i="92"/>
  <c r="N25" i="92"/>
  <c r="AF25" i="92"/>
  <c r="AE25" i="92"/>
  <c r="N23" i="92"/>
  <c r="AF23" i="92"/>
  <c r="AE23" i="92"/>
  <c r="AF38" i="92"/>
  <c r="AE38" i="92"/>
  <c r="N38" i="92"/>
  <c r="N60" i="92"/>
  <c r="AF60" i="92"/>
  <c r="AE60" i="92"/>
  <c r="AE15" i="92"/>
  <c r="N15" i="92"/>
  <c r="AF15" i="92"/>
  <c r="N32" i="92"/>
  <c r="AF32" i="92"/>
  <c r="AE32" i="92"/>
  <c r="AF34" i="92"/>
  <c r="AE34" i="92"/>
  <c r="N34" i="92"/>
  <c r="AF58" i="92"/>
  <c r="M62" i="92"/>
  <c r="AE58" i="92"/>
  <c r="N58" i="92"/>
  <c r="N63" i="92"/>
  <c r="AF63" i="92"/>
  <c r="AE63" i="92"/>
  <c r="M71" i="92"/>
  <c r="N65" i="92"/>
  <c r="AF65" i="92"/>
  <c r="AE65" i="92"/>
  <c r="Q45" i="92"/>
  <c r="P45" i="92"/>
  <c r="N20" i="92"/>
  <c r="AF20" i="92"/>
  <c r="AG13" i="92" s="1"/>
  <c r="AE20" i="92"/>
  <c r="Q11" i="92"/>
  <c r="P11" i="92"/>
  <c r="N9" i="92"/>
  <c r="M12" i="92"/>
  <c r="AF9" i="92"/>
  <c r="AE9" i="92"/>
  <c r="P24" i="92"/>
  <c r="Q24" i="92"/>
  <c r="Q46" i="92"/>
  <c r="P46" i="92"/>
  <c r="N50" i="92"/>
  <c r="AF50" i="92"/>
  <c r="AE50" i="92"/>
  <c r="AE31" i="92"/>
  <c r="N31" i="92"/>
  <c r="AF31" i="92"/>
  <c r="AF17" i="92"/>
  <c r="AE17" i="92"/>
  <c r="N17" i="92"/>
  <c r="Q22" i="92"/>
  <c r="P22" i="92"/>
  <c r="N26" i="92"/>
  <c r="AF26" i="92"/>
  <c r="AE26" i="92"/>
  <c r="N30" i="92"/>
  <c r="M35" i="92"/>
  <c r="AF30" i="92"/>
  <c r="AE30" i="92"/>
  <c r="Q44" i="92"/>
  <c r="P44" i="92"/>
  <c r="Q69" i="92"/>
  <c r="P69" i="92"/>
  <c r="Q5" i="92"/>
  <c r="P5" i="92"/>
  <c r="Q29" i="92"/>
  <c r="P29" i="92"/>
  <c r="M56" i="92"/>
  <c r="N48" i="92"/>
  <c r="AF48" i="92"/>
  <c r="AE48" i="92"/>
  <c r="N61" i="92"/>
  <c r="AF61" i="92"/>
  <c r="AE61" i="92"/>
  <c r="AE33" i="92"/>
  <c r="N33" i="92"/>
  <c r="AF33" i="92"/>
  <c r="N7" i="92"/>
  <c r="AF7" i="92"/>
  <c r="AE7" i="92"/>
  <c r="Q14" i="92"/>
  <c r="P14" i="92"/>
  <c r="Q68" i="92"/>
  <c r="P68" i="92"/>
  <c r="Q6" i="92"/>
  <c r="P6" i="92"/>
  <c r="AF37" i="92"/>
  <c r="AE37" i="92"/>
  <c r="N37" i="92"/>
  <c r="N59" i="92"/>
  <c r="AF59" i="92"/>
  <c r="AE59" i="92"/>
  <c r="N66" i="92"/>
  <c r="AF66" i="92"/>
  <c r="AE66" i="92"/>
  <c r="N27" i="92"/>
  <c r="AF27" i="92"/>
  <c r="AE27" i="92"/>
  <c r="P10" i="92"/>
  <c r="Q10" i="92"/>
  <c r="N51" i="92"/>
  <c r="AF51" i="92"/>
  <c r="AE51" i="92"/>
  <c r="F6" i="91"/>
  <c r="AE13" i="92"/>
  <c r="AE14" i="92"/>
  <c r="E6" i="91"/>
  <c r="G6" i="91"/>
  <c r="AF13" i="92"/>
  <c r="AF14" i="92"/>
  <c r="N19" i="92"/>
  <c r="N40" i="92"/>
  <c r="N42" i="92"/>
  <c r="AE11" i="92"/>
  <c r="N18" i="92"/>
  <c r="N36" i="92"/>
  <c r="N39" i="92"/>
  <c r="P41" i="92"/>
  <c r="N55" i="92"/>
  <c r="P57" i="92"/>
  <c r="AE10" i="92"/>
  <c r="AF11" i="92"/>
  <c r="AE24" i="92"/>
  <c r="M28" i="92"/>
  <c r="AE47" i="92"/>
  <c r="N54" i="92"/>
  <c r="AE5" i="92"/>
  <c r="AE6" i="92"/>
  <c r="AF10" i="92"/>
  <c r="N16" i="92"/>
  <c r="AF24" i="92"/>
  <c r="AE46" i="92"/>
  <c r="N53" i="92"/>
  <c r="AF5" i="92"/>
  <c r="AF6" i="92"/>
  <c r="AE21" i="92"/>
  <c r="AE22" i="92"/>
  <c r="AE44" i="92"/>
  <c r="AE45" i="92"/>
  <c r="AF46" i="92"/>
  <c r="N52" i="92"/>
  <c r="N70" i="92"/>
  <c r="M8" i="92"/>
  <c r="N13" i="92"/>
  <c r="AF21" i="92"/>
  <c r="AF22" i="92"/>
  <c r="AF44" i="92"/>
  <c r="AF45" i="92"/>
  <c r="AE55" i="92"/>
  <c r="AE54" i="92"/>
  <c r="AE16" i="92"/>
  <c r="AE36" i="92"/>
  <c r="M43" i="92"/>
  <c r="P47" i="92"/>
  <c r="AE53" i="92"/>
  <c r="AD75" i="90"/>
  <c r="Z75" i="90"/>
  <c r="Y75" i="90"/>
  <c r="O75" i="90"/>
  <c r="M75" i="90"/>
  <c r="K75" i="90"/>
  <c r="M13" i="89" s="1"/>
  <c r="AF74" i="90"/>
  <c r="AE74" i="90"/>
  <c r="V74" i="90"/>
  <c r="U74" i="90"/>
  <c r="O74" i="90"/>
  <c r="N74" i="90"/>
  <c r="Q74" i="90" s="1"/>
  <c r="M74" i="90"/>
  <c r="K74" i="90"/>
  <c r="G74" i="90"/>
  <c r="V73" i="90"/>
  <c r="U73" i="90"/>
  <c r="O73" i="90"/>
  <c r="N73" i="90"/>
  <c r="M73" i="90"/>
  <c r="K73" i="90"/>
  <c r="G73" i="90"/>
  <c r="AE72" i="90"/>
  <c r="V72" i="90"/>
  <c r="M72" i="90" s="1"/>
  <c r="U72" i="90"/>
  <c r="O72" i="90"/>
  <c r="K72" i="90"/>
  <c r="G72" i="90"/>
  <c r="X71" i="90"/>
  <c r="W71" i="90"/>
  <c r="V71" i="90"/>
  <c r="U71" i="90"/>
  <c r="O71" i="90"/>
  <c r="M71" i="90"/>
  <c r="K71" i="90"/>
  <c r="G71" i="90"/>
  <c r="AF70" i="90"/>
  <c r="AE70" i="90"/>
  <c r="V70" i="90"/>
  <c r="M70" i="90" s="1"/>
  <c r="N70" i="90" s="1"/>
  <c r="U70" i="90"/>
  <c r="O70" i="90"/>
  <c r="K70" i="90"/>
  <c r="G70" i="90"/>
  <c r="AE69" i="90"/>
  <c r="V69" i="90"/>
  <c r="U69" i="90"/>
  <c r="O69" i="90"/>
  <c r="N69" i="90"/>
  <c r="P69" i="90" s="1"/>
  <c r="M69" i="90"/>
  <c r="AF69" i="90" s="1"/>
  <c r="K69" i="90"/>
  <c r="G69" i="90"/>
  <c r="AF68" i="90"/>
  <c r="V68" i="90"/>
  <c r="U68" i="90"/>
  <c r="O68" i="90"/>
  <c r="M68" i="90"/>
  <c r="AE68" i="90" s="1"/>
  <c r="K68" i="90"/>
  <c r="G68" i="90"/>
  <c r="AF67" i="90"/>
  <c r="AE67" i="90"/>
  <c r="V67" i="90"/>
  <c r="U67" i="90"/>
  <c r="O67" i="90"/>
  <c r="N67" i="90"/>
  <c r="P67" i="90" s="1"/>
  <c r="M67" i="90"/>
  <c r="K67" i="90"/>
  <c r="G67" i="90"/>
  <c r="X66" i="90"/>
  <c r="W66" i="90"/>
  <c r="V66" i="90"/>
  <c r="P66" i="90"/>
  <c r="O66" i="90"/>
  <c r="N66" i="90"/>
  <c r="Q66" i="90" s="1"/>
  <c r="M66" i="90"/>
  <c r="K66" i="90"/>
  <c r="G66" i="90"/>
  <c r="AD65" i="90"/>
  <c r="Z65" i="90"/>
  <c r="Y65" i="90"/>
  <c r="O65" i="90"/>
  <c r="K65" i="90"/>
  <c r="V64" i="90"/>
  <c r="U64" i="90"/>
  <c r="O64" i="90"/>
  <c r="M64" i="90"/>
  <c r="K64" i="90"/>
  <c r="G64" i="90"/>
  <c r="AF63" i="90"/>
  <c r="AE63" i="90"/>
  <c r="V63" i="90"/>
  <c r="M63" i="90" s="1"/>
  <c r="N63" i="90" s="1"/>
  <c r="U63" i="90"/>
  <c r="O63" i="90"/>
  <c r="K63" i="90"/>
  <c r="G63" i="90"/>
  <c r="AE62" i="90"/>
  <c r="V62" i="90"/>
  <c r="U62" i="90"/>
  <c r="O62" i="90"/>
  <c r="N62" i="90"/>
  <c r="P62" i="90" s="1"/>
  <c r="M62" i="90"/>
  <c r="AF62" i="90" s="1"/>
  <c r="K62" i="90"/>
  <c r="G62" i="90"/>
  <c r="AF61" i="90"/>
  <c r="V61" i="90"/>
  <c r="U61" i="90"/>
  <c r="O61" i="90"/>
  <c r="M61" i="90"/>
  <c r="AE61" i="90" s="1"/>
  <c r="K61" i="90"/>
  <c r="G61" i="90"/>
  <c r="AF60" i="90"/>
  <c r="AE60" i="90"/>
  <c r="V60" i="90"/>
  <c r="O60" i="90"/>
  <c r="N60" i="90"/>
  <c r="P60" i="90" s="1"/>
  <c r="M60" i="90"/>
  <c r="M65" i="90" s="1"/>
  <c r="N65" i="90" s="1"/>
  <c r="K60" i="90"/>
  <c r="G60" i="90"/>
  <c r="AD59" i="90"/>
  <c r="Z59" i="90"/>
  <c r="Y59" i="90"/>
  <c r="O59" i="90"/>
  <c r="N59" i="90"/>
  <c r="M59" i="90"/>
  <c r="K59" i="90"/>
  <c r="AE58" i="90"/>
  <c r="V58" i="90"/>
  <c r="M58" i="90" s="1"/>
  <c r="U58" i="90"/>
  <c r="O58" i="90"/>
  <c r="K58" i="90"/>
  <c r="G58" i="90"/>
  <c r="X57" i="90"/>
  <c r="W57" i="90"/>
  <c r="V57" i="90"/>
  <c r="U57" i="90"/>
  <c r="O57" i="90"/>
  <c r="M57" i="90"/>
  <c r="K57" i="90"/>
  <c r="G57" i="90"/>
  <c r="AF56" i="90"/>
  <c r="AE56" i="90"/>
  <c r="V56" i="90"/>
  <c r="M56" i="90" s="1"/>
  <c r="N56" i="90" s="1"/>
  <c r="U56" i="90"/>
  <c r="O56" i="90"/>
  <c r="K56" i="90"/>
  <c r="G56" i="90"/>
  <c r="AE55" i="90"/>
  <c r="V55" i="90"/>
  <c r="U55" i="90"/>
  <c r="O55" i="90"/>
  <c r="N55" i="90"/>
  <c r="P55" i="90" s="1"/>
  <c r="M55" i="90"/>
  <c r="AF55" i="90" s="1"/>
  <c r="K55" i="90"/>
  <c r="G55" i="90"/>
  <c r="AF54" i="90"/>
  <c r="V54" i="90"/>
  <c r="U54" i="90"/>
  <c r="O54" i="90"/>
  <c r="M54" i="90"/>
  <c r="AE54" i="90" s="1"/>
  <c r="K54" i="90"/>
  <c r="G54" i="90"/>
  <c r="AF53" i="90"/>
  <c r="AE53" i="90"/>
  <c r="V53" i="90"/>
  <c r="U53" i="90"/>
  <c r="O53" i="90"/>
  <c r="N53" i="90"/>
  <c r="Q53" i="90" s="1"/>
  <c r="M53" i="90"/>
  <c r="K53" i="90"/>
  <c r="G53" i="90"/>
  <c r="V52" i="90"/>
  <c r="U52" i="90"/>
  <c r="O52" i="90"/>
  <c r="M52" i="90"/>
  <c r="K52" i="90"/>
  <c r="G52" i="90"/>
  <c r="AF51" i="90"/>
  <c r="V51" i="90"/>
  <c r="M51" i="90" s="1"/>
  <c r="AE51" i="90" s="1"/>
  <c r="U51" i="90"/>
  <c r="Q51" i="90"/>
  <c r="P51" i="90"/>
  <c r="O51" i="90"/>
  <c r="N51" i="90"/>
  <c r="K51" i="90"/>
  <c r="G51" i="90"/>
  <c r="V50" i="90"/>
  <c r="O50" i="90"/>
  <c r="N50" i="90"/>
  <c r="Q50" i="90" s="1"/>
  <c r="M50" i="90"/>
  <c r="K50" i="90"/>
  <c r="G50" i="90"/>
  <c r="AF49" i="90"/>
  <c r="AG46" i="90" s="1"/>
  <c r="AE49" i="90"/>
  <c r="AD49" i="90"/>
  <c r="Z49" i="90"/>
  <c r="Y49" i="90"/>
  <c r="H18" i="89" s="1"/>
  <c r="O49" i="90"/>
  <c r="K49" i="90"/>
  <c r="V48" i="90"/>
  <c r="U48" i="90"/>
  <c r="O48" i="90"/>
  <c r="M48" i="90"/>
  <c r="K48" i="90"/>
  <c r="G48" i="90"/>
  <c r="AF47" i="90"/>
  <c r="AE47" i="90"/>
  <c r="V47" i="90"/>
  <c r="M47" i="90" s="1"/>
  <c r="N47" i="90" s="1"/>
  <c r="U47" i="90"/>
  <c r="O47" i="90"/>
  <c r="K47" i="90"/>
  <c r="G47" i="90"/>
  <c r="AF46" i="90"/>
  <c r="AE46" i="90"/>
  <c r="V46" i="90"/>
  <c r="O46" i="90"/>
  <c r="N46" i="90"/>
  <c r="Q46" i="90" s="1"/>
  <c r="M46" i="90"/>
  <c r="M49" i="90" s="1"/>
  <c r="N49" i="90" s="1"/>
  <c r="K46" i="90"/>
  <c r="G46" i="90"/>
  <c r="AD45" i="90"/>
  <c r="Z45" i="90"/>
  <c r="Y45" i="90"/>
  <c r="O45" i="90"/>
  <c r="M45" i="90"/>
  <c r="K45" i="90"/>
  <c r="L13" i="89" s="1"/>
  <c r="AF44" i="90"/>
  <c r="AE44" i="90"/>
  <c r="V44" i="90"/>
  <c r="U44" i="90"/>
  <c r="Q44" i="90"/>
  <c r="P44" i="90"/>
  <c r="O44" i="90"/>
  <c r="N44" i="90"/>
  <c r="M44" i="90"/>
  <c r="K44" i="90"/>
  <c r="G44" i="90"/>
  <c r="V43" i="90"/>
  <c r="U43" i="90"/>
  <c r="O43" i="90"/>
  <c r="N43" i="90"/>
  <c r="M43" i="90"/>
  <c r="K43" i="90"/>
  <c r="G43" i="90"/>
  <c r="AE42" i="90"/>
  <c r="X42" i="90"/>
  <c r="W42" i="90"/>
  <c r="V42" i="90"/>
  <c r="M42" i="90" s="1"/>
  <c r="U42" i="90"/>
  <c r="O42" i="90"/>
  <c r="K42" i="90"/>
  <c r="G42" i="90"/>
  <c r="V41" i="90"/>
  <c r="U41" i="90"/>
  <c r="O41" i="90"/>
  <c r="M41" i="90"/>
  <c r="K41" i="90"/>
  <c r="G41" i="90"/>
  <c r="AF40" i="90"/>
  <c r="AE40" i="90"/>
  <c r="V40" i="90"/>
  <c r="M40" i="90" s="1"/>
  <c r="N40" i="90" s="1"/>
  <c r="U40" i="90"/>
  <c r="O40" i="90"/>
  <c r="K40" i="90"/>
  <c r="G40" i="90"/>
  <c r="AE39" i="90"/>
  <c r="V39" i="90"/>
  <c r="U39" i="90"/>
  <c r="O39" i="90"/>
  <c r="M39" i="90"/>
  <c r="AF39" i="90" s="1"/>
  <c r="K39" i="90"/>
  <c r="G39" i="90"/>
  <c r="AF38" i="90"/>
  <c r="V38" i="90"/>
  <c r="U38" i="90"/>
  <c r="O38" i="90"/>
  <c r="M38" i="90"/>
  <c r="AE38" i="90" s="1"/>
  <c r="K38" i="90"/>
  <c r="G38" i="90"/>
  <c r="AF37" i="90"/>
  <c r="AE37" i="90"/>
  <c r="X37" i="90"/>
  <c r="W37" i="90"/>
  <c r="V37" i="90"/>
  <c r="M37" i="90" s="1"/>
  <c r="N37" i="90" s="1"/>
  <c r="Q37" i="90"/>
  <c r="P37" i="90"/>
  <c r="O37" i="90"/>
  <c r="K37" i="90"/>
  <c r="G37" i="90"/>
  <c r="AD36" i="90"/>
  <c r="Z36" i="90"/>
  <c r="Y36" i="90"/>
  <c r="O36" i="90"/>
  <c r="K36" i="90"/>
  <c r="AF35" i="90"/>
  <c r="AE35" i="90"/>
  <c r="V35" i="90"/>
  <c r="M35" i="90" s="1"/>
  <c r="N35" i="90" s="1"/>
  <c r="P35" i="90" s="1"/>
  <c r="U35" i="90"/>
  <c r="Q35" i="90"/>
  <c r="O35" i="90"/>
  <c r="K35" i="90"/>
  <c r="G35" i="90"/>
  <c r="V34" i="90"/>
  <c r="U34" i="90"/>
  <c r="O34" i="90"/>
  <c r="M34" i="90"/>
  <c r="K34" i="90"/>
  <c r="G34" i="90"/>
  <c r="AF33" i="90"/>
  <c r="AE33" i="90"/>
  <c r="V33" i="90"/>
  <c r="M33" i="90" s="1"/>
  <c r="N33" i="90" s="1"/>
  <c r="U33" i="90"/>
  <c r="O33" i="90"/>
  <c r="K33" i="90"/>
  <c r="G33" i="90"/>
  <c r="AE32" i="90"/>
  <c r="X32" i="90"/>
  <c r="W32" i="90"/>
  <c r="V32" i="90"/>
  <c r="U32" i="90"/>
  <c r="O32" i="90"/>
  <c r="M32" i="90"/>
  <c r="AF32" i="90" s="1"/>
  <c r="K32" i="90"/>
  <c r="G32" i="90"/>
  <c r="V31" i="90"/>
  <c r="U31" i="90"/>
  <c r="O31" i="90"/>
  <c r="M31" i="90"/>
  <c r="K31" i="90"/>
  <c r="G31" i="90"/>
  <c r="AF30" i="90"/>
  <c r="V30" i="90"/>
  <c r="M30" i="90" s="1"/>
  <c r="AE30" i="90" s="1"/>
  <c r="U30" i="90"/>
  <c r="Q30" i="90"/>
  <c r="P30" i="90"/>
  <c r="O30" i="90"/>
  <c r="N30" i="90"/>
  <c r="K30" i="90"/>
  <c r="G30" i="90"/>
  <c r="X29" i="90"/>
  <c r="W29" i="90"/>
  <c r="V29" i="90"/>
  <c r="O29" i="90"/>
  <c r="M29" i="90"/>
  <c r="K29" i="90"/>
  <c r="G29" i="90"/>
  <c r="AD28" i="90"/>
  <c r="Z28" i="90"/>
  <c r="Y28" i="90"/>
  <c r="O28" i="90"/>
  <c r="K28" i="90"/>
  <c r="AE27" i="90"/>
  <c r="V27" i="90"/>
  <c r="U27" i="90"/>
  <c r="O27" i="90"/>
  <c r="N27" i="90"/>
  <c r="P27" i="90" s="1"/>
  <c r="M27" i="90"/>
  <c r="AF27" i="90" s="1"/>
  <c r="K27" i="90"/>
  <c r="G27" i="90"/>
  <c r="AF26" i="90"/>
  <c r="V26" i="90"/>
  <c r="U26" i="90"/>
  <c r="O26" i="90"/>
  <c r="M26" i="90"/>
  <c r="AE26" i="90" s="1"/>
  <c r="K26" i="90"/>
  <c r="G26" i="90"/>
  <c r="AF25" i="90"/>
  <c r="AE25" i="90"/>
  <c r="V25" i="90"/>
  <c r="U25" i="90"/>
  <c r="O25" i="90"/>
  <c r="M25" i="90"/>
  <c r="N25" i="90" s="1"/>
  <c r="K25" i="90"/>
  <c r="G25" i="90"/>
  <c r="V24" i="90"/>
  <c r="U24" i="90"/>
  <c r="O24" i="90"/>
  <c r="M24" i="90"/>
  <c r="K24" i="90"/>
  <c r="G24" i="90"/>
  <c r="AF23" i="90"/>
  <c r="V23" i="90"/>
  <c r="M23" i="90" s="1"/>
  <c r="AE23" i="90" s="1"/>
  <c r="U23" i="90"/>
  <c r="Q23" i="90"/>
  <c r="P23" i="90"/>
  <c r="O23" i="90"/>
  <c r="N23" i="90"/>
  <c r="K23" i="90"/>
  <c r="G23" i="90"/>
  <c r="V22" i="90"/>
  <c r="U22" i="90"/>
  <c r="O22" i="90"/>
  <c r="N22" i="90"/>
  <c r="M22" i="90"/>
  <c r="K22" i="90"/>
  <c r="G22" i="90"/>
  <c r="AF21" i="90"/>
  <c r="AE21" i="90"/>
  <c r="V21" i="90"/>
  <c r="M21" i="90" s="1"/>
  <c r="O21" i="90"/>
  <c r="K21" i="90"/>
  <c r="G21" i="90"/>
  <c r="AD20" i="90"/>
  <c r="F21" i="89" s="1"/>
  <c r="Z20" i="90"/>
  <c r="F19" i="89" s="1"/>
  <c r="Y20" i="90"/>
  <c r="F18" i="89" s="1"/>
  <c r="O20" i="90"/>
  <c r="M20" i="90"/>
  <c r="N20" i="90" s="1"/>
  <c r="K20" i="90"/>
  <c r="AF19" i="90"/>
  <c r="AE19" i="90"/>
  <c r="V19" i="90"/>
  <c r="M19" i="90" s="1"/>
  <c r="N19" i="90" s="1"/>
  <c r="U19" i="90"/>
  <c r="O19" i="90"/>
  <c r="K19" i="90"/>
  <c r="G19" i="90"/>
  <c r="AE18" i="90"/>
  <c r="V18" i="90"/>
  <c r="U18" i="90"/>
  <c r="O18" i="90"/>
  <c r="N18" i="90"/>
  <c r="P18" i="90" s="1"/>
  <c r="M18" i="90"/>
  <c r="AF18" i="90" s="1"/>
  <c r="K18" i="90"/>
  <c r="G18" i="90"/>
  <c r="AF17" i="90"/>
  <c r="V17" i="90"/>
  <c r="U17" i="90"/>
  <c r="O17" i="90"/>
  <c r="M17" i="90"/>
  <c r="AE17" i="90" s="1"/>
  <c r="K17" i="90"/>
  <c r="G17" i="90"/>
  <c r="AF16" i="90"/>
  <c r="AE16" i="90"/>
  <c r="V16" i="90"/>
  <c r="U16" i="90"/>
  <c r="P16" i="90"/>
  <c r="O16" i="90"/>
  <c r="N16" i="90"/>
  <c r="Q16" i="90" s="1"/>
  <c r="M16" i="90"/>
  <c r="K16" i="90"/>
  <c r="G16" i="90"/>
  <c r="V15" i="90"/>
  <c r="U15" i="90"/>
  <c r="O15" i="90"/>
  <c r="M15" i="90"/>
  <c r="K15" i="90"/>
  <c r="G15" i="90"/>
  <c r="AF14" i="90"/>
  <c r="V14" i="90"/>
  <c r="M14" i="90" s="1"/>
  <c r="AE14" i="90" s="1"/>
  <c r="U14" i="90"/>
  <c r="Q14" i="90"/>
  <c r="P14" i="90"/>
  <c r="O14" i="90"/>
  <c r="N14" i="90"/>
  <c r="K14" i="90"/>
  <c r="G14" i="90"/>
  <c r="V13" i="90"/>
  <c r="O13" i="90"/>
  <c r="N13" i="90"/>
  <c r="Q13" i="90" s="1"/>
  <c r="M13" i="90"/>
  <c r="K13" i="90"/>
  <c r="G13" i="90"/>
  <c r="AD12" i="90"/>
  <c r="AD2" i="90" s="1"/>
  <c r="N6" i="89" s="1"/>
  <c r="Z12" i="90"/>
  <c r="Z2" i="90" s="1"/>
  <c r="L6" i="89" s="1"/>
  <c r="Y12" i="90"/>
  <c r="E18" i="89" s="1"/>
  <c r="O12" i="90"/>
  <c r="K12" i="90"/>
  <c r="V11" i="90"/>
  <c r="U11" i="90"/>
  <c r="O11" i="90"/>
  <c r="M11" i="90"/>
  <c r="K11" i="90"/>
  <c r="G11" i="90"/>
  <c r="AF10" i="90"/>
  <c r="AE10" i="90"/>
  <c r="V10" i="90"/>
  <c r="M10" i="90" s="1"/>
  <c r="N10" i="90" s="1"/>
  <c r="U10" i="90"/>
  <c r="O10" i="90"/>
  <c r="K10" i="90"/>
  <c r="G10" i="90"/>
  <c r="AF9" i="90"/>
  <c r="AE9" i="90"/>
  <c r="X9" i="90"/>
  <c r="W9" i="90"/>
  <c r="V9" i="90"/>
  <c r="O9" i="90"/>
  <c r="N9" i="90"/>
  <c r="Q9" i="90" s="1"/>
  <c r="M9" i="90"/>
  <c r="M12" i="90" s="1"/>
  <c r="N12" i="90" s="1"/>
  <c r="K9" i="90"/>
  <c r="G9" i="90"/>
  <c r="AD8" i="90"/>
  <c r="Z8" i="90"/>
  <c r="Y8" i="90"/>
  <c r="O8" i="90"/>
  <c r="M8" i="90"/>
  <c r="N8" i="90" s="1"/>
  <c r="K8" i="90"/>
  <c r="AE7" i="90"/>
  <c r="V7" i="90"/>
  <c r="M7" i="90" s="1"/>
  <c r="U7" i="90"/>
  <c r="O7" i="90"/>
  <c r="K7" i="90"/>
  <c r="G7" i="90"/>
  <c r="V6" i="90"/>
  <c r="U6" i="90"/>
  <c r="P6" i="90"/>
  <c r="O6" i="90"/>
  <c r="N6" i="90"/>
  <c r="Q6" i="90" s="1"/>
  <c r="M6" i="90"/>
  <c r="K6" i="90"/>
  <c r="G6" i="90"/>
  <c r="AF5" i="90"/>
  <c r="AE5" i="90"/>
  <c r="V5" i="90"/>
  <c r="M5" i="90" s="1"/>
  <c r="N5" i="90" s="1"/>
  <c r="O5" i="90"/>
  <c r="K5" i="90"/>
  <c r="G5" i="90"/>
  <c r="Y2" i="90"/>
  <c r="K6" i="89" s="1"/>
  <c r="H2" i="90"/>
  <c r="H1" i="90"/>
  <c r="F1" i="90"/>
  <c r="I3" i="89" s="1"/>
  <c r="D1" i="90"/>
  <c r="M22" i="89"/>
  <c r="L22" i="89"/>
  <c r="K22" i="89"/>
  <c r="J22" i="89"/>
  <c r="I22" i="89"/>
  <c r="H22" i="89"/>
  <c r="G22" i="89"/>
  <c r="F22" i="89"/>
  <c r="E22" i="89"/>
  <c r="D22" i="89"/>
  <c r="M21" i="89"/>
  <c r="L21" i="89"/>
  <c r="K21" i="89"/>
  <c r="J21" i="89"/>
  <c r="I21" i="89"/>
  <c r="H21" i="89"/>
  <c r="G21" i="89"/>
  <c r="E21" i="89"/>
  <c r="D21" i="89"/>
  <c r="M20" i="89"/>
  <c r="L20" i="89"/>
  <c r="K20" i="89"/>
  <c r="J20" i="89"/>
  <c r="I20" i="89"/>
  <c r="H20" i="89"/>
  <c r="G20" i="89"/>
  <c r="F20" i="89"/>
  <c r="E20" i="89"/>
  <c r="D20" i="89"/>
  <c r="M19" i="89"/>
  <c r="L19" i="89"/>
  <c r="K19" i="89"/>
  <c r="J19" i="89"/>
  <c r="I19" i="89"/>
  <c r="H19" i="89"/>
  <c r="G19" i="89"/>
  <c r="E19" i="89"/>
  <c r="D19" i="89"/>
  <c r="M18" i="89"/>
  <c r="L18" i="89"/>
  <c r="K18" i="89"/>
  <c r="J18" i="89"/>
  <c r="I18" i="89"/>
  <c r="G18" i="89"/>
  <c r="D18" i="89"/>
  <c r="M17" i="89"/>
  <c r="L17" i="89"/>
  <c r="K17" i="89"/>
  <c r="J17" i="89"/>
  <c r="I17" i="89"/>
  <c r="H17" i="89"/>
  <c r="G17" i="89"/>
  <c r="F17" i="89"/>
  <c r="E17" i="89"/>
  <c r="D17" i="89"/>
  <c r="M16" i="89"/>
  <c r="L16" i="89"/>
  <c r="K16" i="89"/>
  <c r="J16" i="89"/>
  <c r="I16" i="89"/>
  <c r="H16" i="89"/>
  <c r="G16" i="89"/>
  <c r="F16" i="89"/>
  <c r="E16" i="89"/>
  <c r="D16" i="89"/>
  <c r="J14" i="89"/>
  <c r="J15" i="89" s="1"/>
  <c r="K13" i="89"/>
  <c r="J13" i="89"/>
  <c r="I13" i="89"/>
  <c r="H13" i="89"/>
  <c r="G13" i="89"/>
  <c r="F13" i="89"/>
  <c r="E13" i="89"/>
  <c r="D13" i="89"/>
  <c r="M6" i="89"/>
  <c r="I6" i="89"/>
  <c r="G6" i="89"/>
  <c r="F6" i="89"/>
  <c r="E6" i="89"/>
  <c r="F3" i="89"/>
  <c r="C3" i="89"/>
  <c r="N43" i="92" l="1"/>
  <c r="AF43" i="92"/>
  <c r="AG36" i="92" s="1"/>
  <c r="AE43" i="92"/>
  <c r="Q52" i="92"/>
  <c r="P52" i="92"/>
  <c r="Q39" i="92"/>
  <c r="P39" i="92"/>
  <c r="Q66" i="92"/>
  <c r="P66" i="92"/>
  <c r="Q48" i="92"/>
  <c r="P48" i="92"/>
  <c r="AF35" i="92"/>
  <c r="AG29" i="92" s="1"/>
  <c r="AE35" i="92"/>
  <c r="N35" i="92"/>
  <c r="Q36" i="92"/>
  <c r="P36" i="92"/>
  <c r="AF56" i="92"/>
  <c r="AG48" i="92" s="1"/>
  <c r="AE56" i="92"/>
  <c r="N56" i="92"/>
  <c r="Q30" i="92"/>
  <c r="P30" i="92"/>
  <c r="Q63" i="92"/>
  <c r="P63" i="92"/>
  <c r="Q15" i="92"/>
  <c r="P15" i="92"/>
  <c r="Q25" i="92"/>
  <c r="P25" i="92"/>
  <c r="Q54" i="92"/>
  <c r="P54" i="92"/>
  <c r="Q59" i="92"/>
  <c r="P59" i="92"/>
  <c r="P7" i="92"/>
  <c r="Q7" i="92"/>
  <c r="Q50" i="92"/>
  <c r="P50" i="92"/>
  <c r="Q42" i="92"/>
  <c r="P42" i="92"/>
  <c r="Q51" i="92"/>
  <c r="P51" i="92"/>
  <c r="Q37" i="92"/>
  <c r="P37" i="92"/>
  <c r="Q26" i="92"/>
  <c r="P26" i="92"/>
  <c r="Q20" i="92"/>
  <c r="R13" i="92" s="1"/>
  <c r="P20" i="92"/>
  <c r="F14" i="91"/>
  <c r="F15" i="91" s="1"/>
  <c r="N62" i="92"/>
  <c r="AF62" i="92"/>
  <c r="AG57" i="92" s="1"/>
  <c r="AE62" i="92"/>
  <c r="Q58" i="92"/>
  <c r="P58" i="92"/>
  <c r="AE28" i="92"/>
  <c r="N28" i="92"/>
  <c r="AF28" i="92"/>
  <c r="AG21" i="92" s="1"/>
  <c r="Q40" i="92"/>
  <c r="P40" i="92"/>
  <c r="Q33" i="92"/>
  <c r="P33" i="92"/>
  <c r="Q60" i="92"/>
  <c r="P60" i="92"/>
  <c r="Q19" i="92"/>
  <c r="P19" i="92"/>
  <c r="Q34" i="92"/>
  <c r="P34" i="92"/>
  <c r="Q38" i="92"/>
  <c r="P38" i="92"/>
  <c r="Q17" i="92"/>
  <c r="P17" i="92"/>
  <c r="Q18" i="92"/>
  <c r="P18" i="92"/>
  <c r="Q53" i="92"/>
  <c r="P53" i="92"/>
  <c r="Q27" i="92"/>
  <c r="P27" i="92"/>
  <c r="P61" i="92"/>
  <c r="Q61" i="92"/>
  <c r="Q65" i="92"/>
  <c r="P65" i="92"/>
  <c r="Q49" i="92"/>
  <c r="P49" i="92"/>
  <c r="N8" i="92"/>
  <c r="AF8" i="92"/>
  <c r="AG5" i="92" s="1"/>
  <c r="AE8" i="92"/>
  <c r="Q55" i="92"/>
  <c r="P55" i="92"/>
  <c r="N12" i="92"/>
  <c r="AF12" i="92"/>
  <c r="AG9" i="92" s="1"/>
  <c r="AE12" i="92"/>
  <c r="AF71" i="92"/>
  <c r="AG63" i="92" s="1"/>
  <c r="AE71" i="92"/>
  <c r="N71" i="92"/>
  <c r="Q13" i="92"/>
  <c r="P13" i="92"/>
  <c r="Q70" i="92"/>
  <c r="P70" i="92"/>
  <c r="Q16" i="92"/>
  <c r="P16" i="92"/>
  <c r="Q31" i="92"/>
  <c r="P31" i="92"/>
  <c r="Q9" i="92"/>
  <c r="P9" i="92"/>
  <c r="Q32" i="92"/>
  <c r="P32" i="92"/>
  <c r="Q23" i="92"/>
  <c r="P23" i="92"/>
  <c r="P64" i="92"/>
  <c r="Q64" i="92"/>
  <c r="F14" i="89"/>
  <c r="F15" i="89" s="1"/>
  <c r="Q20" i="90"/>
  <c r="R13" i="90" s="1"/>
  <c r="P20" i="90"/>
  <c r="P25" i="90"/>
  <c r="Q25" i="90"/>
  <c r="P13" i="90"/>
  <c r="Q18" i="90"/>
  <c r="Q69" i="90"/>
  <c r="P74" i="90"/>
  <c r="P53" i="90"/>
  <c r="Q60" i="90"/>
  <c r="P9" i="90"/>
  <c r="Q67" i="90"/>
  <c r="F2" i="90"/>
  <c r="P50" i="90"/>
  <c r="Q55" i="90"/>
  <c r="Q62" i="90"/>
  <c r="AE65" i="90"/>
  <c r="AF65" i="90"/>
  <c r="AG60" i="90" s="1"/>
  <c r="AE12" i="90"/>
  <c r="AF12" i="90"/>
  <c r="AG9" i="90" s="1"/>
  <c r="Q27" i="90"/>
  <c r="P46" i="90"/>
  <c r="N39" i="90"/>
  <c r="N32" i="90"/>
  <c r="Q5" i="90"/>
  <c r="P5" i="90"/>
  <c r="AF6" i="90"/>
  <c r="AE6" i="90"/>
  <c r="N7" i="90"/>
  <c r="AF7" i="90"/>
  <c r="AF8" i="90"/>
  <c r="AG5" i="90" s="1"/>
  <c r="AE8" i="90"/>
  <c r="Q8" i="90"/>
  <c r="R5" i="90" s="1"/>
  <c r="P8" i="90"/>
  <c r="D14" i="89"/>
  <c r="D15" i="89" s="1"/>
  <c r="Q12" i="90"/>
  <c r="R9" i="90" s="1"/>
  <c r="P12" i="90"/>
  <c r="E14" i="89"/>
  <c r="E15" i="89" s="1"/>
  <c r="Q10" i="90"/>
  <c r="P10" i="90"/>
  <c r="AE11" i="90"/>
  <c r="AF11" i="90"/>
  <c r="N11" i="90"/>
  <c r="AF13" i="90"/>
  <c r="AE13" i="90"/>
  <c r="AF15" i="90"/>
  <c r="N15" i="90"/>
  <c r="AE15" i="90"/>
  <c r="Q19" i="90"/>
  <c r="P19" i="90"/>
  <c r="AE20" i="90"/>
  <c r="AF20" i="90"/>
  <c r="AG13" i="90" s="1"/>
  <c r="N21" i="90"/>
  <c r="M28" i="90"/>
  <c r="AF22" i="90"/>
  <c r="AE22" i="90"/>
  <c r="Q22" i="90"/>
  <c r="P22" i="90"/>
  <c r="AF24" i="90"/>
  <c r="N24" i="90"/>
  <c r="AE24" i="90"/>
  <c r="AF29" i="90"/>
  <c r="AE29" i="90"/>
  <c r="M36" i="90"/>
  <c r="N36" i="90" s="1"/>
  <c r="N29" i="90"/>
  <c r="AF31" i="90"/>
  <c r="N31" i="90"/>
  <c r="AE31" i="90"/>
  <c r="Q33" i="90"/>
  <c r="P33" i="90"/>
  <c r="AE34" i="90"/>
  <c r="AF34" i="90"/>
  <c r="N34" i="90"/>
  <c r="Q40" i="90"/>
  <c r="P40" i="90"/>
  <c r="AE41" i="90"/>
  <c r="AF41" i="90"/>
  <c r="N41" i="90"/>
  <c r="N42" i="90"/>
  <c r="AF42" i="90"/>
  <c r="AF43" i="90"/>
  <c r="AE43" i="90"/>
  <c r="P43" i="90"/>
  <c r="Q43" i="90"/>
  <c r="AF45" i="90"/>
  <c r="AG37" i="90" s="1"/>
  <c r="AE45" i="90"/>
  <c r="N45" i="90"/>
  <c r="L14" i="89" s="1"/>
  <c r="L15" i="89" s="1"/>
  <c r="Q49" i="90"/>
  <c r="R46" i="90" s="1"/>
  <c r="P49" i="90"/>
  <c r="H14" i="89"/>
  <c r="H15" i="89" s="1"/>
  <c r="Q47" i="90"/>
  <c r="P47" i="90"/>
  <c r="AE48" i="90"/>
  <c r="AF48" i="90"/>
  <c r="N48" i="90"/>
  <c r="AF50" i="90"/>
  <c r="AE50" i="90"/>
  <c r="AF52" i="90"/>
  <c r="N52" i="90"/>
  <c r="AE52" i="90"/>
  <c r="Q56" i="90"/>
  <c r="P56" i="90"/>
  <c r="AF57" i="90"/>
  <c r="AE57" i="90"/>
  <c r="N57" i="90"/>
  <c r="N58" i="90"/>
  <c r="AF58" i="90"/>
  <c r="AF59" i="90"/>
  <c r="AG50" i="90" s="1"/>
  <c r="AE59" i="90"/>
  <c r="I14" i="89"/>
  <c r="I15" i="89" s="1"/>
  <c r="Q59" i="90"/>
  <c r="R50" i="90" s="1"/>
  <c r="P59" i="90"/>
  <c r="Q65" i="90"/>
  <c r="R60" i="90" s="1"/>
  <c r="P65" i="90"/>
  <c r="Q63" i="90"/>
  <c r="P63" i="90"/>
  <c r="AE64" i="90"/>
  <c r="AF64" i="90"/>
  <c r="N64" i="90"/>
  <c r="AF66" i="90"/>
  <c r="AE66" i="90"/>
  <c r="Q70" i="90"/>
  <c r="P70" i="90"/>
  <c r="AF71" i="90"/>
  <c r="AE71" i="90"/>
  <c r="N71" i="90"/>
  <c r="N72" i="90"/>
  <c r="AF72" i="90"/>
  <c r="AF73" i="90"/>
  <c r="AE73" i="90"/>
  <c r="P73" i="90"/>
  <c r="Q73" i="90"/>
  <c r="AF75" i="90"/>
  <c r="AG66" i="90" s="1"/>
  <c r="AE75" i="90"/>
  <c r="N75" i="90"/>
  <c r="M14" i="89" s="1"/>
  <c r="M15" i="89" s="1"/>
  <c r="N17" i="90"/>
  <c r="N26" i="90"/>
  <c r="N38" i="90"/>
  <c r="N54" i="90"/>
  <c r="N61" i="90"/>
  <c r="N68" i="90"/>
  <c r="AD78" i="88"/>
  <c r="Z78" i="88"/>
  <c r="M19" i="87" s="1"/>
  <c r="Y78" i="88"/>
  <c r="O78" i="88"/>
  <c r="K78" i="88"/>
  <c r="M13" i="87" s="1"/>
  <c r="AF77" i="88"/>
  <c r="AE77" i="88"/>
  <c r="V77" i="88"/>
  <c r="M77" i="88" s="1"/>
  <c r="N77" i="88" s="1"/>
  <c r="U77" i="88"/>
  <c r="Q77" i="88"/>
  <c r="P77" i="88"/>
  <c r="O77" i="88"/>
  <c r="K77" i="88"/>
  <c r="G77" i="88"/>
  <c r="V76" i="88"/>
  <c r="U76" i="88"/>
  <c r="O76" i="88"/>
  <c r="M76" i="88"/>
  <c r="K76" i="88"/>
  <c r="G76" i="88"/>
  <c r="AF75" i="88"/>
  <c r="AE75" i="88"/>
  <c r="V75" i="88"/>
  <c r="M75" i="88" s="1"/>
  <c r="N75" i="88" s="1"/>
  <c r="P75" i="88" s="1"/>
  <c r="U75" i="88"/>
  <c r="Q75" i="88"/>
  <c r="O75" i="88"/>
  <c r="K75" i="88"/>
  <c r="G75" i="88"/>
  <c r="X74" i="88"/>
  <c r="W74" i="88"/>
  <c r="V74" i="88"/>
  <c r="U74" i="88"/>
  <c r="O74" i="88"/>
  <c r="N74" i="88"/>
  <c r="P74" i="88" s="1"/>
  <c r="M74" i="88"/>
  <c r="K74" i="88"/>
  <c r="G74" i="88"/>
  <c r="AF73" i="88"/>
  <c r="V73" i="88"/>
  <c r="M73" i="88" s="1"/>
  <c r="U73" i="88"/>
  <c r="O73" i="88"/>
  <c r="K73" i="88"/>
  <c r="G73" i="88"/>
  <c r="AF72" i="88"/>
  <c r="V72" i="88"/>
  <c r="U72" i="88"/>
  <c r="O72" i="88"/>
  <c r="N72" i="88"/>
  <c r="P72" i="88" s="1"/>
  <c r="M72" i="88"/>
  <c r="AE72" i="88" s="1"/>
  <c r="K72" i="88"/>
  <c r="G72" i="88"/>
  <c r="V71" i="88"/>
  <c r="U71" i="88"/>
  <c r="O71" i="88"/>
  <c r="M71" i="88"/>
  <c r="AE71" i="88" s="1"/>
  <c r="K71" i="88"/>
  <c r="G71" i="88"/>
  <c r="AF70" i="88"/>
  <c r="AE70" i="88"/>
  <c r="V70" i="88"/>
  <c r="M70" i="88" s="1"/>
  <c r="U70" i="88"/>
  <c r="Q70" i="88"/>
  <c r="P70" i="88"/>
  <c r="O70" i="88"/>
  <c r="N70" i="88"/>
  <c r="K70" i="88"/>
  <c r="G70" i="88"/>
  <c r="X69" i="88"/>
  <c r="W69" i="88"/>
  <c r="V69" i="88"/>
  <c r="Q69" i="88"/>
  <c r="O69" i="88"/>
  <c r="N69" i="88"/>
  <c r="P69" i="88" s="1"/>
  <c r="M69" i="88"/>
  <c r="K69" i="88"/>
  <c r="G69" i="88"/>
  <c r="AD68" i="88"/>
  <c r="Z68" i="88"/>
  <c r="Y68" i="88"/>
  <c r="O68" i="88"/>
  <c r="K68" i="88"/>
  <c r="V67" i="88"/>
  <c r="U67" i="88"/>
  <c r="O67" i="88"/>
  <c r="N67" i="88"/>
  <c r="Q67" i="88" s="1"/>
  <c r="M67" i="88"/>
  <c r="K67" i="88"/>
  <c r="G67" i="88"/>
  <c r="AF66" i="88"/>
  <c r="V66" i="88"/>
  <c r="M66" i="88" s="1"/>
  <c r="U66" i="88"/>
  <c r="O66" i="88"/>
  <c r="K66" i="88"/>
  <c r="G66" i="88"/>
  <c r="AF65" i="88"/>
  <c r="V65" i="88"/>
  <c r="U65" i="88"/>
  <c r="O65" i="88"/>
  <c r="N65" i="88"/>
  <c r="Q65" i="88" s="1"/>
  <c r="M65" i="88"/>
  <c r="AE65" i="88" s="1"/>
  <c r="K65" i="88"/>
  <c r="G65" i="88"/>
  <c r="V64" i="88"/>
  <c r="U64" i="88"/>
  <c r="O64" i="88"/>
  <c r="M64" i="88"/>
  <c r="AE64" i="88" s="1"/>
  <c r="K64" i="88"/>
  <c r="G64" i="88"/>
  <c r="AF63" i="88"/>
  <c r="AE63" i="88"/>
  <c r="V63" i="88"/>
  <c r="M63" i="88" s="1"/>
  <c r="O63" i="88"/>
  <c r="K63" i="88"/>
  <c r="G63" i="88"/>
  <c r="AD62" i="88"/>
  <c r="I21" i="87" s="1"/>
  <c r="Z62" i="88"/>
  <c r="Y62" i="88"/>
  <c r="O62" i="88"/>
  <c r="M62" i="88"/>
  <c r="N62" i="88" s="1"/>
  <c r="K62" i="88"/>
  <c r="AF61" i="88"/>
  <c r="AE61" i="88"/>
  <c r="V61" i="88"/>
  <c r="M61" i="88" s="1"/>
  <c r="N61" i="88" s="1"/>
  <c r="P61" i="88" s="1"/>
  <c r="U61" i="88"/>
  <c r="Q61" i="88"/>
  <c r="O61" i="88"/>
  <c r="K61" i="88"/>
  <c r="G61" i="88"/>
  <c r="X60" i="88"/>
  <c r="W60" i="88"/>
  <c r="V60" i="88"/>
  <c r="U60" i="88"/>
  <c r="O60" i="88"/>
  <c r="N60" i="88"/>
  <c r="Q60" i="88" s="1"/>
  <c r="M60" i="88"/>
  <c r="K60" i="88"/>
  <c r="G60" i="88"/>
  <c r="AF59" i="88"/>
  <c r="V59" i="88"/>
  <c r="M59" i="88" s="1"/>
  <c r="U59" i="88"/>
  <c r="O59" i="88"/>
  <c r="K59" i="88"/>
  <c r="G59" i="88"/>
  <c r="AF58" i="88"/>
  <c r="V58" i="88"/>
  <c r="U58" i="88"/>
  <c r="Q58" i="88"/>
  <c r="P58" i="88"/>
  <c r="O58" i="88"/>
  <c r="N58" i="88"/>
  <c r="M58" i="88"/>
  <c r="AE58" i="88" s="1"/>
  <c r="K58" i="88"/>
  <c r="G58" i="88"/>
  <c r="V57" i="88"/>
  <c r="U57" i="88"/>
  <c r="O57" i="88"/>
  <c r="M57" i="88"/>
  <c r="AE57" i="88" s="1"/>
  <c r="K57" i="88"/>
  <c r="G57" i="88"/>
  <c r="AF56" i="88"/>
  <c r="AE56" i="88"/>
  <c r="V56" i="88"/>
  <c r="M56" i="88" s="1"/>
  <c r="U56" i="88"/>
  <c r="Q56" i="88"/>
  <c r="P56" i="88"/>
  <c r="O56" i="88"/>
  <c r="N56" i="88"/>
  <c r="K56" i="88"/>
  <c r="G56" i="88"/>
  <c r="V55" i="88"/>
  <c r="M55" i="88" s="1"/>
  <c r="U55" i="88"/>
  <c r="O55" i="88"/>
  <c r="N55" i="88"/>
  <c r="K55" i="88"/>
  <c r="G55" i="88"/>
  <c r="AF54" i="88"/>
  <c r="AE54" i="88"/>
  <c r="V54" i="88"/>
  <c r="M54" i="88" s="1"/>
  <c r="N54" i="88" s="1"/>
  <c r="U54" i="88"/>
  <c r="Q54" i="88"/>
  <c r="P54" i="88"/>
  <c r="O54" i="88"/>
  <c r="K54" i="88"/>
  <c r="G54" i="88"/>
  <c r="V53" i="88"/>
  <c r="O53" i="88"/>
  <c r="N53" i="88"/>
  <c r="P53" i="88" s="1"/>
  <c r="M53" i="88"/>
  <c r="K53" i="88"/>
  <c r="G53" i="88"/>
  <c r="AD52" i="88"/>
  <c r="Z52" i="88"/>
  <c r="Y52" i="88"/>
  <c r="H18" i="87" s="1"/>
  <c r="O52" i="88"/>
  <c r="K52" i="88"/>
  <c r="V51" i="88"/>
  <c r="U51" i="88"/>
  <c r="O51" i="88"/>
  <c r="M51" i="88"/>
  <c r="N51" i="88" s="1"/>
  <c r="K51" i="88"/>
  <c r="G51" i="88"/>
  <c r="AF50" i="88"/>
  <c r="V50" i="88"/>
  <c r="M50" i="88" s="1"/>
  <c r="U50" i="88"/>
  <c r="O50" i="88"/>
  <c r="K50" i="88"/>
  <c r="G50" i="88"/>
  <c r="V49" i="88"/>
  <c r="O49" i="88"/>
  <c r="M49" i="88"/>
  <c r="N49" i="88" s="1"/>
  <c r="K49" i="88"/>
  <c r="G49" i="88"/>
  <c r="AD48" i="88"/>
  <c r="Z48" i="88"/>
  <c r="Y48" i="88"/>
  <c r="O48" i="88"/>
  <c r="K48" i="88"/>
  <c r="L13" i="87" s="1"/>
  <c r="AF47" i="88"/>
  <c r="AE47" i="88"/>
  <c r="V47" i="88"/>
  <c r="M47" i="88" s="1"/>
  <c r="N47" i="88" s="1"/>
  <c r="U47" i="88"/>
  <c r="Q47" i="88"/>
  <c r="P47" i="88"/>
  <c r="O47" i="88"/>
  <c r="K47" i="88"/>
  <c r="G47" i="88"/>
  <c r="V46" i="88"/>
  <c r="U46" i="88"/>
  <c r="O46" i="88"/>
  <c r="M46" i="88"/>
  <c r="K46" i="88"/>
  <c r="G46" i="88"/>
  <c r="AF45" i="88"/>
  <c r="AE45" i="88"/>
  <c r="X45" i="88"/>
  <c r="W45" i="88"/>
  <c r="V45" i="88"/>
  <c r="M45" i="88" s="1"/>
  <c r="N45" i="88" s="1"/>
  <c r="U45" i="88"/>
  <c r="O45" i="88"/>
  <c r="K45" i="88"/>
  <c r="G45" i="88"/>
  <c r="V44" i="88"/>
  <c r="U44" i="88"/>
  <c r="O44" i="88"/>
  <c r="M44" i="88"/>
  <c r="N44" i="88" s="1"/>
  <c r="K44" i="88"/>
  <c r="G44" i="88"/>
  <c r="AF43" i="88"/>
  <c r="V43" i="88"/>
  <c r="M43" i="88" s="1"/>
  <c r="U43" i="88"/>
  <c r="O43" i="88"/>
  <c r="K43" i="88"/>
  <c r="G43" i="88"/>
  <c r="AF42" i="88"/>
  <c r="V42" i="88"/>
  <c r="U42" i="88"/>
  <c r="O42" i="88"/>
  <c r="N42" i="88"/>
  <c r="Q42" i="88" s="1"/>
  <c r="M42" i="88"/>
  <c r="AE42" i="88" s="1"/>
  <c r="K42" i="88"/>
  <c r="G42" i="88"/>
  <c r="V41" i="88"/>
  <c r="U41" i="88"/>
  <c r="O41" i="88"/>
  <c r="M41" i="88"/>
  <c r="AE41" i="88" s="1"/>
  <c r="K41" i="88"/>
  <c r="G41" i="88"/>
  <c r="AF40" i="88"/>
  <c r="AE40" i="88"/>
  <c r="X40" i="88"/>
  <c r="W40" i="88"/>
  <c r="V40" i="88"/>
  <c r="M40" i="88" s="1"/>
  <c r="O40" i="88"/>
  <c r="K40" i="88"/>
  <c r="G40" i="88"/>
  <c r="AD39" i="88"/>
  <c r="Z39" i="88"/>
  <c r="Y39" i="88"/>
  <c r="O39" i="88"/>
  <c r="N39" i="88"/>
  <c r="Q39" i="88" s="1"/>
  <c r="R32" i="88" s="1"/>
  <c r="M39" i="88"/>
  <c r="K39" i="88"/>
  <c r="AF38" i="88"/>
  <c r="AE38" i="88"/>
  <c r="V38" i="88"/>
  <c r="M38" i="88" s="1"/>
  <c r="N38" i="88" s="1"/>
  <c r="U38" i="88"/>
  <c r="O38" i="88"/>
  <c r="K38" i="88"/>
  <c r="G38" i="88"/>
  <c r="V37" i="88"/>
  <c r="U37" i="88"/>
  <c r="O37" i="88"/>
  <c r="N37" i="88"/>
  <c r="Q37" i="88" s="1"/>
  <c r="M37" i="88"/>
  <c r="K37" i="88"/>
  <c r="G37" i="88"/>
  <c r="AF36" i="88"/>
  <c r="V36" i="88"/>
  <c r="M36" i="88" s="1"/>
  <c r="U36" i="88"/>
  <c r="O36" i="88"/>
  <c r="K36" i="88"/>
  <c r="G36" i="88"/>
  <c r="AF35" i="88"/>
  <c r="X35" i="88"/>
  <c r="W35" i="88"/>
  <c r="V35" i="88"/>
  <c r="M35" i="88" s="1"/>
  <c r="AE35" i="88" s="1"/>
  <c r="U35" i="88"/>
  <c r="Q35" i="88"/>
  <c r="P35" i="88"/>
  <c r="O35" i="88"/>
  <c r="N35" i="88"/>
  <c r="K35" i="88"/>
  <c r="G35" i="88"/>
  <c r="V34" i="88"/>
  <c r="M34" i="88" s="1"/>
  <c r="U34" i="88"/>
  <c r="O34" i="88"/>
  <c r="N34" i="88"/>
  <c r="K34" i="88"/>
  <c r="G34" i="88"/>
  <c r="AF33" i="88"/>
  <c r="AE33" i="88"/>
  <c r="V33" i="88"/>
  <c r="M33" i="88" s="1"/>
  <c r="N33" i="88" s="1"/>
  <c r="U33" i="88"/>
  <c r="Q33" i="88"/>
  <c r="P33" i="88"/>
  <c r="O33" i="88"/>
  <c r="K33" i="88"/>
  <c r="G33" i="88"/>
  <c r="X32" i="88"/>
  <c r="W32" i="88"/>
  <c r="V32" i="88"/>
  <c r="Q32" i="88"/>
  <c r="P32" i="88"/>
  <c r="O32" i="88"/>
  <c r="N32" i="88"/>
  <c r="M32" i="88"/>
  <c r="K32" i="88"/>
  <c r="G32" i="88"/>
  <c r="AD31" i="88"/>
  <c r="Z31" i="88"/>
  <c r="Y31" i="88"/>
  <c r="O31" i="88"/>
  <c r="K31" i="88"/>
  <c r="AF30" i="88"/>
  <c r="V30" i="88"/>
  <c r="U30" i="88"/>
  <c r="O30" i="88"/>
  <c r="N30" i="88"/>
  <c r="P30" i="88" s="1"/>
  <c r="M30" i="88"/>
  <c r="AE30" i="88" s="1"/>
  <c r="K30" i="88"/>
  <c r="G30" i="88"/>
  <c r="X29" i="88"/>
  <c r="W29" i="88"/>
  <c r="V29" i="88"/>
  <c r="M29" i="88" s="1"/>
  <c r="U29" i="88"/>
  <c r="O29" i="88"/>
  <c r="N29" i="88"/>
  <c r="K29" i="88"/>
  <c r="G29" i="88"/>
  <c r="AF28" i="88"/>
  <c r="AE28" i="88"/>
  <c r="V28" i="88"/>
  <c r="M28" i="88" s="1"/>
  <c r="N28" i="88" s="1"/>
  <c r="U28" i="88"/>
  <c r="Q28" i="88"/>
  <c r="P28" i="88"/>
  <c r="O28" i="88"/>
  <c r="K28" i="88"/>
  <c r="G28" i="88"/>
  <c r="V27" i="88"/>
  <c r="U27" i="88"/>
  <c r="Q27" i="88"/>
  <c r="P27" i="88"/>
  <c r="O27" i="88"/>
  <c r="N27" i="88"/>
  <c r="M27" i="88"/>
  <c r="K27" i="88"/>
  <c r="G27" i="88"/>
  <c r="AF26" i="88"/>
  <c r="AE26" i="88"/>
  <c r="V26" i="88"/>
  <c r="M26" i="88" s="1"/>
  <c r="N26" i="88" s="1"/>
  <c r="U26" i="88"/>
  <c r="O26" i="88"/>
  <c r="K26" i="88"/>
  <c r="G26" i="88"/>
  <c r="V25" i="88"/>
  <c r="U25" i="88"/>
  <c r="O25" i="88"/>
  <c r="N25" i="88"/>
  <c r="Q25" i="88" s="1"/>
  <c r="M25" i="88"/>
  <c r="K25" i="88"/>
  <c r="G25" i="88"/>
  <c r="AF24" i="88"/>
  <c r="AE24" i="88"/>
  <c r="V24" i="88"/>
  <c r="U24" i="88"/>
  <c r="O24" i="88"/>
  <c r="M24" i="88"/>
  <c r="N24" i="88" s="1"/>
  <c r="K24" i="88"/>
  <c r="G24" i="88"/>
  <c r="AF23" i="88"/>
  <c r="V23" i="88"/>
  <c r="O23" i="88"/>
  <c r="N23" i="88"/>
  <c r="Q23" i="88" s="1"/>
  <c r="M23" i="88"/>
  <c r="K23" i="88"/>
  <c r="G23" i="88"/>
  <c r="AD22" i="88"/>
  <c r="Z22" i="88"/>
  <c r="Y22" i="88"/>
  <c r="F18" i="87" s="1"/>
  <c r="O22" i="88"/>
  <c r="N22" i="88"/>
  <c r="M22" i="88"/>
  <c r="K22" i="88"/>
  <c r="AF21" i="88"/>
  <c r="AE21" i="88"/>
  <c r="V21" i="88"/>
  <c r="M21" i="88" s="1"/>
  <c r="U21" i="88"/>
  <c r="Q21" i="88"/>
  <c r="P21" i="88"/>
  <c r="O21" i="88"/>
  <c r="N21" i="88"/>
  <c r="K21" i="88"/>
  <c r="G21" i="88"/>
  <c r="X20" i="88"/>
  <c r="W20" i="88"/>
  <c r="V20" i="88"/>
  <c r="U20" i="88"/>
  <c r="Q20" i="88"/>
  <c r="P20" i="88"/>
  <c r="O20" i="88"/>
  <c r="N20" i="88"/>
  <c r="M20" i="88"/>
  <c r="K20" i="88"/>
  <c r="G20" i="88"/>
  <c r="AF19" i="88"/>
  <c r="AE19" i="88"/>
  <c r="V19" i="88"/>
  <c r="M19" i="88" s="1"/>
  <c r="N19" i="88" s="1"/>
  <c r="U19" i="88"/>
  <c r="O19" i="88"/>
  <c r="K19" i="88"/>
  <c r="G19" i="88"/>
  <c r="V18" i="88"/>
  <c r="U18" i="88"/>
  <c r="O18" i="88"/>
  <c r="N18" i="88"/>
  <c r="Q18" i="88" s="1"/>
  <c r="M18" i="88"/>
  <c r="K18" i="88"/>
  <c r="G18" i="88"/>
  <c r="AF17" i="88"/>
  <c r="AE17" i="88"/>
  <c r="V17" i="88"/>
  <c r="U17" i="88"/>
  <c r="O17" i="88"/>
  <c r="M17" i="88"/>
  <c r="N17" i="88" s="1"/>
  <c r="K17" i="88"/>
  <c r="G17" i="88"/>
  <c r="AF16" i="88"/>
  <c r="AE16" i="88"/>
  <c r="V16" i="88"/>
  <c r="U16" i="88"/>
  <c r="O16" i="88"/>
  <c r="N16" i="88"/>
  <c r="P16" i="88" s="1"/>
  <c r="M16" i="88"/>
  <c r="K16" i="88"/>
  <c r="G16" i="88"/>
  <c r="AE15" i="88"/>
  <c r="V15" i="88"/>
  <c r="U15" i="88"/>
  <c r="O15" i="88"/>
  <c r="M15" i="88"/>
  <c r="N15" i="88" s="1"/>
  <c r="K15" i="88"/>
  <c r="G15" i="88"/>
  <c r="AF14" i="88"/>
  <c r="AE14" i="88"/>
  <c r="V14" i="88"/>
  <c r="M14" i="88" s="1"/>
  <c r="Q14" i="88"/>
  <c r="P14" i="88"/>
  <c r="O14" i="88"/>
  <c r="N14" i="88"/>
  <c r="K14" i="88"/>
  <c r="G14" i="88"/>
  <c r="AD13" i="88"/>
  <c r="Z13" i="88"/>
  <c r="Y13" i="88"/>
  <c r="O13" i="88"/>
  <c r="M13" i="88"/>
  <c r="K13" i="88"/>
  <c r="AF12" i="88"/>
  <c r="AE12" i="88"/>
  <c r="V12" i="88"/>
  <c r="M12" i="88" s="1"/>
  <c r="N12" i="88" s="1"/>
  <c r="U12" i="88"/>
  <c r="Q12" i="88"/>
  <c r="P12" i="88"/>
  <c r="O12" i="88"/>
  <c r="K12" i="88"/>
  <c r="G12" i="88"/>
  <c r="V11" i="88"/>
  <c r="U11" i="88"/>
  <c r="Q11" i="88"/>
  <c r="P11" i="88"/>
  <c r="O11" i="88"/>
  <c r="N11" i="88"/>
  <c r="M11" i="88"/>
  <c r="K11" i="88"/>
  <c r="G11" i="88"/>
  <c r="AF10" i="88"/>
  <c r="AE10" i="88"/>
  <c r="X10" i="88"/>
  <c r="W10" i="88"/>
  <c r="V10" i="88"/>
  <c r="M10" i="88" s="1"/>
  <c r="N10" i="88" s="1"/>
  <c r="O10" i="88"/>
  <c r="K10" i="88"/>
  <c r="G10" i="88"/>
  <c r="AF9" i="88"/>
  <c r="AG5" i="88" s="1"/>
  <c r="AD9" i="88"/>
  <c r="AD2" i="88" s="1"/>
  <c r="N6" i="87" s="1"/>
  <c r="Z9" i="88"/>
  <c r="Y9" i="88"/>
  <c r="D18" i="87" s="1"/>
  <c r="Q9" i="88"/>
  <c r="R5" i="88" s="1"/>
  <c r="P9" i="88"/>
  <c r="O9" i="88"/>
  <c r="N9" i="88"/>
  <c r="D14" i="87" s="1"/>
  <c r="M9" i="88"/>
  <c r="AE9" i="88" s="1"/>
  <c r="K9" i="88"/>
  <c r="V8" i="88"/>
  <c r="U8" i="88"/>
  <c r="O8" i="88"/>
  <c r="M8" i="88"/>
  <c r="K8" i="88"/>
  <c r="G8" i="88"/>
  <c r="AF7" i="88"/>
  <c r="AE7" i="88"/>
  <c r="X7" i="88"/>
  <c r="W7" i="88"/>
  <c r="V7" i="88"/>
  <c r="M7" i="88" s="1"/>
  <c r="N7" i="88" s="1"/>
  <c r="U7" i="88"/>
  <c r="Q7" i="88"/>
  <c r="P7" i="88"/>
  <c r="O7" i="88"/>
  <c r="K7" i="88"/>
  <c r="G7" i="88"/>
  <c r="V6" i="88"/>
  <c r="U6" i="88"/>
  <c r="Q6" i="88"/>
  <c r="P6" i="88"/>
  <c r="O6" i="88"/>
  <c r="N6" i="88"/>
  <c r="M6" i="88"/>
  <c r="K6" i="88"/>
  <c r="G6" i="88"/>
  <c r="AF5" i="88"/>
  <c r="AE5" i="88"/>
  <c r="V5" i="88"/>
  <c r="M5" i="88" s="1"/>
  <c r="N5" i="88" s="1"/>
  <c r="O5" i="88"/>
  <c r="K5" i="88"/>
  <c r="G5" i="88"/>
  <c r="Z2" i="88"/>
  <c r="L6" i="87" s="1"/>
  <c r="Y2" i="88"/>
  <c r="K6" i="87" s="1"/>
  <c r="H2" i="88"/>
  <c r="H1" i="88"/>
  <c r="F1" i="88"/>
  <c r="I3" i="87" s="1"/>
  <c r="D1" i="88"/>
  <c r="M22" i="87"/>
  <c r="L22" i="87"/>
  <c r="K22" i="87"/>
  <c r="J22" i="87"/>
  <c r="I22" i="87"/>
  <c r="H22" i="87"/>
  <c r="G22" i="87"/>
  <c r="F22" i="87"/>
  <c r="E22" i="87"/>
  <c r="D22" i="87"/>
  <c r="M21" i="87"/>
  <c r="L21" i="87"/>
  <c r="K21" i="87"/>
  <c r="J21" i="87"/>
  <c r="H21" i="87"/>
  <c r="G21" i="87"/>
  <c r="F21" i="87"/>
  <c r="E21" i="87"/>
  <c r="D21" i="87"/>
  <c r="M20" i="87"/>
  <c r="L20" i="87"/>
  <c r="K20" i="87"/>
  <c r="J20" i="87"/>
  <c r="I20" i="87"/>
  <c r="H20" i="87"/>
  <c r="G20" i="87"/>
  <c r="F20" i="87"/>
  <c r="E20" i="87"/>
  <c r="D20" i="87"/>
  <c r="L19" i="87"/>
  <c r="K19" i="87"/>
  <c r="J19" i="87"/>
  <c r="I19" i="87"/>
  <c r="H19" i="87"/>
  <c r="G19" i="87"/>
  <c r="F19" i="87"/>
  <c r="E19" i="87"/>
  <c r="D19" i="87"/>
  <c r="M18" i="87"/>
  <c r="L18" i="87"/>
  <c r="K18" i="87"/>
  <c r="J18" i="87"/>
  <c r="I18" i="87"/>
  <c r="G18" i="87"/>
  <c r="E18" i="87"/>
  <c r="M17" i="87"/>
  <c r="L17" i="87"/>
  <c r="K17" i="87"/>
  <c r="J17" i="87"/>
  <c r="I17" i="87"/>
  <c r="H17" i="87"/>
  <c r="G17" i="87"/>
  <c r="F17" i="87"/>
  <c r="E17" i="87"/>
  <c r="D17" i="87"/>
  <c r="M16" i="87"/>
  <c r="L16" i="87"/>
  <c r="K16" i="87"/>
  <c r="J16" i="87"/>
  <c r="I16" i="87"/>
  <c r="H16" i="87"/>
  <c r="G16" i="87"/>
  <c r="F16" i="87"/>
  <c r="E16" i="87"/>
  <c r="D16" i="87"/>
  <c r="D15" i="87"/>
  <c r="K13" i="87"/>
  <c r="J13" i="87"/>
  <c r="I13" i="87"/>
  <c r="F6" i="87" s="1"/>
  <c r="H13" i="87"/>
  <c r="G13" i="87"/>
  <c r="F13" i="87"/>
  <c r="E13" i="87"/>
  <c r="D13" i="87"/>
  <c r="M6" i="87"/>
  <c r="I6" i="87"/>
  <c r="F3" i="87"/>
  <c r="C3" i="87"/>
  <c r="Q8" i="92" l="1"/>
  <c r="R5" i="92" s="1"/>
  <c r="P8" i="92"/>
  <c r="D14" i="91"/>
  <c r="Q71" i="92"/>
  <c r="R63" i="92" s="1"/>
  <c r="P71" i="92"/>
  <c r="M14" i="91"/>
  <c r="M15" i="91" s="1"/>
  <c r="Q56" i="92"/>
  <c r="R48" i="92" s="1"/>
  <c r="P56" i="92"/>
  <c r="I14" i="91"/>
  <c r="I15" i="91" s="1"/>
  <c r="Q28" i="92"/>
  <c r="R21" i="92" s="1"/>
  <c r="P28" i="92"/>
  <c r="G14" i="91"/>
  <c r="G15" i="91" s="1"/>
  <c r="Q62" i="92"/>
  <c r="R57" i="92" s="1"/>
  <c r="P62" i="92"/>
  <c r="J14" i="91"/>
  <c r="J15" i="91" s="1"/>
  <c r="Q12" i="92"/>
  <c r="R9" i="92" s="1"/>
  <c r="P12" i="92"/>
  <c r="E14" i="91"/>
  <c r="E15" i="91" s="1"/>
  <c r="Q35" i="92"/>
  <c r="R29" i="92" s="1"/>
  <c r="P35" i="92"/>
  <c r="K14" i="91"/>
  <c r="Q43" i="92"/>
  <c r="R36" i="92" s="1"/>
  <c r="P43" i="92"/>
  <c r="L14" i="91"/>
  <c r="L15" i="91" s="1"/>
  <c r="Q48" i="90"/>
  <c r="P48" i="90"/>
  <c r="N28" i="90"/>
  <c r="D2" i="90" s="1"/>
  <c r="AF28" i="90"/>
  <c r="AG21" i="90" s="1"/>
  <c r="AE28" i="90"/>
  <c r="Q34" i="90"/>
  <c r="P34" i="90"/>
  <c r="P21" i="90"/>
  <c r="Q21" i="90"/>
  <c r="Q71" i="90"/>
  <c r="P71" i="90"/>
  <c r="P58" i="90"/>
  <c r="Q58" i="90"/>
  <c r="P41" i="90"/>
  <c r="Q41" i="90"/>
  <c r="P57" i="90"/>
  <c r="Q57" i="90"/>
  <c r="Q29" i="90"/>
  <c r="P29" i="90"/>
  <c r="K14" i="89"/>
  <c r="Q36" i="90"/>
  <c r="R29" i="90" s="1"/>
  <c r="P36" i="90"/>
  <c r="Q32" i="90"/>
  <c r="P32" i="90"/>
  <c r="Q7" i="90"/>
  <c r="P7" i="90"/>
  <c r="Q72" i="90"/>
  <c r="P72" i="90"/>
  <c r="P11" i="90"/>
  <c r="Q11" i="90"/>
  <c r="P39" i="90"/>
  <c r="Q39" i="90"/>
  <c r="P64" i="90"/>
  <c r="Q64" i="90"/>
  <c r="P42" i="90"/>
  <c r="Q42" i="90"/>
  <c r="P68" i="90"/>
  <c r="Q68" i="90"/>
  <c r="P61" i="90"/>
  <c r="Q61" i="90"/>
  <c r="Q54" i="90"/>
  <c r="P54" i="90"/>
  <c r="Q38" i="90"/>
  <c r="P38" i="90"/>
  <c r="Q26" i="90"/>
  <c r="P26" i="90"/>
  <c r="Q17" i="90"/>
  <c r="P17" i="90"/>
  <c r="Q75" i="90"/>
  <c r="R66" i="90" s="1"/>
  <c r="P75" i="90"/>
  <c r="Q52" i="90"/>
  <c r="P52" i="90"/>
  <c r="Q45" i="90"/>
  <c r="R37" i="90" s="1"/>
  <c r="P45" i="90"/>
  <c r="Q31" i="90"/>
  <c r="P31" i="90"/>
  <c r="AF36" i="90"/>
  <c r="AG29" i="90" s="1"/>
  <c r="AE36" i="90"/>
  <c r="Q24" i="90"/>
  <c r="P24" i="90"/>
  <c r="P28" i="90"/>
  <c r="Q15" i="90"/>
  <c r="P15" i="90"/>
  <c r="Q62" i="88"/>
  <c r="R53" i="88" s="1"/>
  <c r="I14" i="87"/>
  <c r="I15" i="87" s="1"/>
  <c r="P62" i="88"/>
  <c r="Q44" i="88"/>
  <c r="P44" i="88"/>
  <c r="Q51" i="88"/>
  <c r="P51" i="88"/>
  <c r="Q49" i="88"/>
  <c r="P49" i="88"/>
  <c r="K14" i="87"/>
  <c r="AE49" i="88"/>
  <c r="Q16" i="88"/>
  <c r="P25" i="88"/>
  <c r="P42" i="88"/>
  <c r="Q30" i="88"/>
  <c r="F2" i="88"/>
  <c r="P18" i="88"/>
  <c r="P37" i="88"/>
  <c r="Q74" i="88"/>
  <c r="G6" i="87"/>
  <c r="P23" i="88"/>
  <c r="P67" i="88"/>
  <c r="P60" i="88"/>
  <c r="Q72" i="88"/>
  <c r="P65" i="88"/>
  <c r="Q53" i="88"/>
  <c r="P39" i="88"/>
  <c r="E6" i="87"/>
  <c r="P5" i="88"/>
  <c r="Q5" i="88"/>
  <c r="AF6" i="88"/>
  <c r="AE6" i="88"/>
  <c r="AE8" i="88"/>
  <c r="N8" i="88"/>
  <c r="AF8" i="88"/>
  <c r="Q10" i="88"/>
  <c r="P10" i="88"/>
  <c r="AE11" i="88"/>
  <c r="AF11" i="88"/>
  <c r="AF13" i="88"/>
  <c r="AG10" i="88" s="1"/>
  <c r="AE13" i="88"/>
  <c r="N13" i="88"/>
  <c r="Q15" i="88"/>
  <c r="P15" i="88"/>
  <c r="Q17" i="88"/>
  <c r="P17" i="88"/>
  <c r="AE18" i="88"/>
  <c r="AF18" i="88"/>
  <c r="Q19" i="88"/>
  <c r="P19" i="88"/>
  <c r="AF20" i="88"/>
  <c r="AE20" i="88"/>
  <c r="AE22" i="88"/>
  <c r="AF22" i="88"/>
  <c r="AG14" i="88" s="1"/>
  <c r="Q22" i="88"/>
  <c r="R14" i="88" s="1"/>
  <c r="F14" i="87"/>
  <c r="F15" i="87" s="1"/>
  <c r="P22" i="88"/>
  <c r="M31" i="88"/>
  <c r="AF31" i="88" s="1"/>
  <c r="AG23" i="88" s="1"/>
  <c r="AE23" i="88"/>
  <c r="Q24" i="88"/>
  <c r="P24" i="88"/>
  <c r="AE25" i="88"/>
  <c r="AF25" i="88"/>
  <c r="Q26" i="88"/>
  <c r="P26" i="88"/>
  <c r="AE27" i="88"/>
  <c r="AF27" i="88"/>
  <c r="P29" i="88"/>
  <c r="Q29" i="88"/>
  <c r="AE29" i="88"/>
  <c r="AF29" i="88"/>
  <c r="AF32" i="88"/>
  <c r="AE32" i="88"/>
  <c r="P34" i="88"/>
  <c r="Q34" i="88"/>
  <c r="AF34" i="88"/>
  <c r="AE34" i="88"/>
  <c r="N36" i="88"/>
  <c r="AE36" i="88"/>
  <c r="AE37" i="88"/>
  <c r="AF37" i="88"/>
  <c r="P38" i="88"/>
  <c r="Q38" i="88"/>
  <c r="AF39" i="88"/>
  <c r="AG32" i="88" s="1"/>
  <c r="AE39" i="88"/>
  <c r="N40" i="88"/>
  <c r="M48" i="88"/>
  <c r="N48" i="88" s="1"/>
  <c r="L14" i="87" s="1"/>
  <c r="L15" i="87" s="1"/>
  <c r="N43" i="88"/>
  <c r="AE43" i="88"/>
  <c r="AE44" i="88"/>
  <c r="AF44" i="88"/>
  <c r="P45" i="88"/>
  <c r="Q45" i="88"/>
  <c r="AF46" i="88"/>
  <c r="AE46" i="88"/>
  <c r="N46" i="88"/>
  <c r="M52" i="88"/>
  <c r="AF49" i="88"/>
  <c r="N50" i="88"/>
  <c r="AE50" i="88"/>
  <c r="AE51" i="88"/>
  <c r="AF51" i="88"/>
  <c r="AF53" i="88"/>
  <c r="AE53" i="88"/>
  <c r="P55" i="88"/>
  <c r="Q55" i="88"/>
  <c r="AF55" i="88"/>
  <c r="AE55" i="88"/>
  <c r="N59" i="88"/>
  <c r="AE59" i="88"/>
  <c r="AF60" i="88"/>
  <c r="AE60" i="88"/>
  <c r="AF62" i="88"/>
  <c r="AG53" i="88" s="1"/>
  <c r="AE62" i="88"/>
  <c r="M68" i="88"/>
  <c r="N63" i="88"/>
  <c r="N66" i="88"/>
  <c r="AE66" i="88"/>
  <c r="AE67" i="88"/>
  <c r="AF67" i="88"/>
  <c r="AF69" i="88"/>
  <c r="AE69" i="88"/>
  <c r="M78" i="88"/>
  <c r="N78" i="88" s="1"/>
  <c r="M14" i="87" s="1"/>
  <c r="M15" i="87" s="1"/>
  <c r="N73" i="88"/>
  <c r="AE73" i="88"/>
  <c r="AF74" i="88"/>
  <c r="AE74" i="88"/>
  <c r="AF76" i="88"/>
  <c r="AE76" i="88"/>
  <c r="N76" i="88"/>
  <c r="P78" i="88"/>
  <c r="Q78" i="88"/>
  <c r="R69" i="88" s="1"/>
  <c r="AF41" i="88"/>
  <c r="AF57" i="88"/>
  <c r="AF64" i="88"/>
  <c r="AF71" i="88"/>
  <c r="AF15" i="88"/>
  <c r="N41" i="88"/>
  <c r="N57" i="88"/>
  <c r="N64" i="88"/>
  <c r="N71" i="88"/>
  <c r="K15" i="91" l="1"/>
  <c r="I8" i="91" s="1"/>
  <c r="I7" i="91"/>
  <c r="G7" i="91"/>
  <c r="F7" i="91"/>
  <c r="D15" i="91"/>
  <c r="E7" i="91"/>
  <c r="G14" i="89"/>
  <c r="Q28" i="90"/>
  <c r="R21" i="90" s="1"/>
  <c r="I7" i="89"/>
  <c r="K15" i="89"/>
  <c r="I8" i="89" s="1"/>
  <c r="P40" i="88"/>
  <c r="Q40" i="88"/>
  <c r="P13" i="88"/>
  <c r="N52" i="88"/>
  <c r="D2" i="88" s="1"/>
  <c r="AF52" i="88"/>
  <c r="AG49" i="88" s="1"/>
  <c r="AE52" i="88"/>
  <c r="I7" i="87"/>
  <c r="K15" i="87"/>
  <c r="I8" i="87" s="1"/>
  <c r="Q63" i="88"/>
  <c r="P63" i="88"/>
  <c r="Q48" i="88"/>
  <c r="R40" i="88" s="1"/>
  <c r="N68" i="88"/>
  <c r="Q68" i="88" s="1"/>
  <c r="R63" i="88" s="1"/>
  <c r="AF68" i="88"/>
  <c r="AG63" i="88" s="1"/>
  <c r="AE68" i="88"/>
  <c r="P48" i="88"/>
  <c r="P71" i="88"/>
  <c r="Q71" i="88"/>
  <c r="P64" i="88"/>
  <c r="Q64" i="88"/>
  <c r="P57" i="88"/>
  <c r="Q57" i="88"/>
  <c r="Q41" i="88"/>
  <c r="P41" i="88"/>
  <c r="P76" i="88"/>
  <c r="Q76" i="88"/>
  <c r="Q73" i="88"/>
  <c r="P73" i="88"/>
  <c r="AF78" i="88"/>
  <c r="AG69" i="88" s="1"/>
  <c r="AE78" i="88"/>
  <c r="Q66" i="88"/>
  <c r="P66" i="88"/>
  <c r="P68" i="88"/>
  <c r="J14" i="87"/>
  <c r="J15" i="87" s="1"/>
  <c r="Q59" i="88"/>
  <c r="P59" i="88"/>
  <c r="Q50" i="88"/>
  <c r="P50" i="88"/>
  <c r="Q52" i="88"/>
  <c r="R49" i="88" s="1"/>
  <c r="H14" i="87"/>
  <c r="H15" i="87" s="1"/>
  <c r="P52" i="88"/>
  <c r="P46" i="88"/>
  <c r="Q46" i="88"/>
  <c r="Q43" i="88"/>
  <c r="P43" i="88"/>
  <c r="AF48" i="88"/>
  <c r="AG40" i="88" s="1"/>
  <c r="AE48" i="88"/>
  <c r="Q36" i="88"/>
  <c r="P36" i="88"/>
  <c r="N31" i="88"/>
  <c r="AE31" i="88"/>
  <c r="E14" i="87"/>
  <c r="Q13" i="88"/>
  <c r="R10" i="88" s="1"/>
  <c r="P8" i="88"/>
  <c r="Q8" i="88"/>
  <c r="G8" i="91" l="1"/>
  <c r="E8" i="91"/>
  <c r="F8" i="91"/>
  <c r="G15" i="89"/>
  <c r="E7" i="89"/>
  <c r="G7" i="89"/>
  <c r="F7" i="89"/>
  <c r="E15" i="87"/>
  <c r="G14" i="87"/>
  <c r="G15" i="87" s="1"/>
  <c r="Q31" i="88"/>
  <c r="R23" i="88" s="1"/>
  <c r="P31" i="88"/>
  <c r="G8" i="89" l="1"/>
  <c r="F8" i="89"/>
  <c r="E8" i="89"/>
  <c r="F7" i="87"/>
  <c r="G7" i="87"/>
  <c r="E7" i="87"/>
  <c r="G8" i="87"/>
  <c r="F8" i="87"/>
  <c r="E8" i="87"/>
</calcChain>
</file>

<file path=xl/sharedStrings.xml><?xml version="1.0" encoding="utf-8"?>
<sst xmlns="http://schemas.openxmlformats.org/spreadsheetml/2006/main" count="10399" uniqueCount="2732">
  <si>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</si>
  <si>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</si>
  <si>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</si>
  <si>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</si>
  <si>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</si>
  <si>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/>
  </si>
  <si>
    <t>微波主食</t>
  </si>
  <si>
    <t>二配金咖哩果香甘口咖哩飯</t>
  </si>
  <si>
    <t>二配金咖哩濃厚辛口咖哩飯</t>
  </si>
  <si>
    <t>二配泰式綠咖哩雞</t>
  </si>
  <si>
    <t>沙拉</t>
  </si>
  <si>
    <t>青檸烤雞握沙拉(113年)</t>
  </si>
  <si>
    <t>厚蛋時蔬握沙拉</t>
  </si>
  <si>
    <t>地瓜瓜握沙拉</t>
  </si>
  <si>
    <t>青醬優格雞肉握沙拉(113年)</t>
  </si>
  <si>
    <t>季節調理麵</t>
  </si>
  <si>
    <t>台式麻醬涼麵(115年)</t>
  </si>
  <si>
    <t>小吃</t>
  </si>
  <si>
    <t>剝皮辣椒雞湯</t>
  </si>
  <si>
    <t>二配港式香滑嫩蛋牛肉燴飯</t>
  </si>
  <si>
    <t>二配玉米濃湯焗烤飯</t>
  </si>
  <si>
    <t>二配川味麻婆燒豆腐燴飯</t>
  </si>
  <si>
    <t>韓式泡菜豬肉豆腐丼飯</t>
  </si>
  <si>
    <t>鐵板滑蛋炸豬排丼</t>
  </si>
  <si>
    <t>日式炙烤親子丼</t>
  </si>
  <si>
    <t>二配厚香料優格咖哩雞排飯</t>
  </si>
  <si>
    <t>二配美味蟹煲</t>
  </si>
  <si>
    <t>三明治</t>
  </si>
  <si>
    <t>紐奧良風味烤雞鮮蔬三明治</t>
  </si>
  <si>
    <t>醬燒烤雞三明治(115年)</t>
  </si>
  <si>
    <t>鮪魚起司溏心蛋三明治(115年)</t>
  </si>
  <si>
    <t>茄汁厚起司三明治</t>
  </si>
  <si>
    <t>雞蛋沙拉三明治(114年)</t>
  </si>
  <si>
    <t>經典總匯三明治(115年)</t>
  </si>
  <si>
    <t>經典火腿玉米蛋三明治</t>
  </si>
  <si>
    <t>好多蛋三明治</t>
  </si>
  <si>
    <t>調理麵包</t>
  </si>
  <si>
    <t>豬肉起司堡</t>
  </si>
  <si>
    <t>豬肉起司蛋堡</t>
  </si>
  <si>
    <t>美式雞腿堡</t>
  </si>
  <si>
    <t>爆炒雞丁飯</t>
  </si>
  <si>
    <t>炙烤醬香燒豚飯</t>
  </si>
  <si>
    <t>蔥鹽雞肉麵沙拉(114年)</t>
  </si>
  <si>
    <t>莎莎烤雞麵沙拉(115年)</t>
  </si>
  <si>
    <t>二配香辣醬蒜味香腸蛋炒飯</t>
  </si>
  <si>
    <t>二配打拋風味豬肉飯</t>
  </si>
  <si>
    <t>經典雙牛起司堡(113年)</t>
  </si>
  <si>
    <t>香雞蛋堡(112年)</t>
  </si>
  <si>
    <t>元氣起司鱈魚堡</t>
  </si>
  <si>
    <t>超HOT雞腿堡</t>
  </si>
  <si>
    <t>火腿起司蛋三明治</t>
  </si>
  <si>
    <t>肉鬆火腿三明治(115年)</t>
  </si>
  <si>
    <t>起司芋見肉鬆三明治</t>
  </si>
  <si>
    <t>水果聖代三明治</t>
  </si>
  <si>
    <t>金黃玉米蛋三明治</t>
  </si>
  <si>
    <t>雙泰奶QQ三明治</t>
  </si>
  <si>
    <t>排關平均</t>
  </si>
  <si>
    <t>實績平均</t>
  </si>
  <si>
    <t>達成率平均</t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</si>
  <si>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</si>
  <si>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</si>
  <si>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</si>
  <si>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</si>
  <si>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</si>
  <si>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</si>
  <si>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</si>
  <si>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</si>
  <si>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</si>
  <si>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</si>
  <si>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ET-55</t>
  </si>
  <si>
    <t>熱縮爐</t>
  </si>
  <si>
    <t>伺服包裝機</t>
  </si>
  <si>
    <t>二配排骨蛋炒飯</t>
  </si>
  <si>
    <t>柚見極炙烤牛</t>
  </si>
  <si>
    <t>益活雞力能量堡</t>
  </si>
  <si>
    <t>好多菜三明治</t>
  </si>
  <si>
    <t>嫩烤魚排佐花椰菜義大利麵</t>
  </si>
  <si>
    <t>金沙醬牛豚雙饗飯</t>
  </si>
  <si>
    <t>時間/分</t>
    <phoneticPr fontId="13" type="noConversion"/>
  </si>
  <si>
    <t>調理麵包</t>
    <phoneticPr fontId="4" type="noConversion"/>
  </si>
  <si>
    <t>平均</t>
    <phoneticPr fontId="4" type="noConversion"/>
  </si>
  <si>
    <t>新豐2線</t>
    <phoneticPr fontId="4" type="noConversion"/>
  </si>
  <si>
    <t>二配叉燒蛋炒飯</t>
  </si>
  <si>
    <t>新豐9線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</si>
  <si>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</si>
  <si>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</si>
  <si>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</si>
  <si>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</si>
  <si>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</si>
  <si>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</si>
  <si>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</si>
  <si>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</si>
  <si>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</si>
  <si>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</si>
  <si>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</si>
  <si>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</si>
  <si>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</si>
  <si>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</si>
  <si>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</si>
  <si>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</si>
  <si>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</si>
  <si>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</si>
  <si>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</si>
  <si>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</si>
  <si>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</si>
  <si>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</si>
  <si>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</si>
  <si>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</si>
  <si>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</si>
  <si>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</si>
  <si>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</si>
  <si>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</si>
  <si>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</si>
  <si>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</si>
  <si>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</si>
  <si>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</si>
  <si>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</si>
  <si>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</si>
  <si>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</si>
  <si>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</si>
  <si>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</si>
  <si>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</si>
  <si>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</si>
  <si>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</si>
  <si>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</si>
  <si>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</si>
  <si>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</si>
  <si>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</si>
  <si>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</si>
  <si>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</si>
  <si>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</si>
  <si>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</si>
  <si>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</si>
  <si>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</si>
  <si>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</si>
  <si>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</si>
  <si>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</si>
  <si>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</si>
  <si>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</si>
  <si>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</si>
  <si>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</si>
  <si>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</si>
  <si>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</si>
  <si>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</si>
  <si>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</si>
  <si>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</si>
  <si>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</si>
  <si>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</si>
  <si>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</si>
  <si>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</si>
  <si>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</si>
  <si>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</si>
  <si>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</si>
  <si>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</si>
  <si>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</si>
  <si>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</si>
  <si>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</si>
  <si>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</si>
  <si>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</si>
  <si>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</si>
  <si>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</si>
  <si>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</si>
  <si>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</si>
  <si>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</si>
  <si>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</si>
  <si>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</si>
  <si>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</si>
  <si>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</si>
  <si>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</si>
  <si>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</si>
  <si>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</si>
  <si>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</si>
  <si>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</si>
  <si>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</si>
  <si>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</si>
  <si>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</si>
  <si>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</si>
  <si>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</si>
  <si>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</si>
  <si>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</si>
  <si>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</si>
  <si>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</si>
  <si>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</si>
  <si>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</si>
  <si>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</si>
  <si>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</si>
  <si>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</si>
  <si>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</si>
  <si>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</si>
  <si>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</si>
  <si>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</si>
  <si>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</si>
  <si>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</si>
  <si>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</si>
  <si>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</si>
  <si>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</si>
  <si>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</si>
  <si>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巧克力肉鬆三明治</t>
  </si>
  <si>
    <t>新豐3線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</si>
  <si>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</si>
  <si>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</si>
  <si>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</si>
  <si>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</si>
  <si>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</si>
  <si>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</si>
  <si>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</si>
  <si>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</si>
  <si>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</si>
  <si>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</si>
  <si>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</si>
  <si>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</si>
  <si>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</si>
  <si>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</si>
  <si>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</si>
  <si>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</si>
  <si>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</si>
  <si>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</si>
  <si>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</si>
  <si>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</si>
  <si>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</si>
  <si>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</si>
  <si>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</si>
  <si>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</si>
  <si>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</si>
  <si>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</si>
  <si>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</si>
  <si>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</si>
  <si>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</si>
  <si>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</si>
  <si>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</si>
  <si>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</si>
  <si>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</si>
  <si>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</si>
  <si>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</si>
  <si>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</si>
  <si>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</si>
  <si>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</si>
  <si>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</si>
  <si>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</si>
  <si>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</si>
  <si>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</si>
  <si>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</si>
  <si>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</si>
  <si>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</si>
  <si>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</si>
  <si>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</si>
  <si>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</si>
  <si>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</si>
  <si>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</si>
  <si>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</si>
  <si>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</si>
  <si>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</si>
  <si>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</si>
  <si>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</si>
  <si>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</si>
  <si>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</si>
  <si>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</si>
  <si>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</si>
  <si>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</si>
  <si>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</si>
  <si>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星期三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</si>
  <si>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</si>
  <si>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</si>
  <si>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</si>
  <si>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</si>
  <si>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</si>
  <si>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</si>
  <si>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</si>
  <si>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</si>
  <si>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</si>
  <si>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</si>
  <si>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</si>
  <si>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</si>
  <si>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</si>
  <si>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</si>
  <si>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</si>
  <si>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</si>
  <si>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</si>
  <si>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</si>
  <si>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</si>
  <si>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</si>
  <si>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</si>
  <si>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</si>
  <si>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</si>
  <si>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</si>
  <si>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</si>
  <si>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</si>
  <si>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</si>
  <si>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</si>
  <si>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</si>
  <si>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</si>
  <si>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</si>
  <si>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</si>
  <si>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</si>
  <si>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</si>
  <si>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</si>
  <si>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</si>
  <si>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</si>
  <si>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</si>
  <si>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</si>
  <si>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</si>
  <si>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</si>
  <si>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</si>
  <si>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</si>
  <si>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</si>
  <si>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</si>
  <si>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</si>
  <si>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</si>
  <si>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</si>
  <si>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</si>
  <si>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</si>
  <si>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</si>
  <si>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</si>
  <si>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</si>
  <si>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</si>
  <si>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</si>
  <si>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</si>
  <si>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</si>
  <si>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</si>
  <si>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</si>
  <si>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</si>
  <si>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</si>
  <si>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</si>
  <si>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</si>
  <si>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</si>
  <si>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</si>
  <si>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</si>
  <si>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</si>
  <si>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</si>
  <si>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</si>
  <si>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</si>
  <si>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</si>
  <si>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</si>
  <si>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</si>
  <si>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</si>
  <si>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</si>
  <si>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</si>
  <si>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</si>
  <si>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</si>
  <si>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</si>
  <si>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</si>
  <si>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</si>
  <si>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</si>
  <si>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</si>
  <si>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</si>
  <si>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</si>
  <si>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</si>
  <si>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</si>
  <si>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</si>
  <si>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</si>
  <si>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</si>
  <si>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</si>
  <si>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</si>
  <si>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</si>
  <si>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</si>
  <si>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</si>
  <si>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星期四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</si>
  <si>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</si>
  <si>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</si>
  <si>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</si>
  <si>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</si>
  <si>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</si>
  <si>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</si>
  <si>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</si>
  <si>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</si>
  <si>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</si>
  <si>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</si>
  <si>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</si>
  <si>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</si>
  <si>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</si>
  <si>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</si>
  <si>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</si>
  <si>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</si>
  <si>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</si>
  <si>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</si>
  <si>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</si>
  <si>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</si>
  <si>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</si>
  <si>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</si>
  <si>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</si>
  <si>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</si>
  <si>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</si>
  <si>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</si>
  <si>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</si>
  <si>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</si>
  <si>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</si>
  <si>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</si>
  <si>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</si>
  <si>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</si>
  <si>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</si>
  <si>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</si>
  <si>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</si>
  <si>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</si>
  <si>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</si>
  <si>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</si>
  <si>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</si>
  <si>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</si>
  <si>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</si>
  <si>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</si>
  <si>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</si>
  <si>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</si>
  <si>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</si>
  <si>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</si>
  <si>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</si>
  <si>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</si>
  <si>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</si>
  <si>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</si>
  <si>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</si>
  <si>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</si>
  <si>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</si>
  <si>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</si>
  <si>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</si>
  <si>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</si>
  <si>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</si>
  <si>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</si>
  <si>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</si>
  <si>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</si>
  <si>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</si>
  <si>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</si>
  <si>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</si>
  <si>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</si>
  <si>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</si>
  <si>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</si>
  <si>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</si>
  <si>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</si>
  <si>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</si>
  <si>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</si>
  <si>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</si>
  <si>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</si>
  <si>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</si>
  <si>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</si>
  <si>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</si>
  <si>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</si>
  <si>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</si>
  <si>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</si>
  <si>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</si>
  <si>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</si>
  <si>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</si>
  <si>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</si>
  <si>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</si>
  <si>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</si>
  <si>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</si>
  <si>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</si>
  <si>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</si>
  <si>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</si>
  <si>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</si>
  <si>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</si>
  <si>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</si>
  <si>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</si>
  <si>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</si>
  <si>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</si>
  <si>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</si>
  <si>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</si>
  <si>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</si>
  <si>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</si>
  <si>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</si>
  <si>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</si>
  <si>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</si>
  <si>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</si>
  <si>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</si>
  <si>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</si>
  <si>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</si>
  <si>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</si>
  <si>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</si>
  <si>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</si>
  <si>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</si>
  <si>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</si>
  <si>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</si>
  <si>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</si>
  <si>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</si>
  <si>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</si>
  <si>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</si>
  <si>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</si>
  <si>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</si>
  <si>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星期五</t>
  </si>
  <si>
    <t>品類</t>
    <phoneticPr fontId="4" type="noConversion"/>
  </si>
  <si>
    <t>品名</t>
    <phoneticPr fontId="3" type="noConversion"/>
  </si>
  <si>
    <t>生產量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</si>
  <si>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</si>
  <si>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</si>
  <si>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</si>
  <si>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</si>
  <si>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</si>
  <si>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</si>
  <si>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結束</t>
    <phoneticPr fontId="4" type="noConversion"/>
  </si>
  <si>
    <t>總次數</t>
    <phoneticPr fontId="13" type="noConversion"/>
  </si>
  <si>
    <t>新豐6線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</si>
  <si>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</si>
  <si>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</si>
  <si>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</si>
  <si>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</si>
  <si>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</si>
  <si>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</si>
  <si>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</si>
  <si>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</si>
  <si>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</si>
  <si>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</si>
  <si>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</si>
  <si>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</si>
  <si>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</si>
  <si>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</si>
  <si>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</si>
  <si>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</si>
  <si>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</si>
  <si>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</si>
  <si>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</si>
  <si>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</si>
  <si>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</si>
  <si>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</si>
  <si>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</si>
  <si>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</si>
  <si>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</si>
  <si>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</si>
  <si>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</si>
  <si>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</si>
  <si>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</si>
  <si>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</si>
  <si>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</si>
  <si>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</si>
  <si>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</si>
  <si>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</si>
  <si>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</si>
  <si>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</si>
  <si>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</si>
  <si>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</si>
  <si>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</si>
  <si>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</si>
  <si>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</si>
  <si>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</si>
  <si>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</si>
  <si>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</si>
  <si>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</si>
  <si>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</si>
  <si>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</si>
  <si>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</si>
  <si>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</si>
  <si>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</si>
  <si>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</si>
  <si>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</si>
  <si>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</si>
  <si>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</si>
  <si>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</si>
  <si>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</si>
  <si>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</si>
  <si>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</si>
  <si>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</si>
  <si>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</si>
  <si>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合計
次數</t>
    <phoneticPr fontId="4" type="noConversion"/>
  </si>
  <si>
    <t>星期六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</si>
  <si>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</si>
  <si>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</si>
  <si>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</si>
  <si>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</si>
  <si>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</si>
  <si>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</si>
  <si>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</si>
  <si>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</si>
  <si>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</si>
  <si>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休息時間</t>
    <phoneticPr fontId="4" type="noConversion"/>
  </si>
  <si>
    <t>結束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</si>
  <si>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</si>
  <si>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</si>
  <si>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</si>
  <si>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</si>
  <si>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</si>
  <si>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</si>
  <si>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</si>
  <si>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</si>
  <si>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</si>
  <si>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</si>
  <si>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</si>
  <si>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</si>
  <si>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</si>
  <si>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</si>
  <si>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</si>
  <si>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</si>
  <si>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</si>
  <si>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</si>
  <si>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</si>
  <si>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</si>
  <si>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星期日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</si>
  <si>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</si>
  <si>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</si>
  <si>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</si>
  <si>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</si>
  <si>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</si>
  <si>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</si>
  <si>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</si>
  <si>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</si>
  <si>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</si>
  <si>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</si>
  <si>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</si>
  <si>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</si>
  <si>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</si>
  <si>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</si>
  <si>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</si>
  <si>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</si>
  <si>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</si>
  <si>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</si>
  <si>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</si>
  <si>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</si>
  <si>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</si>
  <si>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</si>
  <si>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</si>
  <si>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</si>
  <si>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</si>
  <si>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</si>
  <si>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</si>
  <si>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</si>
  <si>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</si>
  <si>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</si>
  <si>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</si>
  <si>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</si>
  <si>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</si>
  <si>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</si>
  <si>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</si>
  <si>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</si>
  <si>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</si>
  <si>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</si>
  <si>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</si>
  <si>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</si>
  <si>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</si>
  <si>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</si>
  <si>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</si>
  <si>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</si>
  <si>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</si>
  <si>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</si>
  <si>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</si>
  <si>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</si>
  <si>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</si>
  <si>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</si>
  <si>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</si>
  <si>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</si>
  <si>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</si>
  <si>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</si>
  <si>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</si>
  <si>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</si>
  <si>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</si>
  <si>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</si>
  <si>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</si>
  <si>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</si>
  <si>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</si>
  <si>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</si>
  <si>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</si>
  <si>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</si>
  <si>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</si>
  <si>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</si>
  <si>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</si>
  <si>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</si>
  <si>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</si>
  <si>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</si>
  <si>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</si>
  <si>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</si>
  <si>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</si>
  <si>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</si>
  <si>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</si>
  <si>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</si>
  <si>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</si>
  <si>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</si>
  <si>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</si>
  <si>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</si>
  <si>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</si>
  <si>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</si>
  <si>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</si>
  <si>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</si>
  <si>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</si>
  <si>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</si>
  <si>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</si>
  <si>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</si>
  <si>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</si>
  <si>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</si>
  <si>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</si>
  <si>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</si>
  <si>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</si>
  <si>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</si>
  <si>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星期一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</si>
  <si>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</si>
  <si>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</si>
  <si>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</si>
  <si>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</si>
  <si>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</si>
  <si>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</si>
  <si>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</si>
  <si>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</si>
  <si>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</si>
  <si>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</si>
  <si>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</si>
  <si>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</si>
  <si>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</si>
  <si>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</si>
  <si>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</si>
  <si>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</si>
  <si>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</si>
  <si>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</si>
  <si>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</si>
  <si>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</si>
  <si>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</si>
  <si>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</si>
  <si>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</si>
  <si>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</si>
  <si>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</si>
  <si>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</si>
  <si>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</si>
  <si>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結束</t>
    <phoneticPr fontId="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</si>
  <si>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</si>
  <si>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</si>
  <si>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</si>
  <si>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</si>
  <si>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</si>
  <si>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</si>
  <si>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</si>
  <si>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</si>
  <si>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</si>
  <si>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</si>
  <si>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</si>
  <si>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</si>
  <si>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</si>
  <si>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</si>
  <si>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</si>
  <si>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</si>
  <si>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</si>
  <si>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</si>
  <si>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</si>
  <si>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</si>
  <si>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</si>
  <si>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</si>
  <si>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</si>
  <si>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</si>
  <si>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</si>
  <si>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</si>
  <si>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</si>
  <si>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</si>
  <si>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</si>
  <si>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</si>
  <si>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</si>
  <si>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</si>
  <si>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</si>
  <si>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</si>
  <si>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</si>
  <si>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</si>
  <si>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</si>
  <si>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</si>
  <si>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</si>
  <si>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</si>
  <si>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</si>
  <si>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</si>
  <si>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</si>
  <si>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</si>
  <si>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</si>
  <si>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</si>
  <si>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</si>
  <si>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</si>
  <si>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</si>
  <si>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</si>
  <si>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</si>
  <si>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</si>
  <si>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</si>
  <si>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</si>
  <si>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</si>
  <si>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</si>
  <si>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</si>
  <si>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</si>
  <si>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</si>
  <si>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</si>
  <si>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</si>
  <si>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</si>
  <si>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</si>
  <si>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</si>
  <si>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</si>
  <si>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</si>
  <si>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</si>
  <si>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</si>
  <si>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</si>
  <si>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</si>
  <si>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</si>
  <si>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</si>
  <si>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</si>
  <si>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</si>
  <si>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</si>
  <si>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</si>
  <si>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</si>
  <si>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</si>
  <si>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</si>
  <si>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</si>
  <si>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</si>
  <si>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</si>
  <si>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</si>
  <si>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</si>
  <si>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</si>
  <si>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</si>
  <si>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</si>
  <si>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</si>
  <si>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</si>
  <si>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</si>
  <si>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</si>
  <si>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</si>
  <si>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</si>
  <si>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</si>
  <si>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</si>
  <si>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</si>
  <si>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</si>
  <si>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</si>
  <si>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</si>
  <si>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</si>
  <si>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</si>
  <si>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</si>
  <si>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</si>
  <si>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</si>
  <si>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</si>
  <si>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</si>
  <si>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</si>
  <si>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</si>
  <si>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</si>
  <si>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</si>
  <si>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</si>
  <si>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</si>
  <si>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</si>
  <si>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</si>
  <si>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</si>
  <si>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</si>
  <si>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</si>
  <si>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</si>
  <si>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</si>
  <si>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</si>
  <si>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</si>
  <si>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</si>
  <si>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</si>
  <si>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</si>
  <si>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</si>
  <si>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</si>
  <si>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</si>
  <si>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</si>
  <si>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</si>
  <si>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</si>
  <si>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</si>
  <si>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</si>
  <si>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</si>
  <si>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</si>
  <si>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</si>
  <si>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</si>
  <si>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</si>
  <si>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</si>
  <si>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</si>
  <si>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</si>
  <si>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</si>
  <si>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</si>
  <si>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</si>
  <si>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</si>
  <si>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</si>
  <si>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</si>
  <si>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</si>
  <si>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</si>
  <si>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</si>
  <si>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</si>
  <si>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</si>
  <si>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</si>
  <si>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</si>
  <si>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</si>
  <si>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</si>
  <si>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</si>
  <si>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</si>
  <si>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</si>
  <si>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</si>
  <si>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</si>
  <si>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</si>
  <si>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</si>
  <si>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</si>
  <si>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</si>
  <si>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</si>
  <si>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</si>
  <si>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</si>
  <si>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</si>
  <si>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</si>
  <si>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</si>
  <si>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</si>
  <si>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</si>
  <si>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紅豆黑糖麻糬三明治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</si>
  <si>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</si>
  <si>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</si>
  <si>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</si>
  <si>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</si>
  <si>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</si>
  <si>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</si>
  <si>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</si>
  <si>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</si>
  <si>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</si>
  <si>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</si>
  <si>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</si>
  <si>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</si>
  <si>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</si>
  <si>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</si>
  <si>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</si>
  <si>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</si>
  <si>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</si>
  <si>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</si>
  <si>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</si>
  <si>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</si>
  <si>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</si>
  <si>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</si>
  <si>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</si>
  <si>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</si>
  <si>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</si>
  <si>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</si>
  <si>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</si>
  <si>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</si>
  <si>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</si>
  <si>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</si>
  <si>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</si>
  <si>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</si>
  <si>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</si>
  <si>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</si>
  <si>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</si>
  <si>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</si>
  <si>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</si>
  <si>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</si>
  <si>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</si>
  <si>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</si>
  <si>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</si>
  <si>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</si>
  <si>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</si>
  <si>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</si>
  <si>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</si>
  <si>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</si>
  <si>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</si>
  <si>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</si>
  <si>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</si>
  <si>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</si>
  <si>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</si>
  <si>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</si>
  <si>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</si>
  <si>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</si>
  <si>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</si>
  <si>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</si>
  <si>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</si>
  <si>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</si>
  <si>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</si>
  <si>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</si>
  <si>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</si>
  <si>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</si>
  <si>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</si>
  <si>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</si>
  <si>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</si>
  <si>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</si>
  <si>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</si>
  <si>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</si>
  <si>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</si>
  <si>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</si>
  <si>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</si>
  <si>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</si>
  <si>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</si>
  <si>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</si>
  <si>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</si>
  <si>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</si>
  <si>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</si>
  <si>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</si>
  <si>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</si>
  <si>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</si>
  <si>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</si>
  <si>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</si>
  <si>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</si>
  <si>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</si>
  <si>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</si>
  <si>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</si>
  <si>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</si>
  <si>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</si>
  <si>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</si>
  <si>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</si>
  <si>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</si>
  <si>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</si>
  <si>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</si>
  <si>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</si>
  <si>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</si>
  <si>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</si>
  <si>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</si>
  <si>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</si>
  <si>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</si>
  <si>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</si>
  <si>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</si>
  <si>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</si>
  <si>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</si>
  <si>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</si>
  <si>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</si>
  <si>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</si>
  <si>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</si>
  <si>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</si>
  <si>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</si>
  <si>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</si>
  <si>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</si>
  <si>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</si>
  <si>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</si>
  <si>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</si>
  <si>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</si>
  <si>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</si>
  <si>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</si>
  <si>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</si>
  <si>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</si>
  <si>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</si>
  <si>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</si>
  <si>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</si>
  <si>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新豐10線</t>
    <phoneticPr fontId="4" type="noConversion"/>
  </si>
  <si>
    <t>新豐1線</t>
    <phoneticPr fontId="4" type="noConversion"/>
  </si>
  <si>
    <t>新豐1線</t>
    <phoneticPr fontId="4" type="noConversion"/>
  </si>
  <si>
    <t>新豐3線</t>
    <phoneticPr fontId="4" type="noConversion"/>
  </si>
  <si>
    <t>新豐9線</t>
    <phoneticPr fontId="4" type="noConversion"/>
  </si>
  <si>
    <t>新豐9線</t>
    <phoneticPr fontId="4" type="noConversion"/>
  </si>
  <si>
    <t>新豐8線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</si>
  <si>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</si>
  <si>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</si>
  <si>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</si>
  <si>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新豐5線</t>
    <phoneticPr fontId="4" type="noConversion"/>
  </si>
  <si>
    <t>新豐2線</t>
    <phoneticPr fontId="4" type="noConversion"/>
  </si>
  <si>
    <t>新豐6線</t>
    <phoneticPr fontId="4" type="noConversion"/>
  </si>
  <si>
    <t>新豐6線</t>
    <phoneticPr fontId="4" type="noConversion"/>
  </si>
  <si>
    <t>設備因素(次數)</t>
    <phoneticPr fontId="13" type="noConversion"/>
  </si>
  <si>
    <t>總次數</t>
    <phoneticPr fontId="13" type="noConversion"/>
  </si>
  <si>
    <t>時間/分</t>
    <phoneticPr fontId="13" type="noConversion"/>
  </si>
  <si>
    <t>次數</t>
    <phoneticPr fontId="13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</si>
  <si>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</si>
  <si>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</si>
  <si>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</si>
  <si>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</si>
  <si>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</si>
  <si>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短暫停線統計
(5分鐘以下)</t>
    <phoneticPr fontId="4" type="noConversion"/>
  </si>
  <si>
    <t>(新豐回填)</t>
    <phoneticPr fontId="4" type="noConversion"/>
  </si>
  <si>
    <t>產線異常統計
(5分鐘以上)</t>
    <phoneticPr fontId="4" type="noConversion"/>
  </si>
  <si>
    <t>休息時間</t>
    <phoneticPr fontId="4" type="noConversion"/>
  </si>
  <si>
    <t>稼動時間/分</t>
    <phoneticPr fontId="4" type="noConversion"/>
  </si>
  <si>
    <t>人時性</t>
    <phoneticPr fontId="4" type="noConversion"/>
  </si>
  <si>
    <t>人數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</si>
  <si>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</si>
  <si>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</si>
  <si>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</si>
  <si>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</si>
  <si>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</si>
  <si>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</si>
  <si>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</si>
  <si>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</si>
  <si>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人時性</t>
    <phoneticPr fontId="4" type="noConversion"/>
  </si>
  <si>
    <t>產能差異分析</t>
    <phoneticPr fontId="4" type="noConversion"/>
  </si>
  <si>
    <t>合計
設備次數</t>
    <phoneticPr fontId="3" type="noConversion"/>
  </si>
  <si>
    <t>合計
次數</t>
    <phoneticPr fontId="4" type="noConversion"/>
  </si>
  <si>
    <t>產線異常
分析說明(5分鐘以上)</t>
    <phoneticPr fontId="4" type="noConversion"/>
  </si>
  <si>
    <t>合計
時間/分</t>
    <phoneticPr fontId="3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</si>
  <si>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</si>
  <si>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</si>
  <si>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</si>
  <si>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</si>
  <si>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</si>
  <si>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</si>
  <si>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</si>
  <si>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</si>
  <si>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</si>
  <si>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</si>
  <si>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</si>
  <si>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</si>
  <si>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</si>
  <si>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</si>
  <si>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</si>
  <si>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</si>
  <si>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</si>
  <si>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</si>
  <si>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</si>
  <si>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</si>
  <si>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設備次數</t>
    <phoneticPr fontId="13" type="noConversion"/>
  </si>
  <si>
    <t>次數</t>
    <phoneticPr fontId="13" type="noConversion"/>
  </si>
  <si>
    <t>短暫停線
(5分鐘以下)</t>
    <phoneticPr fontId="13" type="noConversion"/>
  </si>
  <si>
    <t>時間/分</t>
    <phoneticPr fontId="13" type="noConversion"/>
  </si>
  <si>
    <t>產線異常
(5分鐘以上)</t>
    <phoneticPr fontId="1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</si>
  <si>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</si>
  <si>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</si>
  <si>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</si>
  <si>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</si>
  <si>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</si>
  <si>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</si>
  <si>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</si>
  <si>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</si>
  <si>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</si>
  <si>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</si>
  <si>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</si>
  <si>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</si>
  <si>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設備次數</t>
    <phoneticPr fontId="3" type="noConversion"/>
  </si>
  <si>
    <t>合計次數</t>
    <phoneticPr fontId="4" type="noConversion"/>
  </si>
  <si>
    <t>時間</t>
    <phoneticPr fontId="3" type="noConversion"/>
  </si>
  <si>
    <t>③三明治-各編組展開</t>
    <phoneticPr fontId="3" type="noConversion"/>
  </si>
  <si>
    <t>4度C-各編組展開</t>
    <phoneticPr fontId="3" type="noConversion"/>
  </si>
  <si>
    <t>全溫層</t>
    <phoneticPr fontId="3" type="noConversion"/>
  </si>
  <si>
    <t>組合室</t>
    <phoneticPr fontId="3" type="noConversion"/>
  </si>
  <si>
    <t>短暫停線</t>
    <phoneticPr fontId="4" type="noConversion"/>
  </si>
  <si>
    <t>異常停線</t>
    <phoneticPr fontId="4" type="noConversion"/>
  </si>
  <si>
    <t>➂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</si>
  <si>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</si>
  <si>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</si>
  <si>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</si>
  <si>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</si>
  <si>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</si>
  <si>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</si>
  <si>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</si>
  <si>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</si>
  <si>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</si>
  <si>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</si>
  <si>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</si>
  <si>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</si>
  <si>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</si>
  <si>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</si>
  <si>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</si>
  <si>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</si>
  <si>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</si>
  <si>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</si>
  <si>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</si>
  <si>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</si>
  <si>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</si>
  <si>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</si>
  <si>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</si>
  <si>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</si>
  <si>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</si>
  <si>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</si>
  <si>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</si>
  <si>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</si>
  <si>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</si>
  <si>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</si>
  <si>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</si>
  <si>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</si>
  <si>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</si>
  <si>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</si>
  <si>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</si>
  <si>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</si>
  <si>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</si>
  <si>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</si>
  <si>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</si>
  <si>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</si>
  <si>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</si>
  <si>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</si>
  <si>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</si>
  <si>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</si>
  <si>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</si>
  <si>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</si>
  <si>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</si>
  <si>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</si>
  <si>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</si>
  <si>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</si>
  <si>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</si>
  <si>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</si>
  <si>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</si>
  <si>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</si>
  <si>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</si>
  <si>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</si>
  <si>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</si>
  <si>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</si>
  <si>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</si>
  <si>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</si>
  <si>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</si>
  <si>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</si>
  <si>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</si>
  <si>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</si>
  <si>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</si>
  <si>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</si>
  <si>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</si>
  <si>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</si>
  <si>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</si>
  <si>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</si>
  <si>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</si>
  <si>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</si>
  <si>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</si>
  <si>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</si>
  <si>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</si>
  <si>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</si>
  <si>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</si>
  <si>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</si>
  <si>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</si>
  <si>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</si>
  <si>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</si>
  <si>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</si>
  <si>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</si>
  <si>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</si>
  <si>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</si>
  <si>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</si>
  <si>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</si>
  <si>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</si>
  <si>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</si>
  <si>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</si>
  <si>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</si>
  <si>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</si>
  <si>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</si>
  <si>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</si>
  <si>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</si>
  <si>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</si>
  <si>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</si>
  <si>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</si>
  <si>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</si>
  <si>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t>項目</t>
    <phoneticPr fontId="4" type="noConversion"/>
  </si>
  <si>
    <t>➀</t>
    <phoneticPr fontId="4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</si>
  <si>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</si>
  <si>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</si>
  <si>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</si>
  <si>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</si>
  <si>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</si>
  <si>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</si>
  <si>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</si>
  <si>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</si>
  <si>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</si>
  <si>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</si>
  <si>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</si>
  <si>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</si>
  <si>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</si>
  <si>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</si>
  <si>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</si>
  <si>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</si>
  <si>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</si>
  <si>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</si>
  <si>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</si>
  <si>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</si>
  <si>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</si>
  <si>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</si>
  <si>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</si>
  <si>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炒飯+沙拉</t>
    <phoneticPr fontId="4" type="noConversion"/>
  </si>
  <si>
    <t>產線異常
分析說明(5分鐘以上)</t>
    <phoneticPr fontId="4" type="noConversion"/>
  </si>
  <si>
    <t>合計
設備次數</t>
    <phoneticPr fontId="3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</si>
  <si>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</si>
  <si>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</si>
  <si>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</si>
  <si>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</si>
  <si>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</si>
  <si>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</si>
  <si>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</si>
  <si>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</si>
  <si>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</si>
  <si>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</si>
  <si>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</si>
  <si>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</si>
  <si>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</si>
  <si>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</si>
  <si>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</si>
  <si>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</si>
  <si>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</si>
  <si>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</si>
  <si>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</si>
  <si>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</si>
  <si>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</si>
  <si>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</si>
  <si>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</si>
  <si>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</si>
  <si>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</si>
  <si>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</si>
  <si>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</si>
  <si>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</si>
  <si>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</si>
  <si>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</si>
  <si>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</si>
  <si>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</si>
  <si>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</si>
  <si>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</si>
  <si>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</si>
  <si>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</si>
  <si>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</si>
  <si>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</si>
  <si>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</si>
  <si>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</si>
  <si>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</si>
  <si>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</si>
  <si>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</si>
  <si>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</si>
  <si>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</si>
  <si>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</si>
  <si>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</si>
  <si>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</si>
  <si>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</si>
  <si>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</si>
  <si>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</si>
  <si>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</si>
  <si>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</si>
  <si>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</si>
  <si>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</si>
  <si>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</si>
  <si>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</si>
  <si>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</si>
  <si>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</si>
  <si>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</si>
  <si>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</si>
  <si>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</si>
  <si>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</si>
  <si>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</si>
  <si>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</si>
  <si>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</si>
  <si>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</si>
  <si>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</si>
  <si>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</si>
  <si>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</si>
  <si>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</si>
  <si>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</si>
  <si>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</si>
  <si>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</si>
  <si>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</si>
  <si>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</si>
  <si>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</si>
  <si>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</si>
  <si>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</si>
  <si>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</si>
  <si>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</si>
  <si>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</si>
  <si>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</si>
  <si>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</si>
  <si>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</si>
  <si>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</si>
  <si>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</si>
  <si>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</si>
  <si>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</si>
  <si>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</si>
  <si>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</si>
  <si>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</si>
  <si>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</si>
  <si>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</si>
  <si>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</si>
  <si>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</si>
  <si>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</si>
  <si>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</si>
  <si>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</si>
  <si>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</si>
  <si>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</si>
  <si>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</si>
  <si>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</si>
  <si>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</si>
  <si>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</si>
  <si>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</si>
  <si>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</si>
  <si>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</si>
  <si>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</si>
  <si>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</si>
  <si>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</si>
  <si>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</si>
  <si>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</si>
  <si>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</si>
  <si>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</si>
  <si>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</si>
  <si>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</si>
  <si>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</si>
  <si>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</si>
  <si>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</si>
  <si>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</si>
  <si>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</si>
  <si>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</si>
  <si>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</si>
  <si>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</si>
  <si>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</si>
  <si>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</si>
  <si>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</si>
  <si>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</si>
  <si>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</si>
  <si>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</si>
  <si>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</si>
  <si>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</si>
  <si>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</si>
  <si>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</si>
  <si>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</si>
  <si>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</si>
  <si>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</si>
  <si>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</si>
  <si>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</si>
  <si>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</si>
  <si>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</si>
  <si>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</si>
  <si>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</si>
  <si>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</si>
  <si>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</si>
  <si>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</si>
  <si>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</si>
  <si>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</si>
  <si>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</si>
  <si>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</si>
  <si>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</si>
  <si>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</si>
  <si>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</si>
  <si>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</si>
  <si>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</si>
  <si>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</si>
  <si>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</si>
  <si>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</si>
  <si>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</si>
  <si>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</si>
  <si>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</si>
  <si>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</si>
  <si>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</si>
  <si>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</si>
  <si>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合計
時間/分</t>
    <phoneticPr fontId="3" type="noConversion"/>
  </si>
  <si>
    <t>產線異常
分析說明(5分鐘以上)</t>
    <phoneticPr fontId="4" type="noConversion"/>
  </si>
  <si>
    <t>人時性</t>
    <phoneticPr fontId="4" type="noConversion"/>
  </si>
  <si>
    <t>多次生產數</t>
    <phoneticPr fontId="4" type="noConversion"/>
  </si>
  <si>
    <t>廠價</t>
    <phoneticPr fontId="7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</si>
  <si>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</si>
  <si>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</si>
  <si>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</si>
  <si>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</si>
  <si>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</si>
  <si>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</si>
  <si>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</si>
  <si>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</si>
  <si>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</si>
  <si>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</si>
  <si>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</si>
  <si>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</si>
  <si>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</si>
  <si>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</si>
  <si>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</si>
  <si>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</si>
  <si>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</si>
  <si>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</si>
  <si>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</si>
  <si>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</si>
  <si>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</si>
  <si>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</si>
  <si>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</si>
  <si>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</si>
  <si>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</si>
  <si>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</si>
  <si>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</si>
  <si>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</si>
  <si>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</si>
  <si>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</si>
  <si>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</si>
  <si>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</si>
  <si>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</si>
  <si>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</si>
  <si>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</si>
  <si>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</si>
  <si>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</si>
  <si>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</si>
  <si>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</si>
  <si>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</si>
  <si>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</si>
  <si>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</si>
  <si>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</si>
  <si>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</si>
  <si>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</si>
  <si>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</si>
  <si>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</si>
  <si>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</si>
  <si>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</si>
  <si>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</si>
  <si>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</si>
  <si>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</si>
  <si>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</si>
  <si>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</si>
  <si>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</si>
  <si>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</si>
  <si>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</si>
  <si>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</si>
  <si>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</si>
  <si>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</si>
  <si>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</si>
  <si>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</si>
  <si>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</si>
  <si>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</si>
  <si>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</si>
  <si>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</si>
  <si>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</si>
  <si>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</si>
  <si>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</si>
  <si>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</si>
  <si>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</si>
  <si>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</si>
  <si>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</si>
  <si>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</si>
  <si>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</si>
  <si>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</si>
  <si>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</si>
  <si>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</si>
  <si>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</si>
  <si>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</si>
  <si>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</si>
  <si>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</si>
  <si>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</si>
  <si>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</si>
  <si>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</si>
  <si>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</si>
  <si>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</si>
  <si>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</si>
  <si>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</si>
  <si>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</si>
  <si>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</si>
  <si>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</si>
  <si>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</si>
  <si>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</si>
  <si>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</si>
  <si>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</si>
  <si>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</si>
  <si>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</si>
  <si>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</si>
  <si>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</si>
  <si>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</si>
  <si>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</si>
  <si>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</si>
  <si>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</si>
  <si>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</si>
  <si>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</si>
  <si>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</si>
  <si>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</si>
  <si>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</si>
  <si>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</si>
  <si>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</si>
  <si>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</si>
  <si>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</si>
  <si>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</si>
  <si>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</si>
  <si>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</si>
  <si>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</si>
  <si>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</si>
  <si>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</si>
  <si>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</si>
  <si>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</si>
  <si>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</si>
  <si>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</si>
  <si>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</si>
  <si>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墨西哥辣醬熱狗堡</t>
  </si>
  <si>
    <t>新豐1線</t>
    <phoneticPr fontId="4" type="noConversion"/>
  </si>
  <si>
    <t>壹號醬泡菜鹽蔥雞豚雙拼</t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</si>
  <si>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</si>
  <si>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</si>
  <si>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</si>
  <si>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</si>
  <si>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</si>
  <si>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</si>
  <si>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</si>
  <si>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</si>
  <si>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</si>
  <si>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</si>
  <si>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</si>
  <si>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</si>
  <si>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</si>
  <si>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</si>
  <si>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</si>
  <si>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</si>
  <si>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</si>
  <si>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</si>
  <si>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</si>
  <si>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</si>
  <si>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</si>
  <si>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</si>
  <si>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</si>
  <si>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</si>
  <si>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</si>
  <si>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</si>
  <si>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</si>
  <si>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</si>
  <si>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</si>
  <si>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</si>
  <si>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</si>
  <si>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</si>
  <si>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</si>
  <si>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</si>
  <si>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</si>
  <si>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</si>
  <si>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</si>
  <si>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</si>
  <si>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</si>
  <si>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</si>
  <si>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</si>
  <si>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</si>
  <si>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</si>
  <si>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</si>
  <si>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</si>
  <si>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</si>
  <si>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</si>
  <si>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多次生產數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</si>
  <si>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</si>
  <si>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</si>
  <si>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</si>
  <si>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</si>
  <si>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</si>
  <si>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</si>
  <si>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</si>
  <si>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</si>
  <si>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</si>
  <si>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</si>
  <si>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</si>
  <si>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</si>
  <si>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</si>
  <si>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</si>
  <si>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</si>
  <si>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</si>
  <si>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</si>
  <si>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</si>
  <si>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</si>
  <si>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</si>
  <si>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</si>
  <si>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</si>
  <si>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</si>
  <si>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</si>
  <si>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</si>
  <si>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</si>
  <si>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</si>
  <si>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</si>
  <si>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</si>
  <si>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</si>
  <si>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</si>
  <si>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</si>
  <si>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</si>
  <si>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</si>
  <si>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</si>
  <si>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➁4度C-各編組展開</t>
    <phoneticPr fontId="3" type="noConversion"/>
  </si>
  <si>
    <t>人時性</t>
    <phoneticPr fontId="4" type="noConversion"/>
  </si>
  <si>
    <t>開始</t>
    <phoneticPr fontId="3" type="noConversion"/>
  </si>
  <si>
    <t>次數</t>
    <phoneticPr fontId="13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</si>
  <si>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</si>
  <si>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</si>
  <si>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</si>
  <si>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</si>
  <si>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</si>
  <si>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</si>
  <si>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</si>
  <si>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</si>
  <si>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</si>
  <si>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</si>
  <si>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</si>
  <si>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</si>
  <si>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</si>
  <si>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</si>
  <si>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</si>
  <si>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</si>
  <si>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</si>
  <si>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</si>
  <si>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</si>
  <si>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</si>
  <si>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</si>
  <si>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</si>
  <si>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</si>
  <si>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</si>
  <si>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</si>
  <si>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</si>
  <si>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</si>
  <si>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</si>
  <si>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</si>
  <si>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</si>
  <si>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</si>
  <si>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</si>
  <si>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</si>
  <si>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</si>
  <si>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</si>
  <si>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</si>
  <si>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</si>
  <si>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</si>
  <si>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</si>
  <si>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</si>
  <si>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</si>
  <si>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</si>
  <si>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</si>
  <si>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</si>
  <si>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</si>
  <si>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</si>
  <si>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</si>
  <si>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</si>
  <si>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</si>
  <si>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</si>
  <si>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</si>
  <si>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異常停線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</si>
  <si>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</si>
  <si>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</si>
  <si>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</si>
  <si>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</si>
  <si>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</si>
  <si>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</si>
  <si>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</si>
  <si>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</si>
  <si>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</si>
  <si>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</si>
  <si>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</si>
  <si>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</si>
  <si>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</si>
  <si>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</si>
  <si>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</si>
  <si>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</si>
  <si>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</si>
  <si>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</si>
  <si>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</si>
  <si>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</si>
  <si>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</si>
  <si>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</si>
  <si>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</si>
  <si>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</si>
  <si>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</si>
  <si>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</si>
  <si>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</si>
  <si>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</si>
  <si>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</si>
  <si>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</si>
  <si>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</si>
  <si>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</si>
  <si>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</si>
  <si>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</si>
  <si>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</si>
  <si>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</si>
  <si>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</si>
  <si>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</si>
  <si>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</si>
  <si>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</si>
  <si>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</si>
  <si>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</si>
  <si>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</si>
  <si>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</si>
  <si>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</si>
  <si>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</si>
  <si>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</si>
  <si>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</si>
  <si>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</si>
  <si>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</si>
  <si>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</si>
  <si>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</si>
  <si>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</si>
  <si>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</si>
  <si>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</si>
  <si>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</si>
  <si>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</si>
  <si>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</si>
  <si>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</si>
  <si>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</si>
  <si>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</si>
  <si>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</si>
  <si>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</si>
  <si>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</si>
  <si>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</si>
  <si>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</si>
  <si>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</si>
  <si>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</si>
  <si>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</si>
  <si>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</si>
  <si>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</si>
  <si>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</si>
  <si>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</si>
  <si>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</si>
  <si>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</si>
  <si>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</si>
  <si>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</si>
  <si>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</si>
  <si>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</si>
  <si>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</si>
  <si>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</si>
  <si>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</si>
  <si>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</si>
  <si>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</si>
  <si>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</si>
  <si>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</si>
  <si>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</si>
  <si>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</si>
  <si>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</si>
  <si>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</si>
  <si>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</si>
  <si>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</si>
  <si>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</si>
  <si>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</si>
  <si>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</si>
  <si>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</si>
  <si>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</si>
  <si>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</si>
  <si>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</si>
  <si>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</si>
  <si>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</si>
  <si>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</si>
  <si>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</si>
  <si>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</si>
  <si>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</si>
  <si>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</si>
  <si>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</si>
  <si>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</si>
  <si>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</si>
  <si>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</si>
  <si>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</si>
  <si>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</si>
  <si>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</si>
  <si>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</si>
  <si>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</si>
  <si>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</si>
  <si>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</si>
  <si>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</si>
  <si>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</si>
  <si>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</si>
  <si>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</si>
  <si>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</si>
  <si>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</si>
  <si>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</si>
  <si>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</si>
  <si>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</si>
  <si>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</si>
  <si>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</si>
  <si>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</si>
  <si>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</si>
  <si>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</si>
  <si>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</si>
  <si>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</si>
  <si>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</si>
  <si>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</si>
  <si>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</si>
  <si>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</si>
  <si>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</si>
  <si>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</si>
  <si>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</si>
  <si>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</si>
  <si>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</si>
  <si>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</si>
  <si>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</si>
  <si>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</si>
  <si>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</si>
  <si>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</si>
  <si>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</si>
  <si>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</si>
  <si>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</si>
  <si>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</si>
  <si>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</si>
  <si>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</si>
  <si>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</si>
  <si>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</si>
  <si>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</si>
  <si>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</si>
  <si>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</si>
  <si>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</si>
  <si>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</si>
  <si>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</si>
  <si>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</si>
  <si>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</si>
  <si>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</si>
  <si>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</si>
  <si>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</si>
  <si>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</si>
  <si>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</si>
  <si>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</si>
  <si>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</si>
  <si>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</si>
  <si>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</si>
  <si>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</si>
  <si>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</si>
  <si>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</si>
  <si>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</si>
  <si>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</si>
  <si>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</si>
  <si>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</si>
  <si>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</si>
  <si>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</si>
  <si>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</si>
  <si>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</si>
  <si>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</si>
  <si>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</si>
  <si>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</si>
  <si>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</si>
  <si>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</si>
  <si>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</si>
  <si>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</si>
  <si>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</si>
  <si>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</si>
  <si>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</si>
  <si>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</si>
  <si>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</si>
  <si>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</si>
  <si>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</si>
  <si>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</si>
  <si>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</si>
  <si>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</si>
  <si>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</si>
  <si>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</si>
  <si>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</si>
  <si>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</si>
  <si>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</si>
  <si>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</si>
  <si>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</si>
  <si>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</si>
  <si>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</si>
  <si>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</si>
  <si>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</si>
  <si>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</si>
  <si>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</si>
  <si>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</si>
  <si>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</si>
  <si>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</si>
  <si>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</si>
  <si>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</si>
  <si>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</si>
  <si>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</si>
  <si>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</si>
  <si>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</si>
  <si>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</si>
  <si>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</si>
  <si>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</si>
  <si>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</si>
  <si>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</si>
  <si>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</si>
  <si>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</si>
  <si>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</si>
  <si>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</si>
  <si>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</si>
  <si>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</si>
  <si>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</si>
  <si>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</si>
  <si>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</si>
  <si>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</si>
  <si>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</si>
  <si>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</si>
  <si>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</si>
  <si>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</si>
  <si>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</si>
  <si>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</si>
  <si>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</si>
  <si>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</si>
  <si>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</si>
  <si>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</si>
  <si>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</si>
  <si>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</si>
  <si>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</si>
  <si>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</si>
  <si>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</si>
  <si>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</si>
  <si>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</si>
  <si>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</si>
  <si>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</si>
  <si>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</si>
  <si>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</si>
  <si>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</si>
  <si>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</si>
  <si>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</si>
  <si>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</si>
  <si>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</si>
  <si>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</si>
  <si>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</si>
  <si>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</si>
  <si>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</si>
  <si>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</si>
  <si>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</si>
  <si>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</si>
  <si>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</si>
  <si>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</si>
  <si>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</si>
  <si>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</si>
  <si>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</si>
  <si>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</si>
  <si>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</si>
  <si>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</si>
  <si>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</si>
  <si>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</si>
  <si>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</si>
  <si>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</si>
  <si>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</si>
  <si>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</si>
  <si>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</si>
  <si>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</si>
  <si>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</si>
  <si>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</si>
  <si>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</si>
  <si>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</si>
  <si>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</si>
  <si>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</si>
  <si>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</si>
  <si>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</si>
  <si>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</si>
  <si>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</si>
  <si>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</si>
  <si>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</si>
  <si>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</si>
  <si>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</si>
  <si>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</si>
  <si>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</si>
  <si>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</si>
  <si>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</si>
  <si>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</si>
  <si>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</si>
  <si>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</si>
  <si>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</si>
  <si>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</si>
  <si>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</si>
  <si>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</si>
  <si>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</si>
  <si>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</si>
  <si>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</si>
  <si>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</si>
  <si>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</si>
  <si>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</si>
  <si>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</si>
  <si>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</si>
  <si>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</si>
  <si>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</si>
  <si>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</si>
  <si>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</si>
  <si>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</si>
  <si>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</si>
  <si>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</si>
  <si>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</si>
  <si>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</si>
  <si>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</si>
  <si>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</si>
  <si>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</si>
  <si>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</si>
  <si>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</si>
  <si>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</si>
  <si>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</si>
  <si>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</si>
  <si>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</si>
  <si>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</si>
  <si>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</si>
  <si>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</si>
  <si>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</si>
  <si>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</si>
  <si>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</si>
  <si>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</si>
  <si>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</si>
  <si>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</si>
  <si>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</si>
  <si>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</si>
  <si>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</si>
  <si>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</si>
  <si>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</si>
  <si>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</si>
  <si>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</si>
  <si>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</si>
  <si>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</si>
  <si>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</si>
  <si>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</si>
  <si>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</si>
  <si>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</si>
  <si>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</si>
  <si>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</si>
  <si>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</si>
  <si>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</si>
  <si>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</si>
  <si>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</si>
  <si>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</si>
  <si>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</si>
  <si>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</si>
  <si>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</si>
  <si>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</si>
  <si>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</si>
  <si>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</si>
  <si>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</si>
  <si>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</si>
  <si>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</si>
  <si>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</si>
  <si>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</si>
  <si>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</si>
  <si>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</si>
  <si>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</si>
  <si>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</si>
  <si>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</si>
  <si>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</si>
  <si>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</si>
  <si>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</si>
  <si>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</si>
  <si>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</si>
  <si>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</si>
  <si>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</si>
  <si>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</si>
  <si>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</si>
  <si>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</si>
  <si>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</si>
  <si>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</si>
  <si>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</si>
  <si>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</si>
  <si>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</si>
  <si>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</si>
  <si>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</si>
  <si>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</si>
  <si>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</si>
  <si>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</si>
  <si>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</si>
  <si>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</si>
  <si>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二配港式滑蛋牛肉燴飯</t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</si>
  <si>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</si>
  <si>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</si>
  <si>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</si>
  <si>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</si>
  <si>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</si>
  <si>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</si>
  <si>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</si>
  <si>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</si>
  <si>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</si>
  <si>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</si>
  <si>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</si>
  <si>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</si>
  <si>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</si>
  <si>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</si>
  <si>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</si>
  <si>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</si>
  <si>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</si>
  <si>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</si>
  <si>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</si>
  <si>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</si>
  <si>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</si>
  <si>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</si>
  <si>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</si>
  <si>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</si>
  <si>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</si>
  <si>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</si>
  <si>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</si>
  <si>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</si>
  <si>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</si>
  <si>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</si>
  <si>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</si>
  <si>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</si>
  <si>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</si>
  <si>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</si>
  <si>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</si>
  <si>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</si>
  <si>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</si>
  <si>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</si>
  <si>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</si>
  <si>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</si>
  <si>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</si>
  <si>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</si>
  <si>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</si>
  <si>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</si>
  <si>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</si>
  <si>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出勤人數</t>
    <phoneticPr fontId="4" type="noConversion"/>
  </si>
  <si>
    <t>生產實績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</si>
  <si>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</si>
  <si>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</si>
  <si>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</si>
  <si>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</si>
  <si>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</si>
  <si>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</si>
  <si>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</si>
  <si>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</si>
  <si>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人時性</t>
    <phoneticPr fontId="4" type="noConversion"/>
  </si>
  <si>
    <t>人時性</t>
    <phoneticPr fontId="4" type="noConversion"/>
  </si>
  <si>
    <t>人數</t>
    <phoneticPr fontId="4" type="noConversion"/>
  </si>
  <si>
    <t>達成率平均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</si>
  <si>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</si>
  <si>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</si>
  <si>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</si>
  <si>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</si>
  <si>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</si>
  <si>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</si>
  <si>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</si>
  <si>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</si>
  <si>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</si>
  <si>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</si>
  <si>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</si>
  <si>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</si>
  <si>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</si>
  <si>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</si>
  <si>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</si>
  <si>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</si>
  <si>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</si>
  <si>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</si>
  <si>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</si>
  <si>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</si>
  <si>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</si>
  <si>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</si>
  <si>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</si>
  <si>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</si>
  <si>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</si>
  <si>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</si>
  <si>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</si>
  <si>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</si>
  <si>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</si>
  <si>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</si>
  <si>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</si>
  <si>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</si>
  <si>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</si>
  <si>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</si>
  <si>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</si>
  <si>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</si>
  <si>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</si>
  <si>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</si>
  <si>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</si>
  <si>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</si>
  <si>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</si>
  <si>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</si>
  <si>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</si>
  <si>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</si>
  <si>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</si>
  <si>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</si>
  <si>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</si>
  <si>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</si>
  <si>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</si>
  <si>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</si>
  <si>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</si>
  <si>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</si>
  <si>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</si>
  <si>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</si>
  <si>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</si>
  <si>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</si>
  <si>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</si>
  <si>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</si>
  <si>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</si>
  <si>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</si>
  <si>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</si>
  <si>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</si>
  <si>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</si>
  <si>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</si>
  <si>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</si>
  <si>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</si>
  <si>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</si>
  <si>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</si>
  <si>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</si>
  <si>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</si>
  <si>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</si>
  <si>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</si>
  <si>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</si>
  <si>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</si>
  <si>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</si>
  <si>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</si>
  <si>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</si>
  <si>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</si>
  <si>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</si>
  <si>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</si>
  <si>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</si>
  <si>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</si>
  <si>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</si>
  <si>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</si>
  <si>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</si>
  <si>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</si>
  <si>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</si>
  <si>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</si>
  <si>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</si>
  <si>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</si>
  <si>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</si>
  <si>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</si>
  <si>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</si>
  <si>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</si>
  <si>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人時性</t>
    <phoneticPr fontId="4" type="noConversion"/>
  </si>
  <si>
    <t>人時性</t>
    <phoneticPr fontId="4" type="noConversion"/>
  </si>
  <si>
    <t>人時性</t>
    <phoneticPr fontId="4" type="noConversion"/>
  </si>
  <si>
    <t>休息時間</t>
    <phoneticPr fontId="4" type="noConversion"/>
  </si>
  <si>
    <t>產線異常統計
(5分鐘以上)</t>
    <phoneticPr fontId="4" type="noConversion"/>
  </si>
  <si>
    <t>達成率</t>
    <phoneticPr fontId="4" type="noConversion"/>
  </si>
  <si>
    <t>達成率平均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</si>
  <si>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</si>
  <si>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</si>
  <si>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</si>
  <si>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</si>
  <si>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</si>
  <si>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</si>
  <si>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</si>
  <si>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</si>
  <si>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</si>
  <si>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</si>
  <si>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</si>
  <si>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</si>
  <si>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</si>
  <si>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</si>
  <si>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</si>
  <si>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</si>
  <si>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</si>
  <si>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</si>
  <si>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</si>
  <si>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</si>
  <si>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</si>
  <si>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</si>
  <si>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</si>
  <si>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</si>
  <si>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</si>
  <si>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</si>
  <si>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</si>
  <si>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</si>
  <si>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</si>
  <si>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</si>
  <si>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</si>
  <si>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</si>
  <si>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</si>
  <si>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</si>
  <si>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</si>
  <si>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</si>
  <si>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</si>
  <si>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</si>
  <si>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</si>
  <si>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</si>
  <si>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</si>
  <si>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</si>
  <si>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</si>
  <si>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</si>
  <si>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</si>
  <si>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</si>
  <si>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</si>
  <si>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</si>
  <si>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</si>
  <si>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</si>
  <si>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</si>
  <si>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</si>
  <si>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</si>
  <si>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</si>
  <si>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</si>
  <si>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</si>
  <si>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</si>
  <si>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</si>
  <si>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</si>
  <si>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</si>
  <si>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</si>
  <si>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</si>
  <si>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</si>
  <si>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</si>
  <si>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</si>
  <si>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</si>
  <si>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</si>
  <si>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</si>
  <si>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</si>
  <si>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合計
時間/分</t>
    <phoneticPr fontId="3" type="noConversion"/>
  </si>
  <si>
    <t>合計
設備次數</t>
    <phoneticPr fontId="3" type="noConversion"/>
  </si>
  <si>
    <t>線別</t>
    <phoneticPr fontId="3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</si>
  <si>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</si>
  <si>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</si>
  <si>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</si>
  <si>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</si>
  <si>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</si>
  <si>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</si>
  <si>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</si>
  <si>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</si>
  <si>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</si>
  <si>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</si>
  <si>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</si>
  <si>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</si>
  <si>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</si>
  <si>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</si>
  <si>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</si>
  <si>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</si>
  <si>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</si>
  <si>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</si>
  <si>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</si>
  <si>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</si>
  <si>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</si>
  <si>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</si>
  <si>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</si>
  <si>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</si>
  <si>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</si>
  <si>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</si>
  <si>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</si>
  <si>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</si>
  <si>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</si>
  <si>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</si>
  <si>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</si>
  <si>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</si>
  <si>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</si>
  <si>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</si>
  <si>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</si>
  <si>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</si>
  <si>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</si>
  <si>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</si>
  <si>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</si>
  <si>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</si>
  <si>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</si>
  <si>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</si>
  <si>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</si>
  <si>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</si>
  <si>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</si>
  <si>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</si>
  <si>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</si>
  <si>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</si>
  <si>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</si>
  <si>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</si>
  <si>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</si>
  <si>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</si>
  <si>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</si>
  <si>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</si>
  <si>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</si>
  <si>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</si>
  <si>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</si>
  <si>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</si>
  <si>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</si>
  <si>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</si>
  <si>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</si>
  <si>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</si>
  <si>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</si>
  <si>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</si>
  <si>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</si>
  <si>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</si>
  <si>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</si>
  <si>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</si>
  <si>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</si>
  <si>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</si>
  <si>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</si>
  <si>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</si>
  <si>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</si>
  <si>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</si>
  <si>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</si>
  <si>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</si>
  <si>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</si>
  <si>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</si>
  <si>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</si>
  <si>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</si>
  <si>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</si>
  <si>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</si>
  <si>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</si>
  <si>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</si>
  <si>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</si>
  <si>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</si>
  <si>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</si>
  <si>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</si>
  <si>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</si>
  <si>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</si>
  <si>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</si>
  <si>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</si>
  <si>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</si>
  <si>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</si>
  <si>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</si>
  <si>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</si>
  <si>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</si>
  <si>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</si>
  <si>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</si>
  <si>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</si>
  <si>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</si>
  <si>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</si>
  <si>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</si>
  <si>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</si>
  <si>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</si>
  <si>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</si>
  <si>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</si>
  <si>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</si>
  <si>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</si>
  <si>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</si>
  <si>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</si>
  <si>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</si>
  <si>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</si>
  <si>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</si>
  <si>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</si>
  <si>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</si>
  <si>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</si>
  <si>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</si>
  <si>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</si>
  <si>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</si>
  <si>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</si>
  <si>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</si>
  <si>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</si>
  <si>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</si>
  <si>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</si>
  <si>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</si>
  <si>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</si>
  <si>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</si>
  <si>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</si>
  <si>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</si>
  <si>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</si>
  <si>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</si>
  <si>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</si>
  <si>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</si>
  <si>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</si>
  <si>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</si>
  <si>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</si>
  <si>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</si>
  <si>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</si>
  <si>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</si>
  <si>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</si>
  <si>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</si>
  <si>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</si>
  <si>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</si>
  <si>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</si>
  <si>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</si>
  <si>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</si>
  <si>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</si>
  <si>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</si>
  <si>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</si>
  <si>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</si>
  <si>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</si>
  <si>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</si>
  <si>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</si>
  <si>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</si>
  <si>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</si>
  <si>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</si>
  <si>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</si>
  <si>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</si>
  <si>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</si>
  <si>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</si>
  <si>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</si>
  <si>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</si>
  <si>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</si>
  <si>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</si>
  <si>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</si>
  <si>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</si>
  <si>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</si>
  <si>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</si>
  <si>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</si>
  <si>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</si>
  <si>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</si>
  <si>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</si>
  <si>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</si>
  <si>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</si>
  <si>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</si>
  <si>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</si>
  <si>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</si>
  <si>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</si>
  <si>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</si>
  <si>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</si>
  <si>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</si>
  <si>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</si>
  <si>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</si>
  <si>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</si>
  <si>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</si>
  <si>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</si>
  <si>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</si>
  <si>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</si>
  <si>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</si>
  <si>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</si>
  <si>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</si>
  <si>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</si>
  <si>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</si>
  <si>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</si>
  <si>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</si>
  <si>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</si>
  <si>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</si>
  <si>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</si>
  <si>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</si>
  <si>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</si>
  <si>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</si>
  <si>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</si>
  <si>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</si>
  <si>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</si>
  <si>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</si>
  <si>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</si>
  <si>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</si>
  <si>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</si>
  <si>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</si>
  <si>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</si>
  <si>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</si>
  <si>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</si>
  <si>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</si>
  <si>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</si>
  <si>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</si>
  <si>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</si>
  <si>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</si>
  <si>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</si>
  <si>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</si>
  <si>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</si>
  <si>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</si>
  <si>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</si>
  <si>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</si>
  <si>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</si>
  <si>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</si>
  <si>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</si>
  <si>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</si>
  <si>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</si>
  <si>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</si>
  <si>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</si>
  <si>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</si>
  <si>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</si>
  <si>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</si>
  <si>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</si>
  <si>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</si>
  <si>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</si>
  <si>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</si>
  <si>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</si>
  <si>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</si>
  <si>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</si>
  <si>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</si>
  <si>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</si>
  <si>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</si>
  <si>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</si>
  <si>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</si>
  <si>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</si>
  <si>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</si>
  <si>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</si>
  <si>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</si>
  <si>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</si>
  <si>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</si>
  <si>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</si>
  <si>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</si>
  <si>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</si>
  <si>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</si>
  <si>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</si>
  <si>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</si>
  <si>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</si>
  <si>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</si>
  <si>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</si>
  <si>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</si>
  <si>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</si>
  <si>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</si>
  <si>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</si>
  <si>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</si>
  <si>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</si>
  <si>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</si>
  <si>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</si>
  <si>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</si>
  <si>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</si>
  <si>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</si>
  <si>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</si>
  <si>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</si>
  <si>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</si>
  <si>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</si>
  <si>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</si>
  <si>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</si>
  <si>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</si>
  <si>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</si>
  <si>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</si>
  <si>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</si>
  <si>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</si>
  <si>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</si>
  <si>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</si>
  <si>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</si>
  <si>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</si>
  <si>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</si>
  <si>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</si>
  <si>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</si>
  <si>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</si>
  <si>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</si>
  <si>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</si>
  <si>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</si>
  <si>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</si>
  <si>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</si>
  <si>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</si>
  <si>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</si>
  <si>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</si>
  <si>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</si>
  <si>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</si>
  <si>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</si>
  <si>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</si>
  <si>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</si>
  <si>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</si>
  <si>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</si>
  <si>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</si>
  <si>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</si>
  <si>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</si>
  <si>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</si>
  <si>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</si>
  <si>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</si>
  <si>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</si>
  <si>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</si>
  <si>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</si>
  <si>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</si>
  <si>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</si>
  <si>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</si>
  <si>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</si>
  <si>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</si>
  <si>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</si>
  <si>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</si>
  <si>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</si>
  <si>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</si>
  <si>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</si>
  <si>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</si>
  <si>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</si>
  <si>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</si>
  <si>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</si>
  <si>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</si>
  <si>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</si>
  <si>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</si>
  <si>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</si>
  <si>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</si>
  <si>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</si>
  <si>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</si>
  <si>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</si>
  <si>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</si>
  <si>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</si>
  <si>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</si>
  <si>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</si>
  <si>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</si>
  <si>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</si>
  <si>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</si>
  <si>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</si>
  <si>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</si>
  <si>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</si>
  <si>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</si>
  <si>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</si>
  <si>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</si>
  <si>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</si>
  <si>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</si>
  <si>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</si>
  <si>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</si>
  <si>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</si>
  <si>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</si>
  <si>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</si>
  <si>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</si>
  <si>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</si>
  <si>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</si>
  <si>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</si>
  <si>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</si>
  <si>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</si>
  <si>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</si>
  <si>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</si>
  <si>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</si>
  <si>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</si>
  <si>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</si>
  <si>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</si>
  <si>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</si>
  <si>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</si>
  <si>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</si>
  <si>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</si>
  <si>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</si>
  <si>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</si>
  <si>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</si>
  <si>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</si>
  <si>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</si>
  <si>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</si>
  <si>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</si>
  <si>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</si>
  <si>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</si>
  <si>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</si>
  <si>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</si>
  <si>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</si>
  <si>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</si>
  <si>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</si>
  <si>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</si>
  <si>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</si>
  <si>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</si>
  <si>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</si>
  <si>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</si>
  <si>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</si>
  <si>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</si>
  <si>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</si>
  <si>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</si>
  <si>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</si>
  <si>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</si>
  <si>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</si>
  <si>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</si>
  <si>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</si>
  <si>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</si>
  <si>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</si>
  <si>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</si>
  <si>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</si>
  <si>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</si>
  <si>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</si>
  <si>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</si>
  <si>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</si>
  <si>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</si>
  <si>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品類</t>
    <phoneticPr fontId="4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</si>
  <si>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</si>
  <si>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</si>
  <si>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</si>
  <si>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</si>
  <si>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人數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</si>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</sst>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77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178" fontId="12" fillId="0" borderId="7" xfId="2" applyNumberFormat="1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1" xfId="1" applyFont="1" applyFill="1" applyBorder="1" applyAlignment="1">
      <alignment horizontal="center"/>
    </xf>
    <xf numFmtId="177" fontId="6" fillId="0" borderId="1" xfId="1" applyNumberFormat="1" applyFont="1" applyFill="1" applyBorder="1" applyAlignment="1">
      <alignment horizontal="center" vertical="center"/>
    </xf>
    <xf numFmtId="3" fontId="6" fillId="0" borderId="1" xfId="1" applyNumberFormat="1" applyFont="1" applyFill="1" applyBorder="1" applyAlignment="1">
      <alignment horizontal="center" vertical="center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182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 wrapText="1"/>
    </xf>
    <xf numFmtId="178" fontId="12" fillId="0" borderId="7" xfId="2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176" fontId="27" fillId="0" borderId="6" xfId="1" applyNumberFormat="1" applyFont="1" applyFill="1" applyBorder="1">
      <alignment vertical="center"/>
    </xf>
    <xf numFmtId="176" fontId="27" fillId="0" borderId="5" xfId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76" fontId="2" fillId="15" borderId="5" xfId="1" applyNumberFormat="1" applyFont="1" applyFill="1" applyBorder="1" applyAlignment="1">
      <alignment horizontal="left" vertical="center"/>
    </xf>
    <xf numFmtId="176" fontId="2" fillId="15" borderId="6" xfId="1" applyNumberFormat="1" applyFont="1" applyFill="1" applyBorder="1">
      <alignment vertical="center"/>
    </xf>
    <xf numFmtId="0" fontId="6" fillId="15" borderId="1" xfId="1" applyFont="1" applyFill="1" applyBorder="1" applyAlignment="1">
      <alignment horizontal="center" vertical="center"/>
    </xf>
    <xf numFmtId="0" fontId="6" fillId="15" borderId="1" xfId="1" applyFont="1" applyFill="1" applyBorder="1" applyAlignment="1">
      <alignment horizontal="center"/>
    </xf>
    <xf numFmtId="0" fontId="6" fillId="15" borderId="1" xfId="1" applyFont="1" applyFill="1" applyBorder="1" applyAlignment="1">
      <alignment horizontal="center" vertical="center" wrapText="1"/>
    </xf>
    <xf numFmtId="1" fontId="6" fillId="15" borderId="1" xfId="1" applyNumberFormat="1" applyFont="1" applyFill="1" applyBorder="1" applyAlignment="1">
      <alignment horizontal="center" vertical="center"/>
    </xf>
    <xf numFmtId="181" fontId="6" fillId="15" borderId="1" xfId="1" applyNumberFormat="1" applyFont="1" applyFill="1" applyBorder="1" applyAlignment="1">
      <alignment horizontal="center" vertical="center"/>
    </xf>
    <xf numFmtId="0" fontId="6" fillId="15" borderId="1" xfId="1" applyFont="1" applyFill="1" applyBorder="1" applyAlignment="1"/>
    <xf numFmtId="177" fontId="6" fillId="15" borderId="1" xfId="1" applyNumberFormat="1" applyFont="1" applyFill="1" applyBorder="1" applyAlignment="1">
      <alignment horizontal="center" vertical="center"/>
    </xf>
    <xf numFmtId="0" fontId="6" fillId="15" borderId="5" xfId="1" applyFont="1" applyFill="1" applyBorder="1" applyAlignment="1">
      <alignment horizontal="left"/>
    </xf>
    <xf numFmtId="0" fontId="6" fillId="15" borderId="6" xfId="1" applyFont="1" applyFill="1" applyBorder="1" applyAlignment="1">
      <alignment horizontal="left"/>
    </xf>
    <xf numFmtId="0" fontId="6" fillId="15" borderId="6" xfId="1" applyFont="1" applyFill="1" applyBorder="1" applyAlignment="1"/>
    <xf numFmtId="3" fontId="6" fillId="15" borderId="1" xfId="1" applyNumberFormat="1" applyFont="1" applyFill="1" applyBorder="1" applyAlignment="1">
      <alignment horizontal="center" vertical="center"/>
    </xf>
    <xf numFmtId="0" fontId="6" fillId="15" borderId="5" xfId="1" applyFont="1" applyFill="1" applyBorder="1" applyAlignment="1">
      <alignment horizontal="left" vertical="center"/>
    </xf>
    <xf numFmtId="0" fontId="6" fillId="15" borderId="6" xfId="1" applyFont="1" applyFill="1" applyBorder="1" applyAlignment="1">
      <alignment horizontal="left" vertical="center"/>
    </xf>
    <xf numFmtId="0" fontId="6" fillId="15" borderId="0" xfId="1" applyFont="1" applyFill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 wrapText="1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15" borderId="1" xfId="1" applyFont="1" applyFill="1" applyBorder="1" applyAlignment="1">
      <alignment horizontal="left" vertical="center"/>
    </xf>
    <xf numFmtId="0" fontId="6" fillId="15" borderId="5" xfId="1" applyFont="1" applyFill="1" applyBorder="1" applyAlignment="1"/>
    <xf numFmtId="0" fontId="6" fillId="15" borderId="6" xfId="1" applyFont="1" applyFill="1" applyBorder="1" applyAlignment="1"/>
    <xf numFmtId="0" fontId="6" fillId="15" borderId="5" xfId="1" applyFont="1" applyFill="1" applyBorder="1" applyAlignment="1">
      <alignment horizontal="left" vertical="center"/>
    </xf>
    <xf numFmtId="0" fontId="6" fillId="15" borderId="6" xfId="1" applyFont="1" applyFill="1" applyBorder="1" applyAlignment="1">
      <alignment horizontal="left" vertical="center"/>
    </xf>
    <xf numFmtId="0" fontId="6" fillId="15" borderId="1" xfId="1" applyFont="1" applyFill="1" applyBorder="1" applyAlignment="1"/>
    <xf numFmtId="0" fontId="6" fillId="15" borderId="1" xfId="1" applyFont="1" applyFill="1" applyBorder="1" applyAlignment="1">
      <alignment horizontal="left"/>
    </xf>
    <xf numFmtId="0" fontId="6" fillId="15" borderId="5" xfId="1" applyFont="1" applyFill="1" applyBorder="1" applyAlignment="1">
      <alignment horizontal="left"/>
    </xf>
    <xf numFmtId="0" fontId="6" fillId="15" borderId="6" xfId="1" applyFont="1" applyFill="1" applyBorder="1" applyAlignment="1">
      <alignment horizontal="left"/>
    </xf>
    <xf numFmtId="0" fontId="6" fillId="15" borderId="5" xfId="3" applyFont="1" applyFill="1" applyBorder="1" applyAlignment="1">
      <alignment horizontal="left"/>
    </xf>
    <xf numFmtId="0" fontId="6" fillId="15" borderId="6" xfId="3" applyFont="1" applyFill="1" applyBorder="1" applyAlignment="1">
      <alignment horizontal="left"/>
    </xf>
    <xf numFmtId="0" fontId="6" fillId="15" borderId="1" xfId="1" applyFont="1" applyFill="1" applyBorder="1" applyAlignment="1">
      <alignment horizontal="center" vertical="center"/>
    </xf>
    <xf numFmtId="0" fontId="6" fillId="15" borderId="1" xfId="3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 wrapText="1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2126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activeCell="P11" sqref="P11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2648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596" t="str">
        <f>TEXT('0928 4度C'!A2,"yyyy.mm.ddaaaa")</f>
        <v>2026.09.28星期一</v>
      </c>
      <c r="D3" s="597"/>
      <c r="E3" s="39" t="s">
        <v>2649</v>
      </c>
      <c r="F3" s="598">
        <f>'0928 4度C'!D1</f>
        <v>189843</v>
      </c>
      <c r="G3" s="599"/>
      <c r="H3" s="39" t="s">
        <v>2650</v>
      </c>
      <c r="I3" s="600">
        <f>'0928 4度C'!F1</f>
        <v>6454757.6100000013</v>
      </c>
      <c r="J3" s="601"/>
      <c r="K3" s="40"/>
      <c r="L3" s="41"/>
      <c r="M3" s="42"/>
      <c r="N3" s="42"/>
    </row>
    <row r="4" spans="2:17" ht="28.5" customHeight="1">
      <c r="B4" s="602" t="s">
        <v>2651</v>
      </c>
      <c r="C4" s="588" t="s">
        <v>2652</v>
      </c>
      <c r="D4" s="589"/>
      <c r="E4" s="605" t="s">
        <v>2653</v>
      </c>
      <c r="F4" s="606"/>
      <c r="G4" s="605" t="s">
        <v>2654</v>
      </c>
      <c r="H4" s="606"/>
      <c r="I4" s="605" t="s">
        <v>2655</v>
      </c>
      <c r="J4" s="606"/>
      <c r="K4" s="586" t="s">
        <v>2656</v>
      </c>
      <c r="L4" s="587"/>
      <c r="M4" s="587" t="s">
        <v>2657</v>
      </c>
      <c r="N4" s="587"/>
    </row>
    <row r="5" spans="2:17" ht="28.5" customHeight="1">
      <c r="B5" s="603"/>
      <c r="C5" s="588" t="s">
        <v>2658</v>
      </c>
      <c r="D5" s="589"/>
      <c r="E5" s="588" t="s">
        <v>2659</v>
      </c>
      <c r="F5" s="589"/>
      <c r="G5" s="590" t="s">
        <v>2660</v>
      </c>
      <c r="H5" s="591"/>
      <c r="I5" s="592" t="s">
        <v>2661</v>
      </c>
      <c r="J5" s="593"/>
      <c r="K5" s="43" t="s">
        <v>2662</v>
      </c>
      <c r="L5" s="44" t="s">
        <v>2663</v>
      </c>
      <c r="M5" s="43" t="s">
        <v>2662</v>
      </c>
      <c r="N5" s="44" t="s">
        <v>2664</v>
      </c>
    </row>
    <row r="6" spans="2:17" ht="28.5" customHeight="1">
      <c r="B6" s="603"/>
      <c r="C6" s="588" t="s">
        <v>56</v>
      </c>
      <c r="D6" s="589"/>
      <c r="E6" s="580">
        <f>AVERAGE(D13:M13)</f>
        <v>150.27499156419643</v>
      </c>
      <c r="F6" s="581">
        <f>AVERAGE(D31:O31,D13:J13)</f>
        <v>155.49950313954369</v>
      </c>
      <c r="G6" s="582">
        <f>AVERAGE(D13:J13)</f>
        <v>155.49950313954369</v>
      </c>
      <c r="H6" s="583"/>
      <c r="I6" s="582">
        <f>AVERAGE(K13:M13)</f>
        <v>138.08446455505279</v>
      </c>
      <c r="J6" s="583"/>
      <c r="K6" s="584">
        <f>'0928 4度C'!Y2</f>
        <v>0</v>
      </c>
      <c r="L6" s="569">
        <f>'0928 4度C'!Z2</f>
        <v>0</v>
      </c>
      <c r="M6" s="585">
        <f>'0928 4度C'!AC2</f>
        <v>60</v>
      </c>
      <c r="N6" s="569">
        <f>'0928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144.1136235485522</v>
      </c>
      <c r="F7" s="573">
        <f>AVERAGE(D32:O32,D14:J14)</f>
        <v>149.15210500242003</v>
      </c>
      <c r="G7" s="574">
        <f>AVERAGE(D14:J14)</f>
        <v>149.15210500242003</v>
      </c>
      <c r="H7" s="575"/>
      <c r="I7" s="574">
        <f>AVERAGE(K14:M14)</f>
        <v>132.35716682286059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0.95879388183004099</v>
      </c>
      <c r="F8" s="577">
        <f>AVERAGE(D15:J15,D33:O33)</f>
        <v>0.95893061117426204</v>
      </c>
      <c r="G8" s="578">
        <f>AVERAGE(D15:J15)</f>
        <v>0.95893061117426204</v>
      </c>
      <c r="H8" s="579"/>
      <c r="I8" s="578">
        <f>AVERAGE(K15:M15)</f>
        <v>0.95847484669352545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2665</v>
      </c>
      <c r="N9" s="42"/>
      <c r="O9" s="42"/>
      <c r="P9" s="42"/>
      <c r="Q9" s="42"/>
    </row>
    <row r="10" spans="2:17" ht="30" customHeight="1">
      <c r="B10" s="552" t="s">
        <v>2666</v>
      </c>
      <c r="C10" s="553"/>
      <c r="D10" s="554" t="s">
        <v>2667</v>
      </c>
      <c r="E10" s="555"/>
      <c r="F10" s="555"/>
      <c r="G10" s="555"/>
      <c r="H10" s="555"/>
      <c r="I10" s="555"/>
      <c r="J10" s="556"/>
      <c r="K10" s="557" t="s">
        <v>2668</v>
      </c>
      <c r="L10" s="558"/>
      <c r="M10" s="559"/>
      <c r="P10" s="48"/>
      <c r="Q10" s="48"/>
    </row>
    <row r="11" spans="2:17" ht="17.25" customHeight="1">
      <c r="B11" s="560" t="s">
        <v>2669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2670</v>
      </c>
      <c r="C13" s="55" t="s">
        <v>2671</v>
      </c>
      <c r="D13" s="56">
        <f>SUMIFS('0928 4度C'!$K:$K,'0928 4度C'!$A:$A,"新豐6線",'0928 4度C'!$B:$B,"平均")</f>
        <v>129.03225806451613</v>
      </c>
      <c r="E13" s="57">
        <f>SUMIFS('0928 4度C'!$K:$K,'0928 4度C'!$A:$A,"新豐2線",'0928 4度C'!$B:$B,"平均")</f>
        <v>83.333333333333329</v>
      </c>
      <c r="F13" s="58">
        <f>SUMIFS('0928 4度C'!$K:$K,'0928 4度C'!$A:$A,"新豐5線",'0928 4度C'!$B:$B,"平均")</f>
        <v>104.99999999999999</v>
      </c>
      <c r="G13" s="58">
        <f>SUMIFS('0928 4度C'!$K:$K,'0928 4度C'!$A:$A,"新豐7線",'0928 4度C'!$B:$B,"平均")</f>
        <v>125</v>
      </c>
      <c r="H13" s="58">
        <f>SUMIFS('0928 4度C'!$K:$K,'0928 4度C'!$A:$A,"新豐3線",'0928 4度C'!$B:$B,"平均")</f>
        <v>242.42424242424241</v>
      </c>
      <c r="I13" s="58">
        <f>SUMIFS('0928 4度C'!$K:$K,'0928 4度C'!$A:$A,"新豐1線",'0928 4度C'!$B:$B,"平均")</f>
        <v>109.58904109589041</v>
      </c>
      <c r="J13" s="59">
        <f>SUMIFS('0928 4度C'!$K:$K,'0928 4度C'!$A:$A,"新豐10線",'0928 4度C'!$B:$B,"平均")</f>
        <v>294.11764705882354</v>
      </c>
      <c r="K13" s="60">
        <f>SUMIFS('0928 4度C'!$K:$K,'0928 4度C'!$A:$A,"新豐8線",'0928 4度C'!$B:$B,"平均")</f>
        <v>141.1764705882353</v>
      </c>
      <c r="L13" s="61">
        <f>SUMIFS('0928 4度C'!$K:$K,'0928 4度C'!$A:$A,"新豐9線",'0928 4度C'!$B:$B,"平均")</f>
        <v>123.07692307692308</v>
      </c>
      <c r="M13" s="59">
        <f>SUMIFS('0928 4度C'!$K:$K,'0928 4度C'!$A:$A,"新豐4線",'0928 4度C'!$B:$B,"平均")</f>
        <v>150</v>
      </c>
    </row>
    <row r="14" spans="2:17" ht="39.6" customHeight="1">
      <c r="B14" s="565"/>
      <c r="C14" s="62" t="s">
        <v>2672</v>
      </c>
      <c r="D14" s="63">
        <f>SUMIFS('0928 4度C'!$N:$N,'0928 4度C'!$A:$A,"新豐6線",'0928 4度C'!$B:$B,"平均")</f>
        <v>124.09132526242763</v>
      </c>
      <c r="E14" s="64">
        <f>SUMIFS('0928 4度C'!$N:$N,'0928 4度C'!$A:$A,"新豐2線",'0928 4度C'!$B:$B,"平均")</f>
        <v>79.361315861315859</v>
      </c>
      <c r="F14" s="64">
        <f>SUMIFS('0928 4度C'!$N:$N,'0928 4度C'!$A:$A,"新豐5線",'0928 4度C'!$B:$B,"平均")</f>
        <v>100.78582074762667</v>
      </c>
      <c r="G14" s="64">
        <f>SUMIFS('0928 4度C'!$N:$N,'0928 4度C'!$A:$A,"新豐7線",'0928 4度C'!$B:$B,"平均")</f>
        <v>120.16999083043352</v>
      </c>
      <c r="H14" s="64">
        <f>SUMIFS('0928 4度C'!$N:$N,'0928 4度C'!$A:$A,"新豐3線",'0928 4度C'!$B:$B,"平均")</f>
        <v>231.84100662232152</v>
      </c>
      <c r="I14" s="64">
        <f>SUMIFS('0928 4度C'!$N:$N,'0928 4度C'!$A:$A,"新豐1線",'0928 4度C'!$B:$B,"平均")</f>
        <v>105.21043515858638</v>
      </c>
      <c r="J14" s="65">
        <f>SUMIFS('0928 4度C'!$N:$N,'0928 4度C'!$A:$A,"新豐10線",'0928 4度C'!$B:$B,"平均")</f>
        <v>282.60484053422869</v>
      </c>
      <c r="K14" s="66">
        <f>SUMIFS('0928 4度C'!$N:$N,'0928 4度C'!$A:$A,"新豐8線",'0928 4度C'!$B:$B,"平均")</f>
        <v>134.84569033580033</v>
      </c>
      <c r="L14" s="67">
        <f>SUMIFS('0928 4度C'!$N:$N,'0928 4度C'!$A:$A,"新豐9線",'0928 4度C'!$B:$B,"平均")</f>
        <v>118.00834238864988</v>
      </c>
      <c r="M14" s="65">
        <f>SUMIFS('0928 4度C'!$N:$N,'0928 4度C'!$A:$A,"新豐4線",'0928 4度C'!$B:$B,"平均")</f>
        <v>144.21746774413157</v>
      </c>
    </row>
    <row r="15" spans="2:17" ht="40.15" customHeight="1">
      <c r="B15" s="566"/>
      <c r="C15" s="68" t="s">
        <v>2673</v>
      </c>
      <c r="D15" s="69">
        <f t="shared" ref="D15:M15" si="0">D14/D13</f>
        <v>0.9617077707838142</v>
      </c>
      <c r="E15" s="70">
        <f t="shared" si="0"/>
        <v>0.95233579033579041</v>
      </c>
      <c r="F15" s="70">
        <f t="shared" si="0"/>
        <v>0.95986495950120654</v>
      </c>
      <c r="G15" s="70">
        <f t="shared" si="0"/>
        <v>0.96135992664346814</v>
      </c>
      <c r="H15" s="70">
        <f t="shared" si="0"/>
        <v>0.95634415231707637</v>
      </c>
      <c r="I15" s="70">
        <f t="shared" si="0"/>
        <v>0.96004522082210075</v>
      </c>
      <c r="J15" s="71">
        <f t="shared" si="0"/>
        <v>0.96085645781637752</v>
      </c>
      <c r="K15" s="69">
        <f t="shared" si="0"/>
        <v>0.95515697321191895</v>
      </c>
      <c r="L15" s="70">
        <f t="shared" si="0"/>
        <v>0.95881778190778022</v>
      </c>
      <c r="M15" s="71">
        <f t="shared" si="0"/>
        <v>0.96144978496087707</v>
      </c>
    </row>
    <row r="16" spans="2:17" ht="17.25" customHeight="1">
      <c r="B16" s="567" t="s">
        <v>114</v>
      </c>
      <c r="C16" s="72" t="s">
        <v>2674</v>
      </c>
      <c r="D16" s="73">
        <f>VLOOKUP("新豐6線",'0928 4度C'!$A:$T,19,0)</f>
        <v>0.70833333333333337</v>
      </c>
      <c r="E16" s="74">
        <f>VLOOKUP("新豐2線",'0928 4度C'!$A:$T,19,0)</f>
        <v>8.3333333333333329E-2</v>
      </c>
      <c r="F16" s="74">
        <f>VLOOKUP("新豐5線",'0928 4度C'!$A:$T,19,0)</f>
        <v>0.20833333333333334</v>
      </c>
      <c r="G16" s="74">
        <f>VLOOKUP("新豐7線",'0928 4度C'!$A:$T,19,0)</f>
        <v>0.25</v>
      </c>
      <c r="H16" s="74">
        <f>VLOOKUP("新豐3線",'0928 4度C'!$A:$T,19,0)</f>
        <v>0.20833333333333334</v>
      </c>
      <c r="I16" s="74">
        <f>VLOOKUP("新豐1線",'0928 4度C'!$A:$T,19,0)</f>
        <v>0.20833333333333334</v>
      </c>
      <c r="J16" s="75">
        <f>VLOOKUP("新豐10線",'0928 4度C'!$A:$T,19,0)</f>
        <v>0.20833333333333334</v>
      </c>
      <c r="K16" s="76">
        <f>VLOOKUP("新豐8線",'0928 4度C'!$A:$T,19,0)</f>
        <v>8.3333333333333329E-2</v>
      </c>
      <c r="L16" s="77">
        <f>VLOOKUP("新豐9線",'0928 4度C'!$A:$T,19,0)</f>
        <v>8.3333333333333329E-2</v>
      </c>
      <c r="M16" s="78">
        <f>VLOOKUP("新豐4線",'0928 4度C'!$A:$T,19,0)</f>
        <v>8.3333333333333329E-2</v>
      </c>
    </row>
    <row r="17" spans="2:13" ht="17.25" customHeight="1">
      <c r="B17" s="568"/>
      <c r="C17" s="72" t="s">
        <v>2675</v>
      </c>
      <c r="D17" s="76">
        <f>LOOKUP(2,1/(('0928 4度C'!$A:$A="新豐6線")*('0928 4度C'!$T:$T&lt;&gt;"")),'0928 4度C'!$T:$T)</f>
        <v>0.91666666666666663</v>
      </c>
      <c r="E17" s="74">
        <f>LOOKUP(2,1/(('0928 4度C'!$A:$A="新豐2線")*('0928 4度C'!$T:$T&lt;&gt;"")),'0928 4度C'!$T:$T)</f>
        <v>0.48541666666666661</v>
      </c>
      <c r="F17" s="74">
        <f>LOOKUP(2,1/(('0928 4度C'!$A:$A="新豐5線")*('0928 4度C'!$T:$T&lt;&gt;"")),'0928 4度C'!$T:$T)</f>
        <v>0.83680555555555558</v>
      </c>
      <c r="G17" s="74">
        <f>LOOKUP(2,1/(('0928 4度C'!$A:$A="新豐7線")*('0928 4度C'!$T:$T&lt;&gt;"")),'0928 4度C'!$T:$T)</f>
        <v>0.91805555555555562</v>
      </c>
      <c r="H17" s="74">
        <f>LOOKUP(2,1/(('0928 4度C'!$A:$A="新豐3線")*('0928 4度C'!$T:$T&lt;&gt;"")),'0928 4度C'!$T:$T)</f>
        <v>0.49791666666666667</v>
      </c>
      <c r="I17" s="74">
        <f>LOOKUP(2,1/(('0928 4度C'!$A:$A="新豐1線")*('0928 4度C'!$T:$T&lt;&gt;"")),'0928 4度C'!$T:$T)</f>
        <v>0.85416666666666663</v>
      </c>
      <c r="J17" s="75">
        <f>LOOKUP(2,1/(('0928 4度C'!$A:$A="新豐10線")*('0928 4度C'!$T:$T&lt;&gt;"")),'0928 4度C'!$T:$T)</f>
        <v>0.48749999999999988</v>
      </c>
      <c r="K17" s="73">
        <f>LOOKUP(2,1/(('0928 4度C'!$A:$A="新豐8線")*('0928 4度C'!$T:$T&lt;&gt;"")),'0928 4度C'!$T:$T)</f>
        <v>0.7402777777777777</v>
      </c>
      <c r="L17" s="74">
        <f>LOOKUP(2,1/(('0928 4度C'!$A:$A="新豐9線")*('0928 4度C'!$T:$T&lt;&gt;"")),'0928 4度C'!$T:$T)</f>
        <v>0.75902777777777763</v>
      </c>
      <c r="M17" s="75">
        <f>LOOKUP(2,1/(('0928 4度C'!$A:$A="新豐4線")*('0928 4度C'!$T:$T&lt;&gt;"")),'0928 4度C'!$T:$T)</f>
        <v>0.7340277777777775</v>
      </c>
    </row>
    <row r="18" spans="2:13" ht="17.25" customHeight="1">
      <c r="B18" s="546" t="s">
        <v>117</v>
      </c>
      <c r="C18" s="79" t="s">
        <v>2676</v>
      </c>
      <c r="D18" s="80">
        <f>SUMIFS('0928 4度C'!$Y:$Y,'0928 4度C'!$A:$A,"新豐6線",'0928 4度C'!$B:$B,"平均")</f>
        <v>0</v>
      </c>
      <c r="E18" s="81">
        <f>SUMIFS('0928 4度C'!$Y:$Y,'0928 4度C'!$A:$A,"新豐2線",'0928 4度C'!$B:$B,"平均")</f>
        <v>0</v>
      </c>
      <c r="F18" s="81">
        <f>SUMIFS('0928 4度C'!$Y:$Y,'0928 4度C'!$A:$A,"新豐5線",'0928 4度C'!$B:$B,"平均")</f>
        <v>0</v>
      </c>
      <c r="G18" s="81">
        <f>SUMIFS('0928 4度C'!$Y:$Y,'0928 4度C'!$A:$A,"新豐7線",'0928 4度C'!$B:$B,"平均")</f>
        <v>0</v>
      </c>
      <c r="H18" s="81">
        <f>SUMIFS('0928 4度C'!$Y:$Y,'0928 4度C'!$A:$A,"新豐3線",'0928 4度C'!$B:$B,"平均")</f>
        <v>0</v>
      </c>
      <c r="I18" s="81">
        <f>SUMIFS('0928 4度C'!$Y:$Y,'0928 4度C'!$A:$A,"新豐1線",'0928 4度C'!$B:$B,"平均")</f>
        <v>0</v>
      </c>
      <c r="J18" s="82">
        <f>SUMIFS('0928 4度C'!$Y:$Y,'0928 4度C'!$A:$A,"新豐10線",'0928 4度C'!$B:$B,"平均")</f>
        <v>0</v>
      </c>
      <c r="K18" s="83">
        <f>SUMIFS('0928 4度C'!$Y:$Y,'0928 4度C'!$A:$A,"新豐8線",'0928 4度C'!$B:$B,"平均")</f>
        <v>0</v>
      </c>
      <c r="L18" s="81">
        <f>SUMIFS('0928 4度C'!$Y:$Y,'0928 4度C'!$A:$A,"新豐9線",'0928 4度C'!$B:$B,"平均")</f>
        <v>0</v>
      </c>
      <c r="M18" s="82">
        <f>SUMIFS('0928 4度C'!$Y:$Y,'0928 4度C'!$A:$A,"新豐4線",'0928 4度C'!$B:$B,"平均")</f>
        <v>0</v>
      </c>
    </row>
    <row r="19" spans="2:13" ht="17.25" customHeight="1">
      <c r="B19" s="547"/>
      <c r="C19" s="79" t="s">
        <v>2677</v>
      </c>
      <c r="D19" s="80">
        <f>SUMIFS('0928 4度C'!$Z:$Z,'0928 4度C'!$A:$A,"新豐6線",'0928 4度C'!$B:$B,"平均")</f>
        <v>0</v>
      </c>
      <c r="E19" s="81">
        <f>SUMIFS('0928 4度C'!$Z:$Z,'0928 4度C'!$A:$A,"新豐2線",'0928 4度C'!$B:$B,"平均")</f>
        <v>0</v>
      </c>
      <c r="F19" s="81">
        <f>SUMIFS('0928 4度C'!$Z:$Z,'0928 4度C'!$A:$A,"新豐5線",'0928 4度C'!$B:$B,"平均")</f>
        <v>0</v>
      </c>
      <c r="G19" s="81">
        <f>SUMIFS('0928 4度C'!$Z:$Z,'0928 4度C'!$A:$A,"新豐7線",'0928 4度C'!$B:$B,"平均")</f>
        <v>0</v>
      </c>
      <c r="H19" s="81">
        <f>SUMIFS('0928 4度C'!$Z:$Z,'0928 4度C'!$A:$A,"新豐3線",'0928 4度C'!$B:$B,"平均")</f>
        <v>0</v>
      </c>
      <c r="I19" s="81">
        <f>SUMIFS('0928 4度C'!$Z:$Z,'0928 4度C'!$A:$A,"新豐1線",'0928 4度C'!$B:$B,"平均")</f>
        <v>0</v>
      </c>
      <c r="J19" s="82">
        <f>SUMIFS('0928 4度C'!$Z:$Z,'0928 4度C'!$A:$A,"新豐10線",'0928 4度C'!$B:$B,"平均")</f>
        <v>0</v>
      </c>
      <c r="K19" s="83">
        <f>SUMIFS('0928 4度C'!$Z:$Z,'0928 4度C'!$A:$A,"新豐8線",'0928 4度C'!$B:$B,"平均")</f>
        <v>0</v>
      </c>
      <c r="L19" s="81">
        <f>SUMIFS('0928 4度C'!$Z:$Z,'0928 4度C'!$A:$A,"新豐9線",'0928 4度C'!$B:$B,"平均")</f>
        <v>0</v>
      </c>
      <c r="M19" s="82">
        <f>SUMIFS('0928 4度C'!$Z:$Z,'0928 4度C'!$A:$A,"新豐4線",'0928 4度C'!$B:$B,"平均")</f>
        <v>0</v>
      </c>
    </row>
    <row r="20" spans="2:13" ht="17.25" customHeight="1">
      <c r="B20" s="546" t="s">
        <v>2678</v>
      </c>
      <c r="C20" s="79" t="s">
        <v>2679</v>
      </c>
      <c r="D20" s="80">
        <f>SUMIFS('0928 4度C'!$AC:$AC,'0928 4度C'!$A:$A,"新豐6線",'0928 4度C'!$B:$B,"平均")</f>
        <v>4</v>
      </c>
      <c r="E20" s="81">
        <f>SUMIFS('0928 4度C'!$AC:$AC,'0928 4度C'!$A:$A,"新豐2線",'0928 4度C'!$B:$B,"平均")</f>
        <v>2</v>
      </c>
      <c r="F20" s="81">
        <f>SUMIFS('0928 4度C'!$AC:$AC,'0928 4度C'!$A:$A,"新豐5線",'0928 4度C'!$B:$B,"平均")</f>
        <v>6</v>
      </c>
      <c r="G20" s="81">
        <f>SUMIFS('0928 4度C'!$AC:$AC,'0928 4度C'!$A:$A,"新豐7線",'0928 4度C'!$B:$B,"平均")</f>
        <v>7</v>
      </c>
      <c r="H20" s="81">
        <f>SUMIFS('0928 4度C'!$AC:$AC,'0928 4度C'!$A:$A,"新豐3線",'0928 4度C'!$B:$B,"平均")</f>
        <v>3</v>
      </c>
      <c r="I20" s="81">
        <f>SUMIFS('0928 4度C'!$AC:$AC,'0928 4度C'!$A:$A,"新豐1線",'0928 4度C'!$B:$B,"平均")</f>
        <v>8</v>
      </c>
      <c r="J20" s="82">
        <f>SUMIFS('0928 4度C'!$AC:$AC,'0928 4度C'!$A:$A,"新豐10線",'0928 4度C'!$B:$B,"平均")</f>
        <v>5</v>
      </c>
      <c r="K20" s="83">
        <f>SUMIFS('0928 4度C'!$AC:$AC,'0928 4度C'!$A:$A,"新豐8線",'0928 4度C'!$B:$B,"平均")</f>
        <v>7</v>
      </c>
      <c r="L20" s="81">
        <f>SUMIFS('0928 4度C'!$AC:$AC,'0928 4度C'!$A:$A,"新豐9線",'0928 4度C'!$B:$B,"平均")</f>
        <v>8</v>
      </c>
      <c r="M20" s="82">
        <f>SUMIFS('0928 4度C'!$AC:$AC,'0928 4度C'!$A:$A,"新豐4線",'0928 4度C'!$B:$B,"平均")</f>
        <v>10</v>
      </c>
    </row>
    <row r="21" spans="2:13" ht="17.25" customHeight="1">
      <c r="B21" s="547"/>
      <c r="C21" s="79" t="s">
        <v>2680</v>
      </c>
      <c r="D21" s="80">
        <f>SUMIFS('0928 4度C'!$AD:$AD,'0928 4度C'!$A:$A,"新豐6線",'0928 4度C'!$B:$B,"平均")</f>
        <v>0</v>
      </c>
      <c r="E21" s="81">
        <f>SUMIFS('0928 4度C'!$AD:$AD,'0928 4度C'!$A:$A,"新豐2線",'0928 4度C'!$B:$B,"平均")</f>
        <v>0</v>
      </c>
      <c r="F21" s="81">
        <f>SUMIFS('0928 4度C'!$AD:$AD,'0928 4度C'!$A:$A,"新豐5線",'0928 4度C'!$B:$B,"平均")</f>
        <v>0</v>
      </c>
      <c r="G21" s="81">
        <f>SUMIFS('0928 4度C'!$AD:$AD,'0928 4度C'!$A:$A,"新豐7線",'0928 4度C'!$B:$B,"平均")</f>
        <v>0</v>
      </c>
      <c r="H21" s="81">
        <f>SUMIFS('0928 4度C'!$AD:$AD,'0928 4度C'!$A:$A,"新豐3線",'0928 4度C'!$B:$B,"平均")</f>
        <v>0</v>
      </c>
      <c r="I21" s="81">
        <f>SUMIFS('0928 4度C'!$AD:$AD,'0928 4度C'!$A:$A,"新豐1線",'0928 4度C'!$B:$B,"平均")</f>
        <v>0</v>
      </c>
      <c r="J21" s="82">
        <f>SUMIFS('0928 4度C'!$AD:$AD,'0928 4度C'!$A:$A,"新豐10線",'0928 4度C'!$B:$B,"平均")</f>
        <v>0</v>
      </c>
      <c r="K21" s="83">
        <f>SUMIFS('0928 4度C'!$AD:$AD,'0928 4度C'!$A:$A,"新豐8線",'0928 4度C'!$B:$B,"平均")</f>
        <v>0</v>
      </c>
      <c r="L21" s="81">
        <f>SUMIFS('0928 4度C'!$AD:$AD,'0928 4度C'!$A:$A,"新豐9線",'0928 4度C'!$B:$B,"平均")</f>
        <v>0</v>
      </c>
      <c r="M21" s="82">
        <f>SUMIFS('0928 4度C'!$AD:$AD,'0928 4度C'!$A:$A,"新豐4線",'0928 4度C'!$B:$B,"平均")</f>
        <v>0</v>
      </c>
    </row>
    <row r="22" spans="2:13" ht="17.25" customHeight="1">
      <c r="B22" s="548" t="s">
        <v>2681</v>
      </c>
      <c r="C22" s="549"/>
      <c r="D22" s="84">
        <f>SUMIFS('0928 4度C'!$I:$I,'0928 4度C'!$A:$A,"新豐6線",'0928 4度C'!$B:$B,"平均")</f>
        <v>15.5</v>
      </c>
      <c r="E22" s="85">
        <f>SUMIFS('0928 4度C'!$I:$I,'0928 4度C'!$A:$A,"新豐2線",'0928 4度C'!$B:$B,"平均")</f>
        <v>18</v>
      </c>
      <c r="F22" s="85">
        <f>SUMIFS('0928 4度C'!$I:$I,'0928 4度C'!$A:$A,"新豐5線",'0928 4度C'!$B:$B,"平均")</f>
        <v>16.666666666666668</v>
      </c>
      <c r="G22" s="85">
        <f>SUMIFS('0928 4度C'!$I:$I,'0928 4度C'!$A:$A,"新豐7線",'0928 4度C'!$B:$B,"平均")</f>
        <v>16</v>
      </c>
      <c r="H22" s="85">
        <f>SUMIFS('0928 4度C'!$I:$I,'0928 4度C'!$A:$A,"新豐3線",'0928 4度C'!$B:$B,"平均")</f>
        <v>11</v>
      </c>
      <c r="I22" s="85">
        <f>SUMIFS('0928 4度C'!$I:$I,'0928 4度C'!$A:$A,"新豐1線",'0928 4度C'!$B:$B,"平均")</f>
        <v>18.25</v>
      </c>
      <c r="J22" s="86">
        <f>SUMIFS('0928 4度C'!$I:$I,'0928 4度C'!$A:$A,"新豐10線",'0928 4度C'!$B:$B,"平均")</f>
        <v>10.199999999999999</v>
      </c>
      <c r="K22" s="84">
        <f>SUMIFS('0928 4度C'!$I:$I,'0928 4度C'!$A:$A,"新豐8線",'0928 4度C'!$B:$B,"平均")</f>
        <v>17</v>
      </c>
      <c r="L22" s="85">
        <f>SUMIFS('0928 4度C'!$I:$I,'0928 4度C'!$A:$A,"新豐9線",'0928 4度C'!$B:$B,"平均")</f>
        <v>17.875</v>
      </c>
      <c r="M22" s="86">
        <f>SUMIFS('0928 4度C'!$I:$I,'0928 4度C'!$A:$A,"新豐4線",'0928 4度C'!$B:$B,"平均")</f>
        <v>16</v>
      </c>
    </row>
    <row r="23" spans="2:13" ht="17.25" customHeight="1">
      <c r="B23" s="548" t="s">
        <v>2682</v>
      </c>
      <c r="C23" s="549"/>
      <c r="D23" s="87" t="s">
        <v>69</v>
      </c>
      <c r="E23" s="88" t="s">
        <v>70</v>
      </c>
      <c r="F23" s="88" t="s">
        <v>2683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2684</v>
      </c>
      <c r="L23" s="88" t="s">
        <v>2684</v>
      </c>
      <c r="M23" s="89" t="s">
        <v>2684</v>
      </c>
    </row>
    <row r="24" spans="2:13" ht="17.25" customHeight="1">
      <c r="B24" s="548" t="s">
        <v>2685</v>
      </c>
      <c r="C24" s="549"/>
      <c r="D24" s="87"/>
      <c r="E24" s="88"/>
      <c r="F24" s="88" t="s">
        <v>2686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2687</v>
      </c>
      <c r="C25" s="551"/>
      <c r="D25" s="90"/>
      <c r="E25" s="91" t="s">
        <v>2688</v>
      </c>
      <c r="F25" s="544" t="s">
        <v>129</v>
      </c>
      <c r="G25" s="545"/>
      <c r="H25" s="91" t="s">
        <v>2689</v>
      </c>
      <c r="I25" s="91" t="s">
        <v>2690</v>
      </c>
      <c r="J25" s="92" t="s">
        <v>2689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5"/>
  <sheetViews>
    <sheetView zoomScale="80" zoomScaleNormal="80" workbookViewId="0">
      <pane ySplit="4" topLeftCell="A38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2691</v>
      </c>
      <c r="B1" s="1"/>
      <c r="C1" s="2" t="s">
        <v>2692</v>
      </c>
      <c r="D1" s="3">
        <f>SUM(F5:F74)</f>
        <v>189843</v>
      </c>
      <c r="E1" s="530" t="s">
        <v>134</v>
      </c>
      <c r="F1" s="1">
        <f>SUM(G5:G74)</f>
        <v>6454757.6100000013</v>
      </c>
      <c r="G1" s="1" t="s">
        <v>135</v>
      </c>
      <c r="H1" s="4">
        <f>L9+L12+L48+L57+L19+L63+L35+L44+L27+L74</f>
        <v>156.49166666666667</v>
      </c>
      <c r="I1" s="660" t="s">
        <v>2693</v>
      </c>
      <c r="J1" s="660"/>
      <c r="K1" s="660"/>
      <c r="L1" s="660" t="s">
        <v>2694</v>
      </c>
      <c r="M1" s="660"/>
      <c r="N1" s="660"/>
      <c r="O1" s="660" t="s">
        <v>2695</v>
      </c>
      <c r="P1" s="660"/>
      <c r="Q1" s="660"/>
      <c r="R1" s="660"/>
      <c r="S1" s="660" t="s">
        <v>139</v>
      </c>
      <c r="T1" s="660"/>
      <c r="U1" s="660"/>
      <c r="V1" s="660"/>
      <c r="W1" s="660"/>
      <c r="X1" s="660"/>
      <c r="Y1" s="5" t="s">
        <v>2696</v>
      </c>
      <c r="Z1" s="6" t="s">
        <v>141</v>
      </c>
      <c r="AA1" s="661" t="s">
        <v>142</v>
      </c>
      <c r="AB1" s="661"/>
      <c r="AC1" s="7" t="s">
        <v>140</v>
      </c>
      <c r="AD1" s="6" t="s">
        <v>2697</v>
      </c>
      <c r="AE1" s="660" t="s">
        <v>2698</v>
      </c>
      <c r="AF1" s="662"/>
      <c r="AG1" s="662"/>
    </row>
    <row r="2" spans="1:33" ht="26.25" customHeight="1">
      <c r="A2" s="27">
        <v>46293</v>
      </c>
      <c r="B2" s="28" t="s">
        <v>675</v>
      </c>
      <c r="C2" s="2" t="s">
        <v>2670</v>
      </c>
      <c r="D2" s="9">
        <f>AVERAGE(N9,N12,N48,N57,N19,N63,N27,N35,N44,N74)</f>
        <v>144.1136235485522</v>
      </c>
      <c r="E2" s="10" t="s">
        <v>0</v>
      </c>
      <c r="F2" s="11">
        <f>F1/D1</f>
        <v>34.000503626681002</v>
      </c>
      <c r="G2" s="1" t="s">
        <v>2699</v>
      </c>
      <c r="H2" s="540">
        <f>COUNT(H5:H74)</f>
        <v>11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SUM(Y9+Y12+Y19+Y27+Y35+Y44+Y48+Y57+Y63+Y74)</f>
        <v>0</v>
      </c>
      <c r="Z2" s="12">
        <f>SUM(Z9+Z12+Z19+Z27+Z35+Z44+Z48+Z57+Z63+Z74)</f>
        <v>0</v>
      </c>
      <c r="AA2" s="661"/>
      <c r="AB2" s="661"/>
      <c r="AC2" s="12">
        <v>60</v>
      </c>
      <c r="AD2" s="12">
        <f>SUM(AD9+AD12+AD19+AD27+AD35+AD44+AD48+AD57+AD63+AD74)</f>
        <v>0</v>
      </c>
      <c r="AE2" s="662"/>
      <c r="AF2" s="662"/>
      <c r="AG2" s="662"/>
    </row>
    <row r="3" spans="1:33" ht="40.5" customHeight="1">
      <c r="A3" s="610" t="s">
        <v>149</v>
      </c>
      <c r="B3" s="610" t="s">
        <v>2700</v>
      </c>
      <c r="C3" s="610" t="s">
        <v>265</v>
      </c>
      <c r="D3" s="610"/>
      <c r="E3" s="658" t="s">
        <v>152</v>
      </c>
      <c r="F3" s="610" t="s">
        <v>2701</v>
      </c>
      <c r="G3" s="658" t="s">
        <v>2702</v>
      </c>
      <c r="H3" s="651" t="s">
        <v>2703</v>
      </c>
      <c r="I3" s="649" t="s">
        <v>156</v>
      </c>
      <c r="J3" s="646" t="s">
        <v>2704</v>
      </c>
      <c r="K3" s="656" t="s">
        <v>110</v>
      </c>
      <c r="L3" s="649" t="s">
        <v>2705</v>
      </c>
      <c r="M3" s="646" t="s">
        <v>2704</v>
      </c>
      <c r="N3" s="656" t="s">
        <v>2670</v>
      </c>
      <c r="O3" s="649" t="s">
        <v>156</v>
      </c>
      <c r="P3" s="656" t="s">
        <v>110</v>
      </c>
      <c r="Q3" s="647" t="s">
        <v>161</v>
      </c>
      <c r="R3" s="623" t="s">
        <v>2706</v>
      </c>
      <c r="S3" s="657" t="s">
        <v>1</v>
      </c>
      <c r="T3" s="657"/>
      <c r="U3" s="651" t="s">
        <v>2</v>
      </c>
      <c r="V3" s="651" t="s">
        <v>2707</v>
      </c>
      <c r="W3" s="610" t="s">
        <v>2708</v>
      </c>
      <c r="X3" s="610"/>
      <c r="Y3" s="652" t="s">
        <v>2709</v>
      </c>
      <c r="Z3" s="609"/>
      <c r="AA3" s="653" t="s">
        <v>2710</v>
      </c>
      <c r="AB3" s="654"/>
      <c r="AC3" s="652" t="s">
        <v>2711</v>
      </c>
      <c r="AD3" s="609"/>
      <c r="AE3" s="646" t="s">
        <v>168</v>
      </c>
      <c r="AF3" s="647" t="s">
        <v>161</v>
      </c>
      <c r="AG3" s="623" t="s">
        <v>2706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539" t="s">
        <v>3</v>
      </c>
      <c r="T4" s="539" t="s">
        <v>4</v>
      </c>
      <c r="U4" s="651"/>
      <c r="V4" s="651"/>
      <c r="W4" s="530" t="s">
        <v>2712</v>
      </c>
      <c r="X4" s="530" t="s">
        <v>172</v>
      </c>
      <c r="Y4" s="529" t="s">
        <v>2713</v>
      </c>
      <c r="Z4" s="529" t="s">
        <v>2677</v>
      </c>
      <c r="AA4" s="655"/>
      <c r="AB4" s="654"/>
      <c r="AC4" s="529" t="s">
        <v>175</v>
      </c>
      <c r="AD4" s="529" t="s">
        <v>2714</v>
      </c>
      <c r="AE4" s="646"/>
      <c r="AF4" s="647"/>
      <c r="AG4" s="623"/>
    </row>
    <row r="5" spans="1:33">
      <c r="A5" s="648" t="s">
        <v>2715</v>
      </c>
      <c r="B5" s="33" t="s">
        <v>6</v>
      </c>
      <c r="C5" s="650" t="s">
        <v>7</v>
      </c>
      <c r="D5" s="650"/>
      <c r="E5" s="33">
        <v>50.92</v>
      </c>
      <c r="F5" s="539">
        <v>2715</v>
      </c>
      <c r="G5" s="530">
        <f t="shared" ref="G5:G8" si="0">E5*F5</f>
        <v>138247.80000000002</v>
      </c>
      <c r="H5" s="543" t="s">
        <v>5</v>
      </c>
      <c r="I5" s="537">
        <v>15</v>
      </c>
      <c r="J5" s="30">
        <v>2000</v>
      </c>
      <c r="K5" s="13">
        <f t="shared" ref="K5:K68" si="1">J5/I5</f>
        <v>133.33333333333334</v>
      </c>
      <c r="L5" s="537">
        <v>15</v>
      </c>
      <c r="M5" s="14">
        <f t="shared" ref="M5:M8" si="2">F5/V5*60</f>
        <v>1916.4705882352937</v>
      </c>
      <c r="N5" s="13">
        <f t="shared" ref="N5:N68" si="3">M5/L5</f>
        <v>127.76470588235291</v>
      </c>
      <c r="O5" s="15">
        <f t="shared" ref="O5:O68" si="4">L5-I5</f>
        <v>0</v>
      </c>
      <c r="P5" s="16">
        <f t="shared" ref="P5:P68" si="5">N5-K5</f>
        <v>-5.5686274509804292</v>
      </c>
      <c r="Q5" s="535">
        <f t="shared" ref="Q5:Q68" si="6">N5/K5</f>
        <v>0.95823529411764674</v>
      </c>
      <c r="R5" s="619">
        <f>Q9</f>
        <v>0.9617077707838142</v>
      </c>
      <c r="S5" s="31">
        <v>0.70833333333333337</v>
      </c>
      <c r="T5" s="31">
        <v>0.76736111111111116</v>
      </c>
      <c r="U5" s="530"/>
      <c r="V5" s="538">
        <f t="shared" ref="V5:V8" si="7">(T5-S5)*24*60</f>
        <v>85.000000000000014</v>
      </c>
      <c r="W5" s="17"/>
      <c r="X5" s="17"/>
      <c r="Y5" s="18"/>
      <c r="Z5" s="18"/>
      <c r="AA5" s="610"/>
      <c r="AB5" s="610"/>
      <c r="AC5" s="19">
        <v>4</v>
      </c>
      <c r="AD5" s="19"/>
      <c r="AE5" s="15">
        <f t="shared" ref="AE5:AE56" si="8">M5-J5</f>
        <v>-83.52941176470631</v>
      </c>
      <c r="AF5" s="535">
        <f t="shared" ref="AF5:AF68" si="9">M5/J5</f>
        <v>0.95823529411764685</v>
      </c>
      <c r="AG5" s="619">
        <f>AF9</f>
        <v>0.96170777078381409</v>
      </c>
    </row>
    <row r="6" spans="1:33">
      <c r="A6" s="649" t="s">
        <v>2716</v>
      </c>
      <c r="B6" s="33" t="s">
        <v>6</v>
      </c>
      <c r="C6" s="650" t="s">
        <v>8</v>
      </c>
      <c r="D6" s="650"/>
      <c r="E6" s="33">
        <v>50.98</v>
      </c>
      <c r="F6" s="539">
        <v>1000</v>
      </c>
      <c r="G6" s="530">
        <f t="shared" si="0"/>
        <v>50980</v>
      </c>
      <c r="H6" s="543">
        <v>2</v>
      </c>
      <c r="I6" s="537">
        <v>16</v>
      </c>
      <c r="J6" s="30">
        <v>2000</v>
      </c>
      <c r="K6" s="13">
        <f t="shared" si="1"/>
        <v>125</v>
      </c>
      <c r="L6" s="537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535">
        <f t="shared" si="6"/>
        <v>0.96774193548386944</v>
      </c>
      <c r="R6" s="619"/>
      <c r="S6" s="31">
        <v>0.77083333333333337</v>
      </c>
      <c r="T6" s="31">
        <v>0.79236111111111118</v>
      </c>
      <c r="U6" s="530">
        <f t="shared" ref="U6:U8" si="10">IF(S6=TIME(17,0,0),"",(S6-T5)*24*60)</f>
        <v>4.9999999999999822</v>
      </c>
      <c r="V6" s="538">
        <f t="shared" si="7"/>
        <v>31.00000000000005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-64.516129032261006</v>
      </c>
      <c r="AF6" s="535">
        <f t="shared" si="9"/>
        <v>0.96774193548386944</v>
      </c>
      <c r="AG6" s="619"/>
    </row>
    <row r="7" spans="1:33">
      <c r="A7" s="649" t="s">
        <v>2716</v>
      </c>
      <c r="B7" s="33" t="s">
        <v>6</v>
      </c>
      <c r="C7" s="641" t="s">
        <v>9</v>
      </c>
      <c r="D7" s="642"/>
      <c r="E7" s="33">
        <v>50.67</v>
      </c>
      <c r="F7" s="539">
        <v>1702</v>
      </c>
      <c r="G7" s="530">
        <f t="shared" si="0"/>
        <v>86240.34</v>
      </c>
      <c r="H7" s="543" t="s">
        <v>5</v>
      </c>
      <c r="I7" s="537">
        <v>15</v>
      </c>
      <c r="J7" s="30">
        <v>2000</v>
      </c>
      <c r="K7" s="13">
        <f t="shared" si="1"/>
        <v>133.33333333333334</v>
      </c>
      <c r="L7" s="537">
        <v>15</v>
      </c>
      <c r="M7" s="14">
        <f t="shared" si="2"/>
        <v>1926.7924528301896</v>
      </c>
      <c r="N7" s="13">
        <f t="shared" si="3"/>
        <v>128.45283018867931</v>
      </c>
      <c r="O7" s="15">
        <f t="shared" si="4"/>
        <v>0</v>
      </c>
      <c r="P7" s="16">
        <f t="shared" si="5"/>
        <v>-4.8805031446540283</v>
      </c>
      <c r="Q7" s="535">
        <f t="shared" si="6"/>
        <v>0.96339622641509481</v>
      </c>
      <c r="R7" s="619"/>
      <c r="S7" s="31">
        <v>0.79652777777777783</v>
      </c>
      <c r="T7" s="31">
        <v>0.83333333333333337</v>
      </c>
      <c r="U7" s="530">
        <f t="shared" si="10"/>
        <v>5.9999999999999787</v>
      </c>
      <c r="V7" s="538">
        <f t="shared" si="7"/>
        <v>52.999999999999972</v>
      </c>
      <c r="W7" s="17">
        <f>T7</f>
        <v>0.83333333333333337</v>
      </c>
      <c r="X7" s="17">
        <f>S8</f>
        <v>0.87569444444444444</v>
      </c>
      <c r="Y7" s="20"/>
      <c r="Z7" s="20"/>
      <c r="AA7" s="614"/>
      <c r="AB7" s="615"/>
      <c r="AC7" s="21"/>
      <c r="AD7" s="21"/>
      <c r="AE7" s="15">
        <f t="shared" si="8"/>
        <v>-73.207547169810368</v>
      </c>
      <c r="AF7" s="535">
        <f t="shared" si="9"/>
        <v>0.96339622641509481</v>
      </c>
      <c r="AG7" s="619"/>
    </row>
    <row r="8" spans="1:33">
      <c r="A8" s="649" t="s">
        <v>2716</v>
      </c>
      <c r="B8" s="33" t="s">
        <v>6</v>
      </c>
      <c r="C8" s="641" t="s">
        <v>8</v>
      </c>
      <c r="D8" s="642"/>
      <c r="E8" s="33">
        <v>50.98</v>
      </c>
      <c r="F8" s="539">
        <v>1883</v>
      </c>
      <c r="G8" s="530">
        <f t="shared" si="0"/>
        <v>95995.34</v>
      </c>
      <c r="H8" s="543" t="s">
        <v>5</v>
      </c>
      <c r="I8" s="537">
        <v>16</v>
      </c>
      <c r="J8" s="30">
        <v>2000</v>
      </c>
      <c r="K8" s="13">
        <f t="shared" si="1"/>
        <v>125</v>
      </c>
      <c r="L8" s="537">
        <v>16</v>
      </c>
      <c r="M8" s="14">
        <f t="shared" si="2"/>
        <v>1914.9152542372899</v>
      </c>
      <c r="N8" s="13">
        <f t="shared" si="3"/>
        <v>119.68220338983062</v>
      </c>
      <c r="O8" s="15">
        <f t="shared" si="4"/>
        <v>0</v>
      </c>
      <c r="P8" s="16">
        <f t="shared" si="5"/>
        <v>-5.3177966101693812</v>
      </c>
      <c r="Q8" s="535">
        <f t="shared" si="6"/>
        <v>0.95745762711864491</v>
      </c>
      <c r="R8" s="619"/>
      <c r="S8" s="31">
        <v>0.87569444444444444</v>
      </c>
      <c r="T8" s="31">
        <v>0.91666666666666663</v>
      </c>
      <c r="U8" s="530">
        <f t="shared" si="10"/>
        <v>60.999999999999943</v>
      </c>
      <c r="V8" s="538">
        <f t="shared" si="7"/>
        <v>58.99999999999995</v>
      </c>
      <c r="W8" s="22"/>
      <c r="X8" s="22"/>
      <c r="Y8" s="94"/>
      <c r="Z8" s="94"/>
      <c r="AA8" s="614"/>
      <c r="AB8" s="615"/>
      <c r="AC8" s="21"/>
      <c r="AD8" s="21"/>
      <c r="AE8" s="15">
        <f t="shared" si="8"/>
        <v>-85.084745762710099</v>
      </c>
      <c r="AF8" s="535">
        <f t="shared" si="9"/>
        <v>0.95745762711864491</v>
      </c>
      <c r="AG8" s="619"/>
    </row>
    <row r="9" spans="1:33">
      <c r="A9" s="649" t="s">
        <v>2716</v>
      </c>
      <c r="B9" s="33" t="s">
        <v>2717</v>
      </c>
      <c r="C9" s="620"/>
      <c r="D9" s="620"/>
      <c r="E9" s="536"/>
      <c r="F9" s="34"/>
      <c r="G9" s="13"/>
      <c r="H9" s="539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1923.4155415676282</v>
      </c>
      <c r="N9" s="13">
        <f t="shared" si="3"/>
        <v>124.09132526242763</v>
      </c>
      <c r="O9" s="15">
        <f t="shared" si="4"/>
        <v>0</v>
      </c>
      <c r="P9" s="16">
        <f t="shared" si="5"/>
        <v>-4.9409328020884971</v>
      </c>
      <c r="Q9" s="535">
        <f t="shared" si="6"/>
        <v>0.9617077707838142</v>
      </c>
      <c r="R9" s="619"/>
      <c r="S9" s="31"/>
      <c r="T9" s="31"/>
      <c r="U9" s="530"/>
      <c r="V9" s="538"/>
      <c r="W9" s="13"/>
      <c r="X9" s="13"/>
      <c r="Y9" s="24">
        <f>SUM(Y5:Y8)</f>
        <v>0</v>
      </c>
      <c r="Z9" s="24">
        <f>SUM(Z5:Z8)</f>
        <v>0</v>
      </c>
      <c r="AA9" s="609"/>
      <c r="AB9" s="609"/>
      <c r="AC9" s="24">
        <v>4</v>
      </c>
      <c r="AD9" s="24">
        <f>SUM(AD5:AD8)</f>
        <v>0</v>
      </c>
      <c r="AE9" s="15">
        <f t="shared" si="8"/>
        <v>-76.584458432371775</v>
      </c>
      <c r="AF9" s="535">
        <f t="shared" si="9"/>
        <v>0.96170777078381409</v>
      </c>
      <c r="AG9" s="619"/>
    </row>
    <row r="10" spans="1:33" ht="15.75" customHeight="1">
      <c r="A10" s="645" t="s">
        <v>2718</v>
      </c>
      <c r="B10" s="33" t="s">
        <v>10</v>
      </c>
      <c r="C10" s="641" t="s">
        <v>14</v>
      </c>
      <c r="D10" s="642"/>
      <c r="E10" s="33">
        <v>39.619999999999997</v>
      </c>
      <c r="F10" s="539">
        <v>5288</v>
      </c>
      <c r="G10" s="530">
        <f t="shared" ref="G10:G11" si="11">E10*F10</f>
        <v>209510.56</v>
      </c>
      <c r="H10" s="543" t="s">
        <v>5</v>
      </c>
      <c r="I10" s="537">
        <v>19</v>
      </c>
      <c r="J10" s="30">
        <v>1500</v>
      </c>
      <c r="K10" s="13">
        <f t="shared" si="1"/>
        <v>78.94736842105263</v>
      </c>
      <c r="L10" s="537">
        <v>19</v>
      </c>
      <c r="M10" s="14">
        <f t="shared" ref="M10:M11" si="12">F10/V10*60</f>
        <v>1429.1891891891892</v>
      </c>
      <c r="N10" s="13">
        <f t="shared" si="3"/>
        <v>75.220483641536276</v>
      </c>
      <c r="O10" s="15">
        <f t="shared" si="4"/>
        <v>0</v>
      </c>
      <c r="P10" s="16">
        <f t="shared" si="5"/>
        <v>-3.7268847795163538</v>
      </c>
      <c r="Q10" s="535">
        <f t="shared" si="6"/>
        <v>0.95279279279279283</v>
      </c>
      <c r="R10" s="619">
        <f>Q12</f>
        <v>0.95233579033579041</v>
      </c>
      <c r="S10" s="31">
        <v>8.3333333333333329E-2</v>
      </c>
      <c r="T10" s="31">
        <v>0.23749999999999999</v>
      </c>
      <c r="U10" s="530"/>
      <c r="V10" s="538">
        <f t="shared" ref="V10:V11" si="13">(T10-S10)*24*60</f>
        <v>222</v>
      </c>
      <c r="W10" s="17">
        <f>T10</f>
        <v>0.23749999999999999</v>
      </c>
      <c r="X10" s="17">
        <f>S11</f>
        <v>0.25624999999999998</v>
      </c>
      <c r="Y10" s="17"/>
      <c r="Z10" s="17"/>
      <c r="AA10" s="610"/>
      <c r="AB10" s="610"/>
      <c r="AC10" s="19">
        <v>2</v>
      </c>
      <c r="AD10" s="19"/>
      <c r="AE10" s="15">
        <f t="shared" si="8"/>
        <v>-70.810810810810835</v>
      </c>
      <c r="AF10" s="535">
        <f t="shared" si="9"/>
        <v>0.95279279279279283</v>
      </c>
      <c r="AG10" s="619">
        <f>AF12</f>
        <v>0.95233579033579041</v>
      </c>
    </row>
    <row r="11" spans="1:33" ht="15.75" customHeight="1">
      <c r="A11" s="645" t="s">
        <v>2719</v>
      </c>
      <c r="B11" s="33" t="s">
        <v>10</v>
      </c>
      <c r="C11" s="641" t="s">
        <v>11</v>
      </c>
      <c r="D11" s="642"/>
      <c r="E11" s="33">
        <v>39.799999999999997</v>
      </c>
      <c r="F11" s="539">
        <v>7853</v>
      </c>
      <c r="G11" s="530">
        <f t="shared" si="11"/>
        <v>312549.39999999997</v>
      </c>
      <c r="H11" s="543" t="s">
        <v>5</v>
      </c>
      <c r="I11" s="537">
        <v>17</v>
      </c>
      <c r="J11" s="30">
        <v>1500</v>
      </c>
      <c r="K11" s="13">
        <f t="shared" si="1"/>
        <v>88.235294117647058</v>
      </c>
      <c r="L11" s="537">
        <v>17</v>
      </c>
      <c r="M11" s="14">
        <f t="shared" si="12"/>
        <v>1427.818181818182</v>
      </c>
      <c r="N11" s="13">
        <f t="shared" si="3"/>
        <v>83.989304812834234</v>
      </c>
      <c r="O11" s="15">
        <f t="shared" si="4"/>
        <v>0</v>
      </c>
      <c r="P11" s="16">
        <f t="shared" si="5"/>
        <v>-4.2459893048128237</v>
      </c>
      <c r="Q11" s="535">
        <f t="shared" si="6"/>
        <v>0.95187878787878799</v>
      </c>
      <c r="R11" s="619"/>
      <c r="S11" s="31">
        <v>0.25624999999999998</v>
      </c>
      <c r="T11" s="31">
        <v>0.48541666666666661</v>
      </c>
      <c r="U11" s="530">
        <f t="shared" ref="U11" si="14">IF(S11=TIME(17,0,0),"",(S11-T10)*24*60)</f>
        <v>26.999999999999986</v>
      </c>
      <c r="V11" s="538">
        <f t="shared" si="13"/>
        <v>329.99999999999994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-72.181818181818016</v>
      </c>
      <c r="AF11" s="535">
        <f t="shared" si="9"/>
        <v>0.95187878787878799</v>
      </c>
      <c r="AG11" s="619"/>
    </row>
    <row r="12" spans="1:33" ht="16.5" customHeight="1">
      <c r="A12" s="645" t="s">
        <v>2718</v>
      </c>
      <c r="B12" s="33" t="s">
        <v>180</v>
      </c>
      <c r="C12" s="620"/>
      <c r="D12" s="620"/>
      <c r="E12" s="536"/>
      <c r="F12" s="30"/>
      <c r="G12" s="14"/>
      <c r="H12" s="539"/>
      <c r="I12" s="23">
        <v>18</v>
      </c>
      <c r="J12" s="30">
        <v>1500</v>
      </c>
      <c r="K12" s="13">
        <f t="shared" si="1"/>
        <v>83.333333333333329</v>
      </c>
      <c r="L12" s="23">
        <v>18</v>
      </c>
      <c r="M12" s="14">
        <f>AVERAGE(M10:M11)</f>
        <v>1428.5036855036856</v>
      </c>
      <c r="N12" s="13">
        <f t="shared" si="3"/>
        <v>79.361315861315859</v>
      </c>
      <c r="O12" s="15">
        <f t="shared" si="4"/>
        <v>0</v>
      </c>
      <c r="P12" s="16">
        <f t="shared" si="5"/>
        <v>-3.9720174720174697</v>
      </c>
      <c r="Q12" s="535">
        <f t="shared" si="6"/>
        <v>0.95233579033579041</v>
      </c>
      <c r="R12" s="619"/>
      <c r="S12" s="31"/>
      <c r="T12" s="31"/>
      <c r="U12" s="13"/>
      <c r="V12" s="538"/>
      <c r="W12" s="13"/>
      <c r="X12" s="13"/>
      <c r="Y12" s="24">
        <f>SUM(Y10:Y11)</f>
        <v>0</v>
      </c>
      <c r="Z12" s="24">
        <f>SUM(Z10:Z11)</f>
        <v>0</v>
      </c>
      <c r="AA12" s="609"/>
      <c r="AB12" s="609"/>
      <c r="AC12" s="24">
        <v>2</v>
      </c>
      <c r="AD12" s="24">
        <f>SUM(AD10:AD11)</f>
        <v>0</v>
      </c>
      <c r="AE12" s="15">
        <f t="shared" si="8"/>
        <v>-71.496314496314426</v>
      </c>
      <c r="AF12" s="535">
        <f t="shared" si="9"/>
        <v>0.95233579033579041</v>
      </c>
      <c r="AG12" s="619"/>
    </row>
    <row r="13" spans="1:33" ht="16.5" customHeight="1">
      <c r="A13" s="643" t="s">
        <v>2720</v>
      </c>
      <c r="B13" s="539" t="s">
        <v>15</v>
      </c>
      <c r="C13" s="635" t="s">
        <v>16</v>
      </c>
      <c r="D13" s="635"/>
      <c r="E13" s="33">
        <v>31.11</v>
      </c>
      <c r="F13" s="539">
        <v>2567</v>
      </c>
      <c r="G13" s="530">
        <f t="shared" ref="G13:G18" si="15">E13*F13</f>
        <v>79859.37</v>
      </c>
      <c r="H13" s="543" t="s">
        <v>5</v>
      </c>
      <c r="I13" s="537">
        <v>14</v>
      </c>
      <c r="J13" s="30">
        <v>2000</v>
      </c>
      <c r="K13" s="13">
        <f t="shared" si="1"/>
        <v>142.85714285714286</v>
      </c>
      <c r="L13" s="537">
        <v>14</v>
      </c>
      <c r="M13" s="14">
        <f t="shared" ref="M13:M18" si="16">F13/V13*60</f>
        <v>1901.481481481482</v>
      </c>
      <c r="N13" s="13">
        <f t="shared" si="3"/>
        <v>135.82010582010585</v>
      </c>
      <c r="O13" s="15">
        <f t="shared" si="4"/>
        <v>0</v>
      </c>
      <c r="P13" s="16">
        <f t="shared" si="5"/>
        <v>-7.0370370370370097</v>
      </c>
      <c r="Q13" s="535">
        <f t="shared" si="6"/>
        <v>0.95074074074074089</v>
      </c>
      <c r="R13" s="619">
        <f>Q19</f>
        <v>0.95986495950120654</v>
      </c>
      <c r="S13" s="31">
        <v>0.20833333333333334</v>
      </c>
      <c r="T13" s="31">
        <v>0.26458333333333334</v>
      </c>
      <c r="U13" s="530"/>
      <c r="V13" s="538">
        <f t="shared" ref="V13:V18" si="17">(T13-S13)*24*60</f>
        <v>80.999999999999986</v>
      </c>
      <c r="W13" s="17"/>
      <c r="X13" s="17"/>
      <c r="Y13" s="22"/>
      <c r="Z13" s="22"/>
      <c r="AA13" s="610"/>
      <c r="AB13" s="610"/>
      <c r="AC13" s="19">
        <v>6</v>
      </c>
      <c r="AD13" s="19"/>
      <c r="AE13" s="15">
        <f t="shared" si="8"/>
        <v>-98.518518518518022</v>
      </c>
      <c r="AF13" s="535">
        <f t="shared" si="9"/>
        <v>0.950740740740741</v>
      </c>
      <c r="AG13" s="619">
        <f>AF19</f>
        <v>0.95986495950120654</v>
      </c>
    </row>
    <row r="14" spans="1:33" ht="16.5" customHeight="1">
      <c r="A14" s="644" t="s">
        <v>2720</v>
      </c>
      <c r="B14" s="539" t="s">
        <v>17</v>
      </c>
      <c r="C14" s="635" t="s">
        <v>18</v>
      </c>
      <c r="D14" s="635"/>
      <c r="E14" s="33">
        <v>41</v>
      </c>
      <c r="F14" s="539">
        <v>2180</v>
      </c>
      <c r="G14" s="530">
        <f t="shared" si="15"/>
        <v>89380</v>
      </c>
      <c r="H14" s="543" t="s">
        <v>5</v>
      </c>
      <c r="I14" s="537">
        <v>26</v>
      </c>
      <c r="J14" s="30">
        <v>1500</v>
      </c>
      <c r="K14" s="13">
        <f t="shared" si="1"/>
        <v>57.692307692307693</v>
      </c>
      <c r="L14" s="537">
        <v>26</v>
      </c>
      <c r="M14" s="14">
        <f t="shared" si="16"/>
        <v>1437.3626373626373</v>
      </c>
      <c r="N14" s="13">
        <f t="shared" si="3"/>
        <v>55.283178360101438</v>
      </c>
      <c r="O14" s="15">
        <f t="shared" si="4"/>
        <v>0</v>
      </c>
      <c r="P14" s="16">
        <f t="shared" si="5"/>
        <v>-2.4091293322062555</v>
      </c>
      <c r="Q14" s="535">
        <f t="shared" si="6"/>
        <v>0.95824175824175828</v>
      </c>
      <c r="R14" s="619"/>
      <c r="S14" s="31">
        <v>0.26805555555555555</v>
      </c>
      <c r="T14" s="31">
        <v>0.33124999999999999</v>
      </c>
      <c r="U14" s="530">
        <f t="shared" ref="U14:U18" si="18">IF(S14=TIME(17,0,0),"",(S14-T13)*24*60)</f>
        <v>4.9999999999999822</v>
      </c>
      <c r="V14" s="538">
        <f t="shared" si="17"/>
        <v>91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-62.637362637362685</v>
      </c>
      <c r="AF14" s="535">
        <f t="shared" si="9"/>
        <v>0.95824175824175817</v>
      </c>
      <c r="AG14" s="619"/>
    </row>
    <row r="15" spans="1:33" ht="16.5" customHeight="1">
      <c r="A15" s="644" t="s">
        <v>2720</v>
      </c>
      <c r="B15" s="539" t="s">
        <v>10</v>
      </c>
      <c r="C15" s="635" t="s">
        <v>12</v>
      </c>
      <c r="D15" s="635"/>
      <c r="E15" s="33">
        <v>39.46</v>
      </c>
      <c r="F15" s="539">
        <v>2615</v>
      </c>
      <c r="G15" s="530">
        <f t="shared" si="15"/>
        <v>103187.90000000001</v>
      </c>
      <c r="H15" s="543" t="s">
        <v>5</v>
      </c>
      <c r="I15" s="537">
        <v>15</v>
      </c>
      <c r="J15" s="30">
        <v>1500</v>
      </c>
      <c r="K15" s="13">
        <f t="shared" si="1"/>
        <v>100</v>
      </c>
      <c r="L15" s="537">
        <v>15</v>
      </c>
      <c r="M15" s="14">
        <f t="shared" si="16"/>
        <v>1439.4495412844035</v>
      </c>
      <c r="N15" s="13">
        <f t="shared" si="3"/>
        <v>95.963302752293572</v>
      </c>
      <c r="O15" s="15">
        <f t="shared" si="4"/>
        <v>0</v>
      </c>
      <c r="P15" s="16">
        <f t="shared" si="5"/>
        <v>-4.036697247706428</v>
      </c>
      <c r="Q15" s="535">
        <f t="shared" si="6"/>
        <v>0.95963302752293567</v>
      </c>
      <c r="R15" s="619"/>
      <c r="S15" s="31">
        <v>0.33541666666666664</v>
      </c>
      <c r="T15" s="31">
        <v>0.41111111111111109</v>
      </c>
      <c r="U15" s="530">
        <f t="shared" si="18"/>
        <v>5.9999999999999787</v>
      </c>
      <c r="V15" s="538">
        <f t="shared" si="17"/>
        <v>109.00000000000001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-60.550458715596505</v>
      </c>
      <c r="AF15" s="535">
        <f t="shared" si="9"/>
        <v>0.95963302752293567</v>
      </c>
      <c r="AG15" s="619"/>
    </row>
    <row r="16" spans="1:33" ht="16.5" customHeight="1">
      <c r="A16" s="644" t="s">
        <v>2720</v>
      </c>
      <c r="B16" s="539" t="s">
        <v>6</v>
      </c>
      <c r="C16" s="635" t="s">
        <v>45</v>
      </c>
      <c r="D16" s="635"/>
      <c r="E16" s="33">
        <v>51.06</v>
      </c>
      <c r="F16" s="539">
        <v>3197</v>
      </c>
      <c r="G16" s="530">
        <f t="shared" si="15"/>
        <v>163238.82</v>
      </c>
      <c r="H16" s="543" t="s">
        <v>5</v>
      </c>
      <c r="I16" s="537">
        <v>13</v>
      </c>
      <c r="J16" s="30">
        <v>2000</v>
      </c>
      <c r="K16" s="13">
        <f t="shared" si="1"/>
        <v>153.84615384615384</v>
      </c>
      <c r="L16" s="537">
        <v>13</v>
      </c>
      <c r="M16" s="14">
        <f t="shared" si="16"/>
        <v>1918.2000000000005</v>
      </c>
      <c r="N16" s="13">
        <f t="shared" si="3"/>
        <v>147.55384615384619</v>
      </c>
      <c r="O16" s="15">
        <f t="shared" si="4"/>
        <v>0</v>
      </c>
      <c r="P16" s="16">
        <f t="shared" si="5"/>
        <v>-6.2923076923076451</v>
      </c>
      <c r="Q16" s="535">
        <f t="shared" si="6"/>
        <v>0.95910000000000029</v>
      </c>
      <c r="R16" s="619"/>
      <c r="S16" s="31">
        <v>0.70833333333333337</v>
      </c>
      <c r="T16" s="31">
        <v>0.77777777777777779</v>
      </c>
      <c r="U16" s="530" t="str">
        <f t="shared" si="18"/>
        <v/>
      </c>
      <c r="V16" s="538">
        <f t="shared" si="17"/>
        <v>99.999999999999972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-81.7999999999995</v>
      </c>
      <c r="AF16" s="535">
        <f t="shared" si="9"/>
        <v>0.95910000000000029</v>
      </c>
      <c r="AG16" s="619"/>
    </row>
    <row r="17" spans="1:33" ht="16.5" customHeight="1">
      <c r="A17" s="644" t="s">
        <v>2721</v>
      </c>
      <c r="B17" s="539" t="s">
        <v>6</v>
      </c>
      <c r="C17" s="635" t="s">
        <v>25</v>
      </c>
      <c r="D17" s="635"/>
      <c r="E17" s="33">
        <v>56.43</v>
      </c>
      <c r="F17" s="539">
        <v>1313</v>
      </c>
      <c r="G17" s="530">
        <f t="shared" si="15"/>
        <v>74092.59</v>
      </c>
      <c r="H17" s="543" t="s">
        <v>5</v>
      </c>
      <c r="I17" s="537">
        <v>13</v>
      </c>
      <c r="J17" s="30">
        <v>2000</v>
      </c>
      <c r="K17" s="13">
        <f t="shared" si="1"/>
        <v>153.84615384615384</v>
      </c>
      <c r="L17" s="537">
        <v>13</v>
      </c>
      <c r="M17" s="14">
        <f t="shared" si="16"/>
        <v>1921.4634146341459</v>
      </c>
      <c r="N17" s="13">
        <f t="shared" si="3"/>
        <v>147.80487804878047</v>
      </c>
      <c r="O17" s="15">
        <f t="shared" si="4"/>
        <v>0</v>
      </c>
      <c r="P17" s="16">
        <f t="shared" si="5"/>
        <v>-6.0412757973733733</v>
      </c>
      <c r="Q17" s="535">
        <f t="shared" si="6"/>
        <v>0.96073170731707302</v>
      </c>
      <c r="R17" s="619"/>
      <c r="S17" s="31">
        <v>0.78194444444444444</v>
      </c>
      <c r="T17" s="31">
        <v>0.81041666666666667</v>
      </c>
      <c r="U17" s="530">
        <f t="shared" si="18"/>
        <v>5.9999999999999787</v>
      </c>
      <c r="V17" s="538">
        <f t="shared" si="17"/>
        <v>41.000000000000014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-78.53658536585408</v>
      </c>
      <c r="AF17" s="535">
        <f t="shared" si="9"/>
        <v>0.96073170731707291</v>
      </c>
      <c r="AG17" s="619"/>
    </row>
    <row r="18" spans="1:33" ht="16.5" customHeight="1">
      <c r="A18" s="644" t="s">
        <v>2720</v>
      </c>
      <c r="B18" s="539" t="s">
        <v>6</v>
      </c>
      <c r="C18" s="541" t="s">
        <v>20</v>
      </c>
      <c r="D18" s="542"/>
      <c r="E18" s="33">
        <v>54.5</v>
      </c>
      <c r="F18" s="539">
        <v>779</v>
      </c>
      <c r="G18" s="530">
        <f t="shared" si="15"/>
        <v>42455.5</v>
      </c>
      <c r="H18" s="543" t="s">
        <v>5</v>
      </c>
      <c r="I18" s="537">
        <v>19</v>
      </c>
      <c r="J18" s="30">
        <v>1500</v>
      </c>
      <c r="K18" s="13">
        <f t="shared" si="1"/>
        <v>78.94736842105263</v>
      </c>
      <c r="L18" s="537">
        <v>19</v>
      </c>
      <c r="M18" s="14">
        <f t="shared" si="16"/>
        <v>1460.6249999999982</v>
      </c>
      <c r="N18" s="13">
        <f t="shared" si="3"/>
        <v>76.874999999999901</v>
      </c>
      <c r="O18" s="15">
        <f t="shared" si="4"/>
        <v>0</v>
      </c>
      <c r="P18" s="16">
        <f t="shared" si="5"/>
        <v>-2.0723684210527296</v>
      </c>
      <c r="Q18" s="535">
        <f t="shared" si="6"/>
        <v>0.97374999999999878</v>
      </c>
      <c r="R18" s="619"/>
      <c r="S18" s="31">
        <v>0.81458333333333333</v>
      </c>
      <c r="T18" s="31">
        <v>0.83680555555555558</v>
      </c>
      <c r="U18" s="530">
        <f t="shared" si="18"/>
        <v>5.9999999999999787</v>
      </c>
      <c r="V18" s="538">
        <f t="shared" si="17"/>
        <v>32.000000000000043</v>
      </c>
      <c r="W18" s="17"/>
      <c r="X18" s="17"/>
      <c r="Y18" s="20"/>
      <c r="Z18" s="20"/>
      <c r="AA18" s="533"/>
      <c r="AB18" s="534"/>
      <c r="AC18" s="19"/>
      <c r="AD18" s="19"/>
      <c r="AE18" s="15">
        <f t="shared" si="8"/>
        <v>-39.375000000001819</v>
      </c>
      <c r="AF18" s="535">
        <f t="shared" si="9"/>
        <v>0.97374999999999878</v>
      </c>
      <c r="AG18" s="619"/>
    </row>
    <row r="19" spans="1:33" ht="16.5" customHeight="1">
      <c r="A19" s="644" t="s">
        <v>2720</v>
      </c>
      <c r="B19" s="33" t="s">
        <v>2722</v>
      </c>
      <c r="C19" s="620"/>
      <c r="D19" s="620"/>
      <c r="E19" s="536"/>
      <c r="F19" s="34"/>
      <c r="G19" s="13"/>
      <c r="H19" s="539"/>
      <c r="I19" s="23">
        <v>16.666666666666668</v>
      </c>
      <c r="J19" s="30">
        <v>1750</v>
      </c>
      <c r="K19" s="13">
        <f t="shared" si="1"/>
        <v>104.99999999999999</v>
      </c>
      <c r="L19" s="23">
        <v>16.666666666666668</v>
      </c>
      <c r="M19" s="14">
        <f>AVERAGE(M13:M18)</f>
        <v>1679.7636791271113</v>
      </c>
      <c r="N19" s="13">
        <f t="shared" si="3"/>
        <v>100.78582074762667</v>
      </c>
      <c r="O19" s="15">
        <f t="shared" si="4"/>
        <v>0</v>
      </c>
      <c r="P19" s="16">
        <f t="shared" si="5"/>
        <v>-4.214179252373313</v>
      </c>
      <c r="Q19" s="535">
        <f t="shared" si="6"/>
        <v>0.95986495950120654</v>
      </c>
      <c r="R19" s="619"/>
      <c r="S19" s="31"/>
      <c r="T19" s="31"/>
      <c r="U19" s="530"/>
      <c r="V19" s="538"/>
      <c r="W19" s="13"/>
      <c r="X19" s="13"/>
      <c r="Y19" s="24">
        <f>SUM(Y13:Y18)</f>
        <v>0</v>
      </c>
      <c r="Z19" s="24">
        <f>SUM(Z13:Z18)</f>
        <v>0</v>
      </c>
      <c r="AA19" s="609"/>
      <c r="AB19" s="609"/>
      <c r="AC19" s="24">
        <v>6</v>
      </c>
      <c r="AD19" s="24">
        <f>SUM(AD13:AD18)</f>
        <v>0</v>
      </c>
      <c r="AE19" s="15">
        <f t="shared" si="8"/>
        <v>-70.236320872888655</v>
      </c>
      <c r="AF19" s="535">
        <f t="shared" si="9"/>
        <v>0.95986495950120654</v>
      </c>
      <c r="AG19" s="619"/>
    </row>
    <row r="20" spans="1:33" ht="15.75" customHeight="1">
      <c r="A20" s="637" t="s">
        <v>189</v>
      </c>
      <c r="B20" s="33" t="s">
        <v>6</v>
      </c>
      <c r="C20" s="635" t="s">
        <v>22</v>
      </c>
      <c r="D20" s="635"/>
      <c r="E20" s="33">
        <v>50.67</v>
      </c>
      <c r="F20" s="539">
        <v>1929</v>
      </c>
      <c r="G20" s="530">
        <f t="shared" ref="G20:G26" si="19">E20*F20</f>
        <v>97742.430000000008</v>
      </c>
      <c r="H20" s="543" t="s">
        <v>5</v>
      </c>
      <c r="I20" s="537">
        <v>17</v>
      </c>
      <c r="J20" s="30">
        <v>2000</v>
      </c>
      <c r="K20" s="13">
        <f t="shared" si="1"/>
        <v>117.64705882352941</v>
      </c>
      <c r="L20" s="537">
        <v>17</v>
      </c>
      <c r="M20" s="14">
        <f t="shared" ref="M20:M26" si="20">F20/V20*60</f>
        <v>1928.9999999999991</v>
      </c>
      <c r="N20" s="13">
        <f t="shared" si="3"/>
        <v>113.47058823529406</v>
      </c>
      <c r="O20" s="15">
        <f t="shared" si="4"/>
        <v>0</v>
      </c>
      <c r="P20" s="16">
        <f t="shared" si="5"/>
        <v>-4.1764705882353468</v>
      </c>
      <c r="Q20" s="535">
        <f t="shared" si="6"/>
        <v>0.96449999999999958</v>
      </c>
      <c r="R20" s="619">
        <f>Q27</f>
        <v>0.96135992664346814</v>
      </c>
      <c r="S20" s="31">
        <v>0.25</v>
      </c>
      <c r="T20" s="31">
        <v>0.29166666666666669</v>
      </c>
      <c r="U20" s="530"/>
      <c r="V20" s="538">
        <f t="shared" ref="V20:V26" si="21">(T20-S20)*24*60</f>
        <v>60.000000000000028</v>
      </c>
      <c r="W20" s="17"/>
      <c r="X20" s="17"/>
      <c r="Y20" s="22"/>
      <c r="Z20" s="22"/>
      <c r="AA20" s="610"/>
      <c r="AB20" s="610"/>
      <c r="AC20" s="19">
        <v>7</v>
      </c>
      <c r="AD20" s="19"/>
      <c r="AE20" s="15">
        <f t="shared" si="8"/>
        <v>-71.000000000000909</v>
      </c>
      <c r="AF20" s="535">
        <f t="shared" si="9"/>
        <v>0.96449999999999958</v>
      </c>
      <c r="AG20" s="619">
        <f>AF27</f>
        <v>0.96135992664346814</v>
      </c>
    </row>
    <row r="21" spans="1:33" ht="15.75" customHeight="1">
      <c r="A21" s="638" t="s">
        <v>189</v>
      </c>
      <c r="B21" s="33" t="s">
        <v>6</v>
      </c>
      <c r="C21" s="635" t="s">
        <v>23</v>
      </c>
      <c r="D21" s="635"/>
      <c r="E21" s="33">
        <v>57.73</v>
      </c>
      <c r="F21" s="539">
        <v>3116</v>
      </c>
      <c r="G21" s="530">
        <f t="shared" si="19"/>
        <v>179886.68</v>
      </c>
      <c r="H21" s="543" t="s">
        <v>5</v>
      </c>
      <c r="I21" s="537">
        <v>14</v>
      </c>
      <c r="J21" s="30">
        <v>2000</v>
      </c>
      <c r="K21" s="13">
        <f t="shared" si="1"/>
        <v>142.85714285714286</v>
      </c>
      <c r="L21" s="537">
        <v>14</v>
      </c>
      <c r="M21" s="14">
        <f t="shared" si="20"/>
        <v>1907.7551020408171</v>
      </c>
      <c r="N21" s="13">
        <f t="shared" si="3"/>
        <v>136.26822157434407</v>
      </c>
      <c r="O21" s="15">
        <f t="shared" si="4"/>
        <v>0</v>
      </c>
      <c r="P21" s="16">
        <f t="shared" si="5"/>
        <v>-6.5889212827987933</v>
      </c>
      <c r="Q21" s="535">
        <f t="shared" si="6"/>
        <v>0.9538775510204085</v>
      </c>
      <c r="R21" s="619"/>
      <c r="S21" s="31">
        <v>0.29722222222222222</v>
      </c>
      <c r="T21" s="31">
        <v>0.36527777777777776</v>
      </c>
      <c r="U21" s="530">
        <f t="shared" ref="U21:U26" si="22">IF(S21=TIME(17,0,0),"",(S21-T20)*24*60)</f>
        <v>7.9999999999999716</v>
      </c>
      <c r="V21" s="538">
        <f t="shared" si="21"/>
        <v>97.999999999999972</v>
      </c>
      <c r="W21" s="17"/>
      <c r="X21" s="530"/>
      <c r="Y21" s="530"/>
      <c r="Z21" s="530"/>
      <c r="AA21" s="610"/>
      <c r="AB21" s="610"/>
      <c r="AC21" s="19"/>
      <c r="AD21" s="19"/>
      <c r="AE21" s="15">
        <f t="shared" si="8"/>
        <v>-92.244897959182936</v>
      </c>
      <c r="AF21" s="535">
        <f t="shared" si="9"/>
        <v>0.9538775510204085</v>
      </c>
      <c r="AG21" s="619"/>
    </row>
    <row r="22" spans="1:33" ht="15.75" customHeight="1">
      <c r="A22" s="638" t="s">
        <v>189</v>
      </c>
      <c r="B22" s="33" t="s">
        <v>6</v>
      </c>
      <c r="C22" s="635" t="s">
        <v>24</v>
      </c>
      <c r="D22" s="635"/>
      <c r="E22" s="33">
        <v>53.27</v>
      </c>
      <c r="F22" s="539">
        <v>1753</v>
      </c>
      <c r="G22" s="530">
        <f t="shared" si="19"/>
        <v>93382.310000000012</v>
      </c>
      <c r="H22" s="543" t="s">
        <v>5</v>
      </c>
      <c r="I22" s="537">
        <v>16</v>
      </c>
      <c r="J22" s="30">
        <v>2000</v>
      </c>
      <c r="K22" s="13">
        <f t="shared" si="1"/>
        <v>125</v>
      </c>
      <c r="L22" s="537">
        <v>16</v>
      </c>
      <c r="M22" s="14">
        <f t="shared" si="20"/>
        <v>1912.3636363636376</v>
      </c>
      <c r="N22" s="13">
        <f t="shared" si="3"/>
        <v>119.52272727272735</v>
      </c>
      <c r="O22" s="15">
        <f t="shared" si="4"/>
        <v>0</v>
      </c>
      <c r="P22" s="16">
        <f t="shared" si="5"/>
        <v>-5.4772727272726485</v>
      </c>
      <c r="Q22" s="535">
        <f t="shared" si="6"/>
        <v>0.9561818181818188</v>
      </c>
      <c r="R22" s="619"/>
      <c r="S22" s="31">
        <v>0.37013888888888885</v>
      </c>
      <c r="T22" s="31">
        <v>0.40833333333333327</v>
      </c>
      <c r="U22" s="530">
        <f t="shared" si="22"/>
        <v>6.9999999999999751</v>
      </c>
      <c r="V22" s="538">
        <f t="shared" si="21"/>
        <v>54.999999999999964</v>
      </c>
      <c r="W22" s="17"/>
      <c r="X22" s="530"/>
      <c r="Y22" s="530"/>
      <c r="Z22" s="530"/>
      <c r="AA22" s="610"/>
      <c r="AB22" s="610"/>
      <c r="AC22" s="19"/>
      <c r="AD22" s="19"/>
      <c r="AE22" s="15">
        <f t="shared" si="8"/>
        <v>-87.636363636362375</v>
      </c>
      <c r="AF22" s="535">
        <f t="shared" si="9"/>
        <v>0.9561818181818188</v>
      </c>
      <c r="AG22" s="619"/>
    </row>
    <row r="23" spans="1:33" ht="15.75" customHeight="1">
      <c r="A23" s="638" t="s">
        <v>2723</v>
      </c>
      <c r="B23" s="33" t="s">
        <v>6</v>
      </c>
      <c r="C23" s="635" t="s">
        <v>21</v>
      </c>
      <c r="D23" s="635"/>
      <c r="E23" s="33">
        <v>50.49</v>
      </c>
      <c r="F23" s="539">
        <v>2401</v>
      </c>
      <c r="G23" s="530">
        <f t="shared" si="19"/>
        <v>121226.49</v>
      </c>
      <c r="H23" s="543" t="s">
        <v>5</v>
      </c>
      <c r="I23" s="537">
        <v>15</v>
      </c>
      <c r="J23" s="30">
        <v>2000</v>
      </c>
      <c r="K23" s="13">
        <f t="shared" si="1"/>
        <v>133.33333333333334</v>
      </c>
      <c r="L23" s="537">
        <v>15</v>
      </c>
      <c r="M23" s="14">
        <f t="shared" si="20"/>
        <v>1920.7999999999984</v>
      </c>
      <c r="N23" s="13">
        <f t="shared" si="3"/>
        <v>128.05333333333323</v>
      </c>
      <c r="O23" s="15">
        <f t="shared" si="4"/>
        <v>0</v>
      </c>
      <c r="P23" s="16">
        <f t="shared" si="5"/>
        <v>-5.2800000000001148</v>
      </c>
      <c r="Q23" s="535">
        <f t="shared" si="6"/>
        <v>0.96039999999999914</v>
      </c>
      <c r="R23" s="619"/>
      <c r="S23" s="31">
        <v>0.70833333333333337</v>
      </c>
      <c r="T23" s="31">
        <v>0.76041666666666674</v>
      </c>
      <c r="U23" s="530" t="str">
        <f t="shared" si="22"/>
        <v/>
      </c>
      <c r="V23" s="538">
        <f t="shared" si="21"/>
        <v>75.000000000000057</v>
      </c>
      <c r="W23" s="17"/>
      <c r="X23" s="530"/>
      <c r="Y23" s="530"/>
      <c r="Z23" s="530"/>
      <c r="AA23" s="610"/>
      <c r="AB23" s="610"/>
      <c r="AC23" s="19"/>
      <c r="AD23" s="19"/>
      <c r="AE23" s="15">
        <f t="shared" si="8"/>
        <v>-79.200000000001637</v>
      </c>
      <c r="AF23" s="535">
        <f t="shared" si="9"/>
        <v>0.96039999999999914</v>
      </c>
      <c r="AG23" s="619"/>
    </row>
    <row r="24" spans="1:33" ht="15.75" customHeight="1">
      <c r="A24" s="638" t="s">
        <v>2724</v>
      </c>
      <c r="B24" s="33" t="s">
        <v>6</v>
      </c>
      <c r="C24" s="635" t="s">
        <v>26</v>
      </c>
      <c r="D24" s="635"/>
      <c r="E24" s="33">
        <v>54.09</v>
      </c>
      <c r="F24" s="539">
        <v>2127</v>
      </c>
      <c r="G24" s="530">
        <f t="shared" si="19"/>
        <v>115049.43000000001</v>
      </c>
      <c r="H24" s="543" t="s">
        <v>5</v>
      </c>
      <c r="I24" s="537">
        <v>18</v>
      </c>
      <c r="J24" s="30">
        <v>2000</v>
      </c>
      <c r="K24" s="13">
        <f t="shared" si="1"/>
        <v>111.11111111111111</v>
      </c>
      <c r="L24" s="537">
        <v>18</v>
      </c>
      <c r="M24" s="14">
        <f t="shared" si="20"/>
        <v>1933.636363636361</v>
      </c>
      <c r="N24" s="13">
        <f t="shared" si="3"/>
        <v>107.42424242424228</v>
      </c>
      <c r="O24" s="15">
        <f t="shared" si="4"/>
        <v>0</v>
      </c>
      <c r="P24" s="16">
        <f t="shared" si="5"/>
        <v>-3.6868686868688343</v>
      </c>
      <c r="Q24" s="535">
        <f t="shared" si="6"/>
        <v>0.96681818181818047</v>
      </c>
      <c r="R24" s="619"/>
      <c r="S24" s="31">
        <v>0.76458333333333339</v>
      </c>
      <c r="T24" s="31">
        <v>0.81041666666666679</v>
      </c>
      <c r="U24" s="530">
        <f t="shared" si="22"/>
        <v>5.9999999999999787</v>
      </c>
      <c r="V24" s="538">
        <f t="shared" si="21"/>
        <v>66.000000000000085</v>
      </c>
      <c r="W24" s="17"/>
      <c r="X24" s="17"/>
      <c r="Y24" s="530"/>
      <c r="Z24" s="530"/>
      <c r="AA24" s="610"/>
      <c r="AB24" s="610"/>
      <c r="AC24" s="19"/>
      <c r="AD24" s="19"/>
      <c r="AE24" s="15">
        <f t="shared" si="8"/>
        <v>-66.363636363638989</v>
      </c>
      <c r="AF24" s="535">
        <f t="shared" si="9"/>
        <v>0.96681818181818047</v>
      </c>
      <c r="AG24" s="619"/>
    </row>
    <row r="25" spans="1:33" ht="15.75" customHeight="1">
      <c r="A25" s="638" t="s">
        <v>189</v>
      </c>
      <c r="B25" s="33" t="s">
        <v>6</v>
      </c>
      <c r="C25" s="635" t="s">
        <v>2057</v>
      </c>
      <c r="D25" s="635"/>
      <c r="E25" s="33">
        <v>50.67</v>
      </c>
      <c r="F25" s="539">
        <v>1000</v>
      </c>
      <c r="G25" s="530">
        <f t="shared" si="19"/>
        <v>50670</v>
      </c>
      <c r="H25" s="543">
        <v>2</v>
      </c>
      <c r="I25" s="537">
        <v>16</v>
      </c>
      <c r="J25" s="30">
        <v>2000</v>
      </c>
      <c r="K25" s="13">
        <f t="shared" si="1"/>
        <v>125</v>
      </c>
      <c r="L25" s="537">
        <v>16</v>
      </c>
      <c r="M25" s="14">
        <f t="shared" si="20"/>
        <v>1935.483870967739</v>
      </c>
      <c r="N25" s="13">
        <f t="shared" si="3"/>
        <v>120.96774193548369</v>
      </c>
      <c r="O25" s="15">
        <f t="shared" si="4"/>
        <v>0</v>
      </c>
      <c r="P25" s="16">
        <f t="shared" si="5"/>
        <v>-4.0322580645163129</v>
      </c>
      <c r="Q25" s="535">
        <f t="shared" si="6"/>
        <v>0.96774193548386944</v>
      </c>
      <c r="R25" s="619"/>
      <c r="S25" s="31">
        <v>0.81388888888888899</v>
      </c>
      <c r="T25" s="31">
        <v>0.83541666666666681</v>
      </c>
      <c r="U25" s="530">
        <f t="shared" si="22"/>
        <v>4.9999999999999822</v>
      </c>
      <c r="V25" s="538">
        <f t="shared" si="21"/>
        <v>31.00000000000005</v>
      </c>
      <c r="W25" s="17">
        <f>T25</f>
        <v>0.83541666666666681</v>
      </c>
      <c r="X25" s="17">
        <f>S26</f>
        <v>0.87638888888888899</v>
      </c>
      <c r="Y25" s="22"/>
      <c r="Z25" s="22"/>
      <c r="AA25" s="610"/>
      <c r="AB25" s="610"/>
      <c r="AC25" s="19"/>
      <c r="AD25" s="19"/>
      <c r="AE25" s="15">
        <f t="shared" si="8"/>
        <v>-64.516129032261006</v>
      </c>
      <c r="AF25" s="535">
        <f t="shared" si="9"/>
        <v>0.96774193548386944</v>
      </c>
      <c r="AG25" s="619"/>
    </row>
    <row r="26" spans="1:33" ht="15.75" customHeight="1">
      <c r="A26" s="638" t="s">
        <v>2723</v>
      </c>
      <c r="B26" s="33" t="s">
        <v>6</v>
      </c>
      <c r="C26" s="639" t="s">
        <v>2057</v>
      </c>
      <c r="D26" s="640"/>
      <c r="E26" s="33">
        <v>50.67</v>
      </c>
      <c r="F26" s="539">
        <v>1920</v>
      </c>
      <c r="G26" s="530">
        <f t="shared" si="19"/>
        <v>97286.400000000009</v>
      </c>
      <c r="H26" s="543" t="s">
        <v>5</v>
      </c>
      <c r="I26" s="537">
        <v>16</v>
      </c>
      <c r="J26" s="30">
        <v>2000</v>
      </c>
      <c r="K26" s="13">
        <f t="shared" si="1"/>
        <v>125</v>
      </c>
      <c r="L26" s="537">
        <v>16</v>
      </c>
      <c r="M26" s="14">
        <f t="shared" si="20"/>
        <v>1920.0000000000018</v>
      </c>
      <c r="N26" s="13">
        <f t="shared" si="3"/>
        <v>120.00000000000011</v>
      </c>
      <c r="O26" s="15">
        <f t="shared" si="4"/>
        <v>0</v>
      </c>
      <c r="P26" s="16">
        <f t="shared" si="5"/>
        <v>-4.9999999999998863</v>
      </c>
      <c r="Q26" s="535">
        <f t="shared" si="6"/>
        <v>0.96000000000000096</v>
      </c>
      <c r="R26" s="619"/>
      <c r="S26" s="31">
        <v>0.87638888888888899</v>
      </c>
      <c r="T26" s="31">
        <v>0.91805555555555562</v>
      </c>
      <c r="U26" s="530">
        <f t="shared" si="22"/>
        <v>58.99999999999995</v>
      </c>
      <c r="V26" s="538">
        <f t="shared" si="21"/>
        <v>59.999999999999943</v>
      </c>
      <c r="W26" s="17"/>
      <c r="X26" s="22"/>
      <c r="Y26" s="94"/>
      <c r="Z26" s="94"/>
      <c r="AA26" s="614"/>
      <c r="AB26" s="615"/>
      <c r="AC26" s="19"/>
      <c r="AD26" s="19"/>
      <c r="AE26" s="15">
        <f t="shared" si="8"/>
        <v>-79.999999999998181</v>
      </c>
      <c r="AF26" s="535">
        <f t="shared" si="9"/>
        <v>0.96000000000000096</v>
      </c>
      <c r="AG26" s="619"/>
    </row>
    <row r="27" spans="1:33" ht="15.75" customHeight="1">
      <c r="A27" s="638" t="s">
        <v>189</v>
      </c>
      <c r="B27" s="33" t="s">
        <v>180</v>
      </c>
      <c r="C27" s="620"/>
      <c r="D27" s="620"/>
      <c r="E27" s="536"/>
      <c r="F27" s="539"/>
      <c r="G27" s="530"/>
      <c r="H27" s="539"/>
      <c r="I27" s="23">
        <v>16</v>
      </c>
      <c r="J27" s="30">
        <v>2000</v>
      </c>
      <c r="K27" s="13">
        <f t="shared" si="1"/>
        <v>125</v>
      </c>
      <c r="L27" s="23">
        <v>16</v>
      </c>
      <c r="M27" s="14">
        <f>AVERAGE(M20:M26)</f>
        <v>1922.7198532869363</v>
      </c>
      <c r="N27" s="13">
        <f t="shared" si="3"/>
        <v>120.16999083043352</v>
      </c>
      <c r="O27" s="15">
        <f t="shared" si="4"/>
        <v>0</v>
      </c>
      <c r="P27" s="16">
        <f t="shared" si="5"/>
        <v>-4.8300091695664804</v>
      </c>
      <c r="Q27" s="535">
        <f t="shared" si="6"/>
        <v>0.96135992664346814</v>
      </c>
      <c r="R27" s="619"/>
      <c r="S27" s="31"/>
      <c r="T27" s="31"/>
      <c r="U27" s="13"/>
      <c r="V27" s="538"/>
      <c r="W27" s="13"/>
      <c r="X27" s="13"/>
      <c r="Y27" s="24">
        <f>SUM(Y20:Y26)</f>
        <v>0</v>
      </c>
      <c r="Z27" s="24">
        <f>SUM(Z20:Z26)</f>
        <v>0</v>
      </c>
      <c r="AA27" s="609"/>
      <c r="AB27" s="609"/>
      <c r="AC27" s="24">
        <v>7</v>
      </c>
      <c r="AD27" s="24">
        <f>SUM(AD20:AD26)</f>
        <v>0</v>
      </c>
      <c r="AE27" s="15">
        <f t="shared" si="8"/>
        <v>-77.280146713063687</v>
      </c>
      <c r="AF27" s="535">
        <f t="shared" si="9"/>
        <v>0.96135992664346814</v>
      </c>
      <c r="AG27" s="619"/>
    </row>
    <row r="28" spans="1:33" ht="15.75" customHeight="1">
      <c r="A28" s="636" t="s">
        <v>192</v>
      </c>
      <c r="B28" s="33" t="s">
        <v>27</v>
      </c>
      <c r="C28" s="635" t="s">
        <v>28</v>
      </c>
      <c r="D28" s="635"/>
      <c r="E28" s="33">
        <v>31.29</v>
      </c>
      <c r="F28" s="539">
        <v>6300</v>
      </c>
      <c r="G28" s="530">
        <f t="shared" ref="G28:G34" si="23">E28*F28</f>
        <v>197127</v>
      </c>
      <c r="H28" s="543">
        <v>2</v>
      </c>
      <c r="I28" s="537">
        <v>18</v>
      </c>
      <c r="J28" s="30">
        <v>2400</v>
      </c>
      <c r="K28" s="13">
        <f t="shared" si="1"/>
        <v>133.33333333333334</v>
      </c>
      <c r="L28" s="537">
        <v>18</v>
      </c>
      <c r="M28" s="14">
        <f t="shared" ref="M28:M34" si="24">F28/V28*60</f>
        <v>2290.909090909091</v>
      </c>
      <c r="N28" s="13">
        <f t="shared" si="3"/>
        <v>127.27272727272728</v>
      </c>
      <c r="O28" s="15">
        <f t="shared" si="4"/>
        <v>0</v>
      </c>
      <c r="P28" s="16">
        <f t="shared" si="5"/>
        <v>-6.0606060606060623</v>
      </c>
      <c r="Q28" s="535">
        <f t="shared" si="6"/>
        <v>0.95454545454545459</v>
      </c>
      <c r="R28" s="619">
        <f>Q35</f>
        <v>0.95515697321191895</v>
      </c>
      <c r="S28" s="31">
        <v>8.3333333333333329E-2</v>
      </c>
      <c r="T28" s="31">
        <v>0.19791666666666666</v>
      </c>
      <c r="U28" s="530"/>
      <c r="V28" s="538">
        <f t="shared" ref="V28:V34" si="25">(T28-S28)*24*60</f>
        <v>165</v>
      </c>
      <c r="W28" s="17">
        <f>T28</f>
        <v>0.19791666666666666</v>
      </c>
      <c r="X28" s="17">
        <f>S29</f>
        <v>0.21736111111111109</v>
      </c>
      <c r="Y28" s="17"/>
      <c r="Z28" s="17"/>
      <c r="AA28" s="610"/>
      <c r="AB28" s="610"/>
      <c r="AC28" s="19">
        <v>7</v>
      </c>
      <c r="AD28" s="19"/>
      <c r="AE28" s="15">
        <f t="shared" si="8"/>
        <v>-109.09090909090901</v>
      </c>
      <c r="AF28" s="535">
        <f t="shared" si="9"/>
        <v>0.95454545454545459</v>
      </c>
      <c r="AG28" s="619">
        <f>AF35</f>
        <v>0.95515697321191906</v>
      </c>
    </row>
    <row r="29" spans="1:33" ht="15.75" customHeight="1">
      <c r="A29" s="636" t="s">
        <v>192</v>
      </c>
      <c r="B29" s="33" t="s">
        <v>27</v>
      </c>
      <c r="C29" s="635" t="s">
        <v>29</v>
      </c>
      <c r="D29" s="635"/>
      <c r="E29" s="33">
        <v>26.37</v>
      </c>
      <c r="F29" s="539">
        <v>4600</v>
      </c>
      <c r="G29" s="530">
        <f t="shared" si="23"/>
        <v>121302</v>
      </c>
      <c r="H29" s="543">
        <v>2</v>
      </c>
      <c r="I29" s="537">
        <v>18</v>
      </c>
      <c r="J29" s="30">
        <v>2400</v>
      </c>
      <c r="K29" s="13">
        <f t="shared" si="1"/>
        <v>133.33333333333334</v>
      </c>
      <c r="L29" s="537">
        <v>18</v>
      </c>
      <c r="M29" s="14">
        <f t="shared" si="24"/>
        <v>2300</v>
      </c>
      <c r="N29" s="13">
        <f t="shared" si="3"/>
        <v>127.77777777777777</v>
      </c>
      <c r="O29" s="15">
        <f t="shared" si="4"/>
        <v>0</v>
      </c>
      <c r="P29" s="16">
        <f t="shared" si="5"/>
        <v>-5.5555555555555713</v>
      </c>
      <c r="Q29" s="535">
        <f t="shared" si="6"/>
        <v>0.95833333333333326</v>
      </c>
      <c r="R29" s="619"/>
      <c r="S29" s="31">
        <v>0.21736111111111109</v>
      </c>
      <c r="T29" s="31">
        <v>0.30069444444444443</v>
      </c>
      <c r="U29" s="530">
        <f t="shared" ref="U29:U34" si="26">(S29-T28)*24*60</f>
        <v>27.999999999999979</v>
      </c>
      <c r="V29" s="538">
        <f t="shared" si="25"/>
        <v>120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-100</v>
      </c>
      <c r="AF29" s="535">
        <f t="shared" si="9"/>
        <v>0.95833333333333337</v>
      </c>
      <c r="AG29" s="619"/>
    </row>
    <row r="30" spans="1:33" ht="15.75" customHeight="1">
      <c r="A30" s="636" t="s">
        <v>192</v>
      </c>
      <c r="B30" s="33" t="s">
        <v>27</v>
      </c>
      <c r="C30" s="635" t="s">
        <v>34</v>
      </c>
      <c r="D30" s="635"/>
      <c r="E30" s="33">
        <v>24.43</v>
      </c>
      <c r="F30" s="539">
        <v>5100</v>
      </c>
      <c r="G30" s="530">
        <f t="shared" si="23"/>
        <v>124593</v>
      </c>
      <c r="H30" s="543">
        <v>2</v>
      </c>
      <c r="I30" s="537">
        <v>14</v>
      </c>
      <c r="J30" s="30">
        <v>2400</v>
      </c>
      <c r="K30" s="13">
        <f t="shared" si="1"/>
        <v>171.42857142857142</v>
      </c>
      <c r="L30" s="537">
        <v>14</v>
      </c>
      <c r="M30" s="14">
        <f t="shared" si="24"/>
        <v>2283.5820895522388</v>
      </c>
      <c r="N30" s="13">
        <f t="shared" si="3"/>
        <v>163.11300639658847</v>
      </c>
      <c r="O30" s="15">
        <f t="shared" si="4"/>
        <v>0</v>
      </c>
      <c r="P30" s="16">
        <f t="shared" si="5"/>
        <v>-8.3155650319829419</v>
      </c>
      <c r="Q30" s="535">
        <f t="shared" si="6"/>
        <v>0.95149253731343286</v>
      </c>
      <c r="R30" s="619"/>
      <c r="S30" s="31">
        <v>0.30486111111111108</v>
      </c>
      <c r="T30" s="31">
        <v>0.39791666666666664</v>
      </c>
      <c r="U30" s="530">
        <f t="shared" si="26"/>
        <v>5.9999999999999787</v>
      </c>
      <c r="V30" s="538">
        <f t="shared" si="25"/>
        <v>134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-116.41791044776119</v>
      </c>
      <c r="AF30" s="535">
        <f t="shared" si="9"/>
        <v>0.95149253731343286</v>
      </c>
      <c r="AG30" s="619"/>
    </row>
    <row r="31" spans="1:33" ht="15.75" customHeight="1">
      <c r="A31" s="636" t="s">
        <v>192</v>
      </c>
      <c r="B31" s="33" t="s">
        <v>27</v>
      </c>
      <c r="C31" s="635" t="s">
        <v>75</v>
      </c>
      <c r="D31" s="635"/>
      <c r="E31" s="33">
        <v>25.98</v>
      </c>
      <c r="F31" s="539">
        <v>4393</v>
      </c>
      <c r="G31" s="530">
        <f t="shared" si="23"/>
        <v>114130.14</v>
      </c>
      <c r="H31" s="543" t="s">
        <v>5</v>
      </c>
      <c r="I31" s="537">
        <v>19</v>
      </c>
      <c r="J31" s="30">
        <v>2400</v>
      </c>
      <c r="K31" s="13">
        <f t="shared" si="1"/>
        <v>126.31578947368421</v>
      </c>
      <c r="L31" s="537">
        <v>19</v>
      </c>
      <c r="M31" s="14">
        <f t="shared" si="24"/>
        <v>2292</v>
      </c>
      <c r="N31" s="13">
        <f t="shared" si="3"/>
        <v>120.63157894736842</v>
      </c>
      <c r="O31" s="15">
        <f t="shared" si="4"/>
        <v>0</v>
      </c>
      <c r="P31" s="16">
        <f t="shared" si="5"/>
        <v>-5.6842105263157805</v>
      </c>
      <c r="Q31" s="535">
        <f t="shared" si="6"/>
        <v>0.95500000000000007</v>
      </c>
      <c r="R31" s="619"/>
      <c r="S31" s="31">
        <v>0.40208333333333329</v>
      </c>
      <c r="T31" s="31">
        <v>0.4819444444444444</v>
      </c>
      <c r="U31" s="530">
        <f t="shared" si="26"/>
        <v>5.9999999999999787</v>
      </c>
      <c r="V31" s="538">
        <f t="shared" si="25"/>
        <v>114.99999999999999</v>
      </c>
      <c r="W31" s="17">
        <f>T31</f>
        <v>0.4819444444444444</v>
      </c>
      <c r="X31" s="17">
        <f>S32</f>
        <v>0.52083333333333326</v>
      </c>
      <c r="Y31" s="17"/>
      <c r="Z31" s="17"/>
      <c r="AA31" s="610"/>
      <c r="AB31" s="610"/>
      <c r="AC31" s="19"/>
      <c r="AD31" s="19"/>
      <c r="AE31" s="15">
        <f t="shared" si="8"/>
        <v>-108</v>
      </c>
      <c r="AF31" s="535">
        <f t="shared" si="9"/>
        <v>0.95499999999999996</v>
      </c>
      <c r="AG31" s="619"/>
    </row>
    <row r="32" spans="1:33" ht="15.75" customHeight="1">
      <c r="A32" s="636" t="s">
        <v>192</v>
      </c>
      <c r="B32" s="33" t="s">
        <v>27</v>
      </c>
      <c r="C32" s="635" t="s">
        <v>28</v>
      </c>
      <c r="D32" s="635"/>
      <c r="E32" s="33">
        <v>31.29</v>
      </c>
      <c r="F32" s="539">
        <v>4586</v>
      </c>
      <c r="G32" s="530">
        <f t="shared" si="23"/>
        <v>143495.94</v>
      </c>
      <c r="H32" s="543" t="s">
        <v>5</v>
      </c>
      <c r="I32" s="537">
        <v>18</v>
      </c>
      <c r="J32" s="30">
        <v>2400</v>
      </c>
      <c r="K32" s="13">
        <f t="shared" si="1"/>
        <v>133.33333333333334</v>
      </c>
      <c r="L32" s="537">
        <v>18</v>
      </c>
      <c r="M32" s="14">
        <f t="shared" si="24"/>
        <v>2292.9999999999986</v>
      </c>
      <c r="N32" s="13">
        <f t="shared" si="3"/>
        <v>127.38888888888881</v>
      </c>
      <c r="O32" s="15">
        <f t="shared" si="4"/>
        <v>0</v>
      </c>
      <c r="P32" s="16">
        <f t="shared" si="5"/>
        <v>-5.9444444444445281</v>
      </c>
      <c r="Q32" s="535">
        <f t="shared" si="6"/>
        <v>0.95541666666666603</v>
      </c>
      <c r="R32" s="619"/>
      <c r="S32" s="31">
        <v>0.52083333333333326</v>
      </c>
      <c r="T32" s="31">
        <v>0.60416666666666663</v>
      </c>
      <c r="U32" s="530">
        <f t="shared" si="26"/>
        <v>55.999999999999957</v>
      </c>
      <c r="V32" s="538">
        <f t="shared" si="25"/>
        <v>120.00000000000006</v>
      </c>
      <c r="W32" s="17"/>
      <c r="X32" s="17"/>
      <c r="Y32" s="17"/>
      <c r="Z32" s="17"/>
      <c r="AA32" s="610"/>
      <c r="AB32" s="610"/>
      <c r="AC32" s="19"/>
      <c r="AD32" s="19"/>
      <c r="AE32" s="15">
        <f t="shared" si="8"/>
        <v>-107.00000000000136</v>
      </c>
      <c r="AF32" s="535">
        <f t="shared" si="9"/>
        <v>0.95541666666666614</v>
      </c>
      <c r="AG32" s="619"/>
    </row>
    <row r="33" spans="1:33" ht="15.75" customHeight="1">
      <c r="A33" s="636" t="s">
        <v>192</v>
      </c>
      <c r="B33" s="33" t="s">
        <v>27</v>
      </c>
      <c r="C33" s="635" t="s">
        <v>29</v>
      </c>
      <c r="D33" s="635"/>
      <c r="E33" s="33">
        <v>26.37</v>
      </c>
      <c r="F33" s="539">
        <v>3094</v>
      </c>
      <c r="G33" s="530">
        <f t="shared" si="23"/>
        <v>81588.78</v>
      </c>
      <c r="H33" s="543" t="s">
        <v>5</v>
      </c>
      <c r="I33" s="537">
        <v>18</v>
      </c>
      <c r="J33" s="30">
        <v>2400</v>
      </c>
      <c r="K33" s="13">
        <f t="shared" si="1"/>
        <v>133.33333333333334</v>
      </c>
      <c r="L33" s="537">
        <v>18</v>
      </c>
      <c r="M33" s="14">
        <f t="shared" si="24"/>
        <v>2291.8518518518513</v>
      </c>
      <c r="N33" s="13">
        <f t="shared" si="3"/>
        <v>127.32510288065841</v>
      </c>
      <c r="O33" s="15">
        <f t="shared" si="4"/>
        <v>0</v>
      </c>
      <c r="P33" s="16">
        <f t="shared" si="5"/>
        <v>-6.0082304526749368</v>
      </c>
      <c r="Q33" s="535">
        <f t="shared" si="6"/>
        <v>0.95493827160493794</v>
      </c>
      <c r="R33" s="619"/>
      <c r="S33" s="31">
        <v>0.60833333333333328</v>
      </c>
      <c r="T33" s="31">
        <v>0.6645833333333333</v>
      </c>
      <c r="U33" s="530">
        <f t="shared" si="26"/>
        <v>5.9999999999999787</v>
      </c>
      <c r="V33" s="538">
        <f t="shared" si="25"/>
        <v>81.000000000000028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-108.14814814814872</v>
      </c>
      <c r="AF33" s="535">
        <f t="shared" si="9"/>
        <v>0.95493827160493805</v>
      </c>
      <c r="AG33" s="619"/>
    </row>
    <row r="34" spans="1:33" ht="15.75" customHeight="1">
      <c r="A34" s="636" t="s">
        <v>2725</v>
      </c>
      <c r="B34" s="33" t="s">
        <v>27</v>
      </c>
      <c r="C34" s="635" t="s">
        <v>34</v>
      </c>
      <c r="D34" s="635"/>
      <c r="E34" s="33">
        <v>24.43</v>
      </c>
      <c r="F34" s="539">
        <v>3902</v>
      </c>
      <c r="G34" s="530">
        <f t="shared" si="23"/>
        <v>95325.86</v>
      </c>
      <c r="H34" s="543" t="s">
        <v>5</v>
      </c>
      <c r="I34" s="537">
        <v>14</v>
      </c>
      <c r="J34" s="30">
        <v>2400</v>
      </c>
      <c r="K34" s="13">
        <f t="shared" si="1"/>
        <v>171.42857142857142</v>
      </c>
      <c r="L34" s="537">
        <v>14</v>
      </c>
      <c r="M34" s="14">
        <f t="shared" si="24"/>
        <v>2295.2941176470599</v>
      </c>
      <c r="N34" s="13">
        <f t="shared" si="3"/>
        <v>163.94957983193285</v>
      </c>
      <c r="O34" s="15">
        <f t="shared" si="4"/>
        <v>0</v>
      </c>
      <c r="P34" s="16">
        <f t="shared" si="5"/>
        <v>-7.4789915966385649</v>
      </c>
      <c r="Q34" s="535">
        <f t="shared" si="6"/>
        <v>0.95637254901960833</v>
      </c>
      <c r="R34" s="619"/>
      <c r="S34" s="31">
        <v>0.6694444444444444</v>
      </c>
      <c r="T34" s="31">
        <v>0.7402777777777777</v>
      </c>
      <c r="U34" s="530">
        <f t="shared" si="26"/>
        <v>6.9999999999999751</v>
      </c>
      <c r="V34" s="538">
        <f t="shared" si="25"/>
        <v>101.99999999999996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-104.70588235294008</v>
      </c>
      <c r="AF34" s="535">
        <f t="shared" si="9"/>
        <v>0.95637254901960833</v>
      </c>
      <c r="AG34" s="619"/>
    </row>
    <row r="35" spans="1:33" ht="15.75" customHeight="1">
      <c r="A35" s="636" t="s">
        <v>192</v>
      </c>
      <c r="B35" s="33" t="s">
        <v>180</v>
      </c>
      <c r="C35" s="620"/>
      <c r="D35" s="620"/>
      <c r="E35" s="536"/>
      <c r="F35" s="539"/>
      <c r="G35" s="530"/>
      <c r="H35" s="539"/>
      <c r="I35" s="23">
        <v>17</v>
      </c>
      <c r="J35" s="30">
        <v>2400</v>
      </c>
      <c r="K35" s="13">
        <f t="shared" si="1"/>
        <v>141.1764705882353</v>
      </c>
      <c r="L35" s="23">
        <v>17</v>
      </c>
      <c r="M35" s="14">
        <f>AVERAGE(M28:M34)</f>
        <v>2292.3767357086058</v>
      </c>
      <c r="N35" s="13">
        <f t="shared" si="3"/>
        <v>134.84569033580033</v>
      </c>
      <c r="O35" s="15">
        <f t="shared" si="4"/>
        <v>0</v>
      </c>
      <c r="P35" s="16">
        <f t="shared" si="5"/>
        <v>-6.3307802524349768</v>
      </c>
      <c r="Q35" s="535">
        <f t="shared" si="6"/>
        <v>0.95515697321191895</v>
      </c>
      <c r="R35" s="619"/>
      <c r="S35" s="31"/>
      <c r="T35" s="31"/>
      <c r="U35" s="530"/>
      <c r="V35" s="538"/>
      <c r="W35" s="530"/>
      <c r="X35" s="530"/>
      <c r="Y35" s="24">
        <f>SUM(Y28:Y34)</f>
        <v>0</v>
      </c>
      <c r="Z35" s="24">
        <f>SUM(Z28:Z34)</f>
        <v>0</v>
      </c>
      <c r="AA35" s="609"/>
      <c r="AB35" s="609"/>
      <c r="AC35" s="24">
        <v>7</v>
      </c>
      <c r="AD35" s="24">
        <f>SUM(AD28:AD34)</f>
        <v>0</v>
      </c>
      <c r="AE35" s="15">
        <f t="shared" si="8"/>
        <v>-107.62326429139421</v>
      </c>
      <c r="AF35" s="535">
        <f t="shared" si="9"/>
        <v>0.95515697321191906</v>
      </c>
      <c r="AG35" s="619"/>
    </row>
    <row r="36" spans="1:33" ht="15.75" customHeight="1">
      <c r="A36" s="633" t="s">
        <v>2726</v>
      </c>
      <c r="B36" s="33" t="s">
        <v>27</v>
      </c>
      <c r="C36" s="611" t="s">
        <v>33</v>
      </c>
      <c r="D36" s="611"/>
      <c r="E36" s="33">
        <v>26.18</v>
      </c>
      <c r="F36" s="539">
        <v>4100</v>
      </c>
      <c r="G36" s="530">
        <f t="shared" ref="G36:G43" si="27">E36*F36</f>
        <v>107338</v>
      </c>
      <c r="H36" s="543">
        <v>2</v>
      </c>
      <c r="I36" s="537">
        <v>20</v>
      </c>
      <c r="J36" s="30">
        <v>2400</v>
      </c>
      <c r="K36" s="13">
        <f t="shared" si="1"/>
        <v>120</v>
      </c>
      <c r="L36" s="537">
        <v>20</v>
      </c>
      <c r="M36" s="14">
        <f t="shared" ref="M36:M43" si="28">F36/V36*60</f>
        <v>2299.065420560748</v>
      </c>
      <c r="N36" s="13">
        <f t="shared" si="3"/>
        <v>114.95327102803739</v>
      </c>
      <c r="O36" s="15">
        <f t="shared" si="4"/>
        <v>0</v>
      </c>
      <c r="P36" s="16">
        <f t="shared" si="5"/>
        <v>-5.0467289719626081</v>
      </c>
      <c r="Q36" s="535">
        <f t="shared" si="6"/>
        <v>0.95794392523364491</v>
      </c>
      <c r="R36" s="619">
        <f>Q44</f>
        <v>0.95881778190778022</v>
      </c>
      <c r="S36" s="31">
        <v>8.3333333333333329E-2</v>
      </c>
      <c r="T36" s="31">
        <v>0.15763888888888888</v>
      </c>
      <c r="U36" s="530"/>
      <c r="V36" s="538">
        <f t="shared" ref="V36:V43" si="29">(T36-S36)*24*60</f>
        <v>107</v>
      </c>
      <c r="W36" s="22">
        <f>T36</f>
        <v>0.15763888888888888</v>
      </c>
      <c r="X36" s="22">
        <f>S37</f>
        <v>0.17708333333333331</v>
      </c>
      <c r="Y36" s="22"/>
      <c r="Z36" s="22"/>
      <c r="AA36" s="610"/>
      <c r="AB36" s="610"/>
      <c r="AC36" s="19">
        <v>8</v>
      </c>
      <c r="AD36" s="19"/>
      <c r="AE36" s="15">
        <f t="shared" si="8"/>
        <v>-100.93457943925205</v>
      </c>
      <c r="AF36" s="535">
        <f t="shared" si="9"/>
        <v>0.95794392523364502</v>
      </c>
      <c r="AG36" s="619">
        <f>AF44</f>
        <v>0.95881778190778033</v>
      </c>
    </row>
    <row r="37" spans="1:33" ht="15.75" customHeight="1">
      <c r="A37" s="633" t="s">
        <v>195</v>
      </c>
      <c r="B37" s="33" t="s">
        <v>27</v>
      </c>
      <c r="C37" s="611" t="s">
        <v>30</v>
      </c>
      <c r="D37" s="611"/>
      <c r="E37" s="33">
        <v>26.18</v>
      </c>
      <c r="F37" s="539">
        <v>5400</v>
      </c>
      <c r="G37" s="530">
        <f t="shared" si="27"/>
        <v>141372</v>
      </c>
      <c r="H37" s="543">
        <v>2</v>
      </c>
      <c r="I37" s="537">
        <v>18</v>
      </c>
      <c r="J37" s="30">
        <v>2400</v>
      </c>
      <c r="K37" s="13">
        <f t="shared" si="1"/>
        <v>133.33333333333334</v>
      </c>
      <c r="L37" s="537">
        <v>18</v>
      </c>
      <c r="M37" s="14">
        <f t="shared" si="28"/>
        <v>2297.8723404255325</v>
      </c>
      <c r="N37" s="13">
        <f t="shared" si="3"/>
        <v>127.65957446808514</v>
      </c>
      <c r="O37" s="15">
        <f t="shared" si="4"/>
        <v>0</v>
      </c>
      <c r="P37" s="16">
        <f t="shared" si="5"/>
        <v>-5.6737588652482032</v>
      </c>
      <c r="Q37" s="535">
        <f t="shared" si="6"/>
        <v>0.95744680851063846</v>
      </c>
      <c r="R37" s="619"/>
      <c r="S37" s="31">
        <v>0.17708333333333331</v>
      </c>
      <c r="T37" s="31">
        <v>0.27499999999999997</v>
      </c>
      <c r="U37" s="530">
        <f t="shared" ref="U37:U43" si="30">(S37-T36)*24*60</f>
        <v>27.999999999999979</v>
      </c>
      <c r="V37" s="538">
        <f t="shared" si="29"/>
        <v>140.99999999999997</v>
      </c>
      <c r="W37" s="530"/>
      <c r="X37" s="530"/>
      <c r="Y37" s="530"/>
      <c r="Z37" s="530"/>
      <c r="AA37" s="610"/>
      <c r="AB37" s="610"/>
      <c r="AC37" s="19"/>
      <c r="AD37" s="19"/>
      <c r="AE37" s="15">
        <f t="shared" si="8"/>
        <v>-102.12765957446754</v>
      </c>
      <c r="AF37" s="535">
        <f t="shared" si="9"/>
        <v>0.95744680851063857</v>
      </c>
      <c r="AG37" s="619"/>
    </row>
    <row r="38" spans="1:33">
      <c r="A38" s="634" t="s">
        <v>2726</v>
      </c>
      <c r="B38" s="33" t="s">
        <v>27</v>
      </c>
      <c r="C38" s="611" t="s">
        <v>35</v>
      </c>
      <c r="D38" s="611"/>
      <c r="E38" s="33">
        <v>34.1</v>
      </c>
      <c r="F38" s="539">
        <v>4100</v>
      </c>
      <c r="G38" s="530">
        <f t="shared" si="27"/>
        <v>139810</v>
      </c>
      <c r="H38" s="543">
        <v>2</v>
      </c>
      <c r="I38" s="537">
        <v>17</v>
      </c>
      <c r="J38" s="30">
        <v>1600</v>
      </c>
      <c r="K38" s="13">
        <f t="shared" si="1"/>
        <v>94.117647058823536</v>
      </c>
      <c r="L38" s="537">
        <v>17</v>
      </c>
      <c r="M38" s="14">
        <f t="shared" si="28"/>
        <v>1527.9503105590063</v>
      </c>
      <c r="N38" s="13">
        <f t="shared" si="3"/>
        <v>89.879430032882723</v>
      </c>
      <c r="O38" s="15">
        <f t="shared" si="4"/>
        <v>0</v>
      </c>
      <c r="P38" s="16">
        <f t="shared" si="5"/>
        <v>-4.2382170259408127</v>
      </c>
      <c r="Q38" s="535">
        <f t="shared" si="6"/>
        <v>0.95496894409937882</v>
      </c>
      <c r="R38" s="619"/>
      <c r="S38" s="31">
        <v>0.27847222222222218</v>
      </c>
      <c r="T38" s="31">
        <v>0.39027777777777772</v>
      </c>
      <c r="U38" s="530">
        <f t="shared" si="30"/>
        <v>4.9999999999999822</v>
      </c>
      <c r="V38" s="538">
        <f t="shared" si="29"/>
        <v>161</v>
      </c>
      <c r="W38" s="530"/>
      <c r="X38" s="530"/>
      <c r="Y38" s="530"/>
      <c r="Z38" s="530"/>
      <c r="AA38" s="610"/>
      <c r="AB38" s="610"/>
      <c r="AC38" s="19"/>
      <c r="AD38" s="19"/>
      <c r="AE38" s="15">
        <f t="shared" si="8"/>
        <v>-72.049689440993689</v>
      </c>
      <c r="AF38" s="535">
        <f t="shared" si="9"/>
        <v>0.95496894409937894</v>
      </c>
      <c r="AG38" s="619"/>
    </row>
    <row r="39" spans="1:33">
      <c r="A39" s="634" t="s">
        <v>195</v>
      </c>
      <c r="B39" s="33" t="s">
        <v>27</v>
      </c>
      <c r="C39" s="611" t="s">
        <v>54</v>
      </c>
      <c r="D39" s="611"/>
      <c r="E39" s="33">
        <v>24.25</v>
      </c>
      <c r="F39" s="539">
        <v>1779</v>
      </c>
      <c r="G39" s="530">
        <f t="shared" si="27"/>
        <v>43140.75</v>
      </c>
      <c r="H39" s="543" t="s">
        <v>5</v>
      </c>
      <c r="I39" s="537">
        <v>16</v>
      </c>
      <c r="J39" s="30">
        <v>2400</v>
      </c>
      <c r="K39" s="13">
        <f t="shared" si="1"/>
        <v>150</v>
      </c>
      <c r="L39" s="537">
        <v>16</v>
      </c>
      <c r="M39" s="14">
        <f t="shared" si="28"/>
        <v>2320.4347826086955</v>
      </c>
      <c r="N39" s="13">
        <f t="shared" si="3"/>
        <v>145.02717391304347</v>
      </c>
      <c r="O39" s="15">
        <f t="shared" si="4"/>
        <v>0</v>
      </c>
      <c r="P39" s="16">
        <f t="shared" si="5"/>
        <v>-4.9728260869565304</v>
      </c>
      <c r="Q39" s="535">
        <f t="shared" si="6"/>
        <v>0.96684782608695652</v>
      </c>
      <c r="R39" s="619"/>
      <c r="S39" s="31">
        <v>0.39583333333333326</v>
      </c>
      <c r="T39" s="31">
        <v>0.4277777777777777</v>
      </c>
      <c r="U39" s="530">
        <f t="shared" si="30"/>
        <v>7.9999999999999716</v>
      </c>
      <c r="V39" s="538">
        <f t="shared" si="29"/>
        <v>46</v>
      </c>
      <c r="W39" s="17"/>
      <c r="X39" s="17"/>
      <c r="Y39" s="17"/>
      <c r="Z39" s="17"/>
      <c r="AA39" s="610"/>
      <c r="AB39" s="610"/>
      <c r="AC39" s="19"/>
      <c r="AD39" s="19"/>
      <c r="AE39" s="15">
        <f t="shared" si="8"/>
        <v>-79.565217391304486</v>
      </c>
      <c r="AF39" s="535">
        <f t="shared" si="9"/>
        <v>0.96684782608695652</v>
      </c>
      <c r="AG39" s="619"/>
    </row>
    <row r="40" spans="1:33">
      <c r="A40" s="634" t="s">
        <v>195</v>
      </c>
      <c r="B40" s="33" t="s">
        <v>27</v>
      </c>
      <c r="C40" s="611" t="s">
        <v>197</v>
      </c>
      <c r="D40" s="611"/>
      <c r="E40" s="33">
        <v>23.89</v>
      </c>
      <c r="F40" s="539">
        <v>3187</v>
      </c>
      <c r="G40" s="530">
        <f t="shared" si="27"/>
        <v>76137.430000000008</v>
      </c>
      <c r="H40" s="543" t="s">
        <v>5</v>
      </c>
      <c r="I40" s="537">
        <v>17</v>
      </c>
      <c r="J40" s="30">
        <v>2400</v>
      </c>
      <c r="K40" s="13">
        <f t="shared" si="1"/>
        <v>141.1764705882353</v>
      </c>
      <c r="L40" s="537">
        <v>17</v>
      </c>
      <c r="M40" s="14">
        <f t="shared" si="28"/>
        <v>2303.8554216867465</v>
      </c>
      <c r="N40" s="13">
        <f t="shared" si="3"/>
        <v>135.52090715804391</v>
      </c>
      <c r="O40" s="15">
        <f t="shared" si="4"/>
        <v>0</v>
      </c>
      <c r="P40" s="16">
        <f t="shared" si="5"/>
        <v>-5.6555634301913926</v>
      </c>
      <c r="Q40" s="535">
        <f t="shared" si="6"/>
        <v>0.95993975903614426</v>
      </c>
      <c r="R40" s="619"/>
      <c r="S40" s="31">
        <v>0.43333333333333324</v>
      </c>
      <c r="T40" s="31">
        <v>0.49097222222222214</v>
      </c>
      <c r="U40" s="530">
        <f t="shared" si="30"/>
        <v>7.9999999999999716</v>
      </c>
      <c r="V40" s="538">
        <f t="shared" si="29"/>
        <v>83.000000000000028</v>
      </c>
      <c r="W40" s="17">
        <f>T40</f>
        <v>0.49097222222222214</v>
      </c>
      <c r="X40" s="17">
        <f>S41</f>
        <v>0.53124999999999989</v>
      </c>
      <c r="Y40" s="17"/>
      <c r="Z40" s="17"/>
      <c r="AA40" s="610"/>
      <c r="AB40" s="610"/>
      <c r="AC40" s="19"/>
      <c r="AD40" s="19"/>
      <c r="AE40" s="15">
        <f t="shared" si="8"/>
        <v>-96.144578313253533</v>
      </c>
      <c r="AF40" s="535">
        <f t="shared" si="9"/>
        <v>0.95993975903614437</v>
      </c>
      <c r="AG40" s="619"/>
    </row>
    <row r="41" spans="1:33">
      <c r="A41" s="634" t="s">
        <v>195</v>
      </c>
      <c r="B41" s="33" t="s">
        <v>27</v>
      </c>
      <c r="C41" s="611" t="s">
        <v>33</v>
      </c>
      <c r="D41" s="611"/>
      <c r="E41" s="33">
        <v>26.18</v>
      </c>
      <c r="F41" s="539">
        <v>3039</v>
      </c>
      <c r="G41" s="530">
        <f t="shared" si="27"/>
        <v>79561.02</v>
      </c>
      <c r="H41" s="543" t="s">
        <v>5</v>
      </c>
      <c r="I41" s="537">
        <v>20</v>
      </c>
      <c r="J41" s="30">
        <v>2400</v>
      </c>
      <c r="K41" s="13">
        <f t="shared" si="1"/>
        <v>120</v>
      </c>
      <c r="L41" s="537">
        <v>20</v>
      </c>
      <c r="M41" s="14">
        <f t="shared" si="28"/>
        <v>2308.1012658227837</v>
      </c>
      <c r="N41" s="13">
        <f t="shared" si="3"/>
        <v>115.40506329113919</v>
      </c>
      <c r="O41" s="15">
        <f t="shared" si="4"/>
        <v>0</v>
      </c>
      <c r="P41" s="16">
        <f t="shared" si="5"/>
        <v>-4.5949367088608142</v>
      </c>
      <c r="Q41" s="535">
        <f t="shared" si="6"/>
        <v>0.96170886075949324</v>
      </c>
      <c r="R41" s="619"/>
      <c r="S41" s="31">
        <v>0.53124999999999989</v>
      </c>
      <c r="T41" s="31">
        <v>0.58611111111111103</v>
      </c>
      <c r="U41" s="530">
        <f t="shared" si="30"/>
        <v>57.999999999999957</v>
      </c>
      <c r="V41" s="538">
        <f t="shared" si="29"/>
        <v>79.000000000000043</v>
      </c>
      <c r="W41" s="17"/>
      <c r="X41" s="17"/>
      <c r="Y41" s="17"/>
      <c r="Z41" s="17"/>
      <c r="AA41" s="610"/>
      <c r="AB41" s="610"/>
      <c r="AC41" s="19"/>
      <c r="AD41" s="19"/>
      <c r="AE41" s="15">
        <f t="shared" si="8"/>
        <v>-91.898734177216284</v>
      </c>
      <c r="AF41" s="535">
        <f t="shared" si="9"/>
        <v>0.96170886075949324</v>
      </c>
      <c r="AG41" s="619"/>
    </row>
    <row r="42" spans="1:33">
      <c r="A42" s="634" t="s">
        <v>195</v>
      </c>
      <c r="B42" s="33" t="s">
        <v>27</v>
      </c>
      <c r="C42" s="611" t="s">
        <v>30</v>
      </c>
      <c r="D42" s="611"/>
      <c r="E42" s="33">
        <v>26.18</v>
      </c>
      <c r="F42" s="539">
        <v>4198</v>
      </c>
      <c r="G42" s="530">
        <f t="shared" si="27"/>
        <v>109903.64</v>
      </c>
      <c r="H42" s="543" t="s">
        <v>5</v>
      </c>
      <c r="I42" s="537">
        <v>18</v>
      </c>
      <c r="J42" s="30">
        <v>2400</v>
      </c>
      <c r="K42" s="13">
        <f t="shared" si="1"/>
        <v>133.33333333333334</v>
      </c>
      <c r="L42" s="537">
        <v>18</v>
      </c>
      <c r="M42" s="14">
        <f t="shared" si="28"/>
        <v>2289.8181818181829</v>
      </c>
      <c r="N42" s="13">
        <f t="shared" si="3"/>
        <v>127.21212121212127</v>
      </c>
      <c r="O42" s="15">
        <f t="shared" si="4"/>
        <v>0</v>
      </c>
      <c r="P42" s="16">
        <f t="shared" si="5"/>
        <v>-6.1212121212120678</v>
      </c>
      <c r="Q42" s="535">
        <f t="shared" si="6"/>
        <v>0.95409090909090954</v>
      </c>
      <c r="R42" s="619"/>
      <c r="S42" s="31">
        <v>0.58958333333333324</v>
      </c>
      <c r="T42" s="31">
        <v>0.66597222222222208</v>
      </c>
      <c r="U42" s="530">
        <f t="shared" si="30"/>
        <v>4.9999999999999822</v>
      </c>
      <c r="V42" s="538">
        <f t="shared" si="29"/>
        <v>109.99999999999993</v>
      </c>
      <c r="W42" s="17"/>
      <c r="X42" s="17"/>
      <c r="Y42" s="20"/>
      <c r="Z42" s="20"/>
      <c r="AA42" s="614"/>
      <c r="AB42" s="615"/>
      <c r="AC42" s="19"/>
      <c r="AD42" s="19"/>
      <c r="AE42" s="15">
        <f t="shared" si="8"/>
        <v>-110.18181818181711</v>
      </c>
      <c r="AF42" s="535">
        <f t="shared" si="9"/>
        <v>0.95409090909090954</v>
      </c>
      <c r="AG42" s="619"/>
    </row>
    <row r="43" spans="1:33">
      <c r="A43" s="634" t="s">
        <v>2726</v>
      </c>
      <c r="B43" s="33" t="s">
        <v>27</v>
      </c>
      <c r="C43" s="611" t="s">
        <v>35</v>
      </c>
      <c r="D43" s="611"/>
      <c r="E43" s="33">
        <v>34.1</v>
      </c>
      <c r="F43" s="539">
        <v>3209</v>
      </c>
      <c r="G43" s="530">
        <f t="shared" si="27"/>
        <v>109426.90000000001</v>
      </c>
      <c r="H43" s="543" t="s">
        <v>5</v>
      </c>
      <c r="I43" s="537">
        <v>17</v>
      </c>
      <c r="J43" s="30">
        <v>1600</v>
      </c>
      <c r="K43" s="13">
        <f t="shared" si="1"/>
        <v>94.117647058823536</v>
      </c>
      <c r="L43" s="537">
        <v>17</v>
      </c>
      <c r="M43" s="14">
        <f t="shared" si="28"/>
        <v>1528.0952380952376</v>
      </c>
      <c r="N43" s="13">
        <f t="shared" si="3"/>
        <v>89.887955182072801</v>
      </c>
      <c r="O43" s="15">
        <f t="shared" si="4"/>
        <v>0</v>
      </c>
      <c r="P43" s="16">
        <f t="shared" si="5"/>
        <v>-4.229691876750735</v>
      </c>
      <c r="Q43" s="535">
        <f t="shared" si="6"/>
        <v>0.95505952380952341</v>
      </c>
      <c r="R43" s="619"/>
      <c r="S43" s="31">
        <v>0.67152777777777761</v>
      </c>
      <c r="T43" s="31">
        <v>0.75902777777777763</v>
      </c>
      <c r="U43" s="530">
        <f t="shared" si="30"/>
        <v>7.9999999999999716</v>
      </c>
      <c r="V43" s="538">
        <f t="shared" si="29"/>
        <v>126.00000000000003</v>
      </c>
      <c r="W43" s="17"/>
      <c r="X43" s="17"/>
      <c r="Y43" s="20"/>
      <c r="Z43" s="20"/>
      <c r="AA43" s="614"/>
      <c r="AB43" s="615"/>
      <c r="AC43" s="19"/>
      <c r="AD43" s="19"/>
      <c r="AE43" s="15">
        <f t="shared" si="8"/>
        <v>-71.904761904762381</v>
      </c>
      <c r="AF43" s="535">
        <f t="shared" si="9"/>
        <v>0.95505952380952353</v>
      </c>
      <c r="AG43" s="619"/>
    </row>
    <row r="44" spans="1:33">
      <c r="A44" s="634" t="s">
        <v>195</v>
      </c>
      <c r="B44" s="34" t="s">
        <v>2727</v>
      </c>
      <c r="C44" s="620"/>
      <c r="D44" s="620"/>
      <c r="E44" s="536"/>
      <c r="F44" s="34"/>
      <c r="G44" s="13"/>
      <c r="H44" s="539"/>
      <c r="I44" s="23">
        <v>17.875</v>
      </c>
      <c r="J44" s="30">
        <v>2200</v>
      </c>
      <c r="K44" s="13">
        <f t="shared" si="1"/>
        <v>123.07692307692308</v>
      </c>
      <c r="L44" s="23">
        <v>17.875</v>
      </c>
      <c r="M44" s="14">
        <f>AVERAGE(M36:M43)</f>
        <v>2109.3991201971166</v>
      </c>
      <c r="N44" s="13">
        <f t="shared" si="3"/>
        <v>118.00834238864988</v>
      </c>
      <c r="O44" s="15">
        <f t="shared" si="4"/>
        <v>0</v>
      </c>
      <c r="P44" s="16">
        <f t="shared" si="5"/>
        <v>-5.068580688273201</v>
      </c>
      <c r="Q44" s="535">
        <f t="shared" si="6"/>
        <v>0.95881778190778022</v>
      </c>
      <c r="R44" s="619"/>
      <c r="S44" s="31"/>
      <c r="T44" s="31"/>
      <c r="U44" s="13"/>
      <c r="V44" s="538"/>
      <c r="W44" s="13"/>
      <c r="X44" s="13"/>
      <c r="Y44" s="24">
        <f>SUM(Y36:Y43)</f>
        <v>0</v>
      </c>
      <c r="Z44" s="24">
        <f>SUM(Z36:Z43)</f>
        <v>0</v>
      </c>
      <c r="AA44" s="609"/>
      <c r="AB44" s="609"/>
      <c r="AC44" s="24">
        <v>8</v>
      </c>
      <c r="AD44" s="24">
        <f>SUM(AD36:AD43)</f>
        <v>0</v>
      </c>
      <c r="AE44" s="15">
        <f t="shared" si="8"/>
        <v>-90.600879802883355</v>
      </c>
      <c r="AF44" s="535">
        <f t="shared" si="9"/>
        <v>0.95881778190778033</v>
      </c>
      <c r="AG44" s="619"/>
    </row>
    <row r="45" spans="1:33" ht="15.75" customHeight="1">
      <c r="A45" s="630" t="s">
        <v>296</v>
      </c>
      <c r="B45" s="33" t="s">
        <v>36</v>
      </c>
      <c r="C45" s="612" t="s">
        <v>37</v>
      </c>
      <c r="D45" s="613"/>
      <c r="E45" s="33">
        <v>21.13</v>
      </c>
      <c r="F45" s="539">
        <v>6401</v>
      </c>
      <c r="G45" s="530">
        <f t="shared" ref="G45:G47" si="31">E45*F45</f>
        <v>135253.13</v>
      </c>
      <c r="H45" s="543" t="s">
        <v>5</v>
      </c>
      <c r="I45" s="537">
        <v>10</v>
      </c>
      <c r="J45" s="30">
        <v>3000</v>
      </c>
      <c r="K45" s="13">
        <f t="shared" si="1"/>
        <v>300</v>
      </c>
      <c r="L45" s="537">
        <v>10</v>
      </c>
      <c r="M45" s="14">
        <f t="shared" ref="M45:M47" si="32">F45/V45*60</f>
        <v>2866.1194029850731</v>
      </c>
      <c r="N45" s="14">
        <f t="shared" si="3"/>
        <v>286.61194029850731</v>
      </c>
      <c r="O45" s="15">
        <f t="shared" si="4"/>
        <v>0</v>
      </c>
      <c r="P45" s="16">
        <f t="shared" si="5"/>
        <v>-13.388059701492693</v>
      </c>
      <c r="Q45" s="535">
        <f t="shared" si="6"/>
        <v>0.95537313432835769</v>
      </c>
      <c r="R45" s="625">
        <f>Q48</f>
        <v>0.95634415231707637</v>
      </c>
      <c r="S45" s="31">
        <v>0.20833333333333334</v>
      </c>
      <c r="T45" s="31">
        <v>0.30138888888888893</v>
      </c>
      <c r="U45" s="22"/>
      <c r="V45" s="538">
        <f t="shared" ref="V45:V47" si="33">(T45-S45)*24*60</f>
        <v>134.00000000000006</v>
      </c>
      <c r="W45" s="17"/>
      <c r="X45" s="17"/>
      <c r="Y45" s="20"/>
      <c r="Z45" s="20"/>
      <c r="AA45" s="614"/>
      <c r="AB45" s="615"/>
      <c r="AC45" s="19">
        <v>3</v>
      </c>
      <c r="AD45" s="19"/>
      <c r="AE45" s="15">
        <f t="shared" si="8"/>
        <v>-133.88059701492693</v>
      </c>
      <c r="AF45" s="535">
        <f t="shared" si="9"/>
        <v>0.95537313432835769</v>
      </c>
      <c r="AG45" s="625">
        <f>AF48</f>
        <v>0.95634415231707637</v>
      </c>
    </row>
    <row r="46" spans="1:33" ht="15.75" customHeight="1">
      <c r="A46" s="631" t="s">
        <v>296</v>
      </c>
      <c r="B46" s="33" t="s">
        <v>36</v>
      </c>
      <c r="C46" s="612" t="s">
        <v>38</v>
      </c>
      <c r="D46" s="613"/>
      <c r="E46" s="33">
        <v>27.17</v>
      </c>
      <c r="F46" s="539">
        <v>7552</v>
      </c>
      <c r="G46" s="530">
        <f t="shared" si="31"/>
        <v>205187.84000000003</v>
      </c>
      <c r="H46" s="543" t="s">
        <v>5</v>
      </c>
      <c r="I46" s="537">
        <v>10</v>
      </c>
      <c r="J46" s="30">
        <v>3000</v>
      </c>
      <c r="K46" s="13">
        <f t="shared" si="1"/>
        <v>300</v>
      </c>
      <c r="L46" s="537">
        <v>10</v>
      </c>
      <c r="M46" s="14">
        <f t="shared" si="32"/>
        <v>2867.8481012658226</v>
      </c>
      <c r="N46" s="14">
        <f t="shared" si="3"/>
        <v>286.78481012658227</v>
      </c>
      <c r="O46" s="15">
        <f t="shared" si="4"/>
        <v>0</v>
      </c>
      <c r="P46" s="16">
        <f t="shared" si="5"/>
        <v>-13.215189873417728</v>
      </c>
      <c r="Q46" s="535">
        <f t="shared" si="6"/>
        <v>0.95594936708860756</v>
      </c>
      <c r="R46" s="626"/>
      <c r="S46" s="31">
        <v>0.30555555555555558</v>
      </c>
      <c r="T46" s="31">
        <v>0.4152777777777778</v>
      </c>
      <c r="U46" s="530">
        <f t="shared" ref="U46:U47" si="34">(S46-T45)*24*60</f>
        <v>5.9999999999999787</v>
      </c>
      <c r="V46" s="538">
        <f t="shared" si="33"/>
        <v>158</v>
      </c>
      <c r="W46" s="17"/>
      <c r="X46" s="17"/>
      <c r="Y46" s="20"/>
      <c r="Z46" s="20"/>
      <c r="AA46" s="614"/>
      <c r="AB46" s="615"/>
      <c r="AC46" s="19"/>
      <c r="AD46" s="19"/>
      <c r="AE46" s="15">
        <f t="shared" si="8"/>
        <v>-132.15189873417739</v>
      </c>
      <c r="AF46" s="535">
        <f t="shared" si="9"/>
        <v>0.95594936708860756</v>
      </c>
      <c r="AG46" s="626"/>
    </row>
    <row r="47" spans="1:33" ht="15.75" customHeight="1">
      <c r="A47" s="631" t="s">
        <v>296</v>
      </c>
      <c r="B47" s="33" t="s">
        <v>36</v>
      </c>
      <c r="C47" s="612" t="s">
        <v>1511</v>
      </c>
      <c r="D47" s="613"/>
      <c r="E47" s="33">
        <v>37.880000000000003</v>
      </c>
      <c r="F47" s="539">
        <v>3578</v>
      </c>
      <c r="G47" s="530">
        <f t="shared" si="31"/>
        <v>135534.64000000001</v>
      </c>
      <c r="H47" s="543" t="s">
        <v>5</v>
      </c>
      <c r="I47" s="537">
        <v>13</v>
      </c>
      <c r="J47" s="30">
        <v>2000</v>
      </c>
      <c r="K47" s="13">
        <f t="shared" si="1"/>
        <v>153.84615384615384</v>
      </c>
      <c r="L47" s="537">
        <v>13</v>
      </c>
      <c r="M47" s="14">
        <f t="shared" si="32"/>
        <v>1916.7857142857144</v>
      </c>
      <c r="N47" s="14">
        <f t="shared" si="3"/>
        <v>147.44505494505495</v>
      </c>
      <c r="O47" s="15">
        <f t="shared" si="4"/>
        <v>0</v>
      </c>
      <c r="P47" s="16">
        <f t="shared" si="5"/>
        <v>-6.4010989010988908</v>
      </c>
      <c r="Q47" s="535">
        <f t="shared" si="6"/>
        <v>0.95839285714285716</v>
      </c>
      <c r="R47" s="626"/>
      <c r="S47" s="31">
        <v>0.4201388888888889</v>
      </c>
      <c r="T47" s="31">
        <v>0.49791666666666667</v>
      </c>
      <c r="U47" s="530">
        <f t="shared" si="34"/>
        <v>6.9999999999999751</v>
      </c>
      <c r="V47" s="538">
        <f t="shared" si="33"/>
        <v>112</v>
      </c>
      <c r="W47" s="17"/>
      <c r="X47" s="17"/>
      <c r="Y47" s="20"/>
      <c r="Z47" s="20"/>
      <c r="AA47" s="614"/>
      <c r="AB47" s="615"/>
      <c r="AC47" s="19"/>
      <c r="AD47" s="19"/>
      <c r="AE47" s="15">
        <f t="shared" si="8"/>
        <v>-83.214285714285552</v>
      </c>
      <c r="AF47" s="535">
        <f t="shared" si="9"/>
        <v>0.95839285714285727</v>
      </c>
      <c r="AG47" s="626"/>
    </row>
    <row r="48" spans="1:33" ht="15.75" customHeight="1">
      <c r="A48" s="632" t="s">
        <v>296</v>
      </c>
      <c r="B48" s="33" t="s">
        <v>2727</v>
      </c>
      <c r="C48" s="607"/>
      <c r="D48" s="608"/>
      <c r="E48" s="528"/>
      <c r="F48" s="539"/>
      <c r="G48" s="530"/>
      <c r="H48" s="539"/>
      <c r="I48" s="23">
        <v>11</v>
      </c>
      <c r="J48" s="30">
        <v>2666.6666666666665</v>
      </c>
      <c r="K48" s="13">
        <f t="shared" si="1"/>
        <v>242.42424242424241</v>
      </c>
      <c r="L48" s="23">
        <v>11</v>
      </c>
      <c r="M48" s="14">
        <f>AVERAGE(M45:M47)</f>
        <v>2550.2510728455368</v>
      </c>
      <c r="N48" s="13">
        <f t="shared" si="3"/>
        <v>231.84100662232152</v>
      </c>
      <c r="O48" s="15">
        <f t="shared" si="4"/>
        <v>0</v>
      </c>
      <c r="P48" s="16">
        <f t="shared" si="5"/>
        <v>-10.583235801920893</v>
      </c>
      <c r="Q48" s="535">
        <f t="shared" si="6"/>
        <v>0.95634415231707637</v>
      </c>
      <c r="R48" s="627"/>
      <c r="S48" s="31"/>
      <c r="T48" s="31"/>
      <c r="U48" s="530"/>
      <c r="V48" s="538"/>
      <c r="W48" s="17"/>
      <c r="X48" s="17"/>
      <c r="Y48" s="24">
        <f>SUM(Y45:Y47)</f>
        <v>0</v>
      </c>
      <c r="Z48" s="24">
        <f>SUM(Z45:Z47)</f>
        <v>0</v>
      </c>
      <c r="AA48" s="628"/>
      <c r="AB48" s="629"/>
      <c r="AC48" s="24">
        <v>3</v>
      </c>
      <c r="AD48" s="24">
        <f>SUM(AD45:AD47)</f>
        <v>0</v>
      </c>
      <c r="AE48" s="15">
        <f t="shared" si="8"/>
        <v>-116.41559382112973</v>
      </c>
      <c r="AF48" s="535">
        <f t="shared" si="9"/>
        <v>0.95634415231707637</v>
      </c>
      <c r="AG48" s="627"/>
    </row>
    <row r="49" spans="1:33" ht="15.75" customHeight="1">
      <c r="A49" s="623" t="s">
        <v>297</v>
      </c>
      <c r="B49" s="33" t="s">
        <v>10</v>
      </c>
      <c r="C49" s="611" t="s">
        <v>42</v>
      </c>
      <c r="D49" s="611"/>
      <c r="E49" s="33">
        <v>46</v>
      </c>
      <c r="F49" s="35">
        <v>1515</v>
      </c>
      <c r="G49" s="530">
        <f t="shared" ref="G49:G56" si="35">E49*F49</f>
        <v>69690</v>
      </c>
      <c r="H49" s="543" t="s">
        <v>5</v>
      </c>
      <c r="I49" s="537">
        <v>16</v>
      </c>
      <c r="J49" s="30">
        <v>2000</v>
      </c>
      <c r="K49" s="13">
        <f t="shared" si="1"/>
        <v>125</v>
      </c>
      <c r="L49" s="537">
        <v>16</v>
      </c>
      <c r="M49" s="14">
        <f t="shared" ref="M49" si="36">F49/V49*60</f>
        <v>1934.0425531914896</v>
      </c>
      <c r="N49" s="14">
        <f t="shared" si="3"/>
        <v>120.8776595744681</v>
      </c>
      <c r="O49" s="15">
        <f t="shared" si="4"/>
        <v>0</v>
      </c>
      <c r="P49" s="16">
        <f t="shared" si="5"/>
        <v>-4.1223404255319025</v>
      </c>
      <c r="Q49" s="535">
        <f t="shared" si="6"/>
        <v>0.96702127659574477</v>
      </c>
      <c r="R49" s="619">
        <f>Q57</f>
        <v>0.96004522082210075</v>
      </c>
      <c r="S49" s="31">
        <v>0.20833333333333334</v>
      </c>
      <c r="T49" s="31">
        <v>0.24097222222222223</v>
      </c>
      <c r="U49" s="22"/>
      <c r="V49" s="538">
        <f t="shared" ref="V49:V56" si="37">(T49-S49)*24*60</f>
        <v>46.999999999999993</v>
      </c>
      <c r="W49" s="17"/>
      <c r="X49" s="17"/>
      <c r="Y49" s="22"/>
      <c r="Z49" s="22"/>
      <c r="AA49" s="610"/>
      <c r="AB49" s="610"/>
      <c r="AC49" s="19">
        <v>8</v>
      </c>
      <c r="AD49" s="19"/>
      <c r="AE49" s="15">
        <f t="shared" si="8"/>
        <v>-65.95744680851044</v>
      </c>
      <c r="AF49" s="535">
        <f t="shared" si="9"/>
        <v>0.96702127659574477</v>
      </c>
      <c r="AG49" s="619">
        <f>AF57</f>
        <v>0.96004522082210075</v>
      </c>
    </row>
    <row r="50" spans="1:33" ht="15.75" customHeight="1">
      <c r="A50" s="623" t="s">
        <v>297</v>
      </c>
      <c r="B50" s="33" t="s">
        <v>10</v>
      </c>
      <c r="C50" s="611" t="s">
        <v>43</v>
      </c>
      <c r="D50" s="611"/>
      <c r="E50" s="33">
        <v>46</v>
      </c>
      <c r="F50" s="35">
        <v>1619</v>
      </c>
      <c r="G50" s="530">
        <f t="shared" si="35"/>
        <v>74474</v>
      </c>
      <c r="H50" s="543" t="s">
        <v>5</v>
      </c>
      <c r="I50" s="537">
        <v>17</v>
      </c>
      <c r="J50" s="30">
        <v>2000</v>
      </c>
      <c r="K50" s="13">
        <f t="shared" si="1"/>
        <v>117.64705882352941</v>
      </c>
      <c r="L50" s="537">
        <v>17</v>
      </c>
      <c r="M50" s="14">
        <f>F50/V50*60</f>
        <v>1904.7058823529419</v>
      </c>
      <c r="N50" s="14">
        <f t="shared" si="3"/>
        <v>112.04152249134953</v>
      </c>
      <c r="O50" s="15">
        <f t="shared" si="4"/>
        <v>0</v>
      </c>
      <c r="P50" s="16">
        <f t="shared" si="5"/>
        <v>-5.6055363321798808</v>
      </c>
      <c r="Q50" s="535">
        <f t="shared" si="6"/>
        <v>0.95235294117647096</v>
      </c>
      <c r="R50" s="619"/>
      <c r="S50" s="31">
        <v>0.24513888888888891</v>
      </c>
      <c r="T50" s="31">
        <v>0.28055555555555556</v>
      </c>
      <c r="U50" s="530">
        <f t="shared" ref="U50:U56" si="38">IF(S50=TIME(17,0,0),"",(S50-T49)*24*60)</f>
        <v>6.0000000000000187</v>
      </c>
      <c r="V50" s="538">
        <f t="shared" si="37"/>
        <v>50.999999999999979</v>
      </c>
      <c r="W50" s="17"/>
      <c r="X50" s="17"/>
      <c r="Y50" s="17"/>
      <c r="Z50" s="17"/>
      <c r="AA50" s="610"/>
      <c r="AB50" s="610"/>
      <c r="AC50" s="19"/>
      <c r="AD50" s="19"/>
      <c r="AE50" s="15">
        <f t="shared" si="8"/>
        <v>-95.294117647058101</v>
      </c>
      <c r="AF50" s="535">
        <f t="shared" si="9"/>
        <v>0.95235294117647096</v>
      </c>
      <c r="AG50" s="619"/>
    </row>
    <row r="51" spans="1:33" ht="15.75" customHeight="1">
      <c r="A51" s="623" t="s">
        <v>2728</v>
      </c>
      <c r="B51" s="33" t="s">
        <v>6</v>
      </c>
      <c r="C51" s="612" t="s">
        <v>41</v>
      </c>
      <c r="D51" s="613"/>
      <c r="E51" s="33">
        <v>51.44</v>
      </c>
      <c r="F51" s="35">
        <v>1773</v>
      </c>
      <c r="G51" s="530">
        <f t="shared" si="35"/>
        <v>91203.12</v>
      </c>
      <c r="H51" s="543" t="s">
        <v>5</v>
      </c>
      <c r="I51" s="537">
        <v>25</v>
      </c>
      <c r="J51" s="30">
        <v>2000</v>
      </c>
      <c r="K51" s="13">
        <f t="shared" si="1"/>
        <v>80</v>
      </c>
      <c r="L51" s="537">
        <v>25</v>
      </c>
      <c r="M51" s="14">
        <f t="shared" ref="M51:M56" si="39">F51/V51*60</f>
        <v>1934.1818181818194</v>
      </c>
      <c r="N51" s="14">
        <f t="shared" si="3"/>
        <v>77.367272727272777</v>
      </c>
      <c r="O51" s="15">
        <f t="shared" si="4"/>
        <v>0</v>
      </c>
      <c r="P51" s="16">
        <f t="shared" si="5"/>
        <v>-2.6327272727272231</v>
      </c>
      <c r="Q51" s="535">
        <f t="shared" si="6"/>
        <v>0.96709090909090967</v>
      </c>
      <c r="R51" s="619"/>
      <c r="S51" s="31">
        <v>0.28472222222222221</v>
      </c>
      <c r="T51" s="31">
        <v>0.32291666666666663</v>
      </c>
      <c r="U51" s="530">
        <f t="shared" si="38"/>
        <v>5.9999999999999787</v>
      </c>
      <c r="V51" s="538">
        <f t="shared" si="37"/>
        <v>54.999999999999964</v>
      </c>
      <c r="W51" s="17"/>
      <c r="X51" s="17"/>
      <c r="Y51" s="20"/>
      <c r="Z51" s="20"/>
      <c r="AA51" s="610"/>
      <c r="AB51" s="610"/>
      <c r="AC51" s="19"/>
      <c r="AD51" s="19"/>
      <c r="AE51" s="15">
        <f t="shared" si="8"/>
        <v>-65.818181818180619</v>
      </c>
      <c r="AF51" s="535">
        <f t="shared" si="9"/>
        <v>0.96709090909090967</v>
      </c>
      <c r="AG51" s="619"/>
    </row>
    <row r="52" spans="1:33" ht="15.75" customHeight="1">
      <c r="A52" s="623" t="s">
        <v>2729</v>
      </c>
      <c r="B52" s="33" t="s">
        <v>6</v>
      </c>
      <c r="C52" s="531" t="s">
        <v>77</v>
      </c>
      <c r="D52" s="532"/>
      <c r="E52" s="33">
        <v>56.43</v>
      </c>
      <c r="F52" s="35">
        <v>1310</v>
      </c>
      <c r="G52" s="530">
        <f t="shared" si="35"/>
        <v>73923.3</v>
      </c>
      <c r="H52" s="543" t="s">
        <v>5</v>
      </c>
      <c r="I52" s="537">
        <v>23</v>
      </c>
      <c r="J52" s="30">
        <v>2000</v>
      </c>
      <c r="K52" s="13">
        <f t="shared" si="1"/>
        <v>86.956521739130437</v>
      </c>
      <c r="L52" s="537">
        <v>23</v>
      </c>
      <c r="M52" s="14">
        <f t="shared" si="39"/>
        <v>1917.0731707317066</v>
      </c>
      <c r="N52" s="14">
        <f t="shared" si="3"/>
        <v>83.351007423117679</v>
      </c>
      <c r="O52" s="15">
        <f t="shared" si="4"/>
        <v>0</v>
      </c>
      <c r="P52" s="16">
        <f t="shared" si="5"/>
        <v>-3.6055143160127585</v>
      </c>
      <c r="Q52" s="535">
        <f t="shared" si="6"/>
        <v>0.95853658536585329</v>
      </c>
      <c r="R52" s="619"/>
      <c r="S52" s="31">
        <v>0.32638888888888884</v>
      </c>
      <c r="T52" s="31">
        <v>0.35486111111111107</v>
      </c>
      <c r="U52" s="530">
        <f t="shared" si="38"/>
        <v>4.9999999999999822</v>
      </c>
      <c r="V52" s="538">
        <f t="shared" si="37"/>
        <v>41.000000000000014</v>
      </c>
      <c r="W52" s="17"/>
      <c r="X52" s="17"/>
      <c r="Y52" s="20"/>
      <c r="Z52" s="20"/>
      <c r="AA52" s="610"/>
      <c r="AB52" s="610"/>
      <c r="AC52" s="19"/>
      <c r="AD52" s="19"/>
      <c r="AE52" s="15">
        <f t="shared" si="8"/>
        <v>-82.926829268293432</v>
      </c>
      <c r="AF52" s="535">
        <f t="shared" si="9"/>
        <v>0.95853658536585329</v>
      </c>
      <c r="AG52" s="619"/>
    </row>
    <row r="53" spans="1:33" ht="15.75" customHeight="1">
      <c r="A53" s="623" t="s">
        <v>2728</v>
      </c>
      <c r="B53" s="33" t="s">
        <v>6</v>
      </c>
      <c r="C53" s="531" t="s">
        <v>1513</v>
      </c>
      <c r="D53" s="532"/>
      <c r="E53" s="33">
        <v>56.43</v>
      </c>
      <c r="F53" s="35">
        <v>2288</v>
      </c>
      <c r="G53" s="530">
        <f t="shared" si="35"/>
        <v>129111.84</v>
      </c>
      <c r="H53" s="543" t="s">
        <v>5</v>
      </c>
      <c r="I53" s="537">
        <v>21</v>
      </c>
      <c r="J53" s="30">
        <v>2000</v>
      </c>
      <c r="K53" s="13">
        <f t="shared" si="1"/>
        <v>95.238095238095241</v>
      </c>
      <c r="L53" s="537">
        <v>21</v>
      </c>
      <c r="M53" s="14">
        <f t="shared" si="39"/>
        <v>1906.6666666666672</v>
      </c>
      <c r="N53" s="14">
        <f t="shared" si="3"/>
        <v>90.793650793650812</v>
      </c>
      <c r="O53" s="15">
        <f t="shared" si="4"/>
        <v>0</v>
      </c>
      <c r="P53" s="16">
        <f t="shared" si="5"/>
        <v>-4.4444444444444287</v>
      </c>
      <c r="Q53" s="535">
        <f t="shared" si="6"/>
        <v>0.95333333333333348</v>
      </c>
      <c r="R53" s="619"/>
      <c r="S53" s="31">
        <v>0.35833333333333328</v>
      </c>
      <c r="T53" s="31">
        <v>0.40833333333333327</v>
      </c>
      <c r="U53" s="530">
        <f t="shared" si="38"/>
        <v>4.9999999999999822</v>
      </c>
      <c r="V53" s="538">
        <f t="shared" si="37"/>
        <v>71.999999999999986</v>
      </c>
      <c r="W53" s="17"/>
      <c r="X53" s="17"/>
      <c r="Y53" s="20"/>
      <c r="Z53" s="20"/>
      <c r="AA53" s="610"/>
      <c r="AB53" s="610"/>
      <c r="AC53" s="19"/>
      <c r="AD53" s="19"/>
      <c r="AE53" s="15">
        <f t="shared" si="8"/>
        <v>-93.333333333332803</v>
      </c>
      <c r="AF53" s="535">
        <f t="shared" si="9"/>
        <v>0.95333333333333359</v>
      </c>
      <c r="AG53" s="619"/>
    </row>
    <row r="54" spans="1:33" ht="15.75" customHeight="1">
      <c r="A54" s="623" t="s">
        <v>2728</v>
      </c>
      <c r="B54" s="33" t="s">
        <v>6</v>
      </c>
      <c r="C54" s="612" t="s">
        <v>44</v>
      </c>
      <c r="D54" s="613"/>
      <c r="E54" s="33">
        <v>55.56</v>
      </c>
      <c r="F54" s="35">
        <v>2870</v>
      </c>
      <c r="G54" s="530">
        <f t="shared" si="35"/>
        <v>159457.20000000001</v>
      </c>
      <c r="H54" s="543" t="s">
        <v>5</v>
      </c>
      <c r="I54" s="537">
        <v>17</v>
      </c>
      <c r="J54" s="30">
        <v>2000</v>
      </c>
      <c r="K54" s="13">
        <f t="shared" si="1"/>
        <v>117.64705882352941</v>
      </c>
      <c r="L54" s="537">
        <v>17</v>
      </c>
      <c r="M54" s="14">
        <f t="shared" si="39"/>
        <v>1913.3333333333333</v>
      </c>
      <c r="N54" s="14">
        <f t="shared" si="3"/>
        <v>112.54901960784314</v>
      </c>
      <c r="O54" s="15">
        <f t="shared" si="4"/>
        <v>0</v>
      </c>
      <c r="P54" s="16">
        <f t="shared" si="5"/>
        <v>-5.0980392156862706</v>
      </c>
      <c r="Q54" s="535">
        <f t="shared" si="6"/>
        <v>0.95666666666666667</v>
      </c>
      <c r="R54" s="619"/>
      <c r="S54" s="31">
        <v>0.70833333333333337</v>
      </c>
      <c r="T54" s="31">
        <v>0.77083333333333337</v>
      </c>
      <c r="U54" s="530" t="str">
        <f t="shared" si="38"/>
        <v/>
      </c>
      <c r="V54" s="538">
        <f t="shared" si="37"/>
        <v>90</v>
      </c>
      <c r="W54" s="17"/>
      <c r="X54" s="17"/>
      <c r="Y54" s="20"/>
      <c r="Z54" s="20"/>
      <c r="AA54" s="614"/>
      <c r="AB54" s="615"/>
      <c r="AC54" s="19"/>
      <c r="AD54" s="19"/>
      <c r="AE54" s="15">
        <f t="shared" si="8"/>
        <v>-86.666666666666742</v>
      </c>
      <c r="AF54" s="535">
        <f t="shared" si="9"/>
        <v>0.95666666666666667</v>
      </c>
      <c r="AG54" s="619"/>
    </row>
    <row r="55" spans="1:33" ht="15.75" customHeight="1">
      <c r="A55" s="623" t="s">
        <v>2728</v>
      </c>
      <c r="B55" s="33" t="s">
        <v>6</v>
      </c>
      <c r="C55" s="612" t="s">
        <v>72</v>
      </c>
      <c r="D55" s="613"/>
      <c r="E55" s="33">
        <v>58.17</v>
      </c>
      <c r="F55" s="35">
        <v>2033</v>
      </c>
      <c r="G55" s="530">
        <f t="shared" si="35"/>
        <v>118259.61</v>
      </c>
      <c r="H55" s="543" t="s">
        <v>5</v>
      </c>
      <c r="I55" s="537">
        <v>13</v>
      </c>
      <c r="J55" s="30">
        <v>2000</v>
      </c>
      <c r="K55" s="13">
        <f t="shared" si="1"/>
        <v>153.84615384615384</v>
      </c>
      <c r="L55" s="537">
        <v>13</v>
      </c>
      <c r="M55" s="14">
        <f t="shared" si="39"/>
        <v>1905.937500000002</v>
      </c>
      <c r="N55" s="14">
        <f t="shared" si="3"/>
        <v>146.61057692307708</v>
      </c>
      <c r="O55" s="15">
        <f t="shared" si="4"/>
        <v>0</v>
      </c>
      <c r="P55" s="16">
        <f t="shared" si="5"/>
        <v>-7.2355769230767635</v>
      </c>
      <c r="Q55" s="535">
        <f t="shared" si="6"/>
        <v>0.95296875000000103</v>
      </c>
      <c r="R55" s="619"/>
      <c r="S55" s="31">
        <v>0.77430555555555558</v>
      </c>
      <c r="T55" s="31">
        <v>0.81874999999999998</v>
      </c>
      <c r="U55" s="530">
        <f t="shared" si="38"/>
        <v>4.9999999999999822</v>
      </c>
      <c r="V55" s="538">
        <f t="shared" si="37"/>
        <v>63.999999999999929</v>
      </c>
      <c r="W55" s="17"/>
      <c r="X55" s="17"/>
      <c r="Y55" s="20"/>
      <c r="Z55" s="20"/>
      <c r="AA55" s="614"/>
      <c r="AB55" s="615"/>
      <c r="AC55" s="19"/>
      <c r="AD55" s="19"/>
      <c r="AE55" s="15">
        <f t="shared" si="8"/>
        <v>-94.062499999997954</v>
      </c>
      <c r="AF55" s="535">
        <f t="shared" si="9"/>
        <v>0.95296875000000103</v>
      </c>
      <c r="AG55" s="619"/>
    </row>
    <row r="56" spans="1:33" ht="15.75" customHeight="1">
      <c r="A56" s="623" t="s">
        <v>297</v>
      </c>
      <c r="B56" s="33" t="s">
        <v>6</v>
      </c>
      <c r="C56" s="612" t="s">
        <v>82</v>
      </c>
      <c r="D56" s="613"/>
      <c r="E56" s="33">
        <v>54.09</v>
      </c>
      <c r="F56" s="35">
        <v>1491</v>
      </c>
      <c r="G56" s="530">
        <f t="shared" si="35"/>
        <v>80648.19</v>
      </c>
      <c r="H56" s="543" t="s">
        <v>5</v>
      </c>
      <c r="I56" s="537">
        <v>14</v>
      </c>
      <c r="J56" s="30">
        <v>2000</v>
      </c>
      <c r="K56" s="13">
        <f t="shared" si="1"/>
        <v>142.85714285714286</v>
      </c>
      <c r="L56" s="537">
        <v>14</v>
      </c>
      <c r="M56" s="14">
        <f t="shared" si="39"/>
        <v>1944.782608695652</v>
      </c>
      <c r="N56" s="14">
        <f t="shared" si="3"/>
        <v>138.91304347826085</v>
      </c>
      <c r="O56" s="15">
        <f t="shared" si="4"/>
        <v>0</v>
      </c>
      <c r="P56" s="16">
        <f t="shared" si="5"/>
        <v>-3.9440993788820151</v>
      </c>
      <c r="Q56" s="535">
        <f t="shared" si="6"/>
        <v>0.97239130434782595</v>
      </c>
      <c r="R56" s="619"/>
      <c r="S56" s="31">
        <v>0.82222222222222219</v>
      </c>
      <c r="T56" s="31">
        <v>0.85416666666666663</v>
      </c>
      <c r="U56" s="530">
        <f t="shared" si="38"/>
        <v>4.9999999999999822</v>
      </c>
      <c r="V56" s="538">
        <f t="shared" si="37"/>
        <v>46</v>
      </c>
      <c r="W56" s="17"/>
      <c r="X56" s="17"/>
      <c r="Y56" s="20"/>
      <c r="Z56" s="20"/>
      <c r="AA56" s="614"/>
      <c r="AB56" s="615"/>
      <c r="AC56" s="19"/>
      <c r="AD56" s="19"/>
      <c r="AE56" s="15">
        <f t="shared" si="8"/>
        <v>-55.217391304347984</v>
      </c>
      <c r="AF56" s="535">
        <f t="shared" si="9"/>
        <v>0.97239130434782606</v>
      </c>
      <c r="AG56" s="619"/>
    </row>
    <row r="57" spans="1:33">
      <c r="A57" s="624" t="s">
        <v>2729</v>
      </c>
      <c r="B57" s="33" t="s">
        <v>180</v>
      </c>
      <c r="C57" s="620"/>
      <c r="D57" s="620"/>
      <c r="E57" s="536"/>
      <c r="F57" s="34"/>
      <c r="G57" s="13"/>
      <c r="H57" s="539"/>
      <c r="I57" s="23">
        <v>18.25</v>
      </c>
      <c r="J57" s="30">
        <v>2000</v>
      </c>
      <c r="K57" s="13">
        <f t="shared" si="1"/>
        <v>109.58904109589041</v>
      </c>
      <c r="L57" s="23">
        <v>18.25</v>
      </c>
      <c r="M57" s="14">
        <f>AVERAGE(M49:M56)</f>
        <v>1920.0904416442015</v>
      </c>
      <c r="N57" s="13">
        <f t="shared" si="3"/>
        <v>105.21043515858638</v>
      </c>
      <c r="O57" s="15">
        <f t="shared" si="4"/>
        <v>0</v>
      </c>
      <c r="P57" s="16">
        <f t="shared" si="5"/>
        <v>-4.3786059373040302</v>
      </c>
      <c r="Q57" s="535">
        <f t="shared" si="6"/>
        <v>0.96004522082210075</v>
      </c>
      <c r="R57" s="619"/>
      <c r="S57" s="31"/>
      <c r="T57" s="31"/>
      <c r="U57" s="530"/>
      <c r="V57" s="538"/>
      <c r="W57" s="13"/>
      <c r="X57" s="13"/>
      <c r="Y57" s="24">
        <f>SUM(Y49:Y56)</f>
        <v>0</v>
      </c>
      <c r="Z57" s="24">
        <f>SUM(Z49:Z56)</f>
        <v>0</v>
      </c>
      <c r="AA57" s="609"/>
      <c r="AB57" s="609"/>
      <c r="AC57" s="24">
        <v>8</v>
      </c>
      <c r="AD57" s="24">
        <f>SUM(AD49:AD56)</f>
        <v>0</v>
      </c>
      <c r="AE57" s="15">
        <f>M57-J57</f>
        <v>-79.909558355798481</v>
      </c>
      <c r="AF57" s="535">
        <f t="shared" si="9"/>
        <v>0.96004522082210075</v>
      </c>
      <c r="AG57" s="619"/>
    </row>
    <row r="58" spans="1:33" ht="15.75" customHeight="1">
      <c r="A58" s="621" t="s">
        <v>2730</v>
      </c>
      <c r="B58" s="539" t="s">
        <v>36</v>
      </c>
      <c r="C58" s="611" t="s">
        <v>46</v>
      </c>
      <c r="D58" s="611"/>
      <c r="E58" s="33">
        <v>35.119999999999997</v>
      </c>
      <c r="F58" s="35">
        <v>6126</v>
      </c>
      <c r="G58" s="530">
        <f t="shared" ref="G58:G62" si="40">E58*F58</f>
        <v>215145.12</v>
      </c>
      <c r="H58" s="543" t="s">
        <v>5</v>
      </c>
      <c r="I58" s="537">
        <v>10</v>
      </c>
      <c r="J58" s="30">
        <v>3000</v>
      </c>
      <c r="K58" s="13">
        <f t="shared" si="1"/>
        <v>300</v>
      </c>
      <c r="L58" s="537">
        <v>10</v>
      </c>
      <c r="M58" s="14">
        <f t="shared" ref="M58:M62" si="41">F58/V58*60</f>
        <v>2871.5625000000005</v>
      </c>
      <c r="N58" s="13">
        <f t="shared" si="3"/>
        <v>287.15625000000006</v>
      </c>
      <c r="O58" s="15">
        <f t="shared" si="4"/>
        <v>0</v>
      </c>
      <c r="P58" s="16">
        <f t="shared" si="5"/>
        <v>-12.843749999999943</v>
      </c>
      <c r="Q58" s="535">
        <f t="shared" si="6"/>
        <v>0.95718750000000019</v>
      </c>
      <c r="R58" s="619">
        <f>Q63</f>
        <v>0.96085645781637752</v>
      </c>
      <c r="S58" s="31">
        <v>0.20833333333333334</v>
      </c>
      <c r="T58" s="31">
        <v>0.29722222222222222</v>
      </c>
      <c r="U58" s="530"/>
      <c r="V58" s="538">
        <f t="shared" ref="V58:V62" si="42">(T58-S58)*24*60</f>
        <v>127.99999999999997</v>
      </c>
      <c r="W58" s="17"/>
      <c r="X58" s="17"/>
      <c r="Y58" s="22"/>
      <c r="Z58" s="22"/>
      <c r="AA58" s="610"/>
      <c r="AB58" s="610"/>
      <c r="AC58" s="19">
        <v>5</v>
      </c>
      <c r="AD58" s="19"/>
      <c r="AE58" s="15">
        <f t="shared" ref="AE58:AE74" si="43">M58-J58</f>
        <v>-128.43749999999955</v>
      </c>
      <c r="AF58" s="535">
        <f t="shared" si="9"/>
        <v>0.95718750000000019</v>
      </c>
      <c r="AG58" s="619">
        <f>AF63</f>
        <v>0.96085645781637752</v>
      </c>
    </row>
    <row r="59" spans="1:33" ht="15.75" customHeight="1">
      <c r="A59" s="621" t="s">
        <v>199</v>
      </c>
      <c r="B59" s="539" t="s">
        <v>36</v>
      </c>
      <c r="C59" s="611" t="s">
        <v>47</v>
      </c>
      <c r="D59" s="611"/>
      <c r="E59" s="33">
        <v>26.78</v>
      </c>
      <c r="F59" s="35">
        <v>3121</v>
      </c>
      <c r="G59" s="530">
        <f t="shared" si="40"/>
        <v>83580.38</v>
      </c>
      <c r="H59" s="543" t="s">
        <v>5</v>
      </c>
      <c r="I59" s="537">
        <v>10</v>
      </c>
      <c r="J59" s="30">
        <v>3000</v>
      </c>
      <c r="K59" s="13">
        <f t="shared" si="1"/>
        <v>300</v>
      </c>
      <c r="L59" s="537">
        <v>10</v>
      </c>
      <c r="M59" s="14">
        <f t="shared" si="41"/>
        <v>2880.9230769230762</v>
      </c>
      <c r="N59" s="13">
        <f t="shared" si="3"/>
        <v>288.0923076923076</v>
      </c>
      <c r="O59" s="15">
        <f t="shared" si="4"/>
        <v>0</v>
      </c>
      <c r="P59" s="16">
        <f t="shared" si="5"/>
        <v>-11.9076923076924</v>
      </c>
      <c r="Q59" s="535">
        <f t="shared" si="6"/>
        <v>0.96030769230769197</v>
      </c>
      <c r="R59" s="619"/>
      <c r="S59" s="31">
        <v>0.30069444444444443</v>
      </c>
      <c r="T59" s="31">
        <v>0.34583333333333333</v>
      </c>
      <c r="U59" s="530">
        <f t="shared" ref="U59:U62" si="44">(S59-T58)*24*60</f>
        <v>4.9999999999999822</v>
      </c>
      <c r="V59" s="538">
        <f t="shared" si="42"/>
        <v>65.000000000000014</v>
      </c>
      <c r="W59" s="530"/>
      <c r="X59" s="530"/>
      <c r="Y59" s="530"/>
      <c r="Z59" s="530"/>
      <c r="AA59" s="610"/>
      <c r="AB59" s="610"/>
      <c r="AC59" s="19"/>
      <c r="AD59" s="19"/>
      <c r="AE59" s="15">
        <f t="shared" si="43"/>
        <v>-119.07692307692378</v>
      </c>
      <c r="AF59" s="535">
        <f t="shared" si="9"/>
        <v>0.96030769230769208</v>
      </c>
      <c r="AG59" s="619"/>
    </row>
    <row r="60" spans="1:33" ht="15.75" customHeight="1">
      <c r="A60" s="621" t="s">
        <v>199</v>
      </c>
      <c r="B60" s="539" t="s">
        <v>36</v>
      </c>
      <c r="C60" s="611" t="s">
        <v>49</v>
      </c>
      <c r="D60" s="611"/>
      <c r="E60" s="33">
        <v>35.869999999999997</v>
      </c>
      <c r="F60" s="35">
        <v>3552</v>
      </c>
      <c r="G60" s="530">
        <f t="shared" si="40"/>
        <v>127410.23999999999</v>
      </c>
      <c r="H60" s="543" t="s">
        <v>5</v>
      </c>
      <c r="I60" s="537">
        <v>10</v>
      </c>
      <c r="J60" s="30">
        <v>3000</v>
      </c>
      <c r="K60" s="13">
        <f t="shared" si="1"/>
        <v>300</v>
      </c>
      <c r="L60" s="537">
        <v>10</v>
      </c>
      <c r="M60" s="14">
        <f t="shared" si="41"/>
        <v>2880.0000000000014</v>
      </c>
      <c r="N60" s="13">
        <f t="shared" si="3"/>
        <v>288.00000000000011</v>
      </c>
      <c r="O60" s="15">
        <f t="shared" si="4"/>
        <v>0</v>
      </c>
      <c r="P60" s="16">
        <f t="shared" si="5"/>
        <v>-11.999999999999886</v>
      </c>
      <c r="Q60" s="535">
        <f t="shared" si="6"/>
        <v>0.96000000000000041</v>
      </c>
      <c r="R60" s="619"/>
      <c r="S60" s="31">
        <v>0.35138888888888886</v>
      </c>
      <c r="T60" s="31">
        <v>0.40277777777777773</v>
      </c>
      <c r="U60" s="530">
        <f t="shared" si="44"/>
        <v>7.9999999999999716</v>
      </c>
      <c r="V60" s="538">
        <f t="shared" si="42"/>
        <v>73.999999999999972</v>
      </c>
      <c r="W60" s="530"/>
      <c r="X60" s="530"/>
      <c r="Y60" s="530"/>
      <c r="Z60" s="530"/>
      <c r="AA60" s="610"/>
      <c r="AB60" s="610"/>
      <c r="AC60" s="19"/>
      <c r="AD60" s="19"/>
      <c r="AE60" s="15">
        <f t="shared" si="43"/>
        <v>-119.99999999999864</v>
      </c>
      <c r="AF60" s="535">
        <f t="shared" si="9"/>
        <v>0.96000000000000041</v>
      </c>
      <c r="AG60" s="619"/>
    </row>
    <row r="61" spans="1:33" ht="15.75" customHeight="1">
      <c r="A61" s="621" t="s">
        <v>199</v>
      </c>
      <c r="B61" s="539" t="s">
        <v>36</v>
      </c>
      <c r="C61" s="611" t="s">
        <v>39</v>
      </c>
      <c r="D61" s="611"/>
      <c r="E61" s="33">
        <v>35.869999999999997</v>
      </c>
      <c r="F61" s="35">
        <v>1501</v>
      </c>
      <c r="G61" s="530">
        <f t="shared" si="40"/>
        <v>53840.869999999995</v>
      </c>
      <c r="H61" s="543" t="s">
        <v>5</v>
      </c>
      <c r="I61" s="537">
        <v>9</v>
      </c>
      <c r="J61" s="30">
        <v>3000</v>
      </c>
      <c r="K61" s="13">
        <f t="shared" si="1"/>
        <v>333.33333333333331</v>
      </c>
      <c r="L61" s="537">
        <v>9</v>
      </c>
      <c r="M61" s="14">
        <f t="shared" si="41"/>
        <v>2905.1612903225832</v>
      </c>
      <c r="N61" s="13">
        <f t="shared" si="3"/>
        <v>322.79569892473148</v>
      </c>
      <c r="O61" s="15">
        <f t="shared" si="4"/>
        <v>0</v>
      </c>
      <c r="P61" s="16">
        <f t="shared" si="5"/>
        <v>-10.537634408601832</v>
      </c>
      <c r="Q61" s="535">
        <f t="shared" si="6"/>
        <v>0.96838709677419454</v>
      </c>
      <c r="R61" s="619"/>
      <c r="S61" s="31">
        <v>0.40833333333333327</v>
      </c>
      <c r="T61" s="31">
        <v>0.42986111111111103</v>
      </c>
      <c r="U61" s="530">
        <f t="shared" si="44"/>
        <v>7.9999999999999716</v>
      </c>
      <c r="V61" s="538">
        <f t="shared" si="42"/>
        <v>30.999999999999972</v>
      </c>
      <c r="W61" s="530"/>
      <c r="X61" s="530"/>
      <c r="Y61" s="530"/>
      <c r="Z61" s="530"/>
      <c r="AA61" s="610"/>
      <c r="AB61" s="610"/>
      <c r="AC61" s="19"/>
      <c r="AD61" s="19"/>
      <c r="AE61" s="15">
        <f t="shared" si="43"/>
        <v>-94.838709677416773</v>
      </c>
      <c r="AF61" s="535">
        <f t="shared" si="9"/>
        <v>0.96838709677419443</v>
      </c>
      <c r="AG61" s="619"/>
    </row>
    <row r="62" spans="1:33">
      <c r="A62" s="622" t="s">
        <v>2731</v>
      </c>
      <c r="B62" s="539" t="s">
        <v>36</v>
      </c>
      <c r="C62" s="611" t="s">
        <v>74</v>
      </c>
      <c r="D62" s="611"/>
      <c r="E62" s="33">
        <v>33.770000000000003</v>
      </c>
      <c r="F62" s="35">
        <v>3594</v>
      </c>
      <c r="G62" s="530">
        <f t="shared" si="40"/>
        <v>121369.38</v>
      </c>
      <c r="H62" s="543" t="s">
        <v>5</v>
      </c>
      <c r="I62" s="537">
        <v>12</v>
      </c>
      <c r="J62" s="30">
        <v>3000</v>
      </c>
      <c r="K62" s="13">
        <f t="shared" si="1"/>
        <v>250</v>
      </c>
      <c r="L62" s="537">
        <v>12</v>
      </c>
      <c r="M62" s="14">
        <f t="shared" si="41"/>
        <v>2875.2000000000007</v>
      </c>
      <c r="N62" s="13">
        <f t="shared" si="3"/>
        <v>239.60000000000005</v>
      </c>
      <c r="O62" s="15">
        <f t="shared" si="4"/>
        <v>0</v>
      </c>
      <c r="P62" s="16">
        <f t="shared" si="5"/>
        <v>-10.399999999999949</v>
      </c>
      <c r="Q62" s="535">
        <f t="shared" si="6"/>
        <v>0.95840000000000025</v>
      </c>
      <c r="R62" s="619"/>
      <c r="S62" s="31">
        <v>0.43541666666666656</v>
      </c>
      <c r="T62" s="31">
        <v>0.48749999999999988</v>
      </c>
      <c r="U62" s="530">
        <f t="shared" si="44"/>
        <v>7.9999999999999716</v>
      </c>
      <c r="V62" s="538">
        <f t="shared" si="42"/>
        <v>74.999999999999972</v>
      </c>
      <c r="W62" s="17"/>
      <c r="X62" s="17"/>
      <c r="Y62" s="17"/>
      <c r="Z62" s="17"/>
      <c r="AA62" s="610"/>
      <c r="AB62" s="610"/>
      <c r="AC62" s="19"/>
      <c r="AD62" s="19"/>
      <c r="AE62" s="15">
        <f t="shared" si="43"/>
        <v>-124.79999999999927</v>
      </c>
      <c r="AF62" s="535">
        <f t="shared" si="9"/>
        <v>0.95840000000000025</v>
      </c>
      <c r="AG62" s="619"/>
    </row>
    <row r="63" spans="1:33">
      <c r="A63" s="622" t="s">
        <v>199</v>
      </c>
      <c r="B63" s="33" t="s">
        <v>180</v>
      </c>
      <c r="C63" s="620"/>
      <c r="D63" s="620"/>
      <c r="E63" s="536"/>
      <c r="F63" s="34"/>
      <c r="G63" s="13"/>
      <c r="H63" s="539"/>
      <c r="I63" s="23">
        <v>10.199999999999999</v>
      </c>
      <c r="J63" s="30">
        <v>3000</v>
      </c>
      <c r="K63" s="13">
        <f t="shared" si="1"/>
        <v>294.11764705882354</v>
      </c>
      <c r="L63" s="23">
        <v>10.199999999999999</v>
      </c>
      <c r="M63" s="14">
        <f>AVERAGE(M58:M62)</f>
        <v>2882.5693734491324</v>
      </c>
      <c r="N63" s="13">
        <f t="shared" si="3"/>
        <v>282.60484053422869</v>
      </c>
      <c r="O63" s="15">
        <f t="shared" si="4"/>
        <v>0</v>
      </c>
      <c r="P63" s="16">
        <f t="shared" si="5"/>
        <v>-11.512806524594851</v>
      </c>
      <c r="Q63" s="535">
        <f t="shared" si="6"/>
        <v>0.96085645781637752</v>
      </c>
      <c r="R63" s="619"/>
      <c r="S63" s="31"/>
      <c r="T63" s="31"/>
      <c r="U63" s="13"/>
      <c r="V63" s="538"/>
      <c r="W63" s="13"/>
      <c r="X63" s="13"/>
      <c r="Y63" s="24">
        <f>SUM(Y58:Y62)</f>
        <v>0</v>
      </c>
      <c r="Z63" s="24">
        <f>SUM(Z58:Z62)</f>
        <v>0</v>
      </c>
      <c r="AA63" s="609"/>
      <c r="AB63" s="609"/>
      <c r="AC63" s="24">
        <v>5</v>
      </c>
      <c r="AD63" s="24">
        <f>SUM(AD58:AD62)</f>
        <v>0</v>
      </c>
      <c r="AE63" s="15">
        <f t="shared" si="43"/>
        <v>-117.4306265508676</v>
      </c>
      <c r="AF63" s="535">
        <f t="shared" si="9"/>
        <v>0.96085645781637752</v>
      </c>
      <c r="AG63" s="619"/>
    </row>
    <row r="64" spans="1:33" ht="15.75" customHeight="1">
      <c r="A64" s="616" t="s">
        <v>200</v>
      </c>
      <c r="B64" s="539" t="s">
        <v>27</v>
      </c>
      <c r="C64" s="611" t="s">
        <v>50</v>
      </c>
      <c r="D64" s="611"/>
      <c r="E64" s="33">
        <v>19.02</v>
      </c>
      <c r="F64" s="539">
        <v>6800</v>
      </c>
      <c r="G64" s="530">
        <f t="shared" ref="G64:G73" si="45">E64*F64</f>
        <v>129336</v>
      </c>
      <c r="H64" s="543">
        <v>2</v>
      </c>
      <c r="I64" s="537">
        <v>14</v>
      </c>
      <c r="J64" s="30">
        <v>2400</v>
      </c>
      <c r="K64" s="13">
        <f t="shared" si="1"/>
        <v>171.42857142857142</v>
      </c>
      <c r="L64" s="537">
        <v>14</v>
      </c>
      <c r="M64" s="14">
        <f t="shared" ref="M64:M73" si="46">F64/V64*60</f>
        <v>2292.1348314606744</v>
      </c>
      <c r="N64" s="13">
        <f t="shared" si="3"/>
        <v>163.72391653290532</v>
      </c>
      <c r="O64" s="15">
        <f t="shared" si="4"/>
        <v>0</v>
      </c>
      <c r="P64" s="16">
        <f t="shared" si="5"/>
        <v>-7.7046548956660956</v>
      </c>
      <c r="Q64" s="535">
        <f t="shared" si="6"/>
        <v>0.95505617977528112</v>
      </c>
      <c r="R64" s="619">
        <f>Q74</f>
        <v>0.96144978496087707</v>
      </c>
      <c r="S64" s="31">
        <v>8.3333333333333329E-2</v>
      </c>
      <c r="T64" s="31">
        <v>0.20694444444444443</v>
      </c>
      <c r="U64" s="22"/>
      <c r="V64" s="538">
        <f t="shared" ref="V64:V73" si="47">(T64-S64)*24*60</f>
        <v>177.99999999999997</v>
      </c>
      <c r="W64" s="17">
        <f>T64</f>
        <v>0.20694444444444443</v>
      </c>
      <c r="X64" s="17">
        <f>S65</f>
        <v>0.22430555555555551</v>
      </c>
      <c r="Y64" s="17"/>
      <c r="Z64" s="17"/>
      <c r="AA64" s="610"/>
      <c r="AB64" s="610"/>
      <c r="AC64" s="19">
        <v>10</v>
      </c>
      <c r="AD64" s="19"/>
      <c r="AE64" s="15">
        <f t="shared" si="43"/>
        <v>-107.86516853932562</v>
      </c>
      <c r="AF64" s="535">
        <f t="shared" si="9"/>
        <v>0.95505617977528101</v>
      </c>
      <c r="AG64" s="619">
        <f>AF74</f>
        <v>0.96144978496087707</v>
      </c>
    </row>
    <row r="65" spans="1:33" ht="15.75" customHeight="1">
      <c r="A65" s="617" t="s">
        <v>200</v>
      </c>
      <c r="B65" s="539" t="s">
        <v>27</v>
      </c>
      <c r="C65" s="611" t="s">
        <v>51</v>
      </c>
      <c r="D65" s="611"/>
      <c r="E65" s="33">
        <v>20.36</v>
      </c>
      <c r="F65" s="539">
        <v>2700</v>
      </c>
      <c r="G65" s="530">
        <f t="shared" si="45"/>
        <v>54972</v>
      </c>
      <c r="H65" s="543">
        <v>2</v>
      </c>
      <c r="I65" s="537">
        <v>17</v>
      </c>
      <c r="J65" s="30">
        <v>2400</v>
      </c>
      <c r="K65" s="13">
        <f t="shared" si="1"/>
        <v>141.1764705882353</v>
      </c>
      <c r="L65" s="537">
        <v>17</v>
      </c>
      <c r="M65" s="14">
        <f t="shared" si="46"/>
        <v>2314.2857142857133</v>
      </c>
      <c r="N65" s="13">
        <f t="shared" si="3"/>
        <v>136.13445378151255</v>
      </c>
      <c r="O65" s="15">
        <f t="shared" si="4"/>
        <v>0</v>
      </c>
      <c r="P65" s="16">
        <f t="shared" si="5"/>
        <v>-5.0420168067227564</v>
      </c>
      <c r="Q65" s="535">
        <f t="shared" si="6"/>
        <v>0.96428571428571386</v>
      </c>
      <c r="R65" s="619"/>
      <c r="S65" s="31">
        <v>0.22430555555555551</v>
      </c>
      <c r="T65" s="31">
        <v>0.27291666666666664</v>
      </c>
      <c r="U65" s="530">
        <f t="shared" ref="U65:U73" si="48">(S65-T64)*24*60</f>
        <v>24.99999999999995</v>
      </c>
      <c r="V65" s="538">
        <f t="shared" si="47"/>
        <v>70.000000000000028</v>
      </c>
      <c r="W65" s="17"/>
      <c r="X65" s="17"/>
      <c r="Y65" s="17"/>
      <c r="Z65" s="17"/>
      <c r="AA65" s="610"/>
      <c r="AB65" s="610"/>
      <c r="AC65" s="19"/>
      <c r="AD65" s="19"/>
      <c r="AE65" s="15">
        <f t="shared" si="43"/>
        <v>-85.714285714286689</v>
      </c>
      <c r="AF65" s="535">
        <f t="shared" si="9"/>
        <v>0.96428571428571386</v>
      </c>
      <c r="AG65" s="619"/>
    </row>
    <row r="66" spans="1:33" ht="15.75" customHeight="1">
      <c r="A66" s="617" t="s">
        <v>200</v>
      </c>
      <c r="B66" s="539" t="s">
        <v>27</v>
      </c>
      <c r="C66" s="611" t="s">
        <v>876</v>
      </c>
      <c r="D66" s="611"/>
      <c r="E66" s="33">
        <v>23.8</v>
      </c>
      <c r="F66" s="539">
        <v>3104</v>
      </c>
      <c r="G66" s="530">
        <f t="shared" si="45"/>
        <v>73875.199999999997</v>
      </c>
      <c r="H66" s="543" t="s">
        <v>5</v>
      </c>
      <c r="I66" s="537">
        <v>16</v>
      </c>
      <c r="J66" s="30">
        <v>2400</v>
      </c>
      <c r="K66" s="13">
        <f t="shared" si="1"/>
        <v>150</v>
      </c>
      <c r="L66" s="537">
        <v>16</v>
      </c>
      <c r="M66" s="14">
        <f t="shared" si="46"/>
        <v>2299.2592592592582</v>
      </c>
      <c r="N66" s="13">
        <f t="shared" si="3"/>
        <v>143.70370370370364</v>
      </c>
      <c r="O66" s="15">
        <f t="shared" si="4"/>
        <v>0</v>
      </c>
      <c r="P66" s="16">
        <f t="shared" si="5"/>
        <v>-6.2962962962963616</v>
      </c>
      <c r="Q66" s="535">
        <f t="shared" si="6"/>
        <v>0.95802469135802426</v>
      </c>
      <c r="R66" s="619"/>
      <c r="S66" s="31">
        <v>0.27777777777777773</v>
      </c>
      <c r="T66" s="31">
        <v>0.33402777777777776</v>
      </c>
      <c r="U66" s="530">
        <f t="shared" si="48"/>
        <v>6.9999999999999751</v>
      </c>
      <c r="V66" s="538">
        <f t="shared" si="47"/>
        <v>81.000000000000028</v>
      </c>
      <c r="W66" s="17"/>
      <c r="X66" s="17"/>
      <c r="Y66" s="17"/>
      <c r="Z66" s="17"/>
      <c r="AA66" s="610"/>
      <c r="AB66" s="610"/>
      <c r="AC66" s="19"/>
      <c r="AD66" s="19"/>
      <c r="AE66" s="15">
        <f t="shared" si="43"/>
        <v>-100.74074074074178</v>
      </c>
      <c r="AF66" s="535">
        <f t="shared" si="9"/>
        <v>0.95802469135802426</v>
      </c>
      <c r="AG66" s="619"/>
    </row>
    <row r="67" spans="1:33" ht="15.75" customHeight="1">
      <c r="A67" s="617" t="s">
        <v>200</v>
      </c>
      <c r="B67" s="539" t="s">
        <v>27</v>
      </c>
      <c r="C67" s="611" t="s">
        <v>31</v>
      </c>
      <c r="D67" s="611"/>
      <c r="E67" s="33">
        <v>25.99</v>
      </c>
      <c r="F67" s="539">
        <v>1589</v>
      </c>
      <c r="G67" s="530">
        <f t="shared" si="45"/>
        <v>41298.11</v>
      </c>
      <c r="H67" s="543" t="s">
        <v>5</v>
      </c>
      <c r="I67" s="537">
        <v>18</v>
      </c>
      <c r="J67" s="30">
        <v>2400</v>
      </c>
      <c r="K67" s="13">
        <f t="shared" si="1"/>
        <v>133.33333333333334</v>
      </c>
      <c r="L67" s="537">
        <v>18</v>
      </c>
      <c r="M67" s="14">
        <f t="shared" si="46"/>
        <v>2325.3658536585358</v>
      </c>
      <c r="N67" s="13">
        <f t="shared" si="3"/>
        <v>129.18699186991864</v>
      </c>
      <c r="O67" s="15">
        <f t="shared" si="4"/>
        <v>0</v>
      </c>
      <c r="P67" s="16">
        <f t="shared" si="5"/>
        <v>-4.1463414634147</v>
      </c>
      <c r="Q67" s="535">
        <f t="shared" si="6"/>
        <v>0.96890243902438977</v>
      </c>
      <c r="R67" s="619"/>
      <c r="S67" s="31">
        <v>0.33958333333333329</v>
      </c>
      <c r="T67" s="31">
        <v>0.36805555555555552</v>
      </c>
      <c r="U67" s="530">
        <f t="shared" si="48"/>
        <v>7.9999999999999716</v>
      </c>
      <c r="V67" s="538">
        <f t="shared" si="47"/>
        <v>41.000000000000014</v>
      </c>
      <c r="W67" s="17"/>
      <c r="X67" s="17"/>
      <c r="Y67" s="17"/>
      <c r="Z67" s="17"/>
      <c r="AA67" s="610"/>
      <c r="AB67" s="610"/>
      <c r="AC67" s="19"/>
      <c r="AD67" s="19"/>
      <c r="AE67" s="15">
        <f t="shared" si="43"/>
        <v>-74.634146341464202</v>
      </c>
      <c r="AF67" s="535">
        <f t="shared" si="9"/>
        <v>0.96890243902438988</v>
      </c>
      <c r="AG67" s="619"/>
    </row>
    <row r="68" spans="1:33" ht="15.75" customHeight="1">
      <c r="A68" s="617" t="s">
        <v>200</v>
      </c>
      <c r="B68" s="539" t="s">
        <v>27</v>
      </c>
      <c r="C68" s="611" t="s">
        <v>53</v>
      </c>
      <c r="D68" s="611"/>
      <c r="E68" s="33">
        <v>28.29</v>
      </c>
      <c r="F68" s="539">
        <v>2771</v>
      </c>
      <c r="G68" s="530">
        <f t="shared" si="45"/>
        <v>78391.59</v>
      </c>
      <c r="H68" s="543" t="s">
        <v>5</v>
      </c>
      <c r="I68" s="537">
        <v>19</v>
      </c>
      <c r="J68" s="30">
        <v>2400</v>
      </c>
      <c r="K68" s="13">
        <f t="shared" si="1"/>
        <v>126.31578947368421</v>
      </c>
      <c r="L68" s="537">
        <v>19</v>
      </c>
      <c r="M68" s="14">
        <f t="shared" si="46"/>
        <v>2309.1666666666674</v>
      </c>
      <c r="N68" s="13">
        <f t="shared" si="3"/>
        <v>121.53508771929829</v>
      </c>
      <c r="O68" s="15">
        <f t="shared" si="4"/>
        <v>0</v>
      </c>
      <c r="P68" s="16">
        <f t="shared" si="5"/>
        <v>-4.780701754385916</v>
      </c>
      <c r="Q68" s="535">
        <f t="shared" si="6"/>
        <v>0.96215277777777819</v>
      </c>
      <c r="R68" s="619"/>
      <c r="S68" s="31">
        <v>0.37152777777777773</v>
      </c>
      <c r="T68" s="31">
        <v>0.42152777777777772</v>
      </c>
      <c r="U68" s="530">
        <f t="shared" si="48"/>
        <v>4.9999999999999822</v>
      </c>
      <c r="V68" s="538">
        <f t="shared" si="47"/>
        <v>71.999999999999986</v>
      </c>
      <c r="W68" s="17"/>
      <c r="X68" s="17"/>
      <c r="Y68" s="17"/>
      <c r="Z68" s="17"/>
      <c r="AA68" s="610"/>
      <c r="AB68" s="610"/>
      <c r="AC68" s="19"/>
      <c r="AD68" s="19"/>
      <c r="AE68" s="15">
        <f t="shared" si="43"/>
        <v>-90.833333333332575</v>
      </c>
      <c r="AF68" s="535">
        <f t="shared" si="9"/>
        <v>0.96215277777777808</v>
      </c>
      <c r="AG68" s="619"/>
    </row>
    <row r="69" spans="1:33" ht="15.75" customHeight="1">
      <c r="A69" s="617" t="s">
        <v>200</v>
      </c>
      <c r="B69" s="539" t="s">
        <v>27</v>
      </c>
      <c r="C69" s="611" t="s">
        <v>52</v>
      </c>
      <c r="D69" s="611"/>
      <c r="E69" s="33">
        <v>25.98</v>
      </c>
      <c r="F69" s="539">
        <v>1932</v>
      </c>
      <c r="G69" s="530">
        <f t="shared" si="45"/>
        <v>50193.36</v>
      </c>
      <c r="H69" s="543" t="s">
        <v>5</v>
      </c>
      <c r="I69" s="537">
        <v>17</v>
      </c>
      <c r="J69" s="30">
        <v>2400</v>
      </c>
      <c r="K69" s="13">
        <f t="shared" ref="K69:K84" si="49">J69/I69</f>
        <v>141.1764705882353</v>
      </c>
      <c r="L69" s="537">
        <v>17</v>
      </c>
      <c r="M69" s="14">
        <f t="shared" si="46"/>
        <v>2318.4000000000005</v>
      </c>
      <c r="N69" s="13">
        <f t="shared" ref="N69:N84" si="50">M69/L69</f>
        <v>136.37647058823532</v>
      </c>
      <c r="O69" s="15">
        <f t="shared" ref="O69:O84" si="51">L69-I69</f>
        <v>0</v>
      </c>
      <c r="P69" s="16">
        <f t="shared" ref="P69:P84" si="52">N69-K69</f>
        <v>-4.7999999999999829</v>
      </c>
      <c r="Q69" s="535">
        <f t="shared" ref="Q69:Q84" si="53">N69/K69</f>
        <v>0.96600000000000008</v>
      </c>
      <c r="R69" s="619"/>
      <c r="S69" s="31">
        <v>0.42499999999999993</v>
      </c>
      <c r="T69" s="31">
        <v>0.45972222222222214</v>
      </c>
      <c r="U69" s="530">
        <f t="shared" si="48"/>
        <v>4.9999999999999822</v>
      </c>
      <c r="V69" s="538">
        <f t="shared" si="47"/>
        <v>49.999999999999986</v>
      </c>
      <c r="W69" s="17"/>
      <c r="X69" s="17"/>
      <c r="Y69" s="17"/>
      <c r="Z69" s="17"/>
      <c r="AA69" s="610"/>
      <c r="AB69" s="610"/>
      <c r="AC69" s="19"/>
      <c r="AD69" s="19"/>
      <c r="AE69" s="15">
        <f t="shared" si="43"/>
        <v>-81.599999999999454</v>
      </c>
      <c r="AF69" s="535">
        <f t="shared" ref="AF69:AF84" si="54">M69/J69</f>
        <v>0.96600000000000019</v>
      </c>
      <c r="AG69" s="619"/>
    </row>
    <row r="70" spans="1:33" ht="15.75" customHeight="1">
      <c r="A70" s="617" t="s">
        <v>200</v>
      </c>
      <c r="B70" s="539" t="s">
        <v>27</v>
      </c>
      <c r="C70" s="612" t="s">
        <v>32</v>
      </c>
      <c r="D70" s="613"/>
      <c r="E70" s="33">
        <v>25.99</v>
      </c>
      <c r="F70" s="539">
        <v>2400</v>
      </c>
      <c r="G70" s="530">
        <f t="shared" si="45"/>
        <v>62375.999999999993</v>
      </c>
      <c r="H70" s="543">
        <v>2</v>
      </c>
      <c r="I70" s="537">
        <v>14</v>
      </c>
      <c r="J70" s="30">
        <v>2400</v>
      </c>
      <c r="K70" s="13">
        <f t="shared" si="49"/>
        <v>171.42857142857142</v>
      </c>
      <c r="L70" s="537">
        <v>14</v>
      </c>
      <c r="M70" s="14">
        <f t="shared" si="46"/>
        <v>2285.7142857142881</v>
      </c>
      <c r="N70" s="13">
        <f t="shared" si="50"/>
        <v>163.26530612244915</v>
      </c>
      <c r="O70" s="15">
        <f t="shared" si="51"/>
        <v>0</v>
      </c>
      <c r="P70" s="16">
        <f t="shared" si="52"/>
        <v>-8.1632653061222697</v>
      </c>
      <c r="Q70" s="535">
        <f t="shared" si="53"/>
        <v>0.95238095238095344</v>
      </c>
      <c r="R70" s="619"/>
      <c r="S70" s="31">
        <v>0.46319444444444435</v>
      </c>
      <c r="T70" s="31">
        <v>0.50694444444444431</v>
      </c>
      <c r="U70" s="530">
        <f t="shared" si="48"/>
        <v>4.9999999999999822</v>
      </c>
      <c r="V70" s="538">
        <f t="shared" si="47"/>
        <v>62.999999999999936</v>
      </c>
      <c r="W70" s="17">
        <f>T70</f>
        <v>0.50694444444444431</v>
      </c>
      <c r="X70" s="17">
        <f>S71</f>
        <v>0.54722222222222205</v>
      </c>
      <c r="Y70" s="20"/>
      <c r="Z70" s="20"/>
      <c r="AA70" s="614"/>
      <c r="AB70" s="615"/>
      <c r="AC70" s="19"/>
      <c r="AD70" s="19"/>
      <c r="AE70" s="15">
        <f t="shared" si="43"/>
        <v>-114.28571428571195</v>
      </c>
      <c r="AF70" s="535">
        <f t="shared" si="54"/>
        <v>0.95238095238095333</v>
      </c>
      <c r="AG70" s="619"/>
    </row>
    <row r="71" spans="1:33" ht="15.75" customHeight="1">
      <c r="A71" s="617" t="s">
        <v>200</v>
      </c>
      <c r="B71" s="539" t="s">
        <v>27</v>
      </c>
      <c r="C71" s="612" t="s">
        <v>50</v>
      </c>
      <c r="D71" s="613"/>
      <c r="E71" s="33">
        <v>19.02</v>
      </c>
      <c r="F71" s="539">
        <v>5566</v>
      </c>
      <c r="G71" s="530">
        <f t="shared" si="45"/>
        <v>105865.31999999999</v>
      </c>
      <c r="H71" s="543" t="s">
        <v>5</v>
      </c>
      <c r="I71" s="537">
        <v>14</v>
      </c>
      <c r="J71" s="30">
        <v>2400</v>
      </c>
      <c r="K71" s="13">
        <f t="shared" si="49"/>
        <v>171.42857142857142</v>
      </c>
      <c r="L71" s="537">
        <v>14</v>
      </c>
      <c r="M71" s="14">
        <f t="shared" si="46"/>
        <v>2287.3972602739732</v>
      </c>
      <c r="N71" s="13">
        <f t="shared" si="50"/>
        <v>163.38551859099809</v>
      </c>
      <c r="O71" s="15">
        <f t="shared" si="51"/>
        <v>0</v>
      </c>
      <c r="P71" s="16">
        <f t="shared" si="52"/>
        <v>-8.0430528375733275</v>
      </c>
      <c r="Q71" s="535">
        <f t="shared" si="53"/>
        <v>0.95308219178082221</v>
      </c>
      <c r="R71" s="619"/>
      <c r="S71" s="31">
        <v>0.54722222222222205</v>
      </c>
      <c r="T71" s="31">
        <v>0.64861111111111092</v>
      </c>
      <c r="U71" s="530">
        <f t="shared" si="48"/>
        <v>57.999999999999957</v>
      </c>
      <c r="V71" s="538">
        <f t="shared" si="47"/>
        <v>145.99999999999997</v>
      </c>
      <c r="W71" s="17"/>
      <c r="X71" s="17"/>
      <c r="Y71" s="20"/>
      <c r="Z71" s="20"/>
      <c r="AA71" s="614"/>
      <c r="AB71" s="615"/>
      <c r="AC71" s="19"/>
      <c r="AD71" s="19"/>
      <c r="AE71" s="15">
        <f t="shared" si="43"/>
        <v>-112.60273972602681</v>
      </c>
      <c r="AF71" s="535">
        <f t="shared" si="54"/>
        <v>0.95308219178082221</v>
      </c>
      <c r="AG71" s="619"/>
    </row>
    <row r="72" spans="1:33" ht="15.75" customHeight="1">
      <c r="A72" s="617" t="s">
        <v>200</v>
      </c>
      <c r="B72" s="539" t="s">
        <v>27</v>
      </c>
      <c r="C72" s="612" t="s">
        <v>51</v>
      </c>
      <c r="D72" s="613"/>
      <c r="E72" s="33">
        <v>20.36</v>
      </c>
      <c r="F72" s="539">
        <v>2391</v>
      </c>
      <c r="G72" s="530">
        <f t="shared" si="45"/>
        <v>48680.76</v>
      </c>
      <c r="H72" s="543" t="s">
        <v>5</v>
      </c>
      <c r="I72" s="537">
        <v>17</v>
      </c>
      <c r="J72" s="30">
        <v>2400</v>
      </c>
      <c r="K72" s="13">
        <f t="shared" si="49"/>
        <v>141.1764705882353</v>
      </c>
      <c r="L72" s="537">
        <v>17</v>
      </c>
      <c r="M72" s="14">
        <f t="shared" si="46"/>
        <v>2313.8709677419374</v>
      </c>
      <c r="N72" s="13">
        <f t="shared" si="50"/>
        <v>136.11005692599633</v>
      </c>
      <c r="O72" s="15">
        <f t="shared" si="51"/>
        <v>0</v>
      </c>
      <c r="P72" s="16">
        <f t="shared" si="52"/>
        <v>-5.0664136622389719</v>
      </c>
      <c r="Q72" s="535">
        <f t="shared" si="53"/>
        <v>0.96411290322580734</v>
      </c>
      <c r="R72" s="619"/>
      <c r="S72" s="31">
        <v>0.65277777777777757</v>
      </c>
      <c r="T72" s="31">
        <v>0.69583333333333308</v>
      </c>
      <c r="U72" s="530">
        <f t="shared" si="48"/>
        <v>5.9999999999999787</v>
      </c>
      <c r="V72" s="538">
        <f t="shared" si="47"/>
        <v>61.999999999999943</v>
      </c>
      <c r="W72" s="17"/>
      <c r="X72" s="17"/>
      <c r="Y72" s="20"/>
      <c r="Z72" s="20"/>
      <c r="AA72" s="614"/>
      <c r="AB72" s="615"/>
      <c r="AC72" s="19"/>
      <c r="AD72" s="19"/>
      <c r="AE72" s="15">
        <f t="shared" si="43"/>
        <v>-86.12903225806258</v>
      </c>
      <c r="AF72" s="535">
        <f t="shared" si="54"/>
        <v>0.96411290322580723</v>
      </c>
      <c r="AG72" s="619"/>
    </row>
    <row r="73" spans="1:33" ht="15.75" customHeight="1">
      <c r="A73" s="617" t="s">
        <v>200</v>
      </c>
      <c r="B73" s="539" t="s">
        <v>27</v>
      </c>
      <c r="C73" s="612" t="s">
        <v>32</v>
      </c>
      <c r="D73" s="613"/>
      <c r="E73" s="33">
        <v>25.99</v>
      </c>
      <c r="F73" s="539">
        <v>1941</v>
      </c>
      <c r="G73" s="530">
        <f t="shared" si="45"/>
        <v>50446.59</v>
      </c>
      <c r="H73" s="543" t="s">
        <v>5</v>
      </c>
      <c r="I73" s="537">
        <v>14</v>
      </c>
      <c r="J73" s="30">
        <v>2400</v>
      </c>
      <c r="K73" s="13">
        <f t="shared" si="49"/>
        <v>171.42857142857142</v>
      </c>
      <c r="L73" s="537">
        <v>14</v>
      </c>
      <c r="M73" s="14">
        <f t="shared" si="46"/>
        <v>2329.2000000000007</v>
      </c>
      <c r="N73" s="13">
        <f t="shared" si="50"/>
        <v>166.37142857142862</v>
      </c>
      <c r="O73" s="15">
        <f t="shared" si="51"/>
        <v>0</v>
      </c>
      <c r="P73" s="16">
        <f t="shared" si="52"/>
        <v>-5.057142857142793</v>
      </c>
      <c r="Q73" s="535">
        <f t="shared" si="53"/>
        <v>0.97050000000000036</v>
      </c>
      <c r="R73" s="619"/>
      <c r="S73" s="31">
        <v>0.69930555555555529</v>
      </c>
      <c r="T73" s="31">
        <v>0.7340277777777775</v>
      </c>
      <c r="U73" s="530">
        <f t="shared" si="48"/>
        <v>4.9999999999999822</v>
      </c>
      <c r="V73" s="538">
        <f t="shared" si="47"/>
        <v>49.999999999999986</v>
      </c>
      <c r="W73" s="17"/>
      <c r="X73" s="17"/>
      <c r="Y73" s="20"/>
      <c r="Z73" s="20"/>
      <c r="AA73" s="614"/>
      <c r="AB73" s="615"/>
      <c r="AC73" s="19"/>
      <c r="AD73" s="19"/>
      <c r="AE73" s="15">
        <f t="shared" si="43"/>
        <v>-70.799999999999272</v>
      </c>
      <c r="AF73" s="535">
        <f t="shared" si="54"/>
        <v>0.97050000000000025</v>
      </c>
      <c r="AG73" s="619"/>
    </row>
    <row r="74" spans="1:33" ht="16.5" customHeight="1">
      <c r="A74" s="618" t="s">
        <v>200</v>
      </c>
      <c r="B74" s="33" t="s">
        <v>180</v>
      </c>
      <c r="C74" s="607"/>
      <c r="D74" s="608"/>
      <c r="E74" s="536"/>
      <c r="F74" s="34"/>
      <c r="G74" s="13"/>
      <c r="H74" s="539"/>
      <c r="I74" s="23">
        <v>16</v>
      </c>
      <c r="J74" s="30">
        <v>2400</v>
      </c>
      <c r="K74" s="13">
        <f t="shared" si="49"/>
        <v>150</v>
      </c>
      <c r="L74" s="23">
        <v>16</v>
      </c>
      <c r="M74" s="14">
        <f>AVERAGE(M64:M73)</f>
        <v>2307.4794839061051</v>
      </c>
      <c r="N74" s="13">
        <f t="shared" si="50"/>
        <v>144.21746774413157</v>
      </c>
      <c r="O74" s="15">
        <f t="shared" si="51"/>
        <v>0</v>
      </c>
      <c r="P74" s="16">
        <f t="shared" si="52"/>
        <v>-5.782532255868432</v>
      </c>
      <c r="Q74" s="535">
        <f t="shared" si="53"/>
        <v>0.96144978496087707</v>
      </c>
      <c r="R74" s="619"/>
      <c r="S74" s="31"/>
      <c r="T74" s="31"/>
      <c r="U74" s="13"/>
      <c r="V74" s="538"/>
      <c r="W74" s="13"/>
      <c r="X74" s="13"/>
      <c r="Y74" s="24">
        <f>SUM(Y64:Y73)</f>
        <v>0</v>
      </c>
      <c r="Z74" s="24">
        <f>SUM(Z64:Z73)</f>
        <v>0</v>
      </c>
      <c r="AA74" s="609"/>
      <c r="AB74" s="609"/>
      <c r="AC74" s="24">
        <v>10</v>
      </c>
      <c r="AD74" s="24">
        <f>SUM(AD64:AD73)</f>
        <v>0</v>
      </c>
      <c r="AE74" s="15">
        <f t="shared" si="43"/>
        <v>-92.520516093894912</v>
      </c>
      <c r="AF74" s="535">
        <f t="shared" si="54"/>
        <v>0.96144978496087707</v>
      </c>
      <c r="AG74" s="619"/>
    </row>
    <row r="75" spans="1:33">
      <c r="D75" s="25"/>
      <c r="E75" s="25"/>
    </row>
  </sheetData>
  <mergeCells count="199">
    <mergeCell ref="C74:D74"/>
    <mergeCell ref="AA74:AB74"/>
    <mergeCell ref="C71:D71"/>
    <mergeCell ref="AA71:AB71"/>
    <mergeCell ref="C72:D72"/>
    <mergeCell ref="AA72:AB72"/>
    <mergeCell ref="C73:D73"/>
    <mergeCell ref="AA73:AB73"/>
    <mergeCell ref="AA67:AB67"/>
    <mergeCell ref="C68:D68"/>
    <mergeCell ref="AA68:AB68"/>
    <mergeCell ref="C69:D69"/>
    <mergeCell ref="AA69:AB69"/>
    <mergeCell ref="C70:D70"/>
    <mergeCell ref="AA70:AB70"/>
    <mergeCell ref="A64:A74"/>
    <mergeCell ref="C64:D64"/>
    <mergeCell ref="R64:R74"/>
    <mergeCell ref="AA64:AB64"/>
    <mergeCell ref="AG64:AG74"/>
    <mergeCell ref="C65:D65"/>
    <mergeCell ref="AA65:AB65"/>
    <mergeCell ref="C66:D66"/>
    <mergeCell ref="AA66:AB66"/>
    <mergeCell ref="C67:D67"/>
    <mergeCell ref="AG58:AG63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C57:D57"/>
    <mergeCell ref="AA57:AB57"/>
    <mergeCell ref="A58:A63"/>
    <mergeCell ref="C58:D58"/>
    <mergeCell ref="R58:R63"/>
    <mergeCell ref="AA58:AB58"/>
    <mergeCell ref="AA63:AB63"/>
    <mergeCell ref="AA53:AB53"/>
    <mergeCell ref="C54:D54"/>
    <mergeCell ref="AA54:AB54"/>
    <mergeCell ref="C55:D55"/>
    <mergeCell ref="AA55:AB55"/>
    <mergeCell ref="C56:D56"/>
    <mergeCell ref="AA56:AB56"/>
    <mergeCell ref="A49:A57"/>
    <mergeCell ref="C49:D49"/>
    <mergeCell ref="R49:R57"/>
    <mergeCell ref="AA49:AB49"/>
    <mergeCell ref="AG49:AG57"/>
    <mergeCell ref="C50:D50"/>
    <mergeCell ref="AA50:AB50"/>
    <mergeCell ref="C51:D51"/>
    <mergeCell ref="AA51:AB51"/>
    <mergeCell ref="AA52:AB52"/>
    <mergeCell ref="AG45:AG48"/>
    <mergeCell ref="C46:D46"/>
    <mergeCell ref="AA46:AB46"/>
    <mergeCell ref="C47:D47"/>
    <mergeCell ref="AA47:AB47"/>
    <mergeCell ref="C48:D48"/>
    <mergeCell ref="AA48:AB48"/>
    <mergeCell ref="C43:D43"/>
    <mergeCell ref="AA43:AB43"/>
    <mergeCell ref="C44:D44"/>
    <mergeCell ref="AA44:AB44"/>
    <mergeCell ref="A45:A48"/>
    <mergeCell ref="C45:D45"/>
    <mergeCell ref="R45:R48"/>
    <mergeCell ref="AA45:AB45"/>
    <mergeCell ref="AG36:AG44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A34:AB34"/>
    <mergeCell ref="C35:D35"/>
    <mergeCell ref="AA35:AB35"/>
    <mergeCell ref="A36:A44"/>
    <mergeCell ref="C36:D36"/>
    <mergeCell ref="R36:R44"/>
    <mergeCell ref="AA36:AB36"/>
    <mergeCell ref="AA41:AB41"/>
    <mergeCell ref="C42:D42"/>
    <mergeCell ref="AA42:AB42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26:D26"/>
    <mergeCell ref="AA26:AB26"/>
    <mergeCell ref="C27:D27"/>
    <mergeCell ref="AA27:AB27"/>
    <mergeCell ref="A28:A35"/>
    <mergeCell ref="C28:D28"/>
    <mergeCell ref="R28:R35"/>
    <mergeCell ref="AA28:AB28"/>
    <mergeCell ref="AA33:AB33"/>
    <mergeCell ref="C34:D34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16:AB16"/>
    <mergeCell ref="C17:D17"/>
    <mergeCell ref="AA17:AB17"/>
    <mergeCell ref="C19:D19"/>
    <mergeCell ref="AA19:AB19"/>
    <mergeCell ref="A20:A27"/>
    <mergeCell ref="C20:D20"/>
    <mergeCell ref="R20:R27"/>
    <mergeCell ref="AA20:AB20"/>
    <mergeCell ref="AA25:AB25"/>
    <mergeCell ref="A13:A19"/>
    <mergeCell ref="C13:D13"/>
    <mergeCell ref="R13:R19"/>
    <mergeCell ref="AA13:AB13"/>
    <mergeCell ref="AG13:AG19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61:O69 O57:O58 O74 O5:O10 O12:O14 O19:O54">
    <cfRule type="cellIs" dxfId="75" priority="68" operator="greaterThan">
      <formula>0</formula>
    </cfRule>
  </conditionalFormatting>
  <conditionalFormatting sqref="P5:P8 P61:P62 AE61:AE62 P64:P69 P28:P34 P58 P10 P12:P14 P20:P26 P49:P54 P36:P47 AE5:AE58 AE64:AE74">
    <cfRule type="cellIs" dxfId="74" priority="72" operator="lessThan">
      <formula>0</formula>
    </cfRule>
  </conditionalFormatting>
  <conditionalFormatting sqref="AF61:AF62 Q61:Q69 Q57:Q58 Q74 Q5:Q10 Q12:Q14 Q19:Q54 AF5:AF58 AF64:AF74">
    <cfRule type="cellIs" dxfId="73" priority="69" operator="greaterThan">
      <formula>1</formula>
    </cfRule>
    <cfRule type="cellIs" dxfId="72" priority="70" operator="lessThan">
      <formula>0.8</formula>
    </cfRule>
  </conditionalFormatting>
  <conditionalFormatting sqref="AG13:AG14 R13:R14 AG61 R61:R69 R19:R25 AG19:AG25 AG57:AG58 R57:R58 R74 AG5:AG10 R5:R10 AG27:AG54 R27:R54">
    <cfRule type="cellIs" dxfId="71" priority="74" operator="lessThan">
      <formula>0.8</formula>
    </cfRule>
  </conditionalFormatting>
  <conditionalFormatting sqref="AG45">
    <cfRule type="cellIs" dxfId="70" priority="76" operator="lessThan">
      <formula>0.8</formula>
    </cfRule>
  </conditionalFormatting>
  <conditionalFormatting sqref="AG20:AG25">
    <cfRule type="cellIs" dxfId="69" priority="73" operator="lessThan">
      <formula>0.8</formula>
    </cfRule>
  </conditionalFormatting>
  <conditionalFormatting sqref="AG28">
    <cfRule type="cellIs" dxfId="68" priority="75" operator="lessThan">
      <formula>0.8</formula>
    </cfRule>
  </conditionalFormatting>
  <conditionalFormatting sqref="AG36:AG43">
    <cfRule type="cellIs" dxfId="67" priority="71" operator="lessThan">
      <formula>0.8</formula>
    </cfRule>
  </conditionalFormatting>
  <conditionalFormatting sqref="AE63">
    <cfRule type="cellIs" dxfId="66" priority="67" operator="lessThan">
      <formula>0</formula>
    </cfRule>
  </conditionalFormatting>
  <conditionalFormatting sqref="AF63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O15:O16">
    <cfRule type="cellIs" dxfId="63" priority="60" operator="greaterThan">
      <formula>0</formula>
    </cfRule>
  </conditionalFormatting>
  <conditionalFormatting sqref="P15:P16">
    <cfRule type="cellIs" dxfId="62" priority="63" operator="lessThan">
      <formula>0</formula>
    </cfRule>
  </conditionalFormatting>
  <conditionalFormatting sqref="Q15:Q16">
    <cfRule type="cellIs" dxfId="61" priority="61" operator="greaterThan">
      <formula>1</formula>
    </cfRule>
    <cfRule type="cellIs" dxfId="60" priority="62" operator="lessThan">
      <formula>0.8</formula>
    </cfRule>
  </conditionalFormatting>
  <conditionalFormatting sqref="R15:R16 AG15:AG16">
    <cfRule type="cellIs" dxfId="59" priority="64" operator="lessThan">
      <formula>0.8</formula>
    </cfRule>
  </conditionalFormatting>
  <conditionalFormatting sqref="O11">
    <cfRule type="cellIs" dxfId="58" priority="56" operator="greaterThan">
      <formula>0</formula>
    </cfRule>
  </conditionalFormatting>
  <conditionalFormatting sqref="P11">
    <cfRule type="cellIs" dxfId="57" priority="59" operator="lessThan">
      <formula>0</formula>
    </cfRule>
  </conditionalFormatting>
  <conditionalFormatting sqref="Q11">
    <cfRule type="cellIs" dxfId="56" priority="57" operator="greaterThan">
      <formula>1</formula>
    </cfRule>
    <cfRule type="cellIs" dxfId="55" priority="58" operator="lessThan">
      <formula>0.8</formula>
    </cfRule>
  </conditionalFormatting>
  <conditionalFormatting sqref="O55">
    <cfRule type="cellIs" dxfId="54" priority="51" operator="greaterThan">
      <formula>0</formula>
    </cfRule>
  </conditionalFormatting>
  <conditionalFormatting sqref="P55">
    <cfRule type="cellIs" dxfId="53" priority="54" operator="lessThan">
      <formula>0</formula>
    </cfRule>
  </conditionalFormatting>
  <conditionalFormatting sqref="Q55">
    <cfRule type="cellIs" dxfId="52" priority="52" operator="greaterThan">
      <formula>1</formula>
    </cfRule>
    <cfRule type="cellIs" dxfId="51" priority="53" operator="lessThan">
      <formula>0.8</formula>
    </cfRule>
  </conditionalFormatting>
  <conditionalFormatting sqref="R55 AG55">
    <cfRule type="cellIs" dxfId="50" priority="55" operator="lessThan">
      <formula>0.8</formula>
    </cfRule>
  </conditionalFormatting>
  <conditionalFormatting sqref="O60">
    <cfRule type="cellIs" dxfId="49" priority="46" operator="greaterThan">
      <formula>0</formula>
    </cfRule>
  </conditionalFormatting>
  <conditionalFormatting sqref="P60 AE60">
    <cfRule type="cellIs" dxfId="48" priority="49" operator="lessThan">
      <formula>0</formula>
    </cfRule>
  </conditionalFormatting>
  <conditionalFormatting sqref="Q60 AF60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R60 AG60">
    <cfRule type="cellIs" dxfId="45" priority="50" operator="lessThan">
      <formula>0.8</formula>
    </cfRule>
  </conditionalFormatting>
  <conditionalFormatting sqref="O70">
    <cfRule type="cellIs" dxfId="44" priority="41" operator="greaterThan">
      <formula>0</formula>
    </cfRule>
  </conditionalFormatting>
  <conditionalFormatting sqref="P70">
    <cfRule type="cellIs" dxfId="43" priority="44" operator="lessThan">
      <formula>0</formula>
    </cfRule>
  </conditionalFormatting>
  <conditionalFormatting sqref="Q70">
    <cfRule type="cellIs" dxfId="42" priority="42" operator="greaterThan">
      <formula>1</formula>
    </cfRule>
    <cfRule type="cellIs" dxfId="41" priority="43" operator="lessThan">
      <formula>0.8</formula>
    </cfRule>
  </conditionalFormatting>
  <conditionalFormatting sqref="R70">
    <cfRule type="cellIs" dxfId="40" priority="45" operator="lessThan">
      <formula>0.8</formula>
    </cfRule>
  </conditionalFormatting>
  <conditionalFormatting sqref="O17:O18">
    <cfRule type="cellIs" dxfId="39" priority="36" operator="greaterThan">
      <formula>0</formula>
    </cfRule>
  </conditionalFormatting>
  <conditionalFormatting sqref="P17:P18">
    <cfRule type="cellIs" dxfId="38" priority="39" operator="lessThan">
      <formula>0</formula>
    </cfRule>
  </conditionalFormatting>
  <conditionalFormatting sqref="Q17:Q18">
    <cfRule type="cellIs" dxfId="37" priority="37" operator="greaterThan">
      <formula>1</formula>
    </cfRule>
    <cfRule type="cellIs" dxfId="36" priority="38" operator="lessThan">
      <formula>0.8</formula>
    </cfRule>
  </conditionalFormatting>
  <conditionalFormatting sqref="R17:R18 AG17:AG18">
    <cfRule type="cellIs" dxfId="35" priority="40" operator="lessThan">
      <formula>0.8</formula>
    </cfRule>
  </conditionalFormatting>
  <conditionalFormatting sqref="O56">
    <cfRule type="cellIs" dxfId="34" priority="31" operator="greaterThan">
      <formula>0</formula>
    </cfRule>
  </conditionalFormatting>
  <conditionalFormatting sqref="P56">
    <cfRule type="cellIs" dxfId="33" priority="34" operator="lessThan">
      <formula>0</formula>
    </cfRule>
  </conditionalFormatting>
  <conditionalFormatting sqref="Q56">
    <cfRule type="cellIs" dxfId="32" priority="32" operator="greaterThan">
      <formula>1</formula>
    </cfRule>
    <cfRule type="cellIs" dxfId="31" priority="33" operator="lessThan">
      <formula>0.8</formula>
    </cfRule>
  </conditionalFormatting>
  <conditionalFormatting sqref="AG56 R56">
    <cfRule type="cellIs" dxfId="30" priority="35" operator="lessThan">
      <formula>0.8</formula>
    </cfRule>
  </conditionalFormatting>
  <conditionalFormatting sqref="R26 AG26">
    <cfRule type="cellIs" dxfId="29" priority="30" operator="lessThan">
      <formula>0.8</formula>
    </cfRule>
  </conditionalFormatting>
  <conditionalFormatting sqref="AG26">
    <cfRule type="cellIs" dxfId="28" priority="29" operator="lessThan">
      <formula>0.8</formula>
    </cfRule>
  </conditionalFormatting>
  <conditionalFormatting sqref="O59">
    <cfRule type="cellIs" dxfId="27" priority="24" operator="greaterThan">
      <formula>0</formula>
    </cfRule>
  </conditionalFormatting>
  <conditionalFormatting sqref="P59 AE59">
    <cfRule type="cellIs" dxfId="26" priority="27" operator="lessThan">
      <formula>0</formula>
    </cfRule>
  </conditionalFormatting>
  <conditionalFormatting sqref="Q59 AF59">
    <cfRule type="cellIs" dxfId="25" priority="25" operator="greaterThan">
      <formula>1</formula>
    </cfRule>
    <cfRule type="cellIs" dxfId="24" priority="26" operator="lessThan">
      <formula>0.8</formula>
    </cfRule>
  </conditionalFormatting>
  <conditionalFormatting sqref="R59 AG59">
    <cfRule type="cellIs" dxfId="23" priority="28" operator="lessThan">
      <formula>0.8</formula>
    </cfRule>
  </conditionalFormatting>
  <conditionalFormatting sqref="P9">
    <cfRule type="cellIs" dxfId="22" priority="23" operator="lessThan">
      <formula>0</formula>
    </cfRule>
  </conditionalFormatting>
  <conditionalFormatting sqref="P19">
    <cfRule type="cellIs" dxfId="21" priority="22" operator="lessThan">
      <formula>0</formula>
    </cfRule>
  </conditionalFormatting>
  <conditionalFormatting sqref="P27">
    <cfRule type="cellIs" dxfId="20" priority="21" operator="lessThan">
      <formula>0</formula>
    </cfRule>
  </conditionalFormatting>
  <conditionalFormatting sqref="P35">
    <cfRule type="cellIs" dxfId="19" priority="20" operator="lessThan">
      <formula>0</formula>
    </cfRule>
  </conditionalFormatting>
  <conditionalFormatting sqref="P48">
    <cfRule type="cellIs" dxfId="18" priority="19" operator="lessThan">
      <formula>0</formula>
    </cfRule>
  </conditionalFormatting>
  <conditionalFormatting sqref="P57">
    <cfRule type="cellIs" dxfId="17" priority="18" operator="lessThan">
      <formula>0</formula>
    </cfRule>
  </conditionalFormatting>
  <conditionalFormatting sqref="P63">
    <cfRule type="cellIs" dxfId="16" priority="17" operator="lessThan">
      <formula>0</formula>
    </cfRule>
  </conditionalFormatting>
  <conditionalFormatting sqref="P74">
    <cfRule type="cellIs" dxfId="15" priority="16" operator="lessThan">
      <formula>0</formula>
    </cfRule>
  </conditionalFormatting>
  <conditionalFormatting sqref="O71">
    <cfRule type="cellIs" dxfId="14" priority="11" operator="greaterThan">
      <formula>0</formula>
    </cfRule>
  </conditionalFormatting>
  <conditionalFormatting sqref="P71">
    <cfRule type="cellIs" dxfId="13" priority="14" operator="lessThan">
      <formula>0</formula>
    </cfRule>
  </conditionalFormatting>
  <conditionalFormatting sqref="Q71">
    <cfRule type="cellIs" dxfId="12" priority="12" operator="greaterThan">
      <formula>1</formula>
    </cfRule>
    <cfRule type="cellIs" dxfId="11" priority="13" operator="lessThan">
      <formula>0.8</formula>
    </cfRule>
  </conditionalFormatting>
  <conditionalFormatting sqref="R71">
    <cfRule type="cellIs" dxfId="10" priority="15" operator="lessThan">
      <formula>0.8</formula>
    </cfRule>
  </conditionalFormatting>
  <conditionalFormatting sqref="O72">
    <cfRule type="cellIs" dxfId="9" priority="6" operator="greaterThan">
      <formula>0</formula>
    </cfRule>
  </conditionalFormatting>
  <conditionalFormatting sqref="P72">
    <cfRule type="cellIs" dxfId="8" priority="9" operator="lessThan">
      <formula>0</formula>
    </cfRule>
  </conditionalFormatting>
  <conditionalFormatting sqref="Q72">
    <cfRule type="cellIs" dxfId="7" priority="7" operator="greaterThan">
      <formula>1</formula>
    </cfRule>
    <cfRule type="cellIs" dxfId="6" priority="8" operator="lessThan">
      <formula>0.8</formula>
    </cfRule>
  </conditionalFormatting>
  <conditionalFormatting sqref="R72">
    <cfRule type="cellIs" dxfId="5" priority="10" operator="lessThan">
      <formula>0.8</formula>
    </cfRule>
  </conditionalFormatting>
  <conditionalFormatting sqref="O73">
    <cfRule type="cellIs" dxfId="4" priority="1" operator="greaterThan">
      <formula>0</formula>
    </cfRule>
  </conditionalFormatting>
  <conditionalFormatting sqref="P73">
    <cfRule type="cellIs" dxfId="3" priority="4" operator="lessThan">
      <formula>0</formula>
    </cfRule>
  </conditionalFormatting>
  <conditionalFormatting sqref="Q73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R73">
    <cfRule type="cellIs" dxfId="0" priority="5" operator="lessThan">
      <formula>0.8</formula>
    </cfRule>
  </conditionalFormatting>
  <dataValidations count="1">
    <dataValidation type="list" allowBlank="1" showInputMessage="1" showErrorMessage="1" sqref="AB9 AA5:AB8 AB62 AA9:AA62 AB11:AB58 AA63:AB7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8" sqref="A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86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2538</v>
      </c>
      <c r="C3" s="596" t="str">
        <f>TEXT('0927 4度C'!A2,"yyyy.mm.ddaaaa")</f>
        <v>2026.09.27星期日</v>
      </c>
      <c r="D3" s="597"/>
      <c r="E3" s="39" t="s">
        <v>2539</v>
      </c>
      <c r="F3" s="598">
        <f>'0927 4度C'!D1</f>
        <v>130438</v>
      </c>
      <c r="G3" s="599"/>
      <c r="H3" s="39" t="s">
        <v>2540</v>
      </c>
      <c r="I3" s="600">
        <f>'0927 4度C'!F1</f>
        <v>4560731.0299999993</v>
      </c>
      <c r="J3" s="601"/>
      <c r="K3" s="40"/>
      <c r="L3" s="41"/>
      <c r="M3" s="42"/>
      <c r="N3" s="42"/>
    </row>
    <row r="4" spans="2:17" ht="28.5" customHeight="1">
      <c r="B4" s="602" t="s">
        <v>2541</v>
      </c>
      <c r="C4" s="588" t="s">
        <v>2542</v>
      </c>
      <c r="D4" s="589"/>
      <c r="E4" s="605" t="s">
        <v>2543</v>
      </c>
      <c r="F4" s="606"/>
      <c r="G4" s="605" t="s">
        <v>2544</v>
      </c>
      <c r="H4" s="606"/>
      <c r="I4" s="605" t="s">
        <v>2545</v>
      </c>
      <c r="J4" s="606"/>
      <c r="K4" s="586" t="s">
        <v>2546</v>
      </c>
      <c r="L4" s="587"/>
      <c r="M4" s="587" t="s">
        <v>2547</v>
      </c>
      <c r="N4" s="587"/>
    </row>
    <row r="5" spans="2:17" ht="28.5" customHeight="1">
      <c r="B5" s="603"/>
      <c r="C5" s="588" t="s">
        <v>2548</v>
      </c>
      <c r="D5" s="589"/>
      <c r="E5" s="588" t="s">
        <v>2549</v>
      </c>
      <c r="F5" s="589"/>
      <c r="G5" s="590" t="s">
        <v>2550</v>
      </c>
      <c r="H5" s="591"/>
      <c r="I5" s="592" t="s">
        <v>2551</v>
      </c>
      <c r="J5" s="593"/>
      <c r="K5" s="43" t="s">
        <v>2552</v>
      </c>
      <c r="L5" s="44" t="s">
        <v>2553</v>
      </c>
      <c r="M5" s="43" t="s">
        <v>2552</v>
      </c>
      <c r="N5" s="44" t="s">
        <v>2554</v>
      </c>
    </row>
    <row r="6" spans="2:17" ht="28.5" customHeight="1">
      <c r="B6" s="603"/>
      <c r="C6" s="588" t="s">
        <v>56</v>
      </c>
      <c r="D6" s="589"/>
      <c r="E6" s="580">
        <f>AVERAGE(D13:M13)</f>
        <v>150.23891650980607</v>
      </c>
      <c r="F6" s="581">
        <f>AVERAGE(D31:O31,D13:J13)</f>
        <v>155.69986378871221</v>
      </c>
      <c r="G6" s="582">
        <f>AVERAGE(D13:J13)</f>
        <v>155.69986378871221</v>
      </c>
      <c r="H6" s="583"/>
      <c r="I6" s="582">
        <f>AVERAGE(K13:M13)</f>
        <v>137.49670619235837</v>
      </c>
      <c r="J6" s="583"/>
      <c r="K6" s="584">
        <f>'0927 4度C'!Y2</f>
        <v>0</v>
      </c>
      <c r="L6" s="569">
        <f>'0927 4度C'!Z2</f>
        <v>0</v>
      </c>
      <c r="M6" s="585">
        <f>'0927 4度C'!AC2</f>
        <v>50</v>
      </c>
      <c r="N6" s="569">
        <f>'0927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144.07145979095782</v>
      </c>
      <c r="F7" s="573">
        <f>AVERAGE(D32:O32,D14:J14)</f>
        <v>149.37563527254719</v>
      </c>
      <c r="G7" s="574">
        <f>AVERAGE(D14:J14)</f>
        <v>149.37563527254719</v>
      </c>
      <c r="H7" s="575"/>
      <c r="I7" s="574">
        <f>AVERAGE(K14:M14)</f>
        <v>131.69505033391602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0.95916788500065775</v>
      </c>
      <c r="F8" s="577">
        <f>AVERAGE(D15:J15,D33:O33)</f>
        <v>0.95975333717810862</v>
      </c>
      <c r="G8" s="578">
        <f>AVERAGE(D15:J15)</f>
        <v>0.95975333717810862</v>
      </c>
      <c r="H8" s="579"/>
      <c r="I8" s="578">
        <f>AVERAGE(K15:M15)</f>
        <v>0.9578018299199389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2555</v>
      </c>
      <c r="N9" s="42"/>
      <c r="O9" s="42"/>
      <c r="P9" s="42"/>
      <c r="Q9" s="42"/>
    </row>
    <row r="10" spans="2:17" ht="30" customHeight="1">
      <c r="B10" s="552" t="s">
        <v>2556</v>
      </c>
      <c r="C10" s="553"/>
      <c r="D10" s="554" t="s">
        <v>2557</v>
      </c>
      <c r="E10" s="555"/>
      <c r="F10" s="555"/>
      <c r="G10" s="555"/>
      <c r="H10" s="555"/>
      <c r="I10" s="555"/>
      <c r="J10" s="556"/>
      <c r="K10" s="557" t="s">
        <v>2558</v>
      </c>
      <c r="L10" s="558"/>
      <c r="M10" s="559"/>
      <c r="P10" s="48"/>
      <c r="Q10" s="48"/>
    </row>
    <row r="11" spans="2:17" ht="17.25" customHeight="1">
      <c r="B11" s="560" t="s">
        <v>2559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2560</v>
      </c>
      <c r="C13" s="55" t="s">
        <v>111</v>
      </c>
      <c r="D13" s="56">
        <f>SUMIFS('0927 4度C'!$K:$K,'0927 4度C'!$A:$A,"新豐6線",'0927 4度C'!$B:$B,"平均")</f>
        <v>130.43478260869566</v>
      </c>
      <c r="E13" s="57">
        <f>SUMIFS('0927 4度C'!$K:$K,'0927 4度C'!$A:$A,"新豐2線",'0927 4度C'!$B:$B,"平均")</f>
        <v>83.333333333333329</v>
      </c>
      <c r="F13" s="58">
        <f>SUMIFS('0927 4度C'!$K:$K,'0927 4度C'!$A:$A,"新豐5線",'0927 4度C'!$B:$B,"平均")</f>
        <v>104.99999999999999</v>
      </c>
      <c r="G13" s="58">
        <f>SUMIFS('0927 4度C'!$K:$K,'0927 4度C'!$A:$A,"新豐7線",'0927 4度C'!$B:$B,"平均")</f>
        <v>125</v>
      </c>
      <c r="H13" s="58">
        <f>SUMIFS('0927 4度C'!$K:$K,'0927 4度C'!$A:$A,"新豐3線",'0927 4度C'!$B:$B,"平均")</f>
        <v>242.42424242424241</v>
      </c>
      <c r="I13" s="58">
        <f>SUMIFS('0927 4度C'!$K:$K,'0927 4度C'!$A:$A,"新豐1線",'0927 4度C'!$B:$B,"平均")</f>
        <v>109.58904109589041</v>
      </c>
      <c r="J13" s="59">
        <f>SUMIFS('0927 4度C'!$K:$K,'0927 4度C'!$A:$A,"新豐10線",'0927 4度C'!$B:$B,"平均")</f>
        <v>294.11764705882354</v>
      </c>
      <c r="K13" s="60">
        <f>SUMIFS('0927 4度C'!$K:$K,'0927 4度C'!$A:$A,"新豐8線",'0927 4度C'!$B:$B,"平均")</f>
        <v>139.13043478260869</v>
      </c>
      <c r="L13" s="61">
        <f>SUMIFS('0927 4度C'!$K:$K,'0927 4度C'!$A:$A,"新豐9線",'0927 4度C'!$B:$B,"平均")</f>
        <v>127.27272727272727</v>
      </c>
      <c r="M13" s="59">
        <f>SUMIFS('0927 4度C'!$K:$K,'0927 4度C'!$A:$A,"新豐4線",'0927 4度C'!$B:$B,"平均")</f>
        <v>146.08695652173915</v>
      </c>
    </row>
    <row r="14" spans="2:17" ht="39.6" customHeight="1">
      <c r="B14" s="565"/>
      <c r="C14" s="62" t="s">
        <v>2467</v>
      </c>
      <c r="D14" s="63">
        <f>SUMIFS('0927 4度C'!$N:$N,'0927 4度C'!$A:$A,"新豐6線",'0927 4度C'!$B:$B,"平均")</f>
        <v>125.42013567684238</v>
      </c>
      <c r="E14" s="64">
        <f>SUMIFS('0927 4度C'!$N:$N,'0927 4度C'!$A:$A,"新豐2線",'0927 4度C'!$B:$B,"平均")</f>
        <v>79.4608528835778</v>
      </c>
      <c r="F14" s="64">
        <f>SUMIFS('0927 4度C'!$N:$N,'0927 4度C'!$A:$A,"新豐5線",'0927 4度C'!$B:$B,"平均")</f>
        <v>101.00813539596132</v>
      </c>
      <c r="G14" s="64">
        <f>SUMIFS('0927 4度C'!$N:$N,'0927 4度C'!$A:$A,"新豐7線",'0927 4度C'!$B:$B,"平均")</f>
        <v>120.0601044925271</v>
      </c>
      <c r="H14" s="64">
        <f>SUMIFS('0927 4度C'!$N:$N,'0927 4度C'!$A:$A,"新豐3線",'0927 4度C'!$B:$B,"平均")</f>
        <v>231.91661513090091</v>
      </c>
      <c r="I14" s="64">
        <f>SUMIFS('0927 4度C'!$N:$N,'0927 4度C'!$A:$A,"新豐1線",'0927 4度C'!$B:$B,"平均")</f>
        <v>105.794477831374</v>
      </c>
      <c r="J14" s="65">
        <f>SUMIFS('0927 4度C'!$N:$N,'0927 4度C'!$A:$A,"新豐10線",'0927 4度C'!$B:$B,"平均")</f>
        <v>281.96912549664683</v>
      </c>
      <c r="K14" s="66">
        <f>SUMIFS('0927 4度C'!$N:$N,'0927 4度C'!$A:$A,"新豐8線",'0927 4度C'!$B:$B,"平均")</f>
        <v>132.56294537989933</v>
      </c>
      <c r="L14" s="67">
        <f>SUMIFS('0927 4度C'!$N:$N,'0927 4度C'!$A:$A,"新豐9線",'0927 4度C'!$B:$B,"平均")</f>
        <v>122.12840746055771</v>
      </c>
      <c r="M14" s="65">
        <f>SUMIFS('0927 4度C'!$N:$N,'0927 4度C'!$A:$A,"新豐4線",'0927 4度C'!$B:$B,"平均")</f>
        <v>140.39379816129096</v>
      </c>
    </row>
    <row r="15" spans="2:17" ht="40.15" customHeight="1">
      <c r="B15" s="566"/>
      <c r="C15" s="68" t="s">
        <v>2561</v>
      </c>
      <c r="D15" s="69">
        <f t="shared" ref="D15:M15" si="0">D14/D13</f>
        <v>0.96155437352245821</v>
      </c>
      <c r="E15" s="70">
        <f t="shared" si="0"/>
        <v>0.95353023460293362</v>
      </c>
      <c r="F15" s="70">
        <f t="shared" si="0"/>
        <v>0.96198224186629844</v>
      </c>
      <c r="G15" s="70">
        <f t="shared" si="0"/>
        <v>0.96048083594021683</v>
      </c>
      <c r="H15" s="70">
        <f t="shared" si="0"/>
        <v>0.9566560374149663</v>
      </c>
      <c r="I15" s="70">
        <f t="shared" si="0"/>
        <v>0.96537461021128779</v>
      </c>
      <c r="J15" s="71">
        <f t="shared" si="0"/>
        <v>0.95869502668859918</v>
      </c>
      <c r="K15" s="69">
        <f t="shared" si="0"/>
        <v>0.95279616991802651</v>
      </c>
      <c r="L15" s="70">
        <f t="shared" si="0"/>
        <v>0.95958034433295347</v>
      </c>
      <c r="M15" s="71">
        <f t="shared" si="0"/>
        <v>0.96102897550883681</v>
      </c>
    </row>
    <row r="16" spans="2:17" ht="17.25" customHeight="1">
      <c r="B16" s="567" t="s">
        <v>2562</v>
      </c>
      <c r="C16" s="72" t="s">
        <v>2563</v>
      </c>
      <c r="D16" s="73">
        <f>VLOOKUP("新豐6線",'0927 4度C'!$A:$T,19,0)</f>
        <v>0.70833333333333337</v>
      </c>
      <c r="E16" s="74">
        <f>VLOOKUP("新豐2線",'0927 4度C'!$A:$T,19,0)</f>
        <v>8.3333333333333329E-2</v>
      </c>
      <c r="F16" s="74">
        <f>VLOOKUP("新豐5線",'0927 4度C'!$A:$T,19,0)</f>
        <v>0.20833333333333334</v>
      </c>
      <c r="G16" s="74">
        <f>VLOOKUP("新豐7線",'0927 4度C'!$A:$T,19,0)</f>
        <v>0.25</v>
      </c>
      <c r="H16" s="74">
        <f>VLOOKUP("新豐3線",'0927 4度C'!$A:$T,19,0)</f>
        <v>0.20833333333333334</v>
      </c>
      <c r="I16" s="74">
        <f>VLOOKUP("新豐1線",'0927 4度C'!$A:$T,19,0)</f>
        <v>0.20833333333333334</v>
      </c>
      <c r="J16" s="75">
        <f>VLOOKUP("新豐10線",'0927 4度C'!$A:$T,19,0)</f>
        <v>0.20833333333333334</v>
      </c>
      <c r="K16" s="76">
        <f>VLOOKUP("新豐8線",'0927 4度C'!$A:$T,19,0)</f>
        <v>8.3333333333333329E-2</v>
      </c>
      <c r="L16" s="77">
        <f>VLOOKUP("新豐9線",'0927 4度C'!$A:$T,19,0)</f>
        <v>8.3333333333333329E-2</v>
      </c>
      <c r="M16" s="78">
        <f>VLOOKUP("新豐4線",'0927 4度C'!$A:$T,19,0)</f>
        <v>8.3333333333333329E-2</v>
      </c>
    </row>
    <row r="17" spans="2:13" ht="17.25" customHeight="1">
      <c r="B17" s="568"/>
      <c r="C17" s="72" t="s">
        <v>2564</v>
      </c>
      <c r="D17" s="76">
        <f>LOOKUP(2,1/(('0927 4度C'!$A:$A="新豐6線")*('0927 4度C'!$T:$T&lt;&gt;"")),'0927 4度C'!$T:$T)</f>
        <v>0.85416666666666674</v>
      </c>
      <c r="E17" s="74">
        <f>LOOKUP(2,1/(('0927 4度C'!$A:$A="新豐2線")*('0927 4度C'!$T:$T&lt;&gt;"")),'0927 4度C'!$T:$T)</f>
        <v>0.32708333333333334</v>
      </c>
      <c r="F17" s="74">
        <f>LOOKUP(2,1/(('0927 4度C'!$A:$A="新豐5線")*('0927 4度C'!$T:$T&lt;&gt;"")),'0927 4度C'!$T:$T)</f>
        <v>0.83958333333333335</v>
      </c>
      <c r="G17" s="74">
        <f>LOOKUP(2,1/(('0927 4度C'!$A:$A="新豐7線")*('0927 4度C'!$T:$T&lt;&gt;"")),'0927 4度C'!$T:$T)</f>
        <v>0.90763888888888888</v>
      </c>
      <c r="H17" s="74">
        <f>LOOKUP(2,1/(('0927 4度C'!$A:$A="新豐3線")*('0927 4度C'!$T:$T&lt;&gt;"")),'0927 4度C'!$T:$T)</f>
        <v>0.39444444444444438</v>
      </c>
      <c r="I17" s="74">
        <f>LOOKUP(2,1/(('0927 4度C'!$A:$A="新豐1線")*('0927 4度C'!$T:$T&lt;&gt;"")),'0927 4度C'!$T:$T)</f>
        <v>0.84791666666666665</v>
      </c>
      <c r="J17" s="75">
        <f>LOOKUP(2,1/(('0927 4度C'!$A:$A="新豐10線")*('0927 4度C'!$T:$T&lt;&gt;"")),'0927 4度C'!$T:$T)</f>
        <v>0.40208333333333329</v>
      </c>
      <c r="K17" s="73">
        <f>LOOKUP(2,1/(('0927 4度C'!$A:$A="新豐8線")*('0927 4度C'!$T:$T&lt;&gt;"")),'0927 4度C'!$T:$T)</f>
        <v>0.4909722222222222</v>
      </c>
      <c r="L17" s="74">
        <f>LOOKUP(2,1/(('0927 4度C'!$A:$A="新豐9線")*('0927 4度C'!$T:$T&lt;&gt;"")),'0927 4度C'!$T:$T)</f>
        <v>0.50069444444444433</v>
      </c>
      <c r="M17" s="75">
        <f>LOOKUP(2,1/(('0927 4度C'!$A:$A="新豐4線")*('0927 4度C'!$T:$T&lt;&gt;"")),'0927 4度C'!$T:$T)</f>
        <v>0.49861111111111095</v>
      </c>
    </row>
    <row r="18" spans="2:13" ht="17.25" customHeight="1">
      <c r="B18" s="546" t="s">
        <v>2565</v>
      </c>
      <c r="C18" s="79" t="s">
        <v>2566</v>
      </c>
      <c r="D18" s="80">
        <f>SUMIFS('0927 4度C'!$Y:$Y,'0927 4度C'!$A:$A,"新豐6線",'0927 4度C'!$B:$B,"平均")</f>
        <v>0</v>
      </c>
      <c r="E18" s="81">
        <f>SUMIFS('0927 4度C'!$Y:$Y,'0927 4度C'!$A:$A,"新豐2線",'0927 4度C'!$B:$B,"平均")</f>
        <v>0</v>
      </c>
      <c r="F18" s="81">
        <f>SUMIFS('0927 4度C'!$Y:$Y,'0927 4度C'!$A:$A,"新豐5線",'0927 4度C'!$B:$B,"平均")</f>
        <v>0</v>
      </c>
      <c r="G18" s="81">
        <f>SUMIFS('0927 4度C'!$Y:$Y,'0927 4度C'!$A:$A,"新豐7線",'0927 4度C'!$B:$B,"平均")</f>
        <v>0</v>
      </c>
      <c r="H18" s="81">
        <f>SUMIFS('0927 4度C'!$Y:$Y,'0927 4度C'!$A:$A,"新豐3線",'0927 4度C'!$B:$B,"平均")</f>
        <v>0</v>
      </c>
      <c r="I18" s="81">
        <f>SUMIFS('0927 4度C'!$Y:$Y,'0927 4度C'!$A:$A,"新豐1線",'0927 4度C'!$B:$B,"平均")</f>
        <v>0</v>
      </c>
      <c r="J18" s="82">
        <f>SUMIFS('0927 4度C'!$Y:$Y,'0927 4度C'!$A:$A,"新豐10線",'0927 4度C'!$B:$B,"平均")</f>
        <v>0</v>
      </c>
      <c r="K18" s="83">
        <f>SUMIFS('0927 4度C'!$Y:$Y,'0927 4度C'!$A:$A,"新豐8線",'0927 4度C'!$B:$B,"平均")</f>
        <v>0</v>
      </c>
      <c r="L18" s="81">
        <f>SUMIFS('0927 4度C'!$Y:$Y,'0927 4度C'!$A:$A,"新豐9線",'0927 4度C'!$B:$B,"平均")</f>
        <v>0</v>
      </c>
      <c r="M18" s="82">
        <f>SUMIFS('0927 4度C'!$Y:$Y,'0927 4度C'!$A:$A,"新豐4線",'0927 4度C'!$B:$B,"平均")</f>
        <v>0</v>
      </c>
    </row>
    <row r="19" spans="2:13" ht="17.25" customHeight="1">
      <c r="B19" s="547"/>
      <c r="C19" s="79" t="s">
        <v>78</v>
      </c>
      <c r="D19" s="80">
        <f>SUMIFS('0927 4度C'!$Z:$Z,'0927 4度C'!$A:$A,"新豐6線",'0927 4度C'!$B:$B,"平均")</f>
        <v>0</v>
      </c>
      <c r="E19" s="81">
        <f>SUMIFS('0927 4度C'!$Z:$Z,'0927 4度C'!$A:$A,"新豐2線",'0927 4度C'!$B:$B,"平均")</f>
        <v>0</v>
      </c>
      <c r="F19" s="81">
        <f>SUMIFS('0927 4度C'!$Z:$Z,'0927 4度C'!$A:$A,"新豐5線",'0927 4度C'!$B:$B,"平均")</f>
        <v>0</v>
      </c>
      <c r="G19" s="81">
        <f>SUMIFS('0927 4度C'!$Z:$Z,'0927 4度C'!$A:$A,"新豐7線",'0927 4度C'!$B:$B,"平均")</f>
        <v>0</v>
      </c>
      <c r="H19" s="81">
        <f>SUMIFS('0927 4度C'!$Z:$Z,'0927 4度C'!$A:$A,"新豐3線",'0927 4度C'!$B:$B,"平均")</f>
        <v>0</v>
      </c>
      <c r="I19" s="81">
        <f>SUMIFS('0927 4度C'!$Z:$Z,'0927 4度C'!$A:$A,"新豐1線",'0927 4度C'!$B:$B,"平均")</f>
        <v>0</v>
      </c>
      <c r="J19" s="82">
        <f>SUMIFS('0927 4度C'!$Z:$Z,'0927 4度C'!$A:$A,"新豐10線",'0927 4度C'!$B:$B,"平均")</f>
        <v>0</v>
      </c>
      <c r="K19" s="83">
        <f>SUMIFS('0927 4度C'!$Z:$Z,'0927 4度C'!$A:$A,"新豐8線",'0927 4度C'!$B:$B,"平均")</f>
        <v>0</v>
      </c>
      <c r="L19" s="81">
        <f>SUMIFS('0927 4度C'!$Z:$Z,'0927 4度C'!$A:$A,"新豐9線",'0927 4度C'!$B:$B,"平均")</f>
        <v>0</v>
      </c>
      <c r="M19" s="82">
        <f>SUMIFS('0927 4度C'!$Z:$Z,'0927 4度C'!$A:$A,"新豐4線",'0927 4度C'!$B:$B,"平均")</f>
        <v>0</v>
      </c>
    </row>
    <row r="20" spans="2:13" ht="17.25" customHeight="1">
      <c r="B20" s="546" t="s">
        <v>2567</v>
      </c>
      <c r="C20" s="79" t="s">
        <v>2568</v>
      </c>
      <c r="D20" s="80">
        <f>SUMIFS('0927 4度C'!$AC:$AC,'0927 4度C'!$A:$A,"新豐6線",'0927 4度C'!$B:$B,"平均")</f>
        <v>3</v>
      </c>
      <c r="E20" s="81">
        <f>SUMIFS('0927 4度C'!$AC:$AC,'0927 4度C'!$A:$A,"新豐2線",'0927 4度C'!$B:$B,"平均")</f>
        <v>2</v>
      </c>
      <c r="F20" s="81">
        <f>SUMIFS('0927 4度C'!$AC:$AC,'0927 4度C'!$A:$A,"新豐5線",'0927 4度C'!$B:$B,"平均")</f>
        <v>6</v>
      </c>
      <c r="G20" s="81">
        <f>SUMIFS('0927 4度C'!$AC:$AC,'0927 4度C'!$A:$A,"新豐7線",'0927 4度C'!$B:$B,"平均")</f>
        <v>7</v>
      </c>
      <c r="H20" s="81">
        <f>SUMIFS('0927 4度C'!$AC:$AC,'0927 4度C'!$A:$A,"新豐3線",'0927 4度C'!$B:$B,"平均")</f>
        <v>3</v>
      </c>
      <c r="I20" s="81">
        <f>SUMIFS('0927 4度C'!$AC:$AC,'0927 4度C'!$A:$A,"新豐1線",'0927 4度C'!$B:$B,"平均")</f>
        <v>8</v>
      </c>
      <c r="J20" s="82">
        <f>SUMIFS('0927 4度C'!$AC:$AC,'0927 4度C'!$A:$A,"新豐10線",'0927 4度C'!$B:$B,"平均")</f>
        <v>5</v>
      </c>
      <c r="K20" s="83">
        <f>SUMIFS('0927 4度C'!$AC:$AC,'0927 4度C'!$A:$A,"新豐8線",'0927 4度C'!$B:$B,"平均")</f>
        <v>4</v>
      </c>
      <c r="L20" s="81">
        <f>SUMIFS('0927 4度C'!$AC:$AC,'0927 4度C'!$A:$A,"新豐9線",'0927 4度C'!$B:$B,"平均")</f>
        <v>5</v>
      </c>
      <c r="M20" s="82">
        <f>SUMIFS('0927 4度C'!$AC:$AC,'0927 4度C'!$A:$A,"新豐4線",'0927 4度C'!$B:$B,"平均")</f>
        <v>7</v>
      </c>
    </row>
    <row r="21" spans="2:13" ht="17.25" customHeight="1">
      <c r="B21" s="547"/>
      <c r="C21" s="79" t="s">
        <v>2569</v>
      </c>
      <c r="D21" s="80">
        <f>SUMIFS('0927 4度C'!$AD:$AD,'0927 4度C'!$A:$A,"新豐6線",'0927 4度C'!$B:$B,"平均")</f>
        <v>0</v>
      </c>
      <c r="E21" s="81">
        <f>SUMIFS('0927 4度C'!$AD:$AD,'0927 4度C'!$A:$A,"新豐2線",'0927 4度C'!$B:$B,"平均")</f>
        <v>0</v>
      </c>
      <c r="F21" s="81">
        <f>SUMIFS('0927 4度C'!$AD:$AD,'0927 4度C'!$A:$A,"新豐5線",'0927 4度C'!$B:$B,"平均")</f>
        <v>0</v>
      </c>
      <c r="G21" s="81">
        <f>SUMIFS('0927 4度C'!$AD:$AD,'0927 4度C'!$A:$A,"新豐7線",'0927 4度C'!$B:$B,"平均")</f>
        <v>0</v>
      </c>
      <c r="H21" s="81">
        <f>SUMIFS('0927 4度C'!$AD:$AD,'0927 4度C'!$A:$A,"新豐3線",'0927 4度C'!$B:$B,"平均")</f>
        <v>0</v>
      </c>
      <c r="I21" s="81">
        <f>SUMIFS('0927 4度C'!$AD:$AD,'0927 4度C'!$A:$A,"新豐1線",'0927 4度C'!$B:$B,"平均")</f>
        <v>0</v>
      </c>
      <c r="J21" s="82">
        <f>SUMIFS('0927 4度C'!$AD:$AD,'0927 4度C'!$A:$A,"新豐10線",'0927 4度C'!$B:$B,"平均")</f>
        <v>0</v>
      </c>
      <c r="K21" s="83">
        <f>SUMIFS('0927 4度C'!$AD:$AD,'0927 4度C'!$A:$A,"新豐8線",'0927 4度C'!$B:$B,"平均")</f>
        <v>0</v>
      </c>
      <c r="L21" s="81">
        <f>SUMIFS('0927 4度C'!$AD:$AD,'0927 4度C'!$A:$A,"新豐9線",'0927 4度C'!$B:$B,"平均")</f>
        <v>0</v>
      </c>
      <c r="M21" s="82">
        <f>SUMIFS('0927 4度C'!$AD:$AD,'0927 4度C'!$A:$A,"新豐4線",'0927 4度C'!$B:$B,"平均")</f>
        <v>0</v>
      </c>
    </row>
    <row r="22" spans="2:13" ht="17.25" customHeight="1">
      <c r="B22" s="548" t="s">
        <v>2570</v>
      </c>
      <c r="C22" s="549"/>
      <c r="D22" s="84">
        <f>SUMIFS('0927 4度C'!$I:$I,'0927 4度C'!$A:$A,"新豐6線",'0927 4度C'!$B:$B,"平均")</f>
        <v>15.333333333333334</v>
      </c>
      <c r="E22" s="85">
        <f>SUMIFS('0927 4度C'!$I:$I,'0927 4度C'!$A:$A,"新豐2線",'0927 4度C'!$B:$B,"平均")</f>
        <v>18</v>
      </c>
      <c r="F22" s="85">
        <f>SUMIFS('0927 4度C'!$I:$I,'0927 4度C'!$A:$A,"新豐5線",'0927 4度C'!$B:$B,"平均")</f>
        <v>16.666666666666668</v>
      </c>
      <c r="G22" s="85">
        <f>SUMIFS('0927 4度C'!$I:$I,'0927 4度C'!$A:$A,"新豐7線",'0927 4度C'!$B:$B,"平均")</f>
        <v>16</v>
      </c>
      <c r="H22" s="85">
        <f>SUMIFS('0927 4度C'!$I:$I,'0927 4度C'!$A:$A,"新豐3線",'0927 4度C'!$B:$B,"平均")</f>
        <v>11</v>
      </c>
      <c r="I22" s="85">
        <f>SUMIFS('0927 4度C'!$I:$I,'0927 4度C'!$A:$A,"新豐1線",'0927 4度C'!$B:$B,"平均")</f>
        <v>18.25</v>
      </c>
      <c r="J22" s="86">
        <f>SUMIFS('0927 4度C'!$I:$I,'0927 4度C'!$A:$A,"新豐10線",'0927 4度C'!$B:$B,"平均")</f>
        <v>10.199999999999999</v>
      </c>
      <c r="K22" s="84">
        <f>SUMIFS('0927 4度C'!$I:$I,'0927 4度C'!$A:$A,"新豐8線",'0927 4度C'!$B:$B,"平均")</f>
        <v>17.25</v>
      </c>
      <c r="L22" s="85">
        <f>SUMIFS('0927 4度C'!$I:$I,'0927 4度C'!$A:$A,"新豐9線",'0927 4度C'!$B:$B,"平均")</f>
        <v>17.600000000000001</v>
      </c>
      <c r="M22" s="86">
        <f>SUMIFS('0927 4度C'!$I:$I,'0927 4度C'!$A:$A,"新豐4線",'0927 4度C'!$B:$B,"平均")</f>
        <v>16.428571428571427</v>
      </c>
    </row>
    <row r="23" spans="2:13" ht="17.25" customHeight="1">
      <c r="B23" s="548" t="s">
        <v>2571</v>
      </c>
      <c r="C23" s="549"/>
      <c r="D23" s="87" t="s">
        <v>69</v>
      </c>
      <c r="E23" s="88" t="s">
        <v>70</v>
      </c>
      <c r="F23" s="88" t="s">
        <v>2572</v>
      </c>
      <c r="G23" s="88" t="s">
        <v>453</v>
      </c>
      <c r="H23" s="88" t="s">
        <v>71</v>
      </c>
      <c r="I23" s="88" t="s">
        <v>69</v>
      </c>
      <c r="J23" s="89" t="s">
        <v>71</v>
      </c>
      <c r="K23" s="87" t="s">
        <v>2573</v>
      </c>
      <c r="L23" s="88" t="s">
        <v>2574</v>
      </c>
      <c r="M23" s="89" t="s">
        <v>2574</v>
      </c>
    </row>
    <row r="24" spans="2:13" ht="17.25" customHeight="1">
      <c r="B24" s="548" t="s">
        <v>2575</v>
      </c>
      <c r="C24" s="549"/>
      <c r="D24" s="87"/>
      <c r="E24" s="88"/>
      <c r="F24" s="88" t="s">
        <v>2576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2577</v>
      </c>
      <c r="C25" s="551"/>
      <c r="D25" s="90"/>
      <c r="E25" s="91" t="s">
        <v>2578</v>
      </c>
      <c r="F25" s="544" t="s">
        <v>2579</v>
      </c>
      <c r="G25" s="545"/>
      <c r="H25" s="91" t="s">
        <v>2580</v>
      </c>
      <c r="I25" s="91" t="s">
        <v>2581</v>
      </c>
      <c r="J25" s="92" t="s">
        <v>2580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12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38" activePane="bottomLeft" state="frozen"/>
      <selection activeCell="A8" sqref="A8"/>
      <selection pane="bottomLeft" activeCell="L48" sqref="L48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2582</v>
      </c>
      <c r="B1" s="1"/>
      <c r="C1" s="2" t="s">
        <v>2583</v>
      </c>
      <c r="D1" s="3">
        <f>SUM(F5:F64)</f>
        <v>130438</v>
      </c>
      <c r="E1" s="514" t="s">
        <v>2584</v>
      </c>
      <c r="F1" s="1">
        <f>SUM(G5:G64)</f>
        <v>4560731.0299999993</v>
      </c>
      <c r="G1" s="1" t="s">
        <v>2585</v>
      </c>
      <c r="H1" s="4">
        <f>L8+L11+L41+L50+L18+L56+L31+L37+L26+L64</f>
        <v>156.72857142857143</v>
      </c>
      <c r="I1" s="660" t="s">
        <v>2586</v>
      </c>
      <c r="J1" s="660"/>
      <c r="K1" s="660"/>
      <c r="L1" s="660" t="s">
        <v>2587</v>
      </c>
      <c r="M1" s="660"/>
      <c r="N1" s="660"/>
      <c r="O1" s="660" t="s">
        <v>2588</v>
      </c>
      <c r="P1" s="660"/>
      <c r="Q1" s="660"/>
      <c r="R1" s="660"/>
      <c r="S1" s="660" t="s">
        <v>2589</v>
      </c>
      <c r="T1" s="660"/>
      <c r="U1" s="660"/>
      <c r="V1" s="660"/>
      <c r="W1" s="660"/>
      <c r="X1" s="660"/>
      <c r="Y1" s="5" t="s">
        <v>2590</v>
      </c>
      <c r="Z1" s="6" t="s">
        <v>2591</v>
      </c>
      <c r="AA1" s="661" t="s">
        <v>2592</v>
      </c>
      <c r="AB1" s="661"/>
      <c r="AC1" s="7" t="s">
        <v>2593</v>
      </c>
      <c r="AD1" s="6" t="s">
        <v>2594</v>
      </c>
      <c r="AE1" s="660" t="s">
        <v>2595</v>
      </c>
      <c r="AF1" s="662"/>
      <c r="AG1" s="662"/>
    </row>
    <row r="2" spans="1:33" ht="26.25" customHeight="1">
      <c r="A2" s="27">
        <v>46292</v>
      </c>
      <c r="B2" s="28" t="s">
        <v>580</v>
      </c>
      <c r="C2" s="2" t="s">
        <v>2560</v>
      </c>
      <c r="D2" s="9">
        <f>AVERAGE(N8,N11,N41,N50,N18,N56,N26,N31,N37,N64)</f>
        <v>144.07145979095782</v>
      </c>
      <c r="E2" s="10" t="s">
        <v>0</v>
      </c>
      <c r="F2" s="11">
        <f>F1/D1</f>
        <v>34.964742099694867</v>
      </c>
      <c r="G2" s="1" t="s">
        <v>2596</v>
      </c>
      <c r="H2" s="524">
        <f>COUNT(H5:H64)</f>
        <v>1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SUM(Y8+Y11+Y18+Y26+Y31+Y37+Y41+Y50+Y56+Y64)</f>
        <v>0</v>
      </c>
      <c r="Z2" s="12">
        <f>SUM(Z8+Z11+Z18+Z26+Z31+Z37+Z41+Z50+Z56+Z64)</f>
        <v>0</v>
      </c>
      <c r="AA2" s="661"/>
      <c r="AB2" s="661"/>
      <c r="AC2" s="12">
        <v>50</v>
      </c>
      <c r="AD2" s="12">
        <f>SUM(AD8+AD11+AD18+AD26+AD31+AD37+AD41+AD50+AD56+AD64)</f>
        <v>0</v>
      </c>
      <c r="AE2" s="662"/>
      <c r="AF2" s="662"/>
      <c r="AG2" s="662"/>
    </row>
    <row r="3" spans="1:33" ht="40.5" customHeight="1">
      <c r="A3" s="610" t="s">
        <v>2597</v>
      </c>
      <c r="B3" s="610" t="s">
        <v>2598</v>
      </c>
      <c r="C3" s="610" t="s">
        <v>2599</v>
      </c>
      <c r="D3" s="610"/>
      <c r="E3" s="658" t="s">
        <v>2600</v>
      </c>
      <c r="F3" s="610" t="s">
        <v>2601</v>
      </c>
      <c r="G3" s="658" t="s">
        <v>2602</v>
      </c>
      <c r="H3" s="651" t="s">
        <v>2603</v>
      </c>
      <c r="I3" s="649" t="s">
        <v>2604</v>
      </c>
      <c r="J3" s="646" t="s">
        <v>2605</v>
      </c>
      <c r="K3" s="656" t="s">
        <v>2606</v>
      </c>
      <c r="L3" s="649" t="s">
        <v>2607</v>
      </c>
      <c r="M3" s="646" t="s">
        <v>2605</v>
      </c>
      <c r="N3" s="656" t="s">
        <v>2606</v>
      </c>
      <c r="O3" s="649" t="s">
        <v>2607</v>
      </c>
      <c r="P3" s="656" t="s">
        <v>2608</v>
      </c>
      <c r="Q3" s="647" t="s">
        <v>2609</v>
      </c>
      <c r="R3" s="623" t="s">
        <v>2610</v>
      </c>
      <c r="S3" s="657" t="s">
        <v>1</v>
      </c>
      <c r="T3" s="657"/>
      <c r="U3" s="651" t="s">
        <v>2</v>
      </c>
      <c r="V3" s="651" t="s">
        <v>2611</v>
      </c>
      <c r="W3" s="610" t="s">
        <v>2612</v>
      </c>
      <c r="X3" s="610"/>
      <c r="Y3" s="652" t="s">
        <v>2613</v>
      </c>
      <c r="Z3" s="609"/>
      <c r="AA3" s="653" t="s">
        <v>2614</v>
      </c>
      <c r="AB3" s="654"/>
      <c r="AC3" s="652" t="s">
        <v>2615</v>
      </c>
      <c r="AD3" s="609"/>
      <c r="AE3" s="646" t="s">
        <v>2605</v>
      </c>
      <c r="AF3" s="647" t="s">
        <v>2616</v>
      </c>
      <c r="AG3" s="623" t="s">
        <v>2610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523" t="s">
        <v>3</v>
      </c>
      <c r="T4" s="523" t="s">
        <v>4</v>
      </c>
      <c r="U4" s="651"/>
      <c r="V4" s="651"/>
      <c r="W4" s="514" t="s">
        <v>2617</v>
      </c>
      <c r="X4" s="514" t="s">
        <v>2618</v>
      </c>
      <c r="Y4" s="513" t="s">
        <v>2619</v>
      </c>
      <c r="Z4" s="513" t="s">
        <v>2620</v>
      </c>
      <c r="AA4" s="655"/>
      <c r="AB4" s="654"/>
      <c r="AC4" s="513" t="s">
        <v>2621</v>
      </c>
      <c r="AD4" s="513" t="s">
        <v>2622</v>
      </c>
      <c r="AE4" s="646"/>
      <c r="AF4" s="647"/>
      <c r="AG4" s="623"/>
    </row>
    <row r="5" spans="1:33">
      <c r="A5" s="648" t="s">
        <v>2623</v>
      </c>
      <c r="B5" s="33" t="s">
        <v>6</v>
      </c>
      <c r="C5" s="650" t="s">
        <v>7</v>
      </c>
      <c r="D5" s="650"/>
      <c r="E5" s="33">
        <v>50.92</v>
      </c>
      <c r="F5" s="523">
        <v>2306</v>
      </c>
      <c r="G5" s="514">
        <f t="shared" ref="G5:G7" si="0">E5*F5</f>
        <v>117421.52</v>
      </c>
      <c r="H5" s="527" t="s">
        <v>5</v>
      </c>
      <c r="I5" s="521">
        <v>15</v>
      </c>
      <c r="J5" s="30">
        <v>2000</v>
      </c>
      <c r="K5" s="13">
        <f t="shared" ref="K5:K64" si="1">J5/I5</f>
        <v>133.33333333333334</v>
      </c>
      <c r="L5" s="521">
        <v>15</v>
      </c>
      <c r="M5" s="14">
        <f t="shared" ref="M5:M7" si="2">F5/V5*60</f>
        <v>1921.6666666666649</v>
      </c>
      <c r="N5" s="13">
        <f t="shared" ref="N5:N64" si="3">M5/L5</f>
        <v>128.111111111111</v>
      </c>
      <c r="O5" s="15">
        <f t="shared" ref="O5:O64" si="4">L5-I5</f>
        <v>0</v>
      </c>
      <c r="P5" s="16">
        <f t="shared" ref="P5:P64" si="5">N5-K5</f>
        <v>-5.2222222222223422</v>
      </c>
      <c r="Q5" s="519">
        <f t="shared" ref="Q5:Q64" si="6">N5/K5</f>
        <v>0.96083333333333243</v>
      </c>
      <c r="R5" s="619">
        <f>Q8</f>
        <v>0.96155437352245821</v>
      </c>
      <c r="S5" s="31">
        <v>0.70833333333333337</v>
      </c>
      <c r="T5" s="31">
        <v>0.75833333333333341</v>
      </c>
      <c r="U5" s="514"/>
      <c r="V5" s="522">
        <f t="shared" ref="V5:V7" si="7">(T5-S5)*24*60</f>
        <v>72.000000000000057</v>
      </c>
      <c r="W5" s="17"/>
      <c r="X5" s="17"/>
      <c r="Y5" s="18"/>
      <c r="Z5" s="18"/>
      <c r="AA5" s="610"/>
      <c r="AB5" s="610"/>
      <c r="AC5" s="19">
        <v>3</v>
      </c>
      <c r="AD5" s="19"/>
      <c r="AE5" s="15">
        <f t="shared" ref="AE5:AE49" si="8">M5-J5</f>
        <v>-78.333333333335077</v>
      </c>
      <c r="AF5" s="519">
        <f t="shared" ref="AF5:AF64" si="9">M5/J5</f>
        <v>0.96083333333333243</v>
      </c>
      <c r="AG5" s="619">
        <f>AF8</f>
        <v>0.96155437352245832</v>
      </c>
    </row>
    <row r="6" spans="1:33">
      <c r="A6" s="649" t="s">
        <v>2623</v>
      </c>
      <c r="B6" s="33" t="s">
        <v>6</v>
      </c>
      <c r="C6" s="650" t="s">
        <v>8</v>
      </c>
      <c r="D6" s="650"/>
      <c r="E6" s="33">
        <v>50.98</v>
      </c>
      <c r="F6" s="523">
        <v>2528</v>
      </c>
      <c r="G6" s="514">
        <f t="shared" si="0"/>
        <v>128877.43999999999</v>
      </c>
      <c r="H6" s="527" t="s">
        <v>5</v>
      </c>
      <c r="I6" s="521">
        <v>16</v>
      </c>
      <c r="J6" s="30">
        <v>2000</v>
      </c>
      <c r="K6" s="13">
        <f t="shared" si="1"/>
        <v>125</v>
      </c>
      <c r="L6" s="521">
        <v>16</v>
      </c>
      <c r="M6" s="14">
        <f t="shared" si="2"/>
        <v>1919.9999999999989</v>
      </c>
      <c r="N6" s="13">
        <f t="shared" si="3"/>
        <v>119.99999999999993</v>
      </c>
      <c r="O6" s="15">
        <f t="shared" si="4"/>
        <v>0</v>
      </c>
      <c r="P6" s="16">
        <f t="shared" si="5"/>
        <v>-5.0000000000000711</v>
      </c>
      <c r="Q6" s="519">
        <f t="shared" si="6"/>
        <v>0.95999999999999941</v>
      </c>
      <c r="R6" s="619"/>
      <c r="S6" s="31">
        <v>0.76180555555555562</v>
      </c>
      <c r="T6" s="31">
        <v>0.81666666666666676</v>
      </c>
      <c r="U6" s="514">
        <f t="shared" ref="U6:U7" si="10">IF(S6=TIME(17,0,0),"",(S6-T5)*24*60)</f>
        <v>4.9999999999999822</v>
      </c>
      <c r="V6" s="522">
        <f t="shared" si="7"/>
        <v>79.000000000000043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-80.000000000001137</v>
      </c>
      <c r="AF6" s="519">
        <f t="shared" si="9"/>
        <v>0.95999999999999941</v>
      </c>
      <c r="AG6" s="619"/>
    </row>
    <row r="7" spans="1:33">
      <c r="A7" s="649" t="s">
        <v>2623</v>
      </c>
      <c r="B7" s="33" t="s">
        <v>6</v>
      </c>
      <c r="C7" s="641" t="s">
        <v>9</v>
      </c>
      <c r="D7" s="642"/>
      <c r="E7" s="33">
        <v>50.67</v>
      </c>
      <c r="F7" s="523">
        <v>1510</v>
      </c>
      <c r="G7" s="514">
        <f t="shared" si="0"/>
        <v>76511.7</v>
      </c>
      <c r="H7" s="527" t="s">
        <v>5</v>
      </c>
      <c r="I7" s="521">
        <v>15</v>
      </c>
      <c r="J7" s="30">
        <v>2000</v>
      </c>
      <c r="K7" s="13">
        <f t="shared" si="1"/>
        <v>133.33333333333334</v>
      </c>
      <c r="L7" s="521">
        <v>15</v>
      </c>
      <c r="M7" s="14">
        <f t="shared" si="2"/>
        <v>1927.6595744680853</v>
      </c>
      <c r="N7" s="13">
        <f t="shared" si="3"/>
        <v>128.51063829787236</v>
      </c>
      <c r="O7" s="15">
        <f t="shared" si="4"/>
        <v>0</v>
      </c>
      <c r="P7" s="16">
        <f t="shared" si="5"/>
        <v>-4.8226950354609812</v>
      </c>
      <c r="Q7" s="519">
        <f t="shared" si="6"/>
        <v>0.96382978723404267</v>
      </c>
      <c r="R7" s="619"/>
      <c r="S7" s="31">
        <v>0.82152777777777786</v>
      </c>
      <c r="T7" s="31">
        <v>0.85416666666666674</v>
      </c>
      <c r="U7" s="514">
        <f t="shared" si="10"/>
        <v>6.9999999999999751</v>
      </c>
      <c r="V7" s="522">
        <f t="shared" si="7"/>
        <v>46.999999999999993</v>
      </c>
      <c r="W7" s="17"/>
      <c r="X7" s="17"/>
      <c r="Y7" s="20"/>
      <c r="Z7" s="20"/>
      <c r="AA7" s="614"/>
      <c r="AB7" s="615"/>
      <c r="AC7" s="21"/>
      <c r="AD7" s="21"/>
      <c r="AE7" s="15">
        <f t="shared" si="8"/>
        <v>-72.340425531914661</v>
      </c>
      <c r="AF7" s="519">
        <f t="shared" si="9"/>
        <v>0.96382978723404267</v>
      </c>
      <c r="AG7" s="619"/>
    </row>
    <row r="8" spans="1:33">
      <c r="A8" s="649" t="s">
        <v>2624</v>
      </c>
      <c r="B8" s="33" t="s">
        <v>2625</v>
      </c>
      <c r="C8" s="620"/>
      <c r="D8" s="620"/>
      <c r="E8" s="520"/>
      <c r="F8" s="34"/>
      <c r="G8" s="13"/>
      <c r="H8" s="523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1923.1087470449165</v>
      </c>
      <c r="N8" s="13">
        <f t="shared" si="3"/>
        <v>125.42013567684238</v>
      </c>
      <c r="O8" s="15">
        <f t="shared" si="4"/>
        <v>0</v>
      </c>
      <c r="P8" s="16">
        <f t="shared" si="5"/>
        <v>-5.014646931853278</v>
      </c>
      <c r="Q8" s="519">
        <f t="shared" si="6"/>
        <v>0.96155437352245821</v>
      </c>
      <c r="R8" s="619"/>
      <c r="S8" s="31"/>
      <c r="T8" s="31"/>
      <c r="U8" s="514"/>
      <c r="V8" s="522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-76.891252955083473</v>
      </c>
      <c r="AF8" s="519">
        <f t="shared" si="9"/>
        <v>0.96155437352245832</v>
      </c>
      <c r="AG8" s="619"/>
    </row>
    <row r="9" spans="1:33" ht="15.75" customHeight="1">
      <c r="A9" s="645" t="s">
        <v>2626</v>
      </c>
      <c r="B9" s="33" t="s">
        <v>10</v>
      </c>
      <c r="C9" s="641" t="s">
        <v>14</v>
      </c>
      <c r="D9" s="642"/>
      <c r="E9" s="33">
        <v>39.619999999999997</v>
      </c>
      <c r="F9" s="523">
        <v>3127</v>
      </c>
      <c r="G9" s="514">
        <f t="shared" ref="G9:G10" si="11">E9*F9</f>
        <v>123891.73999999999</v>
      </c>
      <c r="H9" s="527" t="s">
        <v>5</v>
      </c>
      <c r="I9" s="521">
        <v>19</v>
      </c>
      <c r="J9" s="30">
        <v>1500</v>
      </c>
      <c r="K9" s="13">
        <f t="shared" si="1"/>
        <v>78.94736842105263</v>
      </c>
      <c r="L9" s="521">
        <v>19</v>
      </c>
      <c r="M9" s="14">
        <f t="shared" ref="M9:M10" si="12">F9/V9*60</f>
        <v>1432.2137404580151</v>
      </c>
      <c r="N9" s="13">
        <f t="shared" si="3"/>
        <v>75.379670550421849</v>
      </c>
      <c r="O9" s="15">
        <f t="shared" si="4"/>
        <v>0</v>
      </c>
      <c r="P9" s="16">
        <f t="shared" si="5"/>
        <v>-3.5676978706307807</v>
      </c>
      <c r="Q9" s="519">
        <f t="shared" si="6"/>
        <v>0.95480916030534346</v>
      </c>
      <c r="R9" s="619">
        <f>Q11</f>
        <v>0.95353023460293362</v>
      </c>
      <c r="S9" s="31">
        <v>8.3333333333333329E-2</v>
      </c>
      <c r="T9" s="31">
        <v>0.17430555555555555</v>
      </c>
      <c r="U9" s="514"/>
      <c r="V9" s="522">
        <f t="shared" ref="V9:V10" si="13">(T9-S9)*24*60</f>
        <v>131</v>
      </c>
      <c r="W9" s="17">
        <f>T9</f>
        <v>0.17430555555555555</v>
      </c>
      <c r="X9" s="17">
        <f>S10</f>
        <v>0.19444444444444445</v>
      </c>
      <c r="Y9" s="17"/>
      <c r="Z9" s="17"/>
      <c r="AA9" s="610"/>
      <c r="AB9" s="610"/>
      <c r="AC9" s="19">
        <v>2</v>
      </c>
      <c r="AD9" s="19"/>
      <c r="AE9" s="15">
        <f t="shared" si="8"/>
        <v>-67.786259541984919</v>
      </c>
      <c r="AF9" s="519">
        <f t="shared" si="9"/>
        <v>0.95480916030534335</v>
      </c>
      <c r="AG9" s="619">
        <f>AF11</f>
        <v>0.95353023460293362</v>
      </c>
    </row>
    <row r="10" spans="1:33" ht="15.75" customHeight="1">
      <c r="A10" s="645" t="s">
        <v>2627</v>
      </c>
      <c r="B10" s="33" t="s">
        <v>10</v>
      </c>
      <c r="C10" s="641" t="s">
        <v>11</v>
      </c>
      <c r="D10" s="642"/>
      <c r="E10" s="33">
        <v>39.799999999999997</v>
      </c>
      <c r="F10" s="523">
        <v>4547</v>
      </c>
      <c r="G10" s="514">
        <f t="shared" si="11"/>
        <v>180970.59999999998</v>
      </c>
      <c r="H10" s="527" t="s">
        <v>5</v>
      </c>
      <c r="I10" s="521">
        <v>17</v>
      </c>
      <c r="J10" s="30">
        <v>1500</v>
      </c>
      <c r="K10" s="13">
        <f t="shared" si="1"/>
        <v>88.235294117647058</v>
      </c>
      <c r="L10" s="521">
        <v>17</v>
      </c>
      <c r="M10" s="14">
        <f t="shared" si="12"/>
        <v>1428.3769633507854</v>
      </c>
      <c r="N10" s="13">
        <f t="shared" si="3"/>
        <v>84.022174314752078</v>
      </c>
      <c r="O10" s="15">
        <f t="shared" si="4"/>
        <v>0</v>
      </c>
      <c r="P10" s="16">
        <f t="shared" si="5"/>
        <v>-4.2131198028949797</v>
      </c>
      <c r="Q10" s="519">
        <f t="shared" si="6"/>
        <v>0.95225130890052356</v>
      </c>
      <c r="R10" s="619"/>
      <c r="S10" s="31">
        <v>0.19444444444444445</v>
      </c>
      <c r="T10" s="31">
        <v>0.32708333333333334</v>
      </c>
      <c r="U10" s="514">
        <f t="shared" ref="U10" si="14">IF(S10=TIME(17,0,0),"",(S10-T9)*24*60)</f>
        <v>29.000000000000018</v>
      </c>
      <c r="V10" s="522">
        <f t="shared" si="13"/>
        <v>191</v>
      </c>
      <c r="W10" s="17"/>
      <c r="X10" s="17"/>
      <c r="Y10" s="17"/>
      <c r="Z10" s="17"/>
      <c r="AA10" s="610"/>
      <c r="AB10" s="610"/>
      <c r="AC10" s="19"/>
      <c r="AD10" s="19"/>
      <c r="AE10" s="15">
        <f t="shared" si="8"/>
        <v>-71.623036649214555</v>
      </c>
      <c r="AF10" s="519">
        <f t="shared" si="9"/>
        <v>0.95225130890052367</v>
      </c>
      <c r="AG10" s="619"/>
    </row>
    <row r="11" spans="1:33" ht="16.5" customHeight="1">
      <c r="A11" s="645" t="s">
        <v>2628</v>
      </c>
      <c r="B11" s="33" t="s">
        <v>2629</v>
      </c>
      <c r="C11" s="620"/>
      <c r="D11" s="620"/>
      <c r="E11" s="520"/>
      <c r="F11" s="30"/>
      <c r="G11" s="14"/>
      <c r="H11" s="523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1430.2953519044004</v>
      </c>
      <c r="N11" s="13">
        <f t="shared" si="3"/>
        <v>79.4608528835778</v>
      </c>
      <c r="O11" s="15">
        <f t="shared" si="4"/>
        <v>0</v>
      </c>
      <c r="P11" s="16">
        <f t="shared" si="5"/>
        <v>-3.8724804497555283</v>
      </c>
      <c r="Q11" s="519">
        <f t="shared" si="6"/>
        <v>0.95353023460293362</v>
      </c>
      <c r="R11" s="619"/>
      <c r="S11" s="31"/>
      <c r="T11" s="31"/>
      <c r="U11" s="13"/>
      <c r="V11" s="522"/>
      <c r="W11" s="13"/>
      <c r="X11" s="13"/>
      <c r="Y11" s="24">
        <f>SUM(Y9:Y10)</f>
        <v>0</v>
      </c>
      <c r="Z11" s="24">
        <f>SUM(Z9:Z10)</f>
        <v>0</v>
      </c>
      <c r="AA11" s="609"/>
      <c r="AB11" s="609"/>
      <c r="AC11" s="24">
        <v>2</v>
      </c>
      <c r="AD11" s="24">
        <f>SUM(AD9:AD10)</f>
        <v>0</v>
      </c>
      <c r="AE11" s="15">
        <f t="shared" si="8"/>
        <v>-69.704648095599623</v>
      </c>
      <c r="AF11" s="519">
        <f t="shared" si="9"/>
        <v>0.95353023460293362</v>
      </c>
      <c r="AG11" s="619"/>
    </row>
    <row r="12" spans="1:33" ht="16.5" customHeight="1">
      <c r="A12" s="643" t="s">
        <v>2630</v>
      </c>
      <c r="B12" s="523" t="s">
        <v>15</v>
      </c>
      <c r="C12" s="635" t="s">
        <v>16</v>
      </c>
      <c r="D12" s="635"/>
      <c r="E12" s="33">
        <v>31.11</v>
      </c>
      <c r="F12" s="523">
        <v>2183</v>
      </c>
      <c r="G12" s="514">
        <f t="shared" ref="G12:G17" si="15">E12*F12</f>
        <v>67913.13</v>
      </c>
      <c r="H12" s="527" t="s">
        <v>5</v>
      </c>
      <c r="I12" s="521">
        <v>14</v>
      </c>
      <c r="J12" s="30">
        <v>2000</v>
      </c>
      <c r="K12" s="13">
        <f t="shared" si="1"/>
        <v>142.85714285714286</v>
      </c>
      <c r="L12" s="521">
        <v>14</v>
      </c>
      <c r="M12" s="14">
        <f t="shared" ref="M12:M17" si="16">F12/V12*60</f>
        <v>1926.1764705882365</v>
      </c>
      <c r="N12" s="13">
        <f t="shared" si="3"/>
        <v>137.58403361344546</v>
      </c>
      <c r="O12" s="15">
        <f t="shared" si="4"/>
        <v>0</v>
      </c>
      <c r="P12" s="16">
        <f t="shared" si="5"/>
        <v>-5.2731092436974052</v>
      </c>
      <c r="Q12" s="519">
        <f t="shared" si="6"/>
        <v>0.96308823529411813</v>
      </c>
      <c r="R12" s="619">
        <f>Q18</f>
        <v>0.96198224186629844</v>
      </c>
      <c r="S12" s="31">
        <v>0.20833333333333334</v>
      </c>
      <c r="T12" s="31">
        <v>0.25555555555555554</v>
      </c>
      <c r="U12" s="514"/>
      <c r="V12" s="522">
        <f t="shared" ref="V12:V17" si="17">(T12-S12)*24*60</f>
        <v>67.999999999999957</v>
      </c>
      <c r="W12" s="17"/>
      <c r="X12" s="17"/>
      <c r="Y12" s="22"/>
      <c r="Z12" s="22"/>
      <c r="AA12" s="610"/>
      <c r="AB12" s="610"/>
      <c r="AC12" s="19">
        <v>6</v>
      </c>
      <c r="AD12" s="19"/>
      <c r="AE12" s="15">
        <f t="shared" si="8"/>
        <v>-73.823529411763502</v>
      </c>
      <c r="AF12" s="519">
        <f t="shared" si="9"/>
        <v>0.96308823529411824</v>
      </c>
      <c r="AG12" s="619">
        <f>AF18</f>
        <v>0.96198224186629833</v>
      </c>
    </row>
    <row r="13" spans="1:33" ht="16.5" customHeight="1">
      <c r="A13" s="644" t="s">
        <v>2631</v>
      </c>
      <c r="B13" s="523" t="s">
        <v>17</v>
      </c>
      <c r="C13" s="635" t="s">
        <v>18</v>
      </c>
      <c r="D13" s="635"/>
      <c r="E13" s="33">
        <v>41</v>
      </c>
      <c r="F13" s="523">
        <v>1333</v>
      </c>
      <c r="G13" s="514">
        <f t="shared" si="15"/>
        <v>54653</v>
      </c>
      <c r="H13" s="527" t="s">
        <v>5</v>
      </c>
      <c r="I13" s="521">
        <v>26</v>
      </c>
      <c r="J13" s="30">
        <v>1500</v>
      </c>
      <c r="K13" s="13">
        <f t="shared" si="1"/>
        <v>57.692307692307693</v>
      </c>
      <c r="L13" s="521">
        <v>26</v>
      </c>
      <c r="M13" s="14">
        <f t="shared" si="16"/>
        <v>1454.1818181818192</v>
      </c>
      <c r="N13" s="13">
        <f t="shared" si="3"/>
        <v>55.930069930069969</v>
      </c>
      <c r="O13" s="15">
        <f t="shared" si="4"/>
        <v>0</v>
      </c>
      <c r="P13" s="16">
        <f t="shared" si="5"/>
        <v>-1.7622377622377243</v>
      </c>
      <c r="Q13" s="519">
        <f t="shared" si="6"/>
        <v>0.96945454545454612</v>
      </c>
      <c r="R13" s="619"/>
      <c r="S13" s="31">
        <v>0.26041666666666663</v>
      </c>
      <c r="T13" s="31">
        <v>0.29861111111111105</v>
      </c>
      <c r="U13" s="514">
        <f t="shared" ref="U13:U17" si="18">IF(S13=TIME(17,0,0),"",(S13-T12)*24*60)</f>
        <v>6.9999999999999751</v>
      </c>
      <c r="V13" s="522">
        <f t="shared" si="17"/>
        <v>54.999999999999964</v>
      </c>
      <c r="W13" s="17"/>
      <c r="X13" s="17"/>
      <c r="Y13" s="17"/>
      <c r="Z13" s="17"/>
      <c r="AA13" s="610"/>
      <c r="AB13" s="610"/>
      <c r="AC13" s="19"/>
      <c r="AD13" s="19"/>
      <c r="AE13" s="15">
        <f t="shared" si="8"/>
        <v>-45.818181818180847</v>
      </c>
      <c r="AF13" s="519">
        <f t="shared" si="9"/>
        <v>0.96945454545454612</v>
      </c>
      <c r="AG13" s="619"/>
    </row>
    <row r="14" spans="1:33" ht="16.5" customHeight="1">
      <c r="A14" s="644" t="s">
        <v>2630</v>
      </c>
      <c r="B14" s="523" t="s">
        <v>10</v>
      </c>
      <c r="C14" s="635" t="s">
        <v>12</v>
      </c>
      <c r="D14" s="635"/>
      <c r="E14" s="33">
        <v>39.46</v>
      </c>
      <c r="F14" s="523">
        <v>1626</v>
      </c>
      <c r="G14" s="514">
        <f t="shared" si="15"/>
        <v>64161.96</v>
      </c>
      <c r="H14" s="527" t="s">
        <v>5</v>
      </c>
      <c r="I14" s="521">
        <v>15</v>
      </c>
      <c r="J14" s="30">
        <v>1500</v>
      </c>
      <c r="K14" s="13">
        <f t="shared" si="1"/>
        <v>100</v>
      </c>
      <c r="L14" s="521">
        <v>15</v>
      </c>
      <c r="M14" s="14">
        <f t="shared" si="16"/>
        <v>1434.705882352941</v>
      </c>
      <c r="N14" s="13">
        <f t="shared" si="3"/>
        <v>95.647058823529406</v>
      </c>
      <c r="O14" s="15">
        <f t="shared" si="4"/>
        <v>0</v>
      </c>
      <c r="P14" s="16">
        <f t="shared" si="5"/>
        <v>-4.3529411764705941</v>
      </c>
      <c r="Q14" s="519">
        <f t="shared" si="6"/>
        <v>0.95647058823529407</v>
      </c>
      <c r="R14" s="619"/>
      <c r="S14" s="31">
        <v>0.3027777777777777</v>
      </c>
      <c r="T14" s="31">
        <v>0.34999999999999992</v>
      </c>
      <c r="U14" s="514">
        <f t="shared" si="18"/>
        <v>5.9999999999999787</v>
      </c>
      <c r="V14" s="522">
        <f t="shared" si="17"/>
        <v>68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-65.294117647059011</v>
      </c>
      <c r="AF14" s="519">
        <f t="shared" si="9"/>
        <v>0.95647058823529396</v>
      </c>
      <c r="AG14" s="619"/>
    </row>
    <row r="15" spans="1:33" ht="16.5" customHeight="1">
      <c r="A15" s="644" t="s">
        <v>2632</v>
      </c>
      <c r="B15" s="523" t="s">
        <v>6</v>
      </c>
      <c r="C15" s="635" t="s">
        <v>45</v>
      </c>
      <c r="D15" s="635"/>
      <c r="E15" s="33">
        <v>51.06</v>
      </c>
      <c r="F15" s="523">
        <v>2986</v>
      </c>
      <c r="G15" s="514">
        <f t="shared" si="15"/>
        <v>152465.16</v>
      </c>
      <c r="H15" s="527" t="s">
        <v>5</v>
      </c>
      <c r="I15" s="521">
        <v>13</v>
      </c>
      <c r="J15" s="30">
        <v>2000</v>
      </c>
      <c r="K15" s="13">
        <f t="shared" si="1"/>
        <v>153.84615384615384</v>
      </c>
      <c r="L15" s="521">
        <v>13</v>
      </c>
      <c r="M15" s="14">
        <f t="shared" si="16"/>
        <v>1905.9574468085109</v>
      </c>
      <c r="N15" s="13">
        <f t="shared" si="3"/>
        <v>146.61211129296237</v>
      </c>
      <c r="O15" s="15">
        <f t="shared" si="4"/>
        <v>0</v>
      </c>
      <c r="P15" s="16">
        <f t="shared" si="5"/>
        <v>-7.2340425531914718</v>
      </c>
      <c r="Q15" s="519">
        <f t="shared" si="6"/>
        <v>0.95297872340425538</v>
      </c>
      <c r="R15" s="619"/>
      <c r="S15" s="31">
        <v>0.70833333333333337</v>
      </c>
      <c r="T15" s="31">
        <v>0.77361111111111114</v>
      </c>
      <c r="U15" s="514" t="str">
        <f t="shared" si="18"/>
        <v/>
      </c>
      <c r="V15" s="522">
        <f t="shared" si="17"/>
        <v>93.999999999999986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-94.042553191489105</v>
      </c>
      <c r="AF15" s="519">
        <f t="shared" si="9"/>
        <v>0.95297872340425549</v>
      </c>
      <c r="AG15" s="619"/>
    </row>
    <row r="16" spans="1:33" ht="16.5" customHeight="1">
      <c r="A16" s="644" t="s">
        <v>2632</v>
      </c>
      <c r="B16" s="523" t="s">
        <v>6</v>
      </c>
      <c r="C16" s="635" t="s">
        <v>25</v>
      </c>
      <c r="D16" s="635"/>
      <c r="E16" s="33">
        <v>56.43</v>
      </c>
      <c r="F16" s="523">
        <v>1380</v>
      </c>
      <c r="G16" s="514">
        <f t="shared" si="15"/>
        <v>77873.399999999994</v>
      </c>
      <c r="H16" s="527" t="s">
        <v>5</v>
      </c>
      <c r="I16" s="521">
        <v>13</v>
      </c>
      <c r="J16" s="30">
        <v>2000</v>
      </c>
      <c r="K16" s="13">
        <f t="shared" si="1"/>
        <v>153.84615384615384</v>
      </c>
      <c r="L16" s="521">
        <v>13</v>
      </c>
      <c r="M16" s="14">
        <f t="shared" si="16"/>
        <v>1925.5813953488368</v>
      </c>
      <c r="N16" s="13">
        <f t="shared" si="3"/>
        <v>148.12164579606437</v>
      </c>
      <c r="O16" s="15">
        <f t="shared" si="4"/>
        <v>0</v>
      </c>
      <c r="P16" s="16">
        <f t="shared" si="5"/>
        <v>-5.7245080500894687</v>
      </c>
      <c r="Q16" s="519">
        <f t="shared" si="6"/>
        <v>0.96279069767441849</v>
      </c>
      <c r="R16" s="619"/>
      <c r="S16" s="31">
        <v>0.77916666666666667</v>
      </c>
      <c r="T16" s="31">
        <v>0.80902777777777779</v>
      </c>
      <c r="U16" s="514">
        <f t="shared" si="18"/>
        <v>7.9999999999999716</v>
      </c>
      <c r="V16" s="522">
        <f t="shared" si="17"/>
        <v>43.000000000000007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-74.41860465116315</v>
      </c>
      <c r="AF16" s="519">
        <f t="shared" si="9"/>
        <v>0.96279069767441838</v>
      </c>
      <c r="AG16" s="619"/>
    </row>
    <row r="17" spans="1:33" ht="16.5" customHeight="1">
      <c r="A17" s="644" t="s">
        <v>2631</v>
      </c>
      <c r="B17" s="523" t="s">
        <v>6</v>
      </c>
      <c r="C17" s="525" t="s">
        <v>20</v>
      </c>
      <c r="D17" s="526"/>
      <c r="E17" s="33">
        <v>54.5</v>
      </c>
      <c r="F17" s="523">
        <v>921</v>
      </c>
      <c r="G17" s="514">
        <f t="shared" si="15"/>
        <v>50194.5</v>
      </c>
      <c r="H17" s="527" t="s">
        <v>5</v>
      </c>
      <c r="I17" s="521">
        <v>19</v>
      </c>
      <c r="J17" s="30">
        <v>1500</v>
      </c>
      <c r="K17" s="13">
        <f t="shared" si="1"/>
        <v>78.94736842105263</v>
      </c>
      <c r="L17" s="521">
        <v>19</v>
      </c>
      <c r="M17" s="14">
        <f t="shared" si="16"/>
        <v>1454.2105263157885</v>
      </c>
      <c r="N17" s="13">
        <f t="shared" si="3"/>
        <v>76.537396121883603</v>
      </c>
      <c r="O17" s="15">
        <f t="shared" si="4"/>
        <v>0</v>
      </c>
      <c r="P17" s="16">
        <f t="shared" si="5"/>
        <v>-2.4099722991690271</v>
      </c>
      <c r="Q17" s="519">
        <f t="shared" si="6"/>
        <v>0.96947368421052571</v>
      </c>
      <c r="R17" s="619"/>
      <c r="S17" s="31">
        <v>0.81319444444444444</v>
      </c>
      <c r="T17" s="31">
        <v>0.83958333333333335</v>
      </c>
      <c r="U17" s="514">
        <f t="shared" si="18"/>
        <v>5.9999999999999787</v>
      </c>
      <c r="V17" s="522">
        <f t="shared" si="17"/>
        <v>38.000000000000028</v>
      </c>
      <c r="W17" s="17"/>
      <c r="X17" s="17"/>
      <c r="Y17" s="20"/>
      <c r="Z17" s="20"/>
      <c r="AA17" s="517"/>
      <c r="AB17" s="518"/>
      <c r="AC17" s="19"/>
      <c r="AD17" s="19"/>
      <c r="AE17" s="15">
        <f t="shared" si="8"/>
        <v>-45.789473684211544</v>
      </c>
      <c r="AF17" s="519">
        <f t="shared" si="9"/>
        <v>0.9694736842105256</v>
      </c>
      <c r="AG17" s="619"/>
    </row>
    <row r="18" spans="1:33" ht="16.5" customHeight="1">
      <c r="A18" s="644" t="s">
        <v>2632</v>
      </c>
      <c r="B18" s="33" t="s">
        <v>2629</v>
      </c>
      <c r="C18" s="620"/>
      <c r="D18" s="620"/>
      <c r="E18" s="520"/>
      <c r="F18" s="34"/>
      <c r="G18" s="13"/>
      <c r="H18" s="523"/>
      <c r="I18" s="23">
        <v>16.666666666666668</v>
      </c>
      <c r="J18" s="30">
        <v>1750</v>
      </c>
      <c r="K18" s="13">
        <f t="shared" si="1"/>
        <v>104.99999999999999</v>
      </c>
      <c r="L18" s="23">
        <v>16.666666666666668</v>
      </c>
      <c r="M18" s="14">
        <f>AVERAGE(M12:M17)</f>
        <v>1683.4689232660221</v>
      </c>
      <c r="N18" s="13">
        <f t="shared" si="3"/>
        <v>101.00813539596132</v>
      </c>
      <c r="O18" s="15">
        <f t="shared" si="4"/>
        <v>0</v>
      </c>
      <c r="P18" s="16">
        <f t="shared" si="5"/>
        <v>-3.9918646040386676</v>
      </c>
      <c r="Q18" s="519">
        <f t="shared" si="6"/>
        <v>0.96198224186629844</v>
      </c>
      <c r="R18" s="619"/>
      <c r="S18" s="31"/>
      <c r="T18" s="31"/>
      <c r="U18" s="514"/>
      <c r="V18" s="522"/>
      <c r="W18" s="13"/>
      <c r="X18" s="13"/>
      <c r="Y18" s="24">
        <f>SUM(Y12:Y17)</f>
        <v>0</v>
      </c>
      <c r="Z18" s="24">
        <f>SUM(Z12:Z17)</f>
        <v>0</v>
      </c>
      <c r="AA18" s="609"/>
      <c r="AB18" s="609"/>
      <c r="AC18" s="24">
        <v>6</v>
      </c>
      <c r="AD18" s="24">
        <f>SUM(AD12:AD17)</f>
        <v>0</v>
      </c>
      <c r="AE18" s="15">
        <f t="shared" si="8"/>
        <v>-66.531076733977898</v>
      </c>
      <c r="AF18" s="519">
        <f t="shared" si="9"/>
        <v>0.96198224186629833</v>
      </c>
      <c r="AG18" s="619"/>
    </row>
    <row r="19" spans="1:33" ht="15.75" customHeight="1">
      <c r="A19" s="637" t="s">
        <v>2633</v>
      </c>
      <c r="B19" s="33" t="s">
        <v>6</v>
      </c>
      <c r="C19" s="635" t="s">
        <v>22</v>
      </c>
      <c r="D19" s="635"/>
      <c r="E19" s="33">
        <v>50.67</v>
      </c>
      <c r="F19" s="523">
        <v>1218</v>
      </c>
      <c r="G19" s="514">
        <f t="shared" ref="G19:G25" si="19">E19*F19</f>
        <v>61716.060000000005</v>
      </c>
      <c r="H19" s="527" t="s">
        <v>5</v>
      </c>
      <c r="I19" s="521">
        <v>17</v>
      </c>
      <c r="J19" s="30">
        <v>2000</v>
      </c>
      <c r="K19" s="13">
        <f t="shared" si="1"/>
        <v>117.64705882352941</v>
      </c>
      <c r="L19" s="521">
        <v>17</v>
      </c>
      <c r="M19" s="14">
        <f t="shared" ref="M19:M25" si="20">F19/V19*60</f>
        <v>1923.1578947368405</v>
      </c>
      <c r="N19" s="13">
        <f t="shared" si="3"/>
        <v>113.12693498452003</v>
      </c>
      <c r="O19" s="15">
        <f t="shared" si="4"/>
        <v>0</v>
      </c>
      <c r="P19" s="16">
        <f t="shared" si="5"/>
        <v>-4.5201238390093721</v>
      </c>
      <c r="Q19" s="519">
        <f t="shared" si="6"/>
        <v>0.96157894736842031</v>
      </c>
      <c r="R19" s="619">
        <f>Q26</f>
        <v>0.96048083594021683</v>
      </c>
      <c r="S19" s="31">
        <v>0.25</v>
      </c>
      <c r="T19" s="31">
        <v>0.27638888888888891</v>
      </c>
      <c r="U19" s="514"/>
      <c r="V19" s="522">
        <f t="shared" ref="V19:V25" si="21">(T19-S19)*24*60</f>
        <v>38.000000000000028</v>
      </c>
      <c r="W19" s="17"/>
      <c r="X19" s="17"/>
      <c r="Y19" s="22"/>
      <c r="Z19" s="22"/>
      <c r="AA19" s="610"/>
      <c r="AB19" s="610"/>
      <c r="AC19" s="19">
        <v>7</v>
      </c>
      <c r="AD19" s="19"/>
      <c r="AE19" s="15">
        <f t="shared" si="8"/>
        <v>-76.84210526315951</v>
      </c>
      <c r="AF19" s="519">
        <f t="shared" si="9"/>
        <v>0.9615789473684202</v>
      </c>
      <c r="AG19" s="619">
        <f>AF26</f>
        <v>0.96048083594021683</v>
      </c>
    </row>
    <row r="20" spans="1:33" ht="15.75" customHeight="1">
      <c r="A20" s="638" t="s">
        <v>2634</v>
      </c>
      <c r="B20" s="33" t="s">
        <v>6</v>
      </c>
      <c r="C20" s="635" t="s">
        <v>23</v>
      </c>
      <c r="D20" s="635"/>
      <c r="E20" s="33">
        <v>57.73</v>
      </c>
      <c r="F20" s="523">
        <v>2050</v>
      </c>
      <c r="G20" s="514">
        <f t="shared" si="19"/>
        <v>118346.5</v>
      </c>
      <c r="H20" s="527" t="s">
        <v>5</v>
      </c>
      <c r="I20" s="521">
        <v>14</v>
      </c>
      <c r="J20" s="30">
        <v>2000</v>
      </c>
      <c r="K20" s="13">
        <f t="shared" si="1"/>
        <v>142.85714285714286</v>
      </c>
      <c r="L20" s="521">
        <v>14</v>
      </c>
      <c r="M20" s="14">
        <f t="shared" si="20"/>
        <v>1921.8749999999995</v>
      </c>
      <c r="N20" s="13">
        <f t="shared" si="3"/>
        <v>137.27678571428569</v>
      </c>
      <c r="O20" s="15">
        <f t="shared" si="4"/>
        <v>0</v>
      </c>
      <c r="P20" s="16">
        <f t="shared" si="5"/>
        <v>-5.5803571428571672</v>
      </c>
      <c r="Q20" s="519">
        <f t="shared" si="6"/>
        <v>0.96093749999999978</v>
      </c>
      <c r="R20" s="619"/>
      <c r="S20" s="31">
        <v>0.27986111111111112</v>
      </c>
      <c r="T20" s="31">
        <v>0.32430555555555557</v>
      </c>
      <c r="U20" s="514">
        <f t="shared" ref="U20:U25" si="22">IF(S20=TIME(17,0,0),"",(S20-T19)*24*60)</f>
        <v>4.9999999999999822</v>
      </c>
      <c r="V20" s="522">
        <f t="shared" si="21"/>
        <v>64.000000000000014</v>
      </c>
      <c r="W20" s="17"/>
      <c r="X20" s="514"/>
      <c r="Y20" s="514"/>
      <c r="Z20" s="514"/>
      <c r="AA20" s="610"/>
      <c r="AB20" s="610"/>
      <c r="AC20" s="19"/>
      <c r="AD20" s="19"/>
      <c r="AE20" s="15">
        <f t="shared" si="8"/>
        <v>-78.125000000000455</v>
      </c>
      <c r="AF20" s="519">
        <f t="shared" si="9"/>
        <v>0.96093749999999978</v>
      </c>
      <c r="AG20" s="619"/>
    </row>
    <row r="21" spans="1:33" ht="15.75" customHeight="1">
      <c r="A21" s="638" t="s">
        <v>2635</v>
      </c>
      <c r="B21" s="33" t="s">
        <v>6</v>
      </c>
      <c r="C21" s="635" t="s">
        <v>24</v>
      </c>
      <c r="D21" s="635"/>
      <c r="E21" s="33">
        <v>53.27</v>
      </c>
      <c r="F21" s="523">
        <v>1232</v>
      </c>
      <c r="G21" s="514">
        <f t="shared" si="19"/>
        <v>65628.639999999999</v>
      </c>
      <c r="H21" s="527" t="s">
        <v>5</v>
      </c>
      <c r="I21" s="521">
        <v>16</v>
      </c>
      <c r="J21" s="30">
        <v>2000</v>
      </c>
      <c r="K21" s="13">
        <f t="shared" si="1"/>
        <v>125</v>
      </c>
      <c r="L21" s="521">
        <v>16</v>
      </c>
      <c r="M21" s="14">
        <f t="shared" si="20"/>
        <v>1945.2631578947355</v>
      </c>
      <c r="N21" s="13">
        <f t="shared" si="3"/>
        <v>121.57894736842097</v>
      </c>
      <c r="O21" s="15">
        <f t="shared" si="4"/>
        <v>0</v>
      </c>
      <c r="P21" s="16">
        <f t="shared" si="5"/>
        <v>-3.4210526315790304</v>
      </c>
      <c r="Q21" s="519">
        <f t="shared" si="6"/>
        <v>0.97263157894736774</v>
      </c>
      <c r="R21" s="619"/>
      <c r="S21" s="31">
        <v>0.3298611111111111</v>
      </c>
      <c r="T21" s="31">
        <v>0.35625000000000001</v>
      </c>
      <c r="U21" s="514">
        <f t="shared" si="22"/>
        <v>7.9999999999999716</v>
      </c>
      <c r="V21" s="522">
        <f t="shared" si="21"/>
        <v>38.000000000000028</v>
      </c>
      <c r="W21" s="17"/>
      <c r="X21" s="514"/>
      <c r="Y21" s="514"/>
      <c r="Z21" s="514"/>
      <c r="AA21" s="610"/>
      <c r="AB21" s="610"/>
      <c r="AC21" s="19"/>
      <c r="AD21" s="19"/>
      <c r="AE21" s="15">
        <f t="shared" si="8"/>
        <v>-54.736842105264486</v>
      </c>
      <c r="AF21" s="519">
        <f t="shared" si="9"/>
        <v>0.97263157894736774</v>
      </c>
      <c r="AG21" s="619"/>
    </row>
    <row r="22" spans="1:33" ht="15.75" customHeight="1">
      <c r="A22" s="638" t="s">
        <v>2633</v>
      </c>
      <c r="B22" s="33" t="s">
        <v>6</v>
      </c>
      <c r="C22" s="635" t="s">
        <v>21</v>
      </c>
      <c r="D22" s="635"/>
      <c r="E22" s="33">
        <v>50.49</v>
      </c>
      <c r="F22" s="523">
        <v>2129</v>
      </c>
      <c r="G22" s="514">
        <f t="shared" si="19"/>
        <v>107493.21</v>
      </c>
      <c r="H22" s="527" t="s">
        <v>5</v>
      </c>
      <c r="I22" s="521">
        <v>15</v>
      </c>
      <c r="J22" s="30">
        <v>2000</v>
      </c>
      <c r="K22" s="13">
        <f t="shared" si="1"/>
        <v>133.33333333333334</v>
      </c>
      <c r="L22" s="521">
        <v>15</v>
      </c>
      <c r="M22" s="14">
        <f t="shared" si="20"/>
        <v>1906.5671641791021</v>
      </c>
      <c r="N22" s="13">
        <f t="shared" si="3"/>
        <v>127.10447761194014</v>
      </c>
      <c r="O22" s="15">
        <f t="shared" si="4"/>
        <v>0</v>
      </c>
      <c r="P22" s="16">
        <f t="shared" si="5"/>
        <v>-6.2288557213932023</v>
      </c>
      <c r="Q22" s="519">
        <f t="shared" si="6"/>
        <v>0.953283582089551</v>
      </c>
      <c r="R22" s="619"/>
      <c r="S22" s="31">
        <v>0.70833333333333337</v>
      </c>
      <c r="T22" s="31">
        <v>0.7548611111111112</v>
      </c>
      <c r="U22" s="514" t="str">
        <f t="shared" si="22"/>
        <v/>
      </c>
      <c r="V22" s="522">
        <f t="shared" si="21"/>
        <v>67.000000000000085</v>
      </c>
      <c r="W22" s="17"/>
      <c r="X22" s="514"/>
      <c r="Y22" s="514"/>
      <c r="Z22" s="514"/>
      <c r="AA22" s="610"/>
      <c r="AB22" s="610"/>
      <c r="AC22" s="19"/>
      <c r="AD22" s="19"/>
      <c r="AE22" s="15">
        <f t="shared" si="8"/>
        <v>-93.432835820897935</v>
      </c>
      <c r="AF22" s="519">
        <f t="shared" si="9"/>
        <v>0.953283582089551</v>
      </c>
      <c r="AG22" s="619"/>
    </row>
    <row r="23" spans="1:33" ht="15.75" customHeight="1">
      <c r="A23" s="638" t="s">
        <v>2636</v>
      </c>
      <c r="B23" s="33" t="s">
        <v>6</v>
      </c>
      <c r="C23" s="635" t="s">
        <v>26</v>
      </c>
      <c r="D23" s="635"/>
      <c r="E23" s="33">
        <v>54.09</v>
      </c>
      <c r="F23" s="523">
        <v>2066</v>
      </c>
      <c r="G23" s="514">
        <f t="shared" si="19"/>
        <v>111749.94</v>
      </c>
      <c r="H23" s="527" t="s">
        <v>5</v>
      </c>
      <c r="I23" s="521">
        <v>18</v>
      </c>
      <c r="J23" s="30">
        <v>2000</v>
      </c>
      <c r="K23" s="13">
        <f t="shared" si="1"/>
        <v>111.11111111111111</v>
      </c>
      <c r="L23" s="521">
        <v>18</v>
      </c>
      <c r="M23" s="14">
        <f t="shared" si="20"/>
        <v>1907.0769230769251</v>
      </c>
      <c r="N23" s="13">
        <f t="shared" si="3"/>
        <v>105.94871794871807</v>
      </c>
      <c r="O23" s="15">
        <f t="shared" si="4"/>
        <v>0</v>
      </c>
      <c r="P23" s="16">
        <f t="shared" si="5"/>
        <v>-5.1623931623930446</v>
      </c>
      <c r="Q23" s="519">
        <f t="shared" si="6"/>
        <v>0.95353846153846256</v>
      </c>
      <c r="R23" s="619"/>
      <c r="S23" s="31">
        <v>0.75833333333333341</v>
      </c>
      <c r="T23" s="31">
        <v>0.80347222222222225</v>
      </c>
      <c r="U23" s="514">
        <f t="shared" si="22"/>
        <v>4.9999999999999822</v>
      </c>
      <c r="V23" s="522">
        <f t="shared" si="21"/>
        <v>64.999999999999929</v>
      </c>
      <c r="W23" s="17"/>
      <c r="X23" s="17"/>
      <c r="Y23" s="514"/>
      <c r="Z23" s="514"/>
      <c r="AA23" s="610"/>
      <c r="AB23" s="610"/>
      <c r="AC23" s="19"/>
      <c r="AD23" s="19"/>
      <c r="AE23" s="15">
        <f t="shared" si="8"/>
        <v>-92.923076923074859</v>
      </c>
      <c r="AF23" s="519">
        <f t="shared" si="9"/>
        <v>0.95353846153846256</v>
      </c>
      <c r="AG23" s="619"/>
    </row>
    <row r="24" spans="1:33" ht="15.75" customHeight="1">
      <c r="A24" s="638" t="s">
        <v>2634</v>
      </c>
      <c r="B24" s="33" t="s">
        <v>6</v>
      </c>
      <c r="C24" s="635" t="s">
        <v>2057</v>
      </c>
      <c r="D24" s="635"/>
      <c r="E24" s="33">
        <v>50.67</v>
      </c>
      <c r="F24" s="523">
        <v>1000</v>
      </c>
      <c r="G24" s="514">
        <f t="shared" si="19"/>
        <v>50670</v>
      </c>
      <c r="H24" s="527">
        <v>2</v>
      </c>
      <c r="I24" s="521">
        <v>16</v>
      </c>
      <c r="J24" s="30">
        <v>2000</v>
      </c>
      <c r="K24" s="13">
        <f t="shared" si="1"/>
        <v>125</v>
      </c>
      <c r="L24" s="521">
        <v>16</v>
      </c>
      <c r="M24" s="14">
        <f t="shared" si="20"/>
        <v>1935.483870967739</v>
      </c>
      <c r="N24" s="13">
        <f t="shared" si="3"/>
        <v>120.96774193548369</v>
      </c>
      <c r="O24" s="15">
        <f t="shared" si="4"/>
        <v>0</v>
      </c>
      <c r="P24" s="16">
        <f t="shared" si="5"/>
        <v>-4.0322580645163129</v>
      </c>
      <c r="Q24" s="519">
        <f t="shared" si="6"/>
        <v>0.96774193548386944</v>
      </c>
      <c r="R24" s="619"/>
      <c r="S24" s="31">
        <v>0.80902777777777779</v>
      </c>
      <c r="T24" s="31">
        <v>0.8305555555555556</v>
      </c>
      <c r="U24" s="514">
        <f t="shared" si="22"/>
        <v>7.9999999999999716</v>
      </c>
      <c r="V24" s="522">
        <f t="shared" si="21"/>
        <v>31.00000000000005</v>
      </c>
      <c r="W24" s="17">
        <f>T24</f>
        <v>0.8305555555555556</v>
      </c>
      <c r="X24" s="17">
        <f>S25</f>
        <v>0.87152777777777779</v>
      </c>
      <c r="Y24" s="22"/>
      <c r="Z24" s="22"/>
      <c r="AA24" s="610"/>
      <c r="AB24" s="610"/>
      <c r="AC24" s="19"/>
      <c r="AD24" s="19"/>
      <c r="AE24" s="15">
        <f t="shared" si="8"/>
        <v>-64.516129032261006</v>
      </c>
      <c r="AF24" s="519">
        <f t="shared" si="9"/>
        <v>0.96774193548386944</v>
      </c>
      <c r="AG24" s="619"/>
    </row>
    <row r="25" spans="1:33" ht="15.75" customHeight="1">
      <c r="A25" s="638" t="s">
        <v>2635</v>
      </c>
      <c r="B25" s="33" t="s">
        <v>6</v>
      </c>
      <c r="C25" s="639" t="s">
        <v>2057</v>
      </c>
      <c r="D25" s="640"/>
      <c r="E25" s="33">
        <v>50.67</v>
      </c>
      <c r="F25" s="523">
        <v>1653</v>
      </c>
      <c r="G25" s="514">
        <f t="shared" si="19"/>
        <v>83757.510000000009</v>
      </c>
      <c r="H25" s="527" t="s">
        <v>5</v>
      </c>
      <c r="I25" s="521">
        <v>16</v>
      </c>
      <c r="J25" s="30">
        <v>2000</v>
      </c>
      <c r="K25" s="13">
        <f t="shared" si="1"/>
        <v>125</v>
      </c>
      <c r="L25" s="521">
        <v>16</v>
      </c>
      <c r="M25" s="14">
        <f t="shared" si="20"/>
        <v>1907.3076923076933</v>
      </c>
      <c r="N25" s="13">
        <f t="shared" si="3"/>
        <v>119.20673076923083</v>
      </c>
      <c r="O25" s="15">
        <f t="shared" si="4"/>
        <v>0</v>
      </c>
      <c r="P25" s="16">
        <f t="shared" si="5"/>
        <v>-5.7932692307691696</v>
      </c>
      <c r="Q25" s="519">
        <f t="shared" si="6"/>
        <v>0.95365384615384663</v>
      </c>
      <c r="R25" s="619"/>
      <c r="S25" s="31">
        <v>0.87152777777777779</v>
      </c>
      <c r="T25" s="31">
        <v>0.90763888888888888</v>
      </c>
      <c r="U25" s="514">
        <f t="shared" si="22"/>
        <v>58.99999999999995</v>
      </c>
      <c r="V25" s="522">
        <f t="shared" si="21"/>
        <v>51.999999999999972</v>
      </c>
      <c r="W25" s="17"/>
      <c r="X25" s="22"/>
      <c r="Y25" s="94"/>
      <c r="Z25" s="94"/>
      <c r="AA25" s="614"/>
      <c r="AB25" s="615"/>
      <c r="AC25" s="19"/>
      <c r="AD25" s="19"/>
      <c r="AE25" s="15">
        <f t="shared" si="8"/>
        <v>-92.692307692306713</v>
      </c>
      <c r="AF25" s="519">
        <f t="shared" si="9"/>
        <v>0.95365384615384663</v>
      </c>
      <c r="AG25" s="619"/>
    </row>
    <row r="26" spans="1:33" ht="15.75" customHeight="1">
      <c r="A26" s="638" t="s">
        <v>2634</v>
      </c>
      <c r="B26" s="33" t="s">
        <v>2629</v>
      </c>
      <c r="C26" s="620"/>
      <c r="D26" s="620"/>
      <c r="E26" s="520"/>
      <c r="F26" s="523"/>
      <c r="G26" s="514"/>
      <c r="H26" s="523"/>
      <c r="I26" s="23">
        <v>16</v>
      </c>
      <c r="J26" s="30">
        <v>2000</v>
      </c>
      <c r="K26" s="13">
        <f t="shared" si="1"/>
        <v>125</v>
      </c>
      <c r="L26" s="23">
        <v>16</v>
      </c>
      <c r="M26" s="14">
        <f>AVERAGE(M19:M25)</f>
        <v>1920.9616718804336</v>
      </c>
      <c r="N26" s="13">
        <f t="shared" si="3"/>
        <v>120.0601044925271</v>
      </c>
      <c r="O26" s="15">
        <f t="shared" si="4"/>
        <v>0</v>
      </c>
      <c r="P26" s="16">
        <f t="shared" si="5"/>
        <v>-4.9398955074728974</v>
      </c>
      <c r="Q26" s="519">
        <f t="shared" si="6"/>
        <v>0.96048083594021683</v>
      </c>
      <c r="R26" s="619"/>
      <c r="S26" s="31"/>
      <c r="T26" s="31"/>
      <c r="U26" s="13"/>
      <c r="V26" s="522"/>
      <c r="W26" s="13"/>
      <c r="X26" s="13"/>
      <c r="Y26" s="24">
        <f>SUM(Y19:Y25)</f>
        <v>0</v>
      </c>
      <c r="Z26" s="24">
        <f>SUM(Z19:Z25)</f>
        <v>0</v>
      </c>
      <c r="AA26" s="609"/>
      <c r="AB26" s="609"/>
      <c r="AC26" s="24">
        <v>7</v>
      </c>
      <c r="AD26" s="24">
        <f>SUM(AD19:AD25)</f>
        <v>0</v>
      </c>
      <c r="AE26" s="15">
        <f t="shared" si="8"/>
        <v>-79.038328119566359</v>
      </c>
      <c r="AF26" s="519">
        <f t="shared" si="9"/>
        <v>0.96048083594021683</v>
      </c>
      <c r="AG26" s="619"/>
    </row>
    <row r="27" spans="1:33" ht="15.75" customHeight="1">
      <c r="A27" s="636" t="s">
        <v>2637</v>
      </c>
      <c r="B27" s="33" t="s">
        <v>27</v>
      </c>
      <c r="C27" s="635" t="s">
        <v>28</v>
      </c>
      <c r="D27" s="635"/>
      <c r="E27" s="33">
        <v>31.29</v>
      </c>
      <c r="F27" s="523">
        <v>7310</v>
      </c>
      <c r="G27" s="514">
        <f t="shared" ref="G27:G30" si="23">E27*F27</f>
        <v>228729.9</v>
      </c>
      <c r="H27" s="527" t="s">
        <v>5</v>
      </c>
      <c r="I27" s="521">
        <v>18</v>
      </c>
      <c r="J27" s="30">
        <v>2400</v>
      </c>
      <c r="K27" s="13">
        <f t="shared" si="1"/>
        <v>133.33333333333334</v>
      </c>
      <c r="L27" s="521">
        <v>18</v>
      </c>
      <c r="M27" s="14">
        <f t="shared" ref="M27:M30" si="24">F27/V27*60</f>
        <v>2284.375</v>
      </c>
      <c r="N27" s="13">
        <f t="shared" si="3"/>
        <v>126.90972222222223</v>
      </c>
      <c r="O27" s="15">
        <f t="shared" si="4"/>
        <v>0</v>
      </c>
      <c r="P27" s="16">
        <f t="shared" si="5"/>
        <v>-6.4236111111111143</v>
      </c>
      <c r="Q27" s="519">
        <f t="shared" si="6"/>
        <v>0.95182291666666663</v>
      </c>
      <c r="R27" s="619">
        <f>Q31</f>
        <v>0.95279616991802651</v>
      </c>
      <c r="S27" s="31">
        <v>8.3333333333333329E-2</v>
      </c>
      <c r="T27" s="31">
        <v>0.21666666666666667</v>
      </c>
      <c r="U27" s="514"/>
      <c r="V27" s="522">
        <f t="shared" ref="V27:V30" si="25">(T27-S27)*24*60</f>
        <v>192.00000000000003</v>
      </c>
      <c r="W27" s="17">
        <f>T27</f>
        <v>0.21666666666666667</v>
      </c>
      <c r="X27" s="17">
        <f>S28</f>
        <v>0.2361111111111111</v>
      </c>
      <c r="Y27" s="17"/>
      <c r="Z27" s="17"/>
      <c r="AA27" s="610"/>
      <c r="AB27" s="610"/>
      <c r="AC27" s="19">
        <v>4</v>
      </c>
      <c r="AD27" s="19"/>
      <c r="AE27" s="15">
        <f t="shared" si="8"/>
        <v>-115.625</v>
      </c>
      <c r="AF27" s="519">
        <f t="shared" si="9"/>
        <v>0.95182291666666663</v>
      </c>
      <c r="AG27" s="619">
        <f>AF31</f>
        <v>0.9527961699180264</v>
      </c>
    </row>
    <row r="28" spans="1:33" ht="15.75" customHeight="1">
      <c r="A28" s="636" t="s">
        <v>2638</v>
      </c>
      <c r="B28" s="33" t="s">
        <v>27</v>
      </c>
      <c r="C28" s="635" t="s">
        <v>29</v>
      </c>
      <c r="D28" s="635"/>
      <c r="E28" s="33">
        <v>26.37</v>
      </c>
      <c r="F28" s="523">
        <v>4922</v>
      </c>
      <c r="G28" s="514">
        <f t="shared" si="23"/>
        <v>129793.14</v>
      </c>
      <c r="H28" s="527" t="s">
        <v>5</v>
      </c>
      <c r="I28" s="521">
        <v>18</v>
      </c>
      <c r="J28" s="30">
        <v>2400</v>
      </c>
      <c r="K28" s="13">
        <f t="shared" si="1"/>
        <v>133.33333333333334</v>
      </c>
      <c r="L28" s="521">
        <v>18</v>
      </c>
      <c r="M28" s="14">
        <f t="shared" si="24"/>
        <v>2289.3023255813951</v>
      </c>
      <c r="N28" s="13">
        <f t="shared" si="3"/>
        <v>127.18346253229973</v>
      </c>
      <c r="O28" s="15">
        <f t="shared" si="4"/>
        <v>0</v>
      </c>
      <c r="P28" s="16">
        <f t="shared" si="5"/>
        <v>-6.1498708010336145</v>
      </c>
      <c r="Q28" s="519">
        <f t="shared" si="6"/>
        <v>0.95387596899224791</v>
      </c>
      <c r="R28" s="619"/>
      <c r="S28" s="31">
        <v>0.2361111111111111</v>
      </c>
      <c r="T28" s="31">
        <v>0.32569444444444445</v>
      </c>
      <c r="U28" s="514">
        <f t="shared" ref="U28:U30" si="26">(S28-T27)*24*60</f>
        <v>27.999999999999979</v>
      </c>
      <c r="V28" s="522">
        <f t="shared" si="25"/>
        <v>129.00000000000003</v>
      </c>
      <c r="W28" s="17"/>
      <c r="X28" s="17"/>
      <c r="Y28" s="17"/>
      <c r="Z28" s="17"/>
      <c r="AA28" s="610"/>
      <c r="AB28" s="610"/>
      <c r="AC28" s="19"/>
      <c r="AD28" s="19"/>
      <c r="AE28" s="15">
        <f t="shared" si="8"/>
        <v>-110.69767441860495</v>
      </c>
      <c r="AF28" s="519">
        <f t="shared" si="9"/>
        <v>0.95387596899224791</v>
      </c>
      <c r="AG28" s="619"/>
    </row>
    <row r="29" spans="1:33" ht="15.75" customHeight="1">
      <c r="A29" s="636" t="s">
        <v>2638</v>
      </c>
      <c r="B29" s="33" t="s">
        <v>27</v>
      </c>
      <c r="C29" s="635" t="s">
        <v>34</v>
      </c>
      <c r="D29" s="635"/>
      <c r="E29" s="33">
        <v>24.43</v>
      </c>
      <c r="F29" s="523">
        <v>5553</v>
      </c>
      <c r="G29" s="514">
        <f t="shared" si="23"/>
        <v>135659.79</v>
      </c>
      <c r="H29" s="527" t="s">
        <v>5</v>
      </c>
      <c r="I29" s="521">
        <v>14</v>
      </c>
      <c r="J29" s="30">
        <v>2400</v>
      </c>
      <c r="K29" s="13">
        <f t="shared" si="1"/>
        <v>171.42857142857142</v>
      </c>
      <c r="L29" s="521">
        <v>14</v>
      </c>
      <c r="M29" s="14">
        <f t="shared" si="24"/>
        <v>2282.0547945205485</v>
      </c>
      <c r="N29" s="13">
        <f t="shared" si="3"/>
        <v>163.00391389432488</v>
      </c>
      <c r="O29" s="15">
        <f t="shared" si="4"/>
        <v>0</v>
      </c>
      <c r="P29" s="16">
        <f t="shared" si="5"/>
        <v>-8.4246575342465349</v>
      </c>
      <c r="Q29" s="519">
        <f t="shared" si="6"/>
        <v>0.95085616438356191</v>
      </c>
      <c r="R29" s="619"/>
      <c r="S29" s="31">
        <v>0.32916666666666666</v>
      </c>
      <c r="T29" s="31">
        <v>0.43055555555555552</v>
      </c>
      <c r="U29" s="514">
        <f t="shared" si="26"/>
        <v>4.9999999999999822</v>
      </c>
      <c r="V29" s="522">
        <f t="shared" si="25"/>
        <v>145.99999999999997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-117.94520547945149</v>
      </c>
      <c r="AF29" s="519">
        <f t="shared" si="9"/>
        <v>0.95085616438356191</v>
      </c>
      <c r="AG29" s="619"/>
    </row>
    <row r="30" spans="1:33" ht="15.75" customHeight="1">
      <c r="A30" s="636" t="s">
        <v>2638</v>
      </c>
      <c r="B30" s="33" t="s">
        <v>27</v>
      </c>
      <c r="C30" s="635" t="s">
        <v>75</v>
      </c>
      <c r="D30" s="635"/>
      <c r="E30" s="33">
        <v>25.98</v>
      </c>
      <c r="F30" s="523">
        <v>3093</v>
      </c>
      <c r="G30" s="514">
        <f t="shared" si="23"/>
        <v>80356.14</v>
      </c>
      <c r="H30" s="527" t="s">
        <v>5</v>
      </c>
      <c r="I30" s="521">
        <v>19</v>
      </c>
      <c r="J30" s="30">
        <v>2400</v>
      </c>
      <c r="K30" s="13">
        <f t="shared" si="1"/>
        <v>126.31578947368421</v>
      </c>
      <c r="L30" s="521">
        <v>19</v>
      </c>
      <c r="M30" s="14">
        <f t="shared" si="24"/>
        <v>2291.1111111111099</v>
      </c>
      <c r="N30" s="13">
        <f t="shared" si="3"/>
        <v>120.58479532163737</v>
      </c>
      <c r="O30" s="15">
        <f t="shared" si="4"/>
        <v>0</v>
      </c>
      <c r="P30" s="16">
        <f t="shared" si="5"/>
        <v>-5.7309941520468328</v>
      </c>
      <c r="Q30" s="519">
        <f t="shared" si="6"/>
        <v>0.95462962962962927</v>
      </c>
      <c r="R30" s="619"/>
      <c r="S30" s="31">
        <v>0.43472222222222218</v>
      </c>
      <c r="T30" s="31">
        <v>0.4909722222222222</v>
      </c>
      <c r="U30" s="514">
        <f t="shared" si="26"/>
        <v>5.9999999999999787</v>
      </c>
      <c r="V30" s="522">
        <f t="shared" si="25"/>
        <v>81.000000000000028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-108.88888888889005</v>
      </c>
      <c r="AF30" s="519">
        <f t="shared" si="9"/>
        <v>0.95462962962962916</v>
      </c>
      <c r="AG30" s="619"/>
    </row>
    <row r="31" spans="1:33" ht="15.75" customHeight="1">
      <c r="A31" s="636" t="s">
        <v>1739</v>
      </c>
      <c r="B31" s="33" t="s">
        <v>2625</v>
      </c>
      <c r="C31" s="620"/>
      <c r="D31" s="620"/>
      <c r="E31" s="520"/>
      <c r="F31" s="523"/>
      <c r="G31" s="514"/>
      <c r="H31" s="523"/>
      <c r="I31" s="23">
        <v>17.25</v>
      </c>
      <c r="J31" s="30">
        <v>2400</v>
      </c>
      <c r="K31" s="13">
        <f t="shared" si="1"/>
        <v>139.13043478260869</v>
      </c>
      <c r="L31" s="23">
        <v>17.25</v>
      </c>
      <c r="M31" s="14">
        <f>AVERAGE(M27:M30)</f>
        <v>2286.7108078032634</v>
      </c>
      <c r="N31" s="13">
        <f t="shared" si="3"/>
        <v>132.56294537989933</v>
      </c>
      <c r="O31" s="15">
        <f t="shared" si="4"/>
        <v>0</v>
      </c>
      <c r="P31" s="16">
        <f t="shared" si="5"/>
        <v>-6.5674894027093558</v>
      </c>
      <c r="Q31" s="519">
        <f t="shared" si="6"/>
        <v>0.95279616991802651</v>
      </c>
      <c r="R31" s="619"/>
      <c r="S31" s="31"/>
      <c r="T31" s="31"/>
      <c r="U31" s="514"/>
      <c r="V31" s="522"/>
      <c r="W31" s="514"/>
      <c r="X31" s="514"/>
      <c r="Y31" s="24">
        <f>SUM(Y27:Y30)</f>
        <v>0</v>
      </c>
      <c r="Z31" s="24">
        <f>SUM(Z27:Z30)</f>
        <v>0</v>
      </c>
      <c r="AA31" s="609"/>
      <c r="AB31" s="609"/>
      <c r="AC31" s="24">
        <v>4</v>
      </c>
      <c r="AD31" s="24">
        <f>SUM(AD27:AD30)</f>
        <v>0</v>
      </c>
      <c r="AE31" s="15">
        <f t="shared" si="8"/>
        <v>-113.28919219673662</v>
      </c>
      <c r="AF31" s="519">
        <f t="shared" si="9"/>
        <v>0.9527961699180264</v>
      </c>
      <c r="AG31" s="619"/>
    </row>
    <row r="32" spans="1:33" ht="15.75" customHeight="1">
      <c r="A32" s="633" t="s">
        <v>1747</v>
      </c>
      <c r="B32" s="33" t="s">
        <v>27</v>
      </c>
      <c r="C32" s="611" t="s">
        <v>33</v>
      </c>
      <c r="D32" s="611"/>
      <c r="E32" s="33">
        <v>26.18</v>
      </c>
      <c r="F32" s="523">
        <v>4652</v>
      </c>
      <c r="G32" s="514">
        <f t="shared" ref="G32:G36" si="27">E32*F32</f>
        <v>121789.36</v>
      </c>
      <c r="H32" s="527" t="s">
        <v>5</v>
      </c>
      <c r="I32" s="521">
        <v>20</v>
      </c>
      <c r="J32" s="30">
        <v>2400</v>
      </c>
      <c r="K32" s="13">
        <f t="shared" si="1"/>
        <v>120</v>
      </c>
      <c r="L32" s="521">
        <v>20</v>
      </c>
      <c r="M32" s="14">
        <f t="shared" ref="M32:M36" si="28">F32/V32*60</f>
        <v>2287.8688524590161</v>
      </c>
      <c r="N32" s="13">
        <f t="shared" si="3"/>
        <v>114.3934426229508</v>
      </c>
      <c r="O32" s="15">
        <f t="shared" si="4"/>
        <v>0</v>
      </c>
      <c r="P32" s="16">
        <f t="shared" si="5"/>
        <v>-5.6065573770491994</v>
      </c>
      <c r="Q32" s="519">
        <f t="shared" si="6"/>
        <v>0.95327868852458997</v>
      </c>
      <c r="R32" s="619">
        <f>Q37</f>
        <v>0.95958034433295347</v>
      </c>
      <c r="S32" s="31">
        <v>8.3333333333333329E-2</v>
      </c>
      <c r="T32" s="31">
        <v>0.16805555555555554</v>
      </c>
      <c r="U32" s="514"/>
      <c r="V32" s="522">
        <f t="shared" ref="V32:V36" si="29">(T32-S32)*24*60</f>
        <v>122</v>
      </c>
      <c r="W32" s="22">
        <f>T32</f>
        <v>0.16805555555555554</v>
      </c>
      <c r="X32" s="22">
        <f>S33</f>
        <v>0.18541666666666662</v>
      </c>
      <c r="Y32" s="22"/>
      <c r="Z32" s="22"/>
      <c r="AA32" s="610"/>
      <c r="AB32" s="610"/>
      <c r="AC32" s="19">
        <v>5</v>
      </c>
      <c r="AD32" s="19"/>
      <c r="AE32" s="15">
        <f t="shared" si="8"/>
        <v>-112.13114754098387</v>
      </c>
      <c r="AF32" s="519">
        <f t="shared" si="9"/>
        <v>0.95327868852459008</v>
      </c>
      <c r="AG32" s="619">
        <f>AF37</f>
        <v>0.95958034433295358</v>
      </c>
    </row>
    <row r="33" spans="1:33" ht="15.75" customHeight="1">
      <c r="A33" s="633" t="s">
        <v>1747</v>
      </c>
      <c r="B33" s="33" t="s">
        <v>27</v>
      </c>
      <c r="C33" s="611" t="s">
        <v>30</v>
      </c>
      <c r="D33" s="611"/>
      <c r="E33" s="33">
        <v>26.18</v>
      </c>
      <c r="F33" s="523">
        <v>6019</v>
      </c>
      <c r="G33" s="514">
        <f t="shared" si="27"/>
        <v>157577.42000000001</v>
      </c>
      <c r="H33" s="527" t="s">
        <v>5</v>
      </c>
      <c r="I33" s="521">
        <v>18</v>
      </c>
      <c r="J33" s="30">
        <v>2400</v>
      </c>
      <c r="K33" s="13">
        <f t="shared" si="1"/>
        <v>133.33333333333334</v>
      </c>
      <c r="L33" s="521">
        <v>18</v>
      </c>
      <c r="M33" s="14">
        <f t="shared" si="28"/>
        <v>2285.6962025316452</v>
      </c>
      <c r="N33" s="13">
        <f t="shared" si="3"/>
        <v>126.98312236286918</v>
      </c>
      <c r="O33" s="15">
        <f t="shared" si="4"/>
        <v>0</v>
      </c>
      <c r="P33" s="16">
        <f t="shared" si="5"/>
        <v>-6.3502109704641612</v>
      </c>
      <c r="Q33" s="519">
        <f t="shared" si="6"/>
        <v>0.95237341772151884</v>
      </c>
      <c r="R33" s="619"/>
      <c r="S33" s="31">
        <v>0.18541666666666662</v>
      </c>
      <c r="T33" s="31">
        <v>0.29513888888888884</v>
      </c>
      <c r="U33" s="514">
        <f t="shared" ref="U33:U36" si="30">(S33-T32)*24*60</f>
        <v>24.99999999999995</v>
      </c>
      <c r="V33" s="522">
        <f t="shared" si="29"/>
        <v>158</v>
      </c>
      <c r="W33" s="514"/>
      <c r="X33" s="514"/>
      <c r="Y33" s="514"/>
      <c r="Z33" s="514"/>
      <c r="AA33" s="610"/>
      <c r="AB33" s="610"/>
      <c r="AC33" s="19"/>
      <c r="AD33" s="19"/>
      <c r="AE33" s="15">
        <f t="shared" si="8"/>
        <v>-114.30379746835479</v>
      </c>
      <c r="AF33" s="519">
        <f t="shared" si="9"/>
        <v>0.95237341772151884</v>
      </c>
      <c r="AG33" s="619"/>
    </row>
    <row r="34" spans="1:33">
      <c r="A34" s="634" t="s">
        <v>1747</v>
      </c>
      <c r="B34" s="33" t="s">
        <v>27</v>
      </c>
      <c r="C34" s="611" t="s">
        <v>35</v>
      </c>
      <c r="D34" s="611"/>
      <c r="E34" s="33">
        <v>34.1</v>
      </c>
      <c r="F34" s="523">
        <v>4916</v>
      </c>
      <c r="G34" s="514">
        <f t="shared" si="27"/>
        <v>167635.6</v>
      </c>
      <c r="H34" s="527" t="s">
        <v>5</v>
      </c>
      <c r="I34" s="521">
        <v>17</v>
      </c>
      <c r="J34" s="30">
        <v>1600</v>
      </c>
      <c r="K34" s="13">
        <f t="shared" si="1"/>
        <v>94.117647058823536</v>
      </c>
      <c r="L34" s="521">
        <v>17</v>
      </c>
      <c r="M34" s="14">
        <f t="shared" si="28"/>
        <v>1528.290155440415</v>
      </c>
      <c r="N34" s="13">
        <f t="shared" si="3"/>
        <v>89.8994209082597</v>
      </c>
      <c r="O34" s="15">
        <f t="shared" si="4"/>
        <v>0</v>
      </c>
      <c r="P34" s="16">
        <f t="shared" si="5"/>
        <v>-4.2182261505638365</v>
      </c>
      <c r="Q34" s="519">
        <f t="shared" si="6"/>
        <v>0.95518134715025926</v>
      </c>
      <c r="R34" s="619"/>
      <c r="S34" s="31">
        <v>0.29999999999999993</v>
      </c>
      <c r="T34" s="31">
        <v>0.43402777777777768</v>
      </c>
      <c r="U34" s="514">
        <f t="shared" si="30"/>
        <v>6.9999999999999751</v>
      </c>
      <c r="V34" s="522">
        <f t="shared" si="29"/>
        <v>192.99999999999994</v>
      </c>
      <c r="W34" s="514"/>
      <c r="X34" s="514"/>
      <c r="Y34" s="514"/>
      <c r="Z34" s="514"/>
      <c r="AA34" s="610"/>
      <c r="AB34" s="610"/>
      <c r="AC34" s="19"/>
      <c r="AD34" s="19"/>
      <c r="AE34" s="15">
        <f t="shared" si="8"/>
        <v>-71.709844559585008</v>
      </c>
      <c r="AF34" s="519">
        <f t="shared" si="9"/>
        <v>0.95518134715025937</v>
      </c>
      <c r="AG34" s="619"/>
    </row>
    <row r="35" spans="1:33">
      <c r="A35" s="634" t="s">
        <v>1747</v>
      </c>
      <c r="B35" s="33" t="s">
        <v>27</v>
      </c>
      <c r="C35" s="611" t="s">
        <v>54</v>
      </c>
      <c r="D35" s="611"/>
      <c r="E35" s="33">
        <v>24.25</v>
      </c>
      <c r="F35" s="523">
        <v>1126</v>
      </c>
      <c r="G35" s="514">
        <f t="shared" si="27"/>
        <v>27305.5</v>
      </c>
      <c r="H35" s="527" t="s">
        <v>5</v>
      </c>
      <c r="I35" s="521">
        <v>16</v>
      </c>
      <c r="J35" s="30">
        <v>2400</v>
      </c>
      <c r="K35" s="13">
        <f t="shared" si="1"/>
        <v>150</v>
      </c>
      <c r="L35" s="521">
        <v>16</v>
      </c>
      <c r="M35" s="14">
        <f t="shared" si="28"/>
        <v>2329.6551724137948</v>
      </c>
      <c r="N35" s="13">
        <f t="shared" si="3"/>
        <v>145.60344827586218</v>
      </c>
      <c r="O35" s="15">
        <f t="shared" si="4"/>
        <v>0</v>
      </c>
      <c r="P35" s="16">
        <f t="shared" si="5"/>
        <v>-4.3965517241378222</v>
      </c>
      <c r="Q35" s="519">
        <f t="shared" si="6"/>
        <v>0.97068965517241457</v>
      </c>
      <c r="R35" s="619"/>
      <c r="S35" s="31">
        <v>0.43749999999999989</v>
      </c>
      <c r="T35" s="31">
        <v>0.45763888888888876</v>
      </c>
      <c r="U35" s="514">
        <f t="shared" si="30"/>
        <v>4.9999999999999822</v>
      </c>
      <c r="V35" s="522">
        <f t="shared" si="29"/>
        <v>28.999999999999979</v>
      </c>
      <c r="W35" s="17"/>
      <c r="X35" s="17"/>
      <c r="Y35" s="17"/>
      <c r="Z35" s="17"/>
      <c r="AA35" s="610"/>
      <c r="AB35" s="610"/>
      <c r="AC35" s="19"/>
      <c r="AD35" s="19"/>
      <c r="AE35" s="15">
        <f t="shared" si="8"/>
        <v>-70.344827586205156</v>
      </c>
      <c r="AF35" s="519">
        <f t="shared" si="9"/>
        <v>0.97068965517241457</v>
      </c>
      <c r="AG35" s="619"/>
    </row>
    <row r="36" spans="1:33">
      <c r="A36" s="634" t="s">
        <v>1747</v>
      </c>
      <c r="B36" s="33" t="s">
        <v>27</v>
      </c>
      <c r="C36" s="611" t="s">
        <v>197</v>
      </c>
      <c r="D36" s="611"/>
      <c r="E36" s="33">
        <v>23.89</v>
      </c>
      <c r="F36" s="523">
        <v>2200</v>
      </c>
      <c r="G36" s="514">
        <f t="shared" si="27"/>
        <v>52558</v>
      </c>
      <c r="H36" s="527" t="s">
        <v>5</v>
      </c>
      <c r="I36" s="521">
        <v>17</v>
      </c>
      <c r="J36" s="30">
        <v>2400</v>
      </c>
      <c r="K36" s="13">
        <f t="shared" si="1"/>
        <v>141.1764705882353</v>
      </c>
      <c r="L36" s="521">
        <v>17</v>
      </c>
      <c r="M36" s="14">
        <f t="shared" si="28"/>
        <v>2315.789473684209</v>
      </c>
      <c r="N36" s="13">
        <f t="shared" si="3"/>
        <v>136.22291021671819</v>
      </c>
      <c r="O36" s="15">
        <f t="shared" si="4"/>
        <v>0</v>
      </c>
      <c r="P36" s="16">
        <f t="shared" si="5"/>
        <v>-4.9535603715171135</v>
      </c>
      <c r="Q36" s="519">
        <f t="shared" si="6"/>
        <v>0.96491228070175383</v>
      </c>
      <c r="R36" s="619"/>
      <c r="S36" s="31">
        <v>0.46111111111111097</v>
      </c>
      <c r="T36" s="31">
        <v>0.50069444444444433</v>
      </c>
      <c r="U36" s="514">
        <f t="shared" si="30"/>
        <v>4.9999999999999822</v>
      </c>
      <c r="V36" s="522">
        <f t="shared" si="29"/>
        <v>57.000000000000036</v>
      </c>
      <c r="W36" s="17"/>
      <c r="X36" s="17"/>
      <c r="Y36" s="17"/>
      <c r="Z36" s="17"/>
      <c r="AA36" s="610"/>
      <c r="AB36" s="610"/>
      <c r="AC36" s="19"/>
      <c r="AD36" s="19"/>
      <c r="AE36" s="15">
        <f t="shared" si="8"/>
        <v>-84.210526315790958</v>
      </c>
      <c r="AF36" s="519">
        <f t="shared" si="9"/>
        <v>0.96491228070175372</v>
      </c>
      <c r="AG36" s="619"/>
    </row>
    <row r="37" spans="1:33">
      <c r="A37" s="634" t="s">
        <v>1747</v>
      </c>
      <c r="B37" s="34" t="s">
        <v>1746</v>
      </c>
      <c r="C37" s="620"/>
      <c r="D37" s="620"/>
      <c r="E37" s="520"/>
      <c r="F37" s="34"/>
      <c r="G37" s="13"/>
      <c r="H37" s="523"/>
      <c r="I37" s="23">
        <v>17.600000000000001</v>
      </c>
      <c r="J37" s="30">
        <v>2240</v>
      </c>
      <c r="K37" s="13">
        <f t="shared" si="1"/>
        <v>127.27272727272727</v>
      </c>
      <c r="L37" s="23">
        <v>17.600000000000001</v>
      </c>
      <c r="M37" s="14">
        <f>AVERAGE(M32:M36)</f>
        <v>2149.459971305816</v>
      </c>
      <c r="N37" s="13">
        <f t="shared" si="3"/>
        <v>122.12840746055771</v>
      </c>
      <c r="O37" s="15">
        <f t="shared" si="4"/>
        <v>0</v>
      </c>
      <c r="P37" s="16">
        <f t="shared" si="5"/>
        <v>-5.1443198121695559</v>
      </c>
      <c r="Q37" s="519">
        <f t="shared" si="6"/>
        <v>0.95958034433295347</v>
      </c>
      <c r="R37" s="619"/>
      <c r="S37" s="31"/>
      <c r="T37" s="31"/>
      <c r="U37" s="13"/>
      <c r="V37" s="522"/>
      <c r="W37" s="13"/>
      <c r="X37" s="13"/>
      <c r="Y37" s="24">
        <f>SUM(Y32:Y36)</f>
        <v>0</v>
      </c>
      <c r="Z37" s="24">
        <f>SUM(Z32:Z36)</f>
        <v>0</v>
      </c>
      <c r="AA37" s="609"/>
      <c r="AB37" s="609"/>
      <c r="AC37" s="24">
        <v>5</v>
      </c>
      <c r="AD37" s="24">
        <f>SUM(AD32:AD36)</f>
        <v>0</v>
      </c>
      <c r="AE37" s="15">
        <f t="shared" si="8"/>
        <v>-90.540028694184002</v>
      </c>
      <c r="AF37" s="519">
        <f t="shared" si="9"/>
        <v>0.95958034433295358</v>
      </c>
      <c r="AG37" s="619"/>
    </row>
    <row r="38" spans="1:33" ht="15.75" customHeight="1">
      <c r="A38" s="630" t="s">
        <v>2639</v>
      </c>
      <c r="B38" s="33" t="s">
        <v>36</v>
      </c>
      <c r="C38" s="612" t="s">
        <v>37</v>
      </c>
      <c r="D38" s="613"/>
      <c r="E38" s="33">
        <v>21.13</v>
      </c>
      <c r="F38" s="523">
        <v>4014</v>
      </c>
      <c r="G38" s="514">
        <f t="shared" ref="G38:G40" si="31">E38*F38</f>
        <v>84815.819999999992</v>
      </c>
      <c r="H38" s="527" t="s">
        <v>5</v>
      </c>
      <c r="I38" s="521">
        <v>10</v>
      </c>
      <c r="J38" s="30">
        <v>3000</v>
      </c>
      <c r="K38" s="13">
        <f t="shared" si="1"/>
        <v>300</v>
      </c>
      <c r="L38" s="521">
        <v>10</v>
      </c>
      <c r="M38" s="14">
        <f t="shared" ref="M38:M40" si="32">F38/V38*60</f>
        <v>2867.1428571428573</v>
      </c>
      <c r="N38" s="14">
        <f t="shared" si="3"/>
        <v>286.71428571428572</v>
      </c>
      <c r="O38" s="15">
        <f t="shared" si="4"/>
        <v>0</v>
      </c>
      <c r="P38" s="16">
        <f t="shared" si="5"/>
        <v>-13.285714285714278</v>
      </c>
      <c r="Q38" s="519">
        <f t="shared" si="6"/>
        <v>0.95571428571428574</v>
      </c>
      <c r="R38" s="625">
        <f>Q41</f>
        <v>0.9566560374149663</v>
      </c>
      <c r="S38" s="31">
        <v>0.20833333333333334</v>
      </c>
      <c r="T38" s="31">
        <v>0.26666666666666666</v>
      </c>
      <c r="U38" s="22"/>
      <c r="V38" s="522">
        <f t="shared" ref="V38:V40" si="33">(T38-S38)*24*60</f>
        <v>83.999999999999986</v>
      </c>
      <c r="W38" s="17"/>
      <c r="X38" s="17"/>
      <c r="Y38" s="20"/>
      <c r="Z38" s="20"/>
      <c r="AA38" s="614"/>
      <c r="AB38" s="615"/>
      <c r="AC38" s="19">
        <v>3</v>
      </c>
      <c r="AD38" s="19"/>
      <c r="AE38" s="15">
        <f t="shared" si="8"/>
        <v>-132.85714285714266</v>
      </c>
      <c r="AF38" s="519">
        <f t="shared" si="9"/>
        <v>0.95571428571428574</v>
      </c>
      <c r="AG38" s="625">
        <f>AF41</f>
        <v>0.9566560374149663</v>
      </c>
    </row>
    <row r="39" spans="1:33" ht="15.75" customHeight="1">
      <c r="A39" s="631" t="s">
        <v>2639</v>
      </c>
      <c r="B39" s="33" t="s">
        <v>36</v>
      </c>
      <c r="C39" s="612" t="s">
        <v>38</v>
      </c>
      <c r="D39" s="613"/>
      <c r="E39" s="33">
        <v>27.17</v>
      </c>
      <c r="F39" s="523">
        <v>4699</v>
      </c>
      <c r="G39" s="514">
        <f t="shared" si="31"/>
        <v>127671.83</v>
      </c>
      <c r="H39" s="527" t="s">
        <v>5</v>
      </c>
      <c r="I39" s="521">
        <v>10</v>
      </c>
      <c r="J39" s="30">
        <v>3000</v>
      </c>
      <c r="K39" s="13">
        <f t="shared" si="1"/>
        <v>300</v>
      </c>
      <c r="L39" s="521">
        <v>10</v>
      </c>
      <c r="M39" s="14">
        <f t="shared" si="32"/>
        <v>2876.9387755102048</v>
      </c>
      <c r="N39" s="14">
        <f t="shared" si="3"/>
        <v>287.69387755102048</v>
      </c>
      <c r="O39" s="15">
        <f t="shared" si="4"/>
        <v>0</v>
      </c>
      <c r="P39" s="16">
        <f t="shared" si="5"/>
        <v>-12.306122448979522</v>
      </c>
      <c r="Q39" s="519">
        <f t="shared" si="6"/>
        <v>0.95897959183673498</v>
      </c>
      <c r="R39" s="626"/>
      <c r="S39" s="31">
        <v>0.27152777777777776</v>
      </c>
      <c r="T39" s="31">
        <v>0.33958333333333329</v>
      </c>
      <c r="U39" s="514">
        <f t="shared" ref="U39:U40" si="34">(S39-T38)*24*60</f>
        <v>6.9999999999999751</v>
      </c>
      <c r="V39" s="522">
        <f t="shared" si="33"/>
        <v>97.999999999999972</v>
      </c>
      <c r="W39" s="17"/>
      <c r="X39" s="17"/>
      <c r="Y39" s="20"/>
      <c r="Z39" s="20"/>
      <c r="AA39" s="614"/>
      <c r="AB39" s="615"/>
      <c r="AC39" s="19"/>
      <c r="AD39" s="19"/>
      <c r="AE39" s="15">
        <f t="shared" si="8"/>
        <v>-123.06122448979522</v>
      </c>
      <c r="AF39" s="519">
        <f t="shared" si="9"/>
        <v>0.95897959183673498</v>
      </c>
      <c r="AG39" s="626"/>
    </row>
    <row r="40" spans="1:33" ht="15.75" customHeight="1">
      <c r="A40" s="631" t="s">
        <v>2639</v>
      </c>
      <c r="B40" s="33" t="s">
        <v>36</v>
      </c>
      <c r="C40" s="612" t="s">
        <v>1511</v>
      </c>
      <c r="D40" s="613"/>
      <c r="E40" s="33">
        <v>37.880000000000003</v>
      </c>
      <c r="F40" s="523">
        <v>2291</v>
      </c>
      <c r="G40" s="514">
        <f t="shared" si="31"/>
        <v>86783.08</v>
      </c>
      <c r="H40" s="527" t="s">
        <v>5</v>
      </c>
      <c r="I40" s="521">
        <v>13</v>
      </c>
      <c r="J40" s="30">
        <v>2000</v>
      </c>
      <c r="K40" s="13">
        <f t="shared" si="1"/>
        <v>153.84615384615384</v>
      </c>
      <c r="L40" s="521">
        <v>13</v>
      </c>
      <c r="M40" s="14">
        <f t="shared" si="32"/>
        <v>1909.166666666667</v>
      </c>
      <c r="N40" s="14">
        <f t="shared" si="3"/>
        <v>146.85897435897439</v>
      </c>
      <c r="O40" s="15">
        <f t="shared" si="4"/>
        <v>0</v>
      </c>
      <c r="P40" s="16">
        <f t="shared" si="5"/>
        <v>-6.9871794871794464</v>
      </c>
      <c r="Q40" s="519">
        <f t="shared" si="6"/>
        <v>0.95458333333333356</v>
      </c>
      <c r="R40" s="626"/>
      <c r="S40" s="31">
        <v>0.34444444444444439</v>
      </c>
      <c r="T40" s="31">
        <v>0.39444444444444438</v>
      </c>
      <c r="U40" s="514">
        <f t="shared" si="34"/>
        <v>6.9999999999999751</v>
      </c>
      <c r="V40" s="522">
        <f t="shared" si="33"/>
        <v>71.999999999999986</v>
      </c>
      <c r="W40" s="17"/>
      <c r="X40" s="17"/>
      <c r="Y40" s="20"/>
      <c r="Z40" s="20"/>
      <c r="AA40" s="614"/>
      <c r="AB40" s="615"/>
      <c r="AC40" s="19"/>
      <c r="AD40" s="19"/>
      <c r="AE40" s="15">
        <f t="shared" si="8"/>
        <v>-90.83333333333303</v>
      </c>
      <c r="AF40" s="519">
        <f t="shared" si="9"/>
        <v>0.95458333333333345</v>
      </c>
      <c r="AG40" s="626"/>
    </row>
    <row r="41" spans="1:33" ht="15.75" customHeight="1">
      <c r="A41" s="632" t="s">
        <v>2640</v>
      </c>
      <c r="B41" s="33" t="s">
        <v>2641</v>
      </c>
      <c r="C41" s="607"/>
      <c r="D41" s="608"/>
      <c r="E41" s="512"/>
      <c r="F41" s="523"/>
      <c r="G41" s="514"/>
      <c r="H41" s="523"/>
      <c r="I41" s="23">
        <v>11</v>
      </c>
      <c r="J41" s="30">
        <v>2666.6666666666665</v>
      </c>
      <c r="K41" s="13">
        <f t="shared" si="1"/>
        <v>242.42424242424241</v>
      </c>
      <c r="L41" s="23">
        <v>11</v>
      </c>
      <c r="M41" s="14">
        <f>AVERAGE(M38:M40)</f>
        <v>2551.0827664399098</v>
      </c>
      <c r="N41" s="13">
        <f t="shared" si="3"/>
        <v>231.91661513090091</v>
      </c>
      <c r="O41" s="15">
        <f t="shared" si="4"/>
        <v>0</v>
      </c>
      <c r="P41" s="16">
        <f t="shared" si="5"/>
        <v>-10.5076272933415</v>
      </c>
      <c r="Q41" s="519">
        <f t="shared" si="6"/>
        <v>0.9566560374149663</v>
      </c>
      <c r="R41" s="627"/>
      <c r="S41" s="31"/>
      <c r="T41" s="31"/>
      <c r="U41" s="514"/>
      <c r="V41" s="522"/>
      <c r="W41" s="17"/>
      <c r="X41" s="17"/>
      <c r="Y41" s="24">
        <f>SUM(Y38:Y40)</f>
        <v>0</v>
      </c>
      <c r="Z41" s="24">
        <f>SUM(Z38:Z40)</f>
        <v>0</v>
      </c>
      <c r="AA41" s="628"/>
      <c r="AB41" s="629"/>
      <c r="AC41" s="24">
        <v>3</v>
      </c>
      <c r="AD41" s="24">
        <f>SUM(AD38:AD40)</f>
        <v>0</v>
      </c>
      <c r="AE41" s="15">
        <f t="shared" si="8"/>
        <v>-115.58390022675667</v>
      </c>
      <c r="AF41" s="519">
        <f t="shared" si="9"/>
        <v>0.9566560374149663</v>
      </c>
      <c r="AG41" s="627"/>
    </row>
    <row r="42" spans="1:33" ht="15.75" customHeight="1">
      <c r="A42" s="623" t="s">
        <v>2642</v>
      </c>
      <c r="B42" s="33" t="s">
        <v>10</v>
      </c>
      <c r="C42" s="611" t="s">
        <v>42</v>
      </c>
      <c r="D42" s="611"/>
      <c r="E42" s="33">
        <v>46</v>
      </c>
      <c r="F42" s="35">
        <v>724</v>
      </c>
      <c r="G42" s="514">
        <f t="shared" ref="G42:G49" si="35">E42*F42</f>
        <v>33304</v>
      </c>
      <c r="H42" s="527" t="s">
        <v>5</v>
      </c>
      <c r="I42" s="521">
        <v>16</v>
      </c>
      <c r="J42" s="30">
        <v>2000</v>
      </c>
      <c r="K42" s="13">
        <f t="shared" si="1"/>
        <v>125</v>
      </c>
      <c r="L42" s="521">
        <v>16</v>
      </c>
      <c r="M42" s="14">
        <f t="shared" ref="M42" si="36">F42/V42*60</f>
        <v>1974.5454545454545</v>
      </c>
      <c r="N42" s="14">
        <f t="shared" si="3"/>
        <v>123.40909090909091</v>
      </c>
      <c r="O42" s="15">
        <f t="shared" si="4"/>
        <v>0</v>
      </c>
      <c r="P42" s="16">
        <f t="shared" si="5"/>
        <v>-1.5909090909090935</v>
      </c>
      <c r="Q42" s="519">
        <f t="shared" si="6"/>
        <v>0.9872727272727273</v>
      </c>
      <c r="R42" s="619">
        <f>Q50</f>
        <v>0.96537461021128779</v>
      </c>
      <c r="S42" s="31">
        <v>0.20833333333333334</v>
      </c>
      <c r="T42" s="31">
        <v>0.22361111111111112</v>
      </c>
      <c r="U42" s="22"/>
      <c r="V42" s="522">
        <f t="shared" ref="V42:V49" si="37">(T42-S42)*24*60</f>
        <v>22</v>
      </c>
      <c r="W42" s="17"/>
      <c r="X42" s="17"/>
      <c r="Y42" s="22"/>
      <c r="Z42" s="22"/>
      <c r="AA42" s="610"/>
      <c r="AB42" s="610"/>
      <c r="AC42" s="19">
        <v>8</v>
      </c>
      <c r="AD42" s="19"/>
      <c r="AE42" s="15">
        <f t="shared" si="8"/>
        <v>-25.454545454545496</v>
      </c>
      <c r="AF42" s="519">
        <f t="shared" si="9"/>
        <v>0.9872727272727273</v>
      </c>
      <c r="AG42" s="619">
        <f>AF50</f>
        <v>0.96537461021128779</v>
      </c>
    </row>
    <row r="43" spans="1:33" ht="15.75" customHeight="1">
      <c r="A43" s="623" t="s">
        <v>2642</v>
      </c>
      <c r="B43" s="33" t="s">
        <v>10</v>
      </c>
      <c r="C43" s="611" t="s">
        <v>43</v>
      </c>
      <c r="D43" s="611"/>
      <c r="E43" s="33">
        <v>46</v>
      </c>
      <c r="F43" s="35">
        <v>859</v>
      </c>
      <c r="G43" s="514">
        <f t="shared" si="35"/>
        <v>39514</v>
      </c>
      <c r="H43" s="527" t="s">
        <v>5</v>
      </c>
      <c r="I43" s="521">
        <v>17</v>
      </c>
      <c r="J43" s="30">
        <v>2000</v>
      </c>
      <c r="K43" s="13">
        <f t="shared" si="1"/>
        <v>117.64705882352941</v>
      </c>
      <c r="L43" s="521">
        <v>17</v>
      </c>
      <c r="M43" s="14">
        <f>F43/V43*60</f>
        <v>1908.8888888888898</v>
      </c>
      <c r="N43" s="14">
        <f t="shared" si="3"/>
        <v>112.28758169934646</v>
      </c>
      <c r="O43" s="15">
        <f t="shared" si="4"/>
        <v>0</v>
      </c>
      <c r="P43" s="16">
        <f t="shared" si="5"/>
        <v>-5.3594771241829449</v>
      </c>
      <c r="Q43" s="519">
        <f t="shared" si="6"/>
        <v>0.95444444444444498</v>
      </c>
      <c r="R43" s="619"/>
      <c r="S43" s="31">
        <v>0.22916666666666669</v>
      </c>
      <c r="T43" s="31">
        <v>0.24791666666666667</v>
      </c>
      <c r="U43" s="514">
        <f t="shared" ref="U43:U49" si="38">IF(S43=TIME(17,0,0),"",(S43-T42)*24*60)</f>
        <v>8.0000000000000107</v>
      </c>
      <c r="V43" s="522">
        <f t="shared" si="37"/>
        <v>26.999999999999986</v>
      </c>
      <c r="W43" s="17"/>
      <c r="X43" s="17"/>
      <c r="Y43" s="17"/>
      <c r="Z43" s="17"/>
      <c r="AA43" s="610"/>
      <c r="AB43" s="610"/>
      <c r="AC43" s="19"/>
      <c r="AD43" s="19"/>
      <c r="AE43" s="15">
        <f t="shared" si="8"/>
        <v>-91.111111111110176</v>
      </c>
      <c r="AF43" s="519">
        <f t="shared" si="9"/>
        <v>0.95444444444444487</v>
      </c>
      <c r="AG43" s="619"/>
    </row>
    <row r="44" spans="1:33" ht="15.75" customHeight="1">
      <c r="A44" s="623" t="s">
        <v>2643</v>
      </c>
      <c r="B44" s="33" t="s">
        <v>6</v>
      </c>
      <c r="C44" s="612" t="s">
        <v>41</v>
      </c>
      <c r="D44" s="613"/>
      <c r="E44" s="33">
        <v>51.44</v>
      </c>
      <c r="F44" s="35">
        <v>1180</v>
      </c>
      <c r="G44" s="514">
        <f t="shared" si="35"/>
        <v>60699.199999999997</v>
      </c>
      <c r="H44" s="527" t="s">
        <v>5</v>
      </c>
      <c r="I44" s="521">
        <v>25</v>
      </c>
      <c r="J44" s="30">
        <v>2000</v>
      </c>
      <c r="K44" s="13">
        <f t="shared" si="1"/>
        <v>80</v>
      </c>
      <c r="L44" s="521">
        <v>25</v>
      </c>
      <c r="M44" s="14">
        <f t="shared" ref="M44:M49" si="39">F44/V44*60</f>
        <v>1913.513513513512</v>
      </c>
      <c r="N44" s="14">
        <f t="shared" si="3"/>
        <v>76.540540540540476</v>
      </c>
      <c r="O44" s="15">
        <f t="shared" si="4"/>
        <v>0</v>
      </c>
      <c r="P44" s="16">
        <f t="shared" si="5"/>
        <v>-3.4594594594595236</v>
      </c>
      <c r="Q44" s="519">
        <f t="shared" si="6"/>
        <v>0.95675675675675598</v>
      </c>
      <c r="R44" s="619"/>
      <c r="S44" s="31">
        <v>0.25138888888888888</v>
      </c>
      <c r="T44" s="31">
        <v>0.27708333333333335</v>
      </c>
      <c r="U44" s="514">
        <f t="shared" si="38"/>
        <v>4.9999999999999822</v>
      </c>
      <c r="V44" s="522">
        <f t="shared" si="37"/>
        <v>37.000000000000028</v>
      </c>
      <c r="W44" s="17"/>
      <c r="X44" s="17"/>
      <c r="Y44" s="20"/>
      <c r="Z44" s="20"/>
      <c r="AA44" s="610"/>
      <c r="AB44" s="610"/>
      <c r="AC44" s="19"/>
      <c r="AD44" s="19"/>
      <c r="AE44" s="15">
        <f t="shared" si="8"/>
        <v>-86.486486486488047</v>
      </c>
      <c r="AF44" s="519">
        <f t="shared" si="9"/>
        <v>0.95675675675675598</v>
      </c>
      <c r="AG44" s="619"/>
    </row>
    <row r="45" spans="1:33" ht="15.75" customHeight="1">
      <c r="A45" s="623" t="s">
        <v>2642</v>
      </c>
      <c r="B45" s="33" t="s">
        <v>6</v>
      </c>
      <c r="C45" s="515" t="s">
        <v>77</v>
      </c>
      <c r="D45" s="516"/>
      <c r="E45" s="33">
        <v>56.43</v>
      </c>
      <c r="F45" s="35">
        <v>630</v>
      </c>
      <c r="G45" s="514">
        <f t="shared" si="35"/>
        <v>35550.9</v>
      </c>
      <c r="H45" s="527" t="s">
        <v>5</v>
      </c>
      <c r="I45" s="521">
        <v>23</v>
      </c>
      <c r="J45" s="30">
        <v>2000</v>
      </c>
      <c r="K45" s="13">
        <f t="shared" si="1"/>
        <v>86.956521739130437</v>
      </c>
      <c r="L45" s="521">
        <v>23</v>
      </c>
      <c r="M45" s="14">
        <f t="shared" si="39"/>
        <v>1989.4736842105249</v>
      </c>
      <c r="N45" s="14">
        <f t="shared" si="3"/>
        <v>86.498855835240207</v>
      </c>
      <c r="O45" s="15">
        <f t="shared" si="4"/>
        <v>0</v>
      </c>
      <c r="P45" s="16">
        <f t="shared" si="5"/>
        <v>-0.45766590389023065</v>
      </c>
      <c r="Q45" s="519">
        <f t="shared" si="6"/>
        <v>0.99473684210526236</v>
      </c>
      <c r="R45" s="619"/>
      <c r="S45" s="31">
        <v>0.28194444444444444</v>
      </c>
      <c r="T45" s="31">
        <v>0.2951388888888889</v>
      </c>
      <c r="U45" s="514">
        <f t="shared" si="38"/>
        <v>6.9999999999999751</v>
      </c>
      <c r="V45" s="522">
        <f t="shared" si="37"/>
        <v>19.000000000000014</v>
      </c>
      <c r="W45" s="17"/>
      <c r="X45" s="17"/>
      <c r="Y45" s="20"/>
      <c r="Z45" s="20"/>
      <c r="AA45" s="610"/>
      <c r="AB45" s="610"/>
      <c r="AC45" s="19"/>
      <c r="AD45" s="19"/>
      <c r="AE45" s="15">
        <f t="shared" si="8"/>
        <v>-10.52631578947512</v>
      </c>
      <c r="AF45" s="519">
        <f t="shared" si="9"/>
        <v>0.99473684210526248</v>
      </c>
      <c r="AG45" s="619"/>
    </row>
    <row r="46" spans="1:33" ht="15.75" customHeight="1">
      <c r="A46" s="623" t="s">
        <v>2643</v>
      </c>
      <c r="B46" s="33" t="s">
        <v>6</v>
      </c>
      <c r="C46" s="515" t="s">
        <v>1513</v>
      </c>
      <c r="D46" s="516"/>
      <c r="E46" s="33">
        <v>56.43</v>
      </c>
      <c r="F46" s="35">
        <v>1593</v>
      </c>
      <c r="G46" s="514">
        <f t="shared" si="35"/>
        <v>89892.99</v>
      </c>
      <c r="H46" s="527" t="s">
        <v>5</v>
      </c>
      <c r="I46" s="521">
        <v>21</v>
      </c>
      <c r="J46" s="30">
        <v>2000</v>
      </c>
      <c r="K46" s="13">
        <f t="shared" si="1"/>
        <v>95.238095238095241</v>
      </c>
      <c r="L46" s="521">
        <v>21</v>
      </c>
      <c r="M46" s="14">
        <f t="shared" si="39"/>
        <v>1911.6000000000006</v>
      </c>
      <c r="N46" s="14">
        <f t="shared" si="3"/>
        <v>91.028571428571453</v>
      </c>
      <c r="O46" s="15">
        <f t="shared" si="4"/>
        <v>0</v>
      </c>
      <c r="P46" s="16">
        <f t="shared" si="5"/>
        <v>-4.2095238095237875</v>
      </c>
      <c r="Q46" s="519">
        <f t="shared" si="6"/>
        <v>0.9558000000000002</v>
      </c>
      <c r="R46" s="619"/>
      <c r="S46" s="31">
        <v>0.3</v>
      </c>
      <c r="T46" s="31">
        <v>0.3347222222222222</v>
      </c>
      <c r="U46" s="514">
        <f t="shared" si="38"/>
        <v>6.9999999999999751</v>
      </c>
      <c r="V46" s="522">
        <f t="shared" si="37"/>
        <v>49.999999999999986</v>
      </c>
      <c r="W46" s="17"/>
      <c r="X46" s="17"/>
      <c r="Y46" s="20"/>
      <c r="Z46" s="20"/>
      <c r="AA46" s="610"/>
      <c r="AB46" s="610"/>
      <c r="AC46" s="19"/>
      <c r="AD46" s="19"/>
      <c r="AE46" s="15">
        <f t="shared" si="8"/>
        <v>-88.399999999999409</v>
      </c>
      <c r="AF46" s="519">
        <f t="shared" si="9"/>
        <v>0.95580000000000032</v>
      </c>
      <c r="AG46" s="619"/>
    </row>
    <row r="47" spans="1:33" ht="15.75" customHeight="1">
      <c r="A47" s="623" t="s">
        <v>2642</v>
      </c>
      <c r="B47" s="33" t="s">
        <v>6</v>
      </c>
      <c r="C47" s="612" t="s">
        <v>44</v>
      </c>
      <c r="D47" s="613"/>
      <c r="E47" s="33">
        <v>55.56</v>
      </c>
      <c r="F47" s="35">
        <v>2595</v>
      </c>
      <c r="G47" s="514">
        <f t="shared" si="35"/>
        <v>144178.20000000001</v>
      </c>
      <c r="H47" s="527" t="s">
        <v>5</v>
      </c>
      <c r="I47" s="521">
        <v>17</v>
      </c>
      <c r="J47" s="30">
        <v>2000</v>
      </c>
      <c r="K47" s="13">
        <f t="shared" si="1"/>
        <v>117.64705882352941</v>
      </c>
      <c r="L47" s="521">
        <v>17</v>
      </c>
      <c r="M47" s="14">
        <f t="shared" si="39"/>
        <v>1922.2222222222215</v>
      </c>
      <c r="N47" s="14">
        <f t="shared" si="3"/>
        <v>113.07189542483655</v>
      </c>
      <c r="O47" s="15">
        <f t="shared" si="4"/>
        <v>0</v>
      </c>
      <c r="P47" s="16">
        <f t="shared" si="5"/>
        <v>-4.575163398692851</v>
      </c>
      <c r="Q47" s="519">
        <f t="shared" si="6"/>
        <v>0.96111111111111081</v>
      </c>
      <c r="R47" s="619"/>
      <c r="S47" s="31">
        <v>0.70833333333333337</v>
      </c>
      <c r="T47" s="31">
        <v>0.76458333333333339</v>
      </c>
      <c r="U47" s="514" t="str">
        <f t="shared" si="38"/>
        <v/>
      </c>
      <c r="V47" s="522">
        <f t="shared" si="37"/>
        <v>81.000000000000028</v>
      </c>
      <c r="W47" s="17"/>
      <c r="X47" s="17"/>
      <c r="Y47" s="20"/>
      <c r="Z47" s="20"/>
      <c r="AA47" s="614"/>
      <c r="AB47" s="615"/>
      <c r="AC47" s="19"/>
      <c r="AD47" s="19"/>
      <c r="AE47" s="15">
        <f t="shared" si="8"/>
        <v>-77.77777777777851</v>
      </c>
      <c r="AF47" s="519">
        <f t="shared" si="9"/>
        <v>0.96111111111111069</v>
      </c>
      <c r="AG47" s="619"/>
    </row>
    <row r="48" spans="1:33" ht="15.75" customHeight="1">
      <c r="A48" s="623" t="s">
        <v>2642</v>
      </c>
      <c r="B48" s="33" t="s">
        <v>6</v>
      </c>
      <c r="C48" s="612" t="s">
        <v>72</v>
      </c>
      <c r="D48" s="613"/>
      <c r="E48" s="33">
        <v>58.17</v>
      </c>
      <c r="F48" s="35">
        <v>1902</v>
      </c>
      <c r="G48" s="514">
        <f t="shared" si="35"/>
        <v>110639.34</v>
      </c>
      <c r="H48" s="527" t="s">
        <v>5</v>
      </c>
      <c r="I48" s="521">
        <v>13</v>
      </c>
      <c r="J48" s="30">
        <v>2000</v>
      </c>
      <c r="K48" s="13">
        <f t="shared" si="1"/>
        <v>153.84615384615384</v>
      </c>
      <c r="L48" s="521">
        <v>13</v>
      </c>
      <c r="M48" s="14">
        <f t="shared" si="39"/>
        <v>1902.0000000000018</v>
      </c>
      <c r="N48" s="14">
        <f t="shared" si="3"/>
        <v>146.30769230769243</v>
      </c>
      <c r="O48" s="15">
        <f t="shared" si="4"/>
        <v>0</v>
      </c>
      <c r="P48" s="16">
        <f t="shared" si="5"/>
        <v>-7.5384615384614051</v>
      </c>
      <c r="Q48" s="519">
        <f t="shared" si="6"/>
        <v>0.95100000000000084</v>
      </c>
      <c r="R48" s="619"/>
      <c r="S48" s="31">
        <v>0.76875000000000004</v>
      </c>
      <c r="T48" s="31">
        <v>0.81041666666666667</v>
      </c>
      <c r="U48" s="514">
        <f t="shared" si="38"/>
        <v>5.9999999999999787</v>
      </c>
      <c r="V48" s="522">
        <f t="shared" si="37"/>
        <v>59.999999999999943</v>
      </c>
      <c r="W48" s="17"/>
      <c r="X48" s="17"/>
      <c r="Y48" s="20"/>
      <c r="Z48" s="20"/>
      <c r="AA48" s="614"/>
      <c r="AB48" s="615"/>
      <c r="AC48" s="19"/>
      <c r="AD48" s="19"/>
      <c r="AE48" s="15">
        <f t="shared" si="8"/>
        <v>-97.999999999998181</v>
      </c>
      <c r="AF48" s="519">
        <f t="shared" si="9"/>
        <v>0.95100000000000096</v>
      </c>
      <c r="AG48" s="619"/>
    </row>
    <row r="49" spans="1:33" ht="15.75" customHeight="1">
      <c r="A49" s="623" t="s">
        <v>2643</v>
      </c>
      <c r="B49" s="33" t="s">
        <v>6</v>
      </c>
      <c r="C49" s="612" t="s">
        <v>82</v>
      </c>
      <c r="D49" s="613"/>
      <c r="E49" s="33">
        <v>54.09</v>
      </c>
      <c r="F49" s="35">
        <v>1539</v>
      </c>
      <c r="G49" s="514">
        <f t="shared" si="35"/>
        <v>83244.510000000009</v>
      </c>
      <c r="H49" s="527" t="s">
        <v>5</v>
      </c>
      <c r="I49" s="521">
        <v>14</v>
      </c>
      <c r="J49" s="30">
        <v>2000</v>
      </c>
      <c r="K49" s="13">
        <f t="shared" si="1"/>
        <v>142.85714285714286</v>
      </c>
      <c r="L49" s="521">
        <v>14</v>
      </c>
      <c r="M49" s="14">
        <f t="shared" si="39"/>
        <v>1923.7500000000005</v>
      </c>
      <c r="N49" s="14">
        <f t="shared" si="3"/>
        <v>137.41071428571431</v>
      </c>
      <c r="O49" s="15">
        <f t="shared" si="4"/>
        <v>0</v>
      </c>
      <c r="P49" s="16">
        <f t="shared" si="5"/>
        <v>-5.4464285714285552</v>
      </c>
      <c r="Q49" s="519">
        <f t="shared" si="6"/>
        <v>0.96187500000000015</v>
      </c>
      <c r="R49" s="619"/>
      <c r="S49" s="31">
        <v>0.81458333333333333</v>
      </c>
      <c r="T49" s="31">
        <v>0.84791666666666665</v>
      </c>
      <c r="U49" s="514">
        <f t="shared" si="38"/>
        <v>5.9999999999999787</v>
      </c>
      <c r="V49" s="522">
        <f t="shared" si="37"/>
        <v>47.999999999999986</v>
      </c>
      <c r="W49" s="17"/>
      <c r="X49" s="17"/>
      <c r="Y49" s="20"/>
      <c r="Z49" s="20"/>
      <c r="AA49" s="614"/>
      <c r="AB49" s="615"/>
      <c r="AC49" s="19"/>
      <c r="AD49" s="19"/>
      <c r="AE49" s="15">
        <f t="shared" si="8"/>
        <v>-76.249999999999545</v>
      </c>
      <c r="AF49" s="519">
        <f t="shared" si="9"/>
        <v>0.96187500000000026</v>
      </c>
      <c r="AG49" s="619"/>
    </row>
    <row r="50" spans="1:33">
      <c r="A50" s="624" t="s">
        <v>2643</v>
      </c>
      <c r="B50" s="33" t="s">
        <v>2625</v>
      </c>
      <c r="C50" s="620"/>
      <c r="D50" s="620"/>
      <c r="E50" s="520"/>
      <c r="F50" s="34"/>
      <c r="G50" s="13"/>
      <c r="H50" s="523"/>
      <c r="I50" s="23">
        <v>18.25</v>
      </c>
      <c r="J50" s="30">
        <v>2000</v>
      </c>
      <c r="K50" s="13">
        <f t="shared" si="1"/>
        <v>109.58904109589041</v>
      </c>
      <c r="L50" s="23">
        <v>18.25</v>
      </c>
      <c r="M50" s="14">
        <f>AVERAGE(M42:M49)</f>
        <v>1930.7492204225755</v>
      </c>
      <c r="N50" s="13">
        <f t="shared" si="3"/>
        <v>105.794477831374</v>
      </c>
      <c r="O50" s="15">
        <f t="shared" si="4"/>
        <v>0</v>
      </c>
      <c r="P50" s="16">
        <f t="shared" si="5"/>
        <v>-3.7945632645164125</v>
      </c>
      <c r="Q50" s="519">
        <f t="shared" si="6"/>
        <v>0.96537461021128779</v>
      </c>
      <c r="R50" s="619"/>
      <c r="S50" s="31"/>
      <c r="T50" s="31"/>
      <c r="U50" s="514"/>
      <c r="V50" s="522"/>
      <c r="W50" s="13"/>
      <c r="X50" s="13"/>
      <c r="Y50" s="24">
        <f>SUM(Y42:Y49)</f>
        <v>0</v>
      </c>
      <c r="Z50" s="24">
        <f>SUM(Z42:Z49)</f>
        <v>0</v>
      </c>
      <c r="AA50" s="609"/>
      <c r="AB50" s="609"/>
      <c r="AC50" s="24">
        <v>8</v>
      </c>
      <c r="AD50" s="24">
        <f>SUM(AD42:AD49)</f>
        <v>0</v>
      </c>
      <c r="AE50" s="15">
        <f>M50-J50</f>
        <v>-69.25077957742451</v>
      </c>
      <c r="AF50" s="519">
        <f t="shared" si="9"/>
        <v>0.96537461021128779</v>
      </c>
      <c r="AG50" s="619"/>
    </row>
    <row r="51" spans="1:33" ht="15.75" customHeight="1">
      <c r="A51" s="621" t="s">
        <v>2644</v>
      </c>
      <c r="B51" s="523" t="s">
        <v>36</v>
      </c>
      <c r="C51" s="611" t="s">
        <v>46</v>
      </c>
      <c r="D51" s="611"/>
      <c r="E51" s="33">
        <v>35.119999999999997</v>
      </c>
      <c r="F51" s="35">
        <v>4362</v>
      </c>
      <c r="G51" s="514">
        <f t="shared" ref="G51:G55" si="40">E51*F51</f>
        <v>153193.44</v>
      </c>
      <c r="H51" s="527" t="s">
        <v>5</v>
      </c>
      <c r="I51" s="521">
        <v>10</v>
      </c>
      <c r="J51" s="30">
        <v>3000</v>
      </c>
      <c r="K51" s="13">
        <f t="shared" si="1"/>
        <v>300</v>
      </c>
      <c r="L51" s="521">
        <v>10</v>
      </c>
      <c r="M51" s="14">
        <f t="shared" ref="M51:M55" si="41">F51/V51*60</f>
        <v>2876.0439560439549</v>
      </c>
      <c r="N51" s="13">
        <f t="shared" si="3"/>
        <v>287.60439560439551</v>
      </c>
      <c r="O51" s="15">
        <f t="shared" si="4"/>
        <v>0</v>
      </c>
      <c r="P51" s="16">
        <f t="shared" si="5"/>
        <v>-12.395604395604494</v>
      </c>
      <c r="Q51" s="519">
        <f t="shared" si="6"/>
        <v>0.95868131868131834</v>
      </c>
      <c r="R51" s="619">
        <f>Q56</f>
        <v>0.95869502668859918</v>
      </c>
      <c r="S51" s="31">
        <v>0.20833333333333334</v>
      </c>
      <c r="T51" s="31">
        <v>0.27152777777777781</v>
      </c>
      <c r="U51" s="514"/>
      <c r="V51" s="522">
        <f t="shared" ref="V51:V55" si="42">(T51-S51)*24*60</f>
        <v>91.000000000000043</v>
      </c>
      <c r="W51" s="17"/>
      <c r="X51" s="17"/>
      <c r="Y51" s="22"/>
      <c r="Z51" s="22"/>
      <c r="AA51" s="610"/>
      <c r="AB51" s="610"/>
      <c r="AC51" s="19">
        <v>5</v>
      </c>
      <c r="AD51" s="19"/>
      <c r="AE51" s="15">
        <f t="shared" ref="AE51:AE64" si="43">M51-J51</f>
        <v>-123.95604395604505</v>
      </c>
      <c r="AF51" s="519">
        <f t="shared" si="9"/>
        <v>0.95868131868131834</v>
      </c>
      <c r="AG51" s="619">
        <f>AF56</f>
        <v>0.95869502668859907</v>
      </c>
    </row>
    <row r="52" spans="1:33" ht="15.75" customHeight="1">
      <c r="A52" s="621" t="s">
        <v>2644</v>
      </c>
      <c r="B52" s="523" t="s">
        <v>36</v>
      </c>
      <c r="C52" s="611" t="s">
        <v>47</v>
      </c>
      <c r="D52" s="611"/>
      <c r="E52" s="33">
        <v>26.78</v>
      </c>
      <c r="F52" s="35">
        <v>1952</v>
      </c>
      <c r="G52" s="514">
        <f t="shared" si="40"/>
        <v>52274.560000000005</v>
      </c>
      <c r="H52" s="527" t="s">
        <v>5</v>
      </c>
      <c r="I52" s="521">
        <v>10</v>
      </c>
      <c r="J52" s="30">
        <v>3000</v>
      </c>
      <c r="K52" s="13">
        <f t="shared" si="1"/>
        <v>300</v>
      </c>
      <c r="L52" s="521">
        <v>10</v>
      </c>
      <c r="M52" s="14">
        <f t="shared" si="41"/>
        <v>2856.5853658536575</v>
      </c>
      <c r="N52" s="13">
        <f t="shared" si="3"/>
        <v>285.65853658536577</v>
      </c>
      <c r="O52" s="15">
        <f t="shared" si="4"/>
        <v>0</v>
      </c>
      <c r="P52" s="16">
        <f t="shared" si="5"/>
        <v>-14.341463414634234</v>
      </c>
      <c r="Q52" s="519">
        <f t="shared" si="6"/>
        <v>0.95219512195121925</v>
      </c>
      <c r="R52" s="619"/>
      <c r="S52" s="31">
        <v>0.27638888888888891</v>
      </c>
      <c r="T52" s="31">
        <v>0.30486111111111114</v>
      </c>
      <c r="U52" s="514">
        <f t="shared" ref="U52:U55" si="44">(S52-T51)*24*60</f>
        <v>6.9999999999999751</v>
      </c>
      <c r="V52" s="522">
        <f t="shared" si="42"/>
        <v>41.000000000000014</v>
      </c>
      <c r="W52" s="514"/>
      <c r="X52" s="514"/>
      <c r="Y52" s="514"/>
      <c r="Z52" s="514"/>
      <c r="AA52" s="610"/>
      <c r="AB52" s="610"/>
      <c r="AC52" s="19"/>
      <c r="AD52" s="19"/>
      <c r="AE52" s="15">
        <f t="shared" si="43"/>
        <v>-143.41463414634245</v>
      </c>
      <c r="AF52" s="519">
        <f t="shared" si="9"/>
        <v>0.95219512195121914</v>
      </c>
      <c r="AG52" s="619"/>
    </row>
    <row r="53" spans="1:33" ht="15.75" customHeight="1">
      <c r="A53" s="621" t="s">
        <v>2644</v>
      </c>
      <c r="B53" s="523" t="s">
        <v>36</v>
      </c>
      <c r="C53" s="611" t="s">
        <v>49</v>
      </c>
      <c r="D53" s="611"/>
      <c r="E53" s="33">
        <v>35.869999999999997</v>
      </c>
      <c r="F53" s="35">
        <v>2423</v>
      </c>
      <c r="G53" s="514">
        <f t="shared" si="40"/>
        <v>86913.01</v>
      </c>
      <c r="H53" s="527" t="s">
        <v>5</v>
      </c>
      <c r="I53" s="521">
        <v>10</v>
      </c>
      <c r="J53" s="30">
        <v>3000</v>
      </c>
      <c r="K53" s="13">
        <f t="shared" si="1"/>
        <v>300</v>
      </c>
      <c r="L53" s="521">
        <v>10</v>
      </c>
      <c r="M53" s="14">
        <f t="shared" si="41"/>
        <v>2907.6000000000008</v>
      </c>
      <c r="N53" s="13">
        <f t="shared" si="3"/>
        <v>290.7600000000001</v>
      </c>
      <c r="O53" s="15">
        <f t="shared" si="4"/>
        <v>0</v>
      </c>
      <c r="P53" s="16">
        <f t="shared" si="5"/>
        <v>-9.2399999999998954</v>
      </c>
      <c r="Q53" s="519">
        <f t="shared" si="6"/>
        <v>0.96920000000000039</v>
      </c>
      <c r="R53" s="619"/>
      <c r="S53" s="31">
        <v>0.31041666666666667</v>
      </c>
      <c r="T53" s="31">
        <v>0.34513888888888888</v>
      </c>
      <c r="U53" s="514">
        <f t="shared" si="44"/>
        <v>7.9999999999999716</v>
      </c>
      <c r="V53" s="522">
        <f t="shared" si="42"/>
        <v>49.999999999999986</v>
      </c>
      <c r="W53" s="514"/>
      <c r="X53" s="514"/>
      <c r="Y53" s="514"/>
      <c r="Z53" s="514"/>
      <c r="AA53" s="610"/>
      <c r="AB53" s="610"/>
      <c r="AC53" s="19"/>
      <c r="AD53" s="19"/>
      <c r="AE53" s="15">
        <f t="shared" si="43"/>
        <v>-92.399999999999181</v>
      </c>
      <c r="AF53" s="519">
        <f t="shared" si="9"/>
        <v>0.96920000000000028</v>
      </c>
      <c r="AG53" s="619"/>
    </row>
    <row r="54" spans="1:33" ht="15.75" customHeight="1">
      <c r="A54" s="621" t="s">
        <v>2645</v>
      </c>
      <c r="B54" s="523" t="s">
        <v>36</v>
      </c>
      <c r="C54" s="611" t="s">
        <v>39</v>
      </c>
      <c r="D54" s="611"/>
      <c r="E54" s="33">
        <v>35.869999999999997</v>
      </c>
      <c r="F54" s="35">
        <v>863</v>
      </c>
      <c r="G54" s="514">
        <f t="shared" si="40"/>
        <v>30955.809999999998</v>
      </c>
      <c r="H54" s="527" t="s">
        <v>5</v>
      </c>
      <c r="I54" s="521">
        <v>9</v>
      </c>
      <c r="J54" s="30">
        <v>3000</v>
      </c>
      <c r="K54" s="13">
        <f t="shared" si="1"/>
        <v>333.33333333333331</v>
      </c>
      <c r="L54" s="521">
        <v>9</v>
      </c>
      <c r="M54" s="14">
        <f t="shared" si="41"/>
        <v>2876.6666666666642</v>
      </c>
      <c r="N54" s="13">
        <f t="shared" si="3"/>
        <v>319.62962962962933</v>
      </c>
      <c r="O54" s="15">
        <f t="shared" si="4"/>
        <v>0</v>
      </c>
      <c r="P54" s="16">
        <f t="shared" si="5"/>
        <v>-13.703703703703979</v>
      </c>
      <c r="Q54" s="519">
        <f t="shared" si="6"/>
        <v>0.95888888888888801</v>
      </c>
      <c r="R54" s="619"/>
      <c r="S54" s="31">
        <v>0.34930555555555554</v>
      </c>
      <c r="T54" s="31">
        <v>0.36180555555555555</v>
      </c>
      <c r="U54" s="514">
        <f t="shared" si="44"/>
        <v>5.9999999999999787</v>
      </c>
      <c r="V54" s="522">
        <f t="shared" si="42"/>
        <v>18.000000000000014</v>
      </c>
      <c r="W54" s="514"/>
      <c r="X54" s="514"/>
      <c r="Y54" s="514"/>
      <c r="Z54" s="514"/>
      <c r="AA54" s="610"/>
      <c r="AB54" s="610"/>
      <c r="AC54" s="19"/>
      <c r="AD54" s="19"/>
      <c r="AE54" s="15">
        <f t="shared" si="43"/>
        <v>-123.33333333333576</v>
      </c>
      <c r="AF54" s="519">
        <f t="shared" si="9"/>
        <v>0.95888888888888812</v>
      </c>
      <c r="AG54" s="619"/>
    </row>
    <row r="55" spans="1:33">
      <c r="A55" s="622" t="s">
        <v>2644</v>
      </c>
      <c r="B55" s="523" t="s">
        <v>36</v>
      </c>
      <c r="C55" s="611" t="s">
        <v>74</v>
      </c>
      <c r="D55" s="611"/>
      <c r="E55" s="33">
        <v>33.770000000000003</v>
      </c>
      <c r="F55" s="35">
        <v>2434</v>
      </c>
      <c r="G55" s="514">
        <f t="shared" si="40"/>
        <v>82196.180000000008</v>
      </c>
      <c r="H55" s="527" t="s">
        <v>5</v>
      </c>
      <c r="I55" s="521">
        <v>12</v>
      </c>
      <c r="J55" s="30">
        <v>3000</v>
      </c>
      <c r="K55" s="13">
        <f t="shared" si="1"/>
        <v>250</v>
      </c>
      <c r="L55" s="521">
        <v>12</v>
      </c>
      <c r="M55" s="14">
        <f t="shared" si="41"/>
        <v>2863.5294117647072</v>
      </c>
      <c r="N55" s="13">
        <f t="shared" si="3"/>
        <v>238.62745098039227</v>
      </c>
      <c r="O55" s="15">
        <f t="shared" si="4"/>
        <v>0</v>
      </c>
      <c r="P55" s="16">
        <f t="shared" si="5"/>
        <v>-11.372549019607732</v>
      </c>
      <c r="Q55" s="519">
        <f t="shared" si="6"/>
        <v>0.95450980392156903</v>
      </c>
      <c r="R55" s="619"/>
      <c r="S55" s="31">
        <v>0.36666666666666664</v>
      </c>
      <c r="T55" s="31">
        <v>0.40208333333333329</v>
      </c>
      <c r="U55" s="514">
        <f t="shared" si="44"/>
        <v>6.9999999999999751</v>
      </c>
      <c r="V55" s="522">
        <f t="shared" si="42"/>
        <v>50.999999999999979</v>
      </c>
      <c r="W55" s="17"/>
      <c r="X55" s="17"/>
      <c r="Y55" s="17"/>
      <c r="Z55" s="17"/>
      <c r="AA55" s="610"/>
      <c r="AB55" s="610"/>
      <c r="AC55" s="19"/>
      <c r="AD55" s="19"/>
      <c r="AE55" s="15">
        <f t="shared" si="43"/>
        <v>-136.47058823529278</v>
      </c>
      <c r="AF55" s="519">
        <f t="shared" si="9"/>
        <v>0.95450980392156903</v>
      </c>
      <c r="AG55" s="619"/>
    </row>
    <row r="56" spans="1:33">
      <c r="A56" s="622" t="s">
        <v>2645</v>
      </c>
      <c r="B56" s="33" t="s">
        <v>2641</v>
      </c>
      <c r="C56" s="620"/>
      <c r="D56" s="620"/>
      <c r="E56" s="520"/>
      <c r="F56" s="34"/>
      <c r="G56" s="13"/>
      <c r="H56" s="523"/>
      <c r="I56" s="23">
        <v>10.199999999999999</v>
      </c>
      <c r="J56" s="30">
        <v>3000</v>
      </c>
      <c r="K56" s="13">
        <f t="shared" si="1"/>
        <v>294.11764705882354</v>
      </c>
      <c r="L56" s="23">
        <v>10.199999999999999</v>
      </c>
      <c r="M56" s="14">
        <f>AVERAGE(M51:M55)</f>
        <v>2876.0850800657972</v>
      </c>
      <c r="N56" s="13">
        <f t="shared" si="3"/>
        <v>281.96912549664683</v>
      </c>
      <c r="O56" s="15">
        <f t="shared" si="4"/>
        <v>0</v>
      </c>
      <c r="P56" s="16">
        <f t="shared" si="5"/>
        <v>-12.148521562176711</v>
      </c>
      <c r="Q56" s="519">
        <f t="shared" si="6"/>
        <v>0.95869502668859918</v>
      </c>
      <c r="R56" s="619"/>
      <c r="S56" s="31"/>
      <c r="T56" s="31"/>
      <c r="U56" s="13"/>
      <c r="V56" s="522"/>
      <c r="W56" s="13"/>
      <c r="X56" s="13"/>
      <c r="Y56" s="24">
        <f>SUM(Y51:Y55)</f>
        <v>0</v>
      </c>
      <c r="Z56" s="24">
        <f>SUM(Z51:Z55)</f>
        <v>0</v>
      </c>
      <c r="AA56" s="609"/>
      <c r="AB56" s="609"/>
      <c r="AC56" s="24">
        <v>5</v>
      </c>
      <c r="AD56" s="24">
        <f>SUM(AD51:AD55)</f>
        <v>0</v>
      </c>
      <c r="AE56" s="15">
        <f t="shared" si="43"/>
        <v>-123.91491993420277</v>
      </c>
      <c r="AF56" s="519">
        <f t="shared" si="9"/>
        <v>0.95869502668859907</v>
      </c>
      <c r="AG56" s="619"/>
    </row>
    <row r="57" spans="1:33" ht="15.75" customHeight="1">
      <c r="A57" s="616" t="s">
        <v>2646</v>
      </c>
      <c r="B57" s="523" t="s">
        <v>27</v>
      </c>
      <c r="C57" s="611" t="s">
        <v>50</v>
      </c>
      <c r="D57" s="611"/>
      <c r="E57" s="33">
        <v>19.02</v>
      </c>
      <c r="F57" s="523">
        <v>8504</v>
      </c>
      <c r="G57" s="514">
        <f t="shared" ref="G57:G63" si="45">E57*F57</f>
        <v>161746.07999999999</v>
      </c>
      <c r="H57" s="527" t="s">
        <v>5</v>
      </c>
      <c r="I57" s="521">
        <v>14</v>
      </c>
      <c r="J57" s="30">
        <v>2400</v>
      </c>
      <c r="K57" s="13">
        <f t="shared" si="1"/>
        <v>171.42857142857142</v>
      </c>
      <c r="L57" s="521">
        <v>14</v>
      </c>
      <c r="M57" s="14">
        <f t="shared" ref="M57:M63" si="46">F57/V57*60</f>
        <v>2288.0717488789237</v>
      </c>
      <c r="N57" s="13">
        <f t="shared" si="3"/>
        <v>163.43369634849455</v>
      </c>
      <c r="O57" s="15">
        <f t="shared" si="4"/>
        <v>0</v>
      </c>
      <c r="P57" s="16">
        <f t="shared" si="5"/>
        <v>-7.9948750800768664</v>
      </c>
      <c r="Q57" s="519">
        <f t="shared" si="6"/>
        <v>0.95336322869955159</v>
      </c>
      <c r="R57" s="619">
        <f>Q64</f>
        <v>0.96102897550883681</v>
      </c>
      <c r="S57" s="31">
        <v>8.3333333333333329E-2</v>
      </c>
      <c r="T57" s="31">
        <v>0.23819444444444443</v>
      </c>
      <c r="U57" s="22"/>
      <c r="V57" s="522">
        <f t="shared" ref="V57:V63" si="47">(T57-S57)*24*60</f>
        <v>223</v>
      </c>
      <c r="W57" s="17">
        <f>T57</f>
        <v>0.23819444444444443</v>
      </c>
      <c r="X57" s="17">
        <f>S58</f>
        <v>0.25624999999999998</v>
      </c>
      <c r="Y57" s="17"/>
      <c r="Z57" s="17"/>
      <c r="AA57" s="610"/>
      <c r="AB57" s="610"/>
      <c r="AC57" s="19">
        <v>7</v>
      </c>
      <c r="AD57" s="19"/>
      <c r="AE57" s="15">
        <f t="shared" si="43"/>
        <v>-111.9282511210763</v>
      </c>
      <c r="AF57" s="519">
        <f t="shared" si="9"/>
        <v>0.95336322869955159</v>
      </c>
      <c r="AG57" s="619">
        <f>AF64</f>
        <v>0.96102897550883692</v>
      </c>
    </row>
    <row r="58" spans="1:33" ht="15.75" customHeight="1">
      <c r="A58" s="617" t="s">
        <v>2647</v>
      </c>
      <c r="B58" s="523" t="s">
        <v>27</v>
      </c>
      <c r="C58" s="611" t="s">
        <v>51</v>
      </c>
      <c r="D58" s="611"/>
      <c r="E58" s="33">
        <v>20.36</v>
      </c>
      <c r="F58" s="523">
        <v>3163</v>
      </c>
      <c r="G58" s="514">
        <f t="shared" si="45"/>
        <v>64398.68</v>
      </c>
      <c r="H58" s="527" t="s">
        <v>5</v>
      </c>
      <c r="I58" s="521">
        <v>17</v>
      </c>
      <c r="J58" s="30">
        <v>2400</v>
      </c>
      <c r="K58" s="13">
        <f t="shared" si="1"/>
        <v>141.1764705882353</v>
      </c>
      <c r="L58" s="521">
        <v>17</v>
      </c>
      <c r="M58" s="14">
        <f t="shared" si="46"/>
        <v>2286.5060240963849</v>
      </c>
      <c r="N58" s="13">
        <f t="shared" si="3"/>
        <v>134.50035435861088</v>
      </c>
      <c r="O58" s="15">
        <f t="shared" si="4"/>
        <v>0</v>
      </c>
      <c r="P58" s="16">
        <f t="shared" si="5"/>
        <v>-6.6761162296244265</v>
      </c>
      <c r="Q58" s="519">
        <f t="shared" si="6"/>
        <v>0.95271084337349365</v>
      </c>
      <c r="R58" s="619"/>
      <c r="S58" s="31">
        <v>0.25624999999999998</v>
      </c>
      <c r="T58" s="31">
        <v>0.31388888888888888</v>
      </c>
      <c r="U58" s="514">
        <f t="shared" ref="U58:U63" si="48">(S58-T57)*24*60</f>
        <v>25.999999999999986</v>
      </c>
      <c r="V58" s="522">
        <f t="shared" si="47"/>
        <v>83.000000000000028</v>
      </c>
      <c r="W58" s="17"/>
      <c r="X58" s="17"/>
      <c r="Y58" s="17"/>
      <c r="Z58" s="17"/>
      <c r="AA58" s="610"/>
      <c r="AB58" s="610"/>
      <c r="AC58" s="19"/>
      <c r="AD58" s="19"/>
      <c r="AE58" s="15">
        <f t="shared" si="43"/>
        <v>-113.49397590361514</v>
      </c>
      <c r="AF58" s="519">
        <f t="shared" si="9"/>
        <v>0.95271084337349365</v>
      </c>
      <c r="AG58" s="619"/>
    </row>
    <row r="59" spans="1:33" ht="15.75" customHeight="1">
      <c r="A59" s="617" t="s">
        <v>2646</v>
      </c>
      <c r="B59" s="523" t="s">
        <v>27</v>
      </c>
      <c r="C59" s="611" t="s">
        <v>876</v>
      </c>
      <c r="D59" s="611"/>
      <c r="E59" s="33">
        <v>23.8</v>
      </c>
      <c r="F59" s="523">
        <v>2150</v>
      </c>
      <c r="G59" s="514">
        <f t="shared" si="45"/>
        <v>51170</v>
      </c>
      <c r="H59" s="527" t="s">
        <v>5</v>
      </c>
      <c r="I59" s="521">
        <v>16</v>
      </c>
      <c r="J59" s="30">
        <v>2400</v>
      </c>
      <c r="K59" s="13">
        <f t="shared" si="1"/>
        <v>150</v>
      </c>
      <c r="L59" s="521">
        <v>16</v>
      </c>
      <c r="M59" s="14">
        <f t="shared" si="46"/>
        <v>2303.5714285714303</v>
      </c>
      <c r="N59" s="13">
        <f t="shared" si="3"/>
        <v>143.97321428571439</v>
      </c>
      <c r="O59" s="15">
        <f t="shared" si="4"/>
        <v>0</v>
      </c>
      <c r="P59" s="16">
        <f t="shared" si="5"/>
        <v>-6.0267857142856087</v>
      </c>
      <c r="Q59" s="519">
        <f t="shared" si="6"/>
        <v>0.95982142857142927</v>
      </c>
      <c r="R59" s="619"/>
      <c r="S59" s="31">
        <v>0.31736111111111109</v>
      </c>
      <c r="T59" s="31">
        <v>0.35624999999999996</v>
      </c>
      <c r="U59" s="514">
        <f t="shared" si="48"/>
        <v>4.9999999999999822</v>
      </c>
      <c r="V59" s="522">
        <f t="shared" si="47"/>
        <v>55.999999999999957</v>
      </c>
      <c r="W59" s="17"/>
      <c r="X59" s="17"/>
      <c r="Y59" s="17"/>
      <c r="Z59" s="17"/>
      <c r="AA59" s="610"/>
      <c r="AB59" s="610"/>
      <c r="AC59" s="19"/>
      <c r="AD59" s="19"/>
      <c r="AE59" s="15">
        <f t="shared" si="43"/>
        <v>-96.42857142856974</v>
      </c>
      <c r="AF59" s="519">
        <f t="shared" si="9"/>
        <v>0.95982142857142927</v>
      </c>
      <c r="AG59" s="619"/>
    </row>
    <row r="60" spans="1:33" ht="15.75" customHeight="1">
      <c r="A60" s="617" t="s">
        <v>2647</v>
      </c>
      <c r="B60" s="523" t="s">
        <v>27</v>
      </c>
      <c r="C60" s="611" t="s">
        <v>31</v>
      </c>
      <c r="D60" s="611"/>
      <c r="E60" s="33">
        <v>25.99</v>
      </c>
      <c r="F60" s="523">
        <v>891</v>
      </c>
      <c r="G60" s="514">
        <f t="shared" si="45"/>
        <v>23157.09</v>
      </c>
      <c r="H60" s="527" t="s">
        <v>5</v>
      </c>
      <c r="I60" s="521">
        <v>18</v>
      </c>
      <c r="J60" s="30">
        <v>2400</v>
      </c>
      <c r="K60" s="13">
        <f t="shared" si="1"/>
        <v>133.33333333333334</v>
      </c>
      <c r="L60" s="521">
        <v>18</v>
      </c>
      <c r="M60" s="14">
        <f t="shared" si="46"/>
        <v>2324.3478260869565</v>
      </c>
      <c r="N60" s="13">
        <f t="shared" si="3"/>
        <v>129.13043478260869</v>
      </c>
      <c r="O60" s="15">
        <f t="shared" si="4"/>
        <v>0</v>
      </c>
      <c r="P60" s="16">
        <f t="shared" si="5"/>
        <v>-4.2028985507246546</v>
      </c>
      <c r="Q60" s="519">
        <f t="shared" si="6"/>
        <v>0.96847826086956512</v>
      </c>
      <c r="R60" s="619"/>
      <c r="S60" s="31">
        <v>0.35972222222222217</v>
      </c>
      <c r="T60" s="31">
        <v>0.37569444444444439</v>
      </c>
      <c r="U60" s="514">
        <f t="shared" si="48"/>
        <v>4.9999999999999822</v>
      </c>
      <c r="V60" s="522">
        <f t="shared" si="47"/>
        <v>23</v>
      </c>
      <c r="W60" s="17"/>
      <c r="X60" s="17"/>
      <c r="Y60" s="17"/>
      <c r="Z60" s="17"/>
      <c r="AA60" s="610"/>
      <c r="AB60" s="610"/>
      <c r="AC60" s="19"/>
      <c r="AD60" s="19"/>
      <c r="AE60" s="15">
        <f t="shared" si="43"/>
        <v>-75.652173913043498</v>
      </c>
      <c r="AF60" s="519">
        <f t="shared" si="9"/>
        <v>0.96847826086956523</v>
      </c>
      <c r="AG60" s="619"/>
    </row>
    <row r="61" spans="1:33" ht="15.75" customHeight="1">
      <c r="A61" s="617" t="s">
        <v>2646</v>
      </c>
      <c r="B61" s="523" t="s">
        <v>27</v>
      </c>
      <c r="C61" s="611" t="s">
        <v>53</v>
      </c>
      <c r="D61" s="611"/>
      <c r="E61" s="33">
        <v>28.29</v>
      </c>
      <c r="F61" s="523">
        <v>2009</v>
      </c>
      <c r="G61" s="514">
        <f t="shared" si="45"/>
        <v>56834.61</v>
      </c>
      <c r="H61" s="527" t="s">
        <v>5</v>
      </c>
      <c r="I61" s="521">
        <v>19</v>
      </c>
      <c r="J61" s="30">
        <v>2400</v>
      </c>
      <c r="K61" s="13">
        <f t="shared" si="1"/>
        <v>126.31578947368421</v>
      </c>
      <c r="L61" s="521">
        <v>19</v>
      </c>
      <c r="M61" s="14">
        <f t="shared" si="46"/>
        <v>2318.0769230769247</v>
      </c>
      <c r="N61" s="13">
        <f t="shared" si="3"/>
        <v>122.00404858299603</v>
      </c>
      <c r="O61" s="15">
        <f t="shared" si="4"/>
        <v>0</v>
      </c>
      <c r="P61" s="16">
        <f t="shared" si="5"/>
        <v>-4.3117408906881707</v>
      </c>
      <c r="Q61" s="519">
        <f t="shared" si="6"/>
        <v>0.96586538461538529</v>
      </c>
      <c r="R61" s="619"/>
      <c r="S61" s="31">
        <v>0.37986111111111104</v>
      </c>
      <c r="T61" s="31">
        <v>0.41597222222222213</v>
      </c>
      <c r="U61" s="514">
        <f t="shared" si="48"/>
        <v>5.9999999999999787</v>
      </c>
      <c r="V61" s="522">
        <f t="shared" si="47"/>
        <v>51.999999999999972</v>
      </c>
      <c r="W61" s="17"/>
      <c r="X61" s="17"/>
      <c r="Y61" s="17"/>
      <c r="Z61" s="17"/>
      <c r="AA61" s="610"/>
      <c r="AB61" s="610"/>
      <c r="AC61" s="19"/>
      <c r="AD61" s="19"/>
      <c r="AE61" s="15">
        <f t="shared" si="43"/>
        <v>-81.923076923075314</v>
      </c>
      <c r="AF61" s="519">
        <f t="shared" si="9"/>
        <v>0.96586538461538529</v>
      </c>
      <c r="AG61" s="619"/>
    </row>
    <row r="62" spans="1:33" ht="15.75" customHeight="1">
      <c r="A62" s="617" t="s">
        <v>2647</v>
      </c>
      <c r="B62" s="523" t="s">
        <v>27</v>
      </c>
      <c r="C62" s="611" t="s">
        <v>52</v>
      </c>
      <c r="D62" s="611"/>
      <c r="E62" s="33">
        <v>25.98</v>
      </c>
      <c r="F62" s="523">
        <v>1241</v>
      </c>
      <c r="G62" s="514">
        <f t="shared" si="45"/>
        <v>32241.18</v>
      </c>
      <c r="H62" s="527" t="s">
        <v>5</v>
      </c>
      <c r="I62" s="521">
        <v>17</v>
      </c>
      <c r="J62" s="30">
        <v>2400</v>
      </c>
      <c r="K62" s="13">
        <f t="shared" si="1"/>
        <v>141.1764705882353</v>
      </c>
      <c r="L62" s="521">
        <v>17</v>
      </c>
      <c r="M62" s="14">
        <f t="shared" si="46"/>
        <v>2326.8750000000027</v>
      </c>
      <c r="N62" s="13">
        <f t="shared" si="3"/>
        <v>136.87500000000017</v>
      </c>
      <c r="O62" s="15">
        <f t="shared" si="4"/>
        <v>0</v>
      </c>
      <c r="P62" s="16">
        <f t="shared" si="5"/>
        <v>-4.3014705882351336</v>
      </c>
      <c r="Q62" s="519">
        <f t="shared" si="6"/>
        <v>0.96953125000000118</v>
      </c>
      <c r="R62" s="619"/>
      <c r="S62" s="31">
        <v>0.42083333333333323</v>
      </c>
      <c r="T62" s="31">
        <v>0.44305555555555542</v>
      </c>
      <c r="U62" s="514">
        <f t="shared" si="48"/>
        <v>6.9999999999999751</v>
      </c>
      <c r="V62" s="522">
        <f t="shared" si="47"/>
        <v>31.999999999999964</v>
      </c>
      <c r="W62" s="17"/>
      <c r="X62" s="17"/>
      <c r="Y62" s="17"/>
      <c r="Z62" s="17"/>
      <c r="AA62" s="610"/>
      <c r="AB62" s="610"/>
      <c r="AC62" s="19"/>
      <c r="AD62" s="19"/>
      <c r="AE62" s="15">
        <f t="shared" si="43"/>
        <v>-73.124999999997272</v>
      </c>
      <c r="AF62" s="519">
        <f t="shared" si="9"/>
        <v>0.96953125000000118</v>
      </c>
      <c r="AG62" s="619"/>
    </row>
    <row r="63" spans="1:33" ht="15.75" customHeight="1">
      <c r="A63" s="617" t="s">
        <v>2647</v>
      </c>
      <c r="B63" s="523" t="s">
        <v>27</v>
      </c>
      <c r="C63" s="612" t="s">
        <v>32</v>
      </c>
      <c r="D63" s="613"/>
      <c r="E63" s="33">
        <v>25.99</v>
      </c>
      <c r="F63" s="523">
        <v>2834</v>
      </c>
      <c r="G63" s="514">
        <f t="shared" si="45"/>
        <v>73655.659999999989</v>
      </c>
      <c r="H63" s="527" t="s">
        <v>5</v>
      </c>
      <c r="I63" s="521">
        <v>14</v>
      </c>
      <c r="J63" s="30">
        <v>2400</v>
      </c>
      <c r="K63" s="13">
        <f t="shared" si="1"/>
        <v>171.42857142857142</v>
      </c>
      <c r="L63" s="521">
        <v>14</v>
      </c>
      <c r="M63" s="14">
        <f t="shared" si="46"/>
        <v>2297.8378378378388</v>
      </c>
      <c r="N63" s="13">
        <f t="shared" si="3"/>
        <v>164.13127413127421</v>
      </c>
      <c r="O63" s="15">
        <f t="shared" si="4"/>
        <v>0</v>
      </c>
      <c r="P63" s="16">
        <f t="shared" si="5"/>
        <v>-7.2972972972972059</v>
      </c>
      <c r="Q63" s="519">
        <f t="shared" si="6"/>
        <v>0.95743243243243292</v>
      </c>
      <c r="R63" s="619"/>
      <c r="S63" s="31">
        <v>0.44722222222222208</v>
      </c>
      <c r="T63" s="31">
        <v>0.49861111111111095</v>
      </c>
      <c r="U63" s="514">
        <f t="shared" si="48"/>
        <v>5.9999999999999787</v>
      </c>
      <c r="V63" s="522">
        <f t="shared" si="47"/>
        <v>73.999999999999972</v>
      </c>
      <c r="W63" s="17"/>
      <c r="X63" s="17"/>
      <c r="Y63" s="20"/>
      <c r="Z63" s="20"/>
      <c r="AA63" s="614"/>
      <c r="AB63" s="615"/>
      <c r="AC63" s="19"/>
      <c r="AD63" s="19"/>
      <c r="AE63" s="15">
        <f t="shared" si="43"/>
        <v>-102.16216216216117</v>
      </c>
      <c r="AF63" s="519">
        <f t="shared" si="9"/>
        <v>0.95743243243243281</v>
      </c>
      <c r="AG63" s="619"/>
    </row>
    <row r="64" spans="1:33" ht="16.5" customHeight="1">
      <c r="A64" s="618" t="s">
        <v>2646</v>
      </c>
      <c r="B64" s="33" t="s">
        <v>2625</v>
      </c>
      <c r="C64" s="607"/>
      <c r="D64" s="608"/>
      <c r="E64" s="520"/>
      <c r="F64" s="34"/>
      <c r="G64" s="13"/>
      <c r="H64" s="523"/>
      <c r="I64" s="23">
        <v>16.428571428571427</v>
      </c>
      <c r="J64" s="30">
        <v>2400</v>
      </c>
      <c r="K64" s="13">
        <f t="shared" si="1"/>
        <v>146.08695652173915</v>
      </c>
      <c r="L64" s="23">
        <v>16.428571428571427</v>
      </c>
      <c r="M64" s="14">
        <f>AVERAGE(M57:M63)</f>
        <v>2306.4695412212086</v>
      </c>
      <c r="N64" s="13">
        <f t="shared" si="3"/>
        <v>140.39379816129096</v>
      </c>
      <c r="O64" s="15">
        <f t="shared" si="4"/>
        <v>0</v>
      </c>
      <c r="P64" s="16">
        <f t="shared" si="5"/>
        <v>-5.6931583604481943</v>
      </c>
      <c r="Q64" s="519">
        <f t="shared" si="6"/>
        <v>0.96102897550883681</v>
      </c>
      <c r="R64" s="619"/>
      <c r="S64" s="31"/>
      <c r="T64" s="31"/>
      <c r="U64" s="13"/>
      <c r="V64" s="522"/>
      <c r="W64" s="13"/>
      <c r="X64" s="13"/>
      <c r="Y64" s="24">
        <f>SUM(Y57:Y63)</f>
        <v>0</v>
      </c>
      <c r="Z64" s="24">
        <f>SUM(Z57:Z63)</f>
        <v>0</v>
      </c>
      <c r="AA64" s="609"/>
      <c r="AB64" s="609"/>
      <c r="AC64" s="24">
        <v>7</v>
      </c>
      <c r="AD64" s="24">
        <f>SUM(AD57:AD63)</f>
        <v>0</v>
      </c>
      <c r="AE64" s="15">
        <f t="shared" si="43"/>
        <v>-93.530458778791399</v>
      </c>
      <c r="AF64" s="519">
        <f t="shared" si="9"/>
        <v>0.96102897550883692</v>
      </c>
      <c r="AG64" s="619"/>
    </row>
    <row r="65" spans="4:5">
      <c r="D65" s="25"/>
      <c r="E65" s="25"/>
    </row>
  </sheetData>
  <mergeCells count="179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19:A26"/>
    <mergeCell ref="C19:D19"/>
    <mergeCell ref="R19:R26"/>
    <mergeCell ref="AA19:AB19"/>
    <mergeCell ref="AA24:AB24"/>
    <mergeCell ref="C25:D25"/>
    <mergeCell ref="A12:A18"/>
    <mergeCell ref="AA25:AB25"/>
    <mergeCell ref="C26:D26"/>
    <mergeCell ref="AA26:AB26"/>
    <mergeCell ref="A27:A31"/>
    <mergeCell ref="C27:D27"/>
    <mergeCell ref="R27:R31"/>
    <mergeCell ref="AA27:AB27"/>
    <mergeCell ref="AG19:AG26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G32:AG37"/>
    <mergeCell ref="C33:D33"/>
    <mergeCell ref="AA33:AB33"/>
    <mergeCell ref="C34:D34"/>
    <mergeCell ref="AA34:AB34"/>
    <mergeCell ref="C35:D35"/>
    <mergeCell ref="AG27:AG31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AA35:AB35"/>
    <mergeCell ref="C36:D36"/>
    <mergeCell ref="AA36:AB36"/>
    <mergeCell ref="C37:D37"/>
    <mergeCell ref="AA37:AB37"/>
    <mergeCell ref="A38:A41"/>
    <mergeCell ref="C38:D38"/>
    <mergeCell ref="R38:R41"/>
    <mergeCell ref="AA38:AB38"/>
    <mergeCell ref="A32:A37"/>
    <mergeCell ref="C32:D32"/>
    <mergeCell ref="R32:R37"/>
    <mergeCell ref="AA32:AB32"/>
    <mergeCell ref="AG42:AG50"/>
    <mergeCell ref="C43:D43"/>
    <mergeCell ref="AA43:AB43"/>
    <mergeCell ref="C44:D44"/>
    <mergeCell ref="AA44:AB44"/>
    <mergeCell ref="AA45:AB45"/>
    <mergeCell ref="AG38:AG41"/>
    <mergeCell ref="C39:D39"/>
    <mergeCell ref="AA39:AB39"/>
    <mergeCell ref="C40:D40"/>
    <mergeCell ref="AA40:AB40"/>
    <mergeCell ref="C41:D41"/>
    <mergeCell ref="AA41:AB41"/>
    <mergeCell ref="C50:D50"/>
    <mergeCell ref="AA50:AB50"/>
    <mergeCell ref="A51:A56"/>
    <mergeCell ref="C51:D51"/>
    <mergeCell ref="R51:R56"/>
    <mergeCell ref="AA51:AB51"/>
    <mergeCell ref="AA56:AB56"/>
    <mergeCell ref="AA46:AB46"/>
    <mergeCell ref="C47:D47"/>
    <mergeCell ref="AA47:AB47"/>
    <mergeCell ref="C48:D48"/>
    <mergeCell ref="AA48:AB48"/>
    <mergeCell ref="C49:D49"/>
    <mergeCell ref="AA49:AB49"/>
    <mergeCell ref="A42:A50"/>
    <mergeCell ref="C42:D42"/>
    <mergeCell ref="R42:R50"/>
    <mergeCell ref="AA42:AB42"/>
    <mergeCell ref="AG51:AG56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57:A64"/>
    <mergeCell ref="C57:D57"/>
    <mergeCell ref="R57:R64"/>
    <mergeCell ref="AA57:AB57"/>
    <mergeCell ref="AG57:AG64"/>
    <mergeCell ref="C58:D58"/>
    <mergeCell ref="AA58:AB58"/>
    <mergeCell ref="C59:D59"/>
    <mergeCell ref="AA59:AB59"/>
    <mergeCell ref="C60:D60"/>
    <mergeCell ref="C64:D64"/>
    <mergeCell ref="AA64:AB64"/>
    <mergeCell ref="AA60:AB60"/>
    <mergeCell ref="C61:D61"/>
    <mergeCell ref="AA61:AB61"/>
    <mergeCell ref="C62:D62"/>
    <mergeCell ref="AA62:AB62"/>
    <mergeCell ref="C63:D63"/>
    <mergeCell ref="AA63:AB63"/>
  </mergeCells>
  <phoneticPr fontId="3" type="noConversion"/>
  <conditionalFormatting sqref="O54:O62 O50:O51 O64 O5:O9 O11:O13 O18:O47">
    <cfRule type="cellIs" dxfId="2124" priority="53" operator="greaterThan">
      <formula>0</formula>
    </cfRule>
  </conditionalFormatting>
  <conditionalFormatting sqref="P5:P7 P54:P55 AE54:AE55 P57:P62 P27:P30 P51 P9 P11:P13 P19:P25 P42:P47 P32:P40 AE5:AE51 AE57:AE64">
    <cfRule type="cellIs" dxfId="2123" priority="57" operator="lessThan">
      <formula>0</formula>
    </cfRule>
  </conditionalFormatting>
  <conditionalFormatting sqref="AF54:AF55 Q54:Q62 Q50:Q51 Q64 Q5:Q9 Q11:Q13 Q18:Q47 AF5:AF51 AF57:AF64">
    <cfRule type="cellIs" dxfId="2122" priority="54" operator="greaterThan">
      <formula>1</formula>
    </cfRule>
    <cfRule type="cellIs" dxfId="2121" priority="55" operator="lessThan">
      <formula>0.8</formula>
    </cfRule>
  </conditionalFormatting>
  <conditionalFormatting sqref="AG12:AG13 R12:R13 AG54 R54:R62 R18:R24 AG18:AG24 AG50:AG51 R50:R51 R64 AG5:AG9 R5:R9 AG26:AG47 R26:R47">
    <cfRule type="cellIs" dxfId="2120" priority="59" operator="lessThan">
      <formula>0.8</formula>
    </cfRule>
  </conditionalFormatting>
  <conditionalFormatting sqref="AG38">
    <cfRule type="cellIs" dxfId="2119" priority="61" operator="lessThan">
      <formula>0.8</formula>
    </cfRule>
  </conditionalFormatting>
  <conditionalFormatting sqref="AG19:AG24">
    <cfRule type="cellIs" dxfId="2118" priority="58" operator="lessThan">
      <formula>0.8</formula>
    </cfRule>
  </conditionalFormatting>
  <conditionalFormatting sqref="AG27">
    <cfRule type="cellIs" dxfId="2117" priority="60" operator="lessThan">
      <formula>0.8</formula>
    </cfRule>
  </conditionalFormatting>
  <conditionalFormatting sqref="AG32:AG36">
    <cfRule type="cellIs" dxfId="2116" priority="56" operator="lessThan">
      <formula>0.8</formula>
    </cfRule>
  </conditionalFormatting>
  <conditionalFormatting sqref="AE56">
    <cfRule type="cellIs" dxfId="2115" priority="52" operator="lessThan">
      <formula>0</formula>
    </cfRule>
  </conditionalFormatting>
  <conditionalFormatting sqref="AF56">
    <cfRule type="cellIs" dxfId="2114" priority="50" operator="greaterThan">
      <formula>1</formula>
    </cfRule>
    <cfRule type="cellIs" dxfId="2113" priority="51" operator="lessThan">
      <formula>0.8</formula>
    </cfRule>
  </conditionalFormatting>
  <conditionalFormatting sqref="O14:O15">
    <cfRule type="cellIs" dxfId="2112" priority="45" operator="greaterThan">
      <formula>0</formula>
    </cfRule>
  </conditionalFormatting>
  <conditionalFormatting sqref="P14:P15">
    <cfRule type="cellIs" dxfId="2111" priority="48" operator="lessThan">
      <formula>0</formula>
    </cfRule>
  </conditionalFormatting>
  <conditionalFormatting sqref="Q14:Q15">
    <cfRule type="cellIs" dxfId="2110" priority="46" operator="greaterThan">
      <formula>1</formula>
    </cfRule>
    <cfRule type="cellIs" dxfId="2109" priority="47" operator="lessThan">
      <formula>0.8</formula>
    </cfRule>
  </conditionalFormatting>
  <conditionalFormatting sqref="R14:R15 AG14:AG15">
    <cfRule type="cellIs" dxfId="2108" priority="49" operator="lessThan">
      <formula>0.8</formula>
    </cfRule>
  </conditionalFormatting>
  <conditionalFormatting sqref="O10">
    <cfRule type="cellIs" dxfId="2107" priority="41" operator="greaterThan">
      <formula>0</formula>
    </cfRule>
  </conditionalFormatting>
  <conditionalFormatting sqref="P10">
    <cfRule type="cellIs" dxfId="2106" priority="44" operator="lessThan">
      <formula>0</formula>
    </cfRule>
  </conditionalFormatting>
  <conditionalFormatting sqref="Q10">
    <cfRule type="cellIs" dxfId="2105" priority="42" operator="greaterThan">
      <formula>1</formula>
    </cfRule>
    <cfRule type="cellIs" dxfId="2104" priority="43" operator="lessThan">
      <formula>0.8</formula>
    </cfRule>
  </conditionalFormatting>
  <conditionalFormatting sqref="O48">
    <cfRule type="cellIs" dxfId="2103" priority="36" operator="greaterThan">
      <formula>0</formula>
    </cfRule>
  </conditionalFormatting>
  <conditionalFormatting sqref="P48">
    <cfRule type="cellIs" dxfId="2102" priority="39" operator="lessThan">
      <formula>0</formula>
    </cfRule>
  </conditionalFormatting>
  <conditionalFormatting sqref="Q48">
    <cfRule type="cellIs" dxfId="2101" priority="37" operator="greaterThan">
      <formula>1</formula>
    </cfRule>
    <cfRule type="cellIs" dxfId="2100" priority="38" operator="lessThan">
      <formula>0.8</formula>
    </cfRule>
  </conditionalFormatting>
  <conditionalFormatting sqref="R48 AG48">
    <cfRule type="cellIs" dxfId="2099" priority="40" operator="lessThan">
      <formula>0.8</formula>
    </cfRule>
  </conditionalFormatting>
  <conditionalFormatting sqref="O53">
    <cfRule type="cellIs" dxfId="2098" priority="31" operator="greaterThan">
      <formula>0</formula>
    </cfRule>
  </conditionalFormatting>
  <conditionalFormatting sqref="P53 AE53">
    <cfRule type="cellIs" dxfId="2097" priority="34" operator="lessThan">
      <formula>0</formula>
    </cfRule>
  </conditionalFormatting>
  <conditionalFormatting sqref="Q53 AF53">
    <cfRule type="cellIs" dxfId="2096" priority="32" operator="greaterThan">
      <formula>1</formula>
    </cfRule>
    <cfRule type="cellIs" dxfId="2095" priority="33" operator="lessThan">
      <formula>0.8</formula>
    </cfRule>
  </conditionalFormatting>
  <conditionalFormatting sqref="R53 AG53">
    <cfRule type="cellIs" dxfId="2094" priority="35" operator="lessThan">
      <formula>0.8</formula>
    </cfRule>
  </conditionalFormatting>
  <conditionalFormatting sqref="O63">
    <cfRule type="cellIs" dxfId="2093" priority="26" operator="greaterThan">
      <formula>0</formula>
    </cfRule>
  </conditionalFormatting>
  <conditionalFormatting sqref="P63">
    <cfRule type="cellIs" dxfId="2092" priority="29" operator="lessThan">
      <formula>0</formula>
    </cfRule>
  </conditionalFormatting>
  <conditionalFormatting sqref="Q63">
    <cfRule type="cellIs" dxfId="2091" priority="27" operator="greaterThan">
      <formula>1</formula>
    </cfRule>
    <cfRule type="cellIs" dxfId="2090" priority="28" operator="lessThan">
      <formula>0.8</formula>
    </cfRule>
  </conditionalFormatting>
  <conditionalFormatting sqref="R63">
    <cfRule type="cellIs" dxfId="2089" priority="30" operator="lessThan">
      <formula>0.8</formula>
    </cfRule>
  </conditionalFormatting>
  <conditionalFormatting sqref="O16:O17">
    <cfRule type="cellIs" dxfId="2088" priority="21" operator="greaterThan">
      <formula>0</formula>
    </cfRule>
  </conditionalFormatting>
  <conditionalFormatting sqref="P16:P17">
    <cfRule type="cellIs" dxfId="2087" priority="24" operator="lessThan">
      <formula>0</formula>
    </cfRule>
  </conditionalFormatting>
  <conditionalFormatting sqref="Q16:Q17">
    <cfRule type="cellIs" dxfId="2086" priority="22" operator="greaterThan">
      <formula>1</formula>
    </cfRule>
    <cfRule type="cellIs" dxfId="2085" priority="23" operator="lessThan">
      <formula>0.8</formula>
    </cfRule>
  </conditionalFormatting>
  <conditionalFormatting sqref="R16:R17 AG16:AG17">
    <cfRule type="cellIs" dxfId="2084" priority="25" operator="lessThan">
      <formula>0.8</formula>
    </cfRule>
  </conditionalFormatting>
  <conditionalFormatting sqref="O49">
    <cfRule type="cellIs" dxfId="2083" priority="16" operator="greaterThan">
      <formula>0</formula>
    </cfRule>
  </conditionalFormatting>
  <conditionalFormatting sqref="P49">
    <cfRule type="cellIs" dxfId="2082" priority="19" operator="lessThan">
      <formula>0</formula>
    </cfRule>
  </conditionalFormatting>
  <conditionalFormatting sqref="Q49">
    <cfRule type="cellIs" dxfId="2081" priority="17" operator="greaterThan">
      <formula>1</formula>
    </cfRule>
    <cfRule type="cellIs" dxfId="2080" priority="18" operator="lessThan">
      <formula>0.8</formula>
    </cfRule>
  </conditionalFormatting>
  <conditionalFormatting sqref="AG49 R49">
    <cfRule type="cellIs" dxfId="2079" priority="20" operator="lessThan">
      <formula>0.8</formula>
    </cfRule>
  </conditionalFormatting>
  <conditionalFormatting sqref="R25 AG25">
    <cfRule type="cellIs" dxfId="2078" priority="15" operator="lessThan">
      <formula>0.8</formula>
    </cfRule>
  </conditionalFormatting>
  <conditionalFormatting sqref="AG25">
    <cfRule type="cellIs" dxfId="2077" priority="14" operator="lessThan">
      <formula>0.8</formula>
    </cfRule>
  </conditionalFormatting>
  <conditionalFormatting sqref="O52">
    <cfRule type="cellIs" dxfId="2076" priority="9" operator="greaterThan">
      <formula>0</formula>
    </cfRule>
  </conditionalFormatting>
  <conditionalFormatting sqref="P52 AE52">
    <cfRule type="cellIs" dxfId="2075" priority="12" operator="lessThan">
      <formula>0</formula>
    </cfRule>
  </conditionalFormatting>
  <conditionalFormatting sqref="Q52 AF52">
    <cfRule type="cellIs" dxfId="2074" priority="10" operator="greaterThan">
      <formula>1</formula>
    </cfRule>
    <cfRule type="cellIs" dxfId="2073" priority="11" operator="lessThan">
      <formula>0.8</formula>
    </cfRule>
  </conditionalFormatting>
  <conditionalFormatting sqref="R52 AG52">
    <cfRule type="cellIs" dxfId="2072" priority="13" operator="lessThan">
      <formula>0.8</formula>
    </cfRule>
  </conditionalFormatting>
  <conditionalFormatting sqref="P8">
    <cfRule type="cellIs" dxfId="2071" priority="8" operator="lessThan">
      <formula>0</formula>
    </cfRule>
  </conditionalFormatting>
  <conditionalFormatting sqref="P18">
    <cfRule type="cellIs" dxfId="2070" priority="7" operator="lessThan">
      <formula>0</formula>
    </cfRule>
  </conditionalFormatting>
  <conditionalFormatting sqref="P26">
    <cfRule type="cellIs" dxfId="2069" priority="6" operator="lessThan">
      <formula>0</formula>
    </cfRule>
  </conditionalFormatting>
  <conditionalFormatting sqref="P31">
    <cfRule type="cellIs" dxfId="2068" priority="5" operator="lessThan">
      <formula>0</formula>
    </cfRule>
  </conditionalFormatting>
  <conditionalFormatting sqref="P41">
    <cfRule type="cellIs" dxfId="2067" priority="4" operator="lessThan">
      <formula>0</formula>
    </cfRule>
  </conditionalFormatting>
  <conditionalFormatting sqref="P50">
    <cfRule type="cellIs" dxfId="2066" priority="3" operator="lessThan">
      <formula>0</formula>
    </cfRule>
  </conditionalFormatting>
  <conditionalFormatting sqref="P56">
    <cfRule type="cellIs" dxfId="2065" priority="2" operator="lessThan">
      <formula>0</formula>
    </cfRule>
  </conditionalFormatting>
  <conditionalFormatting sqref="P64">
    <cfRule type="cellIs" dxfId="2064" priority="1" operator="lessThan">
      <formula>0</formula>
    </cfRule>
  </conditionalFormatting>
  <dataValidations count="1">
    <dataValidation type="list" allowBlank="1" showInputMessage="1" showErrorMessage="1" sqref="AB8 AA5:AB7 AB55 AA8:AA55 AB10:AB51 AA56:AB6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0" sqref="A10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2441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2442</v>
      </c>
      <c r="C3" s="596" t="str">
        <f>TEXT('0926 4度C'!A2,"yyyy.mm.ddaaaa")</f>
        <v>2026.09.26星期六</v>
      </c>
      <c r="D3" s="597"/>
      <c r="E3" s="39" t="s">
        <v>2443</v>
      </c>
      <c r="F3" s="598">
        <f>'0926 4度C'!D1</f>
        <v>117582</v>
      </c>
      <c r="G3" s="599"/>
      <c r="H3" s="39" t="s">
        <v>2444</v>
      </c>
      <c r="I3" s="600">
        <f>'0926 4度C'!F1</f>
        <v>3999174.8000000007</v>
      </c>
      <c r="J3" s="601"/>
      <c r="K3" s="40"/>
      <c r="L3" s="41"/>
      <c r="M3" s="42"/>
      <c r="N3" s="42"/>
    </row>
    <row r="4" spans="2:17" ht="28.5" customHeight="1">
      <c r="B4" s="602" t="s">
        <v>2445</v>
      </c>
      <c r="C4" s="588" t="s">
        <v>2446</v>
      </c>
      <c r="D4" s="589"/>
      <c r="E4" s="605" t="s">
        <v>2447</v>
      </c>
      <c r="F4" s="606"/>
      <c r="G4" s="605" t="s">
        <v>2448</v>
      </c>
      <c r="H4" s="606"/>
      <c r="I4" s="605" t="s">
        <v>2449</v>
      </c>
      <c r="J4" s="606"/>
      <c r="K4" s="586" t="s">
        <v>2450</v>
      </c>
      <c r="L4" s="587"/>
      <c r="M4" s="587" t="s">
        <v>2451</v>
      </c>
      <c r="N4" s="587"/>
    </row>
    <row r="5" spans="2:17" ht="28.5" customHeight="1">
      <c r="B5" s="603"/>
      <c r="C5" s="588" t="s">
        <v>2452</v>
      </c>
      <c r="D5" s="589"/>
      <c r="E5" s="588" t="s">
        <v>2453</v>
      </c>
      <c r="F5" s="589"/>
      <c r="G5" s="590" t="s">
        <v>2454</v>
      </c>
      <c r="H5" s="591"/>
      <c r="I5" s="592" t="s">
        <v>2455</v>
      </c>
      <c r="J5" s="593"/>
      <c r="K5" s="43" t="s">
        <v>2456</v>
      </c>
      <c r="L5" s="44" t="s">
        <v>2457</v>
      </c>
      <c r="M5" s="43" t="s">
        <v>2458</v>
      </c>
      <c r="N5" s="44" t="s">
        <v>2459</v>
      </c>
    </row>
    <row r="6" spans="2:17" ht="28.5" customHeight="1">
      <c r="B6" s="603"/>
      <c r="C6" s="588" t="s">
        <v>56</v>
      </c>
      <c r="D6" s="589"/>
      <c r="E6" s="580">
        <f>AVERAGE(D13:M13)</f>
        <v>151.16938866475886</v>
      </c>
      <c r="F6" s="581">
        <f>AVERAGE(D31:O31,D13:J13)</f>
        <v>155.88783371352423</v>
      </c>
      <c r="G6" s="582">
        <f>AVERAGE(D13:J13)</f>
        <v>155.88783371352423</v>
      </c>
      <c r="H6" s="583"/>
      <c r="I6" s="582">
        <f>AVERAGE(K13:M13)</f>
        <v>140.15968355097311</v>
      </c>
      <c r="J6" s="583"/>
      <c r="K6" s="584">
        <f>'0926 4度C'!Y2</f>
        <v>0</v>
      </c>
      <c r="L6" s="569">
        <f>'0926 4度C'!Z2</f>
        <v>0</v>
      </c>
      <c r="M6" s="585">
        <f>'0926 4度C'!AC2</f>
        <v>50</v>
      </c>
      <c r="N6" s="569">
        <f>'0926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145.16350128533878</v>
      </c>
      <c r="F7" s="573">
        <f>AVERAGE(D32:O32,D14:J14)</f>
        <v>149.71466649188827</v>
      </c>
      <c r="G7" s="574">
        <f>AVERAGE(D14:J14)</f>
        <v>149.71466649188827</v>
      </c>
      <c r="H7" s="575"/>
      <c r="I7" s="574">
        <f>AVERAGE(K14:M14)</f>
        <v>134.54411580339001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0.96071083069006136</v>
      </c>
      <c r="F8" s="577">
        <f>AVERAGE(D15:J15,D33:O33)</f>
        <v>0.96099550625431907</v>
      </c>
      <c r="G8" s="578">
        <f>AVERAGE(D15:J15)</f>
        <v>0.96099550625431907</v>
      </c>
      <c r="H8" s="579"/>
      <c r="I8" s="578">
        <f>AVERAGE(K15:M15)</f>
        <v>0.9600465877067933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2460</v>
      </c>
      <c r="N9" s="42"/>
      <c r="O9" s="42"/>
      <c r="P9" s="42"/>
      <c r="Q9" s="42"/>
    </row>
    <row r="10" spans="2:17" ht="30" customHeight="1">
      <c r="B10" s="552" t="s">
        <v>2461</v>
      </c>
      <c r="C10" s="553"/>
      <c r="D10" s="554" t="s">
        <v>2462</v>
      </c>
      <c r="E10" s="555"/>
      <c r="F10" s="555"/>
      <c r="G10" s="555"/>
      <c r="H10" s="555"/>
      <c r="I10" s="555"/>
      <c r="J10" s="556"/>
      <c r="K10" s="557" t="s">
        <v>2463</v>
      </c>
      <c r="L10" s="558"/>
      <c r="M10" s="559"/>
      <c r="P10" s="48"/>
      <c r="Q10" s="48"/>
    </row>
    <row r="11" spans="2:17" ht="17.25" customHeight="1">
      <c r="B11" s="560" t="s">
        <v>2464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2465</v>
      </c>
      <c r="C13" s="55" t="s">
        <v>2466</v>
      </c>
      <c r="D13" s="56">
        <f>SUMIFS('0926 4度C'!$K:$K,'0926 4度C'!$A:$A,"新豐6線",'0926 4度C'!$B:$B,"平均")</f>
        <v>130.43478260869566</v>
      </c>
      <c r="E13" s="57">
        <f>SUMIFS('0926 4度C'!$K:$K,'0926 4度C'!$A:$A,"新豐2線",'0926 4度C'!$B:$B,"平均")</f>
        <v>83.333333333333329</v>
      </c>
      <c r="F13" s="58">
        <f>SUMIFS('0926 4度C'!$K:$K,'0926 4度C'!$A:$A,"新豐5線",'0926 4度C'!$B:$B,"平均")</f>
        <v>104.99999999999999</v>
      </c>
      <c r="G13" s="58">
        <f>SUMIFS('0926 4度C'!$K:$K,'0926 4度C'!$A:$A,"新豐7線",'0926 4度C'!$B:$B,"平均")</f>
        <v>126.31578947368421</v>
      </c>
      <c r="H13" s="58">
        <f>SUMIFS('0926 4度C'!$K:$K,'0926 4度C'!$A:$A,"新豐3線",'0926 4度C'!$B:$B,"平均")</f>
        <v>242.42424242424241</v>
      </c>
      <c r="I13" s="58">
        <f>SUMIFS('0926 4度C'!$K:$K,'0926 4度C'!$A:$A,"新豐1線",'0926 4度C'!$B:$B,"平均")</f>
        <v>109.58904109589041</v>
      </c>
      <c r="J13" s="59">
        <f>SUMIFS('0926 4度C'!$K:$K,'0926 4度C'!$A:$A,"新豐10線",'0926 4度C'!$B:$B,"平均")</f>
        <v>294.11764705882354</v>
      </c>
      <c r="K13" s="60">
        <f>SUMIFS('0926 4度C'!$K:$K,'0926 4度C'!$A:$A,"新豐8線",'0926 4度C'!$B:$B,"平均")</f>
        <v>146.34146341463415</v>
      </c>
      <c r="L13" s="61">
        <f>SUMIFS('0926 4度C'!$K:$K,'0926 4度C'!$A:$A,"新豐9線",'0926 4度C'!$B:$B,"平均")</f>
        <v>131.76470588235293</v>
      </c>
      <c r="M13" s="59">
        <f>SUMIFS('0926 4度C'!$K:$K,'0926 4度C'!$A:$A,"新豐4線",'0926 4度C'!$B:$B,"平均")</f>
        <v>142.37288135593221</v>
      </c>
    </row>
    <row r="14" spans="2:17" ht="39.6" customHeight="1">
      <c r="B14" s="565"/>
      <c r="C14" s="62" t="s">
        <v>2467</v>
      </c>
      <c r="D14" s="63">
        <f>SUMIFS('0926 4度C'!$N:$N,'0926 4度C'!$A:$A,"新豐6線",'0926 4度C'!$B:$B,"平均")</f>
        <v>125.81397980255153</v>
      </c>
      <c r="E14" s="64">
        <f>SUMIFS('0926 4度C'!$N:$N,'0926 4度C'!$A:$A,"新豐2線",'0926 4度C'!$B:$B,"平均")</f>
        <v>79.431659834679451</v>
      </c>
      <c r="F14" s="64">
        <f>SUMIFS('0926 4度C'!$N:$N,'0926 4度C'!$A:$A,"新豐5線",'0926 4度C'!$B:$B,"平均")</f>
        <v>101.28758241758246</v>
      </c>
      <c r="G14" s="64">
        <f>SUMIFS('0926 4度C'!$N:$N,'0926 4度C'!$A:$A,"新豐7線",'0926 4度C'!$B:$B,"平均")</f>
        <v>121.0818350223384</v>
      </c>
      <c r="H14" s="64">
        <f>SUMIFS('0926 4度C'!$N:$N,'0926 4度C'!$A:$A,"新豐3線",'0926 4度C'!$B:$B,"平均")</f>
        <v>231.72560772560772</v>
      </c>
      <c r="I14" s="64">
        <f>SUMIFS('0926 4度C'!$N:$N,'0926 4度C'!$A:$A,"新豐1線",'0926 4度C'!$B:$B,"平均")</f>
        <v>106.32099165643685</v>
      </c>
      <c r="J14" s="65">
        <f>SUMIFS('0926 4度C'!$N:$N,'0926 4度C'!$A:$A,"新豐10線",'0926 4度C'!$B:$B,"平均")</f>
        <v>282.34100898402153</v>
      </c>
      <c r="K14" s="66">
        <f>SUMIFS('0926 4度C'!$N:$N,'0926 4度C'!$A:$A,"新豐8線",'0926 4度C'!$B:$B,"平均")</f>
        <v>139.45000701359194</v>
      </c>
      <c r="L14" s="67">
        <f>SUMIFS('0926 4度C'!$N:$N,'0926 4度C'!$A:$A,"新豐9線",'0926 4度C'!$B:$B,"平均")</f>
        <v>126.73379457534787</v>
      </c>
      <c r="M14" s="65">
        <f>SUMIFS('0926 4度C'!$N:$N,'0926 4度C'!$A:$A,"新豐4線",'0926 4度C'!$B:$B,"平均")</f>
        <v>137.44854582123025</v>
      </c>
    </row>
    <row r="15" spans="2:17" ht="40.15" customHeight="1">
      <c r="B15" s="566"/>
      <c r="C15" s="68" t="s">
        <v>2468</v>
      </c>
      <c r="D15" s="69">
        <f t="shared" ref="D15:M15" si="0">D14/D13</f>
        <v>0.96457384515289502</v>
      </c>
      <c r="E15" s="70">
        <f t="shared" si="0"/>
        <v>0.95317991801615343</v>
      </c>
      <c r="F15" s="70">
        <f t="shared" si="0"/>
        <v>0.96464364207221398</v>
      </c>
      <c r="G15" s="70">
        <f t="shared" si="0"/>
        <v>0.95856452726017904</v>
      </c>
      <c r="H15" s="70">
        <f t="shared" si="0"/>
        <v>0.95586813186813191</v>
      </c>
      <c r="I15" s="70">
        <f t="shared" si="0"/>
        <v>0.97017904886498629</v>
      </c>
      <c r="J15" s="71">
        <f t="shared" si="0"/>
        <v>0.95995943054567312</v>
      </c>
      <c r="K15" s="69">
        <f t="shared" si="0"/>
        <v>0.95290838125954491</v>
      </c>
      <c r="L15" s="70">
        <f t="shared" si="0"/>
        <v>0.96181897668790806</v>
      </c>
      <c r="M15" s="71">
        <f t="shared" si="0"/>
        <v>0.96541240517292681</v>
      </c>
    </row>
    <row r="16" spans="2:17" ht="17.25" customHeight="1">
      <c r="B16" s="567" t="s">
        <v>2469</v>
      </c>
      <c r="C16" s="72" t="s">
        <v>2470</v>
      </c>
      <c r="D16" s="73">
        <f>VLOOKUP("新豐6線",'0926 4度C'!$A:$T,19,0)</f>
        <v>0.70833333333333337</v>
      </c>
      <c r="E16" s="74">
        <f>VLOOKUP("新豐2線",'0926 4度C'!$A:$T,19,0)</f>
        <v>8.3333333333333329E-2</v>
      </c>
      <c r="F16" s="74">
        <f>VLOOKUP("新豐5線",'0926 4度C'!$A:$T,19,0)</f>
        <v>0.20833333333333334</v>
      </c>
      <c r="G16" s="74">
        <f>VLOOKUP("新豐7線",'0926 4度C'!$A:$T,19,0)</f>
        <v>0.25</v>
      </c>
      <c r="H16" s="74">
        <f>VLOOKUP("新豐3線",'0926 4度C'!$A:$T,19,0)</f>
        <v>0.20833333333333334</v>
      </c>
      <c r="I16" s="74">
        <f>VLOOKUP("新豐1線",'0926 4度C'!$A:$T,19,0)</f>
        <v>0.20833333333333334</v>
      </c>
      <c r="J16" s="75">
        <f>VLOOKUP("新豐10線",'0926 4度C'!$A:$T,19,0)</f>
        <v>0.20833333333333334</v>
      </c>
      <c r="K16" s="76">
        <f>VLOOKUP("新豐8線",'0926 4度C'!$A:$T,19,0)</f>
        <v>8.3333333333333329E-2</v>
      </c>
      <c r="L16" s="77">
        <f>VLOOKUP("新豐9線",'0926 4度C'!$A:$T,19,0)</f>
        <v>8.3333333333333329E-2</v>
      </c>
      <c r="M16" s="78">
        <f>VLOOKUP("新豐4線",'0926 4度C'!$A:$T,19,0)</f>
        <v>8.3333333333333329E-2</v>
      </c>
    </row>
    <row r="17" spans="2:13" ht="17.25" customHeight="1">
      <c r="B17" s="568"/>
      <c r="C17" s="72" t="s">
        <v>2471</v>
      </c>
      <c r="D17" s="76">
        <f>LOOKUP(2,1/(('0926 4度C'!$A:$A="新豐6線")*('0926 4度C'!$T:$T&lt;&gt;"")),'0926 4度C'!$T:$T)</f>
        <v>0.81597222222222221</v>
      </c>
      <c r="E17" s="74">
        <f>LOOKUP(2,1/(('0926 4度C'!$A:$A="新豐2線")*('0926 4度C'!$T:$T&lt;&gt;"")),'0926 4度C'!$T:$T)</f>
        <v>0.32291666666666663</v>
      </c>
      <c r="F17" s="74">
        <f>LOOKUP(2,1/(('0926 4度C'!$A:$A="新豐5線")*('0926 4度C'!$T:$T&lt;&gt;"")),'0926 4度C'!$T:$T)</f>
        <v>0.79513888888888884</v>
      </c>
      <c r="G17" s="74">
        <f>LOOKUP(2,1/(('0926 4度C'!$A:$A="新豐7線")*('0926 4度C'!$T:$T&lt;&gt;"")),'0926 4度C'!$T:$T)</f>
        <v>0.83125000000000004</v>
      </c>
      <c r="H17" s="74">
        <f>LOOKUP(2,1/(('0926 4度C'!$A:$A="新豐3線")*('0926 4度C'!$T:$T&lt;&gt;"")),'0926 4度C'!$T:$T)</f>
        <v>0.37708333333333333</v>
      </c>
      <c r="I17" s="74">
        <f>LOOKUP(2,1/(('0926 4度C'!$A:$A="新豐1線")*('0926 4度C'!$T:$T&lt;&gt;"")),'0926 4度C'!$T:$T)</f>
        <v>0.80625000000000002</v>
      </c>
      <c r="J17" s="75">
        <f>LOOKUP(2,1/(('0926 4度C'!$A:$A="新豐10線")*('0926 4度C'!$T:$T&lt;&gt;"")),'0926 4度C'!$T:$T)</f>
        <v>0.39999999999999997</v>
      </c>
      <c r="K17" s="73">
        <f>LOOKUP(2,1/(('0926 4度C'!$A:$A="新豐8線")*('0926 4度C'!$T:$T&lt;&gt;"")),'0926 4度C'!$T:$T)</f>
        <v>0.48333333333333328</v>
      </c>
      <c r="L17" s="74">
        <f>LOOKUP(2,1/(('0926 4度C'!$A:$A="新豐9線")*('0926 4度C'!$T:$T&lt;&gt;"")),'0926 4度C'!$T:$T)</f>
        <v>0.4902777777777777</v>
      </c>
      <c r="M17" s="75">
        <f>LOOKUP(2,1/(('0926 4度C'!$A:$A="新豐4線")*('0926 4度C'!$T:$T&lt;&gt;"")),'0926 4度C'!$T:$T)</f>
        <v>0.47083333333333321</v>
      </c>
    </row>
    <row r="18" spans="2:13" ht="17.25" customHeight="1">
      <c r="B18" s="546" t="s">
        <v>2472</v>
      </c>
      <c r="C18" s="79" t="s">
        <v>2473</v>
      </c>
      <c r="D18" s="80">
        <f>SUMIFS('0926 4度C'!$Y:$Y,'0926 4度C'!$A:$A,"新豐6線",'0926 4度C'!$B:$B,"平均")</f>
        <v>0</v>
      </c>
      <c r="E18" s="81">
        <f>SUMIFS('0926 4度C'!$Y:$Y,'0926 4度C'!$A:$A,"新豐2線",'0926 4度C'!$B:$B,"平均")</f>
        <v>0</v>
      </c>
      <c r="F18" s="81">
        <f>SUMIFS('0926 4度C'!$Y:$Y,'0926 4度C'!$A:$A,"新豐5線",'0926 4度C'!$B:$B,"平均")</f>
        <v>0</v>
      </c>
      <c r="G18" s="81">
        <f>SUMIFS('0926 4度C'!$Y:$Y,'0926 4度C'!$A:$A,"新豐7線",'0926 4度C'!$B:$B,"平均")</f>
        <v>0</v>
      </c>
      <c r="H18" s="81">
        <f>SUMIFS('0926 4度C'!$Y:$Y,'0926 4度C'!$A:$A,"新豐3線",'0926 4度C'!$B:$B,"平均")</f>
        <v>0</v>
      </c>
      <c r="I18" s="81">
        <f>SUMIFS('0926 4度C'!$Y:$Y,'0926 4度C'!$A:$A,"新豐1線",'0926 4度C'!$B:$B,"平均")</f>
        <v>0</v>
      </c>
      <c r="J18" s="82">
        <f>SUMIFS('0926 4度C'!$Y:$Y,'0926 4度C'!$A:$A,"新豐10線",'0926 4度C'!$B:$B,"平均")</f>
        <v>0</v>
      </c>
      <c r="K18" s="83">
        <f>SUMIFS('0926 4度C'!$Y:$Y,'0926 4度C'!$A:$A,"新豐8線",'0926 4度C'!$B:$B,"平均")</f>
        <v>0</v>
      </c>
      <c r="L18" s="81">
        <f>SUMIFS('0926 4度C'!$Y:$Y,'0926 4度C'!$A:$A,"新豐9線",'0926 4度C'!$B:$B,"平均")</f>
        <v>0</v>
      </c>
      <c r="M18" s="82">
        <f>SUMIFS('0926 4度C'!$Y:$Y,'0926 4度C'!$A:$A,"新豐4線",'0926 4度C'!$B:$B,"平均")</f>
        <v>0</v>
      </c>
    </row>
    <row r="19" spans="2:13" ht="17.25" customHeight="1">
      <c r="B19" s="547"/>
      <c r="C19" s="79" t="s">
        <v>2474</v>
      </c>
      <c r="D19" s="80">
        <f>SUMIFS('0926 4度C'!$Z:$Z,'0926 4度C'!$A:$A,"新豐6線",'0926 4度C'!$B:$B,"平均")</f>
        <v>0</v>
      </c>
      <c r="E19" s="81">
        <f>SUMIFS('0926 4度C'!$Z:$Z,'0926 4度C'!$A:$A,"新豐2線",'0926 4度C'!$B:$B,"平均")</f>
        <v>0</v>
      </c>
      <c r="F19" s="81">
        <f>SUMIFS('0926 4度C'!$Z:$Z,'0926 4度C'!$A:$A,"新豐5線",'0926 4度C'!$B:$B,"平均")</f>
        <v>0</v>
      </c>
      <c r="G19" s="81">
        <f>SUMIFS('0926 4度C'!$Z:$Z,'0926 4度C'!$A:$A,"新豐7線",'0926 4度C'!$B:$B,"平均")</f>
        <v>0</v>
      </c>
      <c r="H19" s="81">
        <f>SUMIFS('0926 4度C'!$Z:$Z,'0926 4度C'!$A:$A,"新豐3線",'0926 4度C'!$B:$B,"平均")</f>
        <v>0</v>
      </c>
      <c r="I19" s="81">
        <f>SUMIFS('0926 4度C'!$Z:$Z,'0926 4度C'!$A:$A,"新豐1線",'0926 4度C'!$B:$B,"平均")</f>
        <v>0</v>
      </c>
      <c r="J19" s="82">
        <f>SUMIFS('0926 4度C'!$Z:$Z,'0926 4度C'!$A:$A,"新豐10線",'0926 4度C'!$B:$B,"平均")</f>
        <v>0</v>
      </c>
      <c r="K19" s="83">
        <f>SUMIFS('0926 4度C'!$Z:$Z,'0926 4度C'!$A:$A,"新豐8線",'0926 4度C'!$B:$B,"平均")</f>
        <v>0</v>
      </c>
      <c r="L19" s="81">
        <f>SUMIFS('0926 4度C'!$Z:$Z,'0926 4度C'!$A:$A,"新豐9線",'0926 4度C'!$B:$B,"平均")</f>
        <v>0</v>
      </c>
      <c r="M19" s="82">
        <f>SUMIFS('0926 4度C'!$Z:$Z,'0926 4度C'!$A:$A,"新豐4線",'0926 4度C'!$B:$B,"平均")</f>
        <v>0</v>
      </c>
    </row>
    <row r="20" spans="2:13" ht="17.25" customHeight="1">
      <c r="B20" s="546" t="s">
        <v>2475</v>
      </c>
      <c r="C20" s="79" t="s">
        <v>118</v>
      </c>
      <c r="D20" s="80">
        <f>SUMIFS('0926 4度C'!$AC:$AC,'0926 4度C'!$A:$A,"新豐6線",'0926 4度C'!$B:$B,"平均")</f>
        <v>3</v>
      </c>
      <c r="E20" s="81">
        <f>SUMIFS('0926 4度C'!$AC:$AC,'0926 4度C'!$A:$A,"新豐2線",'0926 4度C'!$B:$B,"平均")</f>
        <v>2</v>
      </c>
      <c r="F20" s="81">
        <f>SUMIFS('0926 4度C'!$AC:$AC,'0926 4度C'!$A:$A,"新豐5線",'0926 4度C'!$B:$B,"平均")</f>
        <v>6</v>
      </c>
      <c r="G20" s="81">
        <f>SUMIFS('0926 4度C'!$AC:$AC,'0926 4度C'!$A:$A,"新豐7線",'0926 4度C'!$B:$B,"平均")</f>
        <v>6</v>
      </c>
      <c r="H20" s="81">
        <f>SUMIFS('0926 4度C'!$AC:$AC,'0926 4度C'!$A:$A,"新豐3線",'0926 4度C'!$B:$B,"平均")</f>
        <v>3</v>
      </c>
      <c r="I20" s="81">
        <f>SUMIFS('0926 4度C'!$AC:$AC,'0926 4度C'!$A:$A,"新豐1線",'0926 4度C'!$B:$B,"平均")</f>
        <v>8</v>
      </c>
      <c r="J20" s="82">
        <f>SUMIFS('0926 4度C'!$AC:$AC,'0926 4度C'!$A:$A,"新豐10線",'0926 4度C'!$B:$B,"平均")</f>
        <v>5</v>
      </c>
      <c r="K20" s="83">
        <f>SUMIFS('0926 4度C'!$AC:$AC,'0926 4度C'!$A:$A,"新豐8線",'0926 4度C'!$B:$B,"平均")</f>
        <v>5</v>
      </c>
      <c r="L20" s="81">
        <f>SUMIFS('0926 4度C'!$AC:$AC,'0926 4度C'!$A:$A,"新豐9線",'0926 4度C'!$B:$B,"平均")</f>
        <v>5</v>
      </c>
      <c r="M20" s="82">
        <f>SUMIFS('0926 4度C'!$AC:$AC,'0926 4度C'!$A:$A,"新豐4線",'0926 4度C'!$B:$B,"平均")</f>
        <v>7</v>
      </c>
    </row>
    <row r="21" spans="2:13" ht="17.25" customHeight="1">
      <c r="B21" s="547"/>
      <c r="C21" s="79" t="s">
        <v>2476</v>
      </c>
      <c r="D21" s="80">
        <f>SUMIFS('0926 4度C'!$AD:$AD,'0926 4度C'!$A:$A,"新豐6線",'0926 4度C'!$B:$B,"平均")</f>
        <v>0</v>
      </c>
      <c r="E21" s="81">
        <f>SUMIFS('0926 4度C'!$AD:$AD,'0926 4度C'!$A:$A,"新豐2線",'0926 4度C'!$B:$B,"平均")</f>
        <v>0</v>
      </c>
      <c r="F21" s="81">
        <f>SUMIFS('0926 4度C'!$AD:$AD,'0926 4度C'!$A:$A,"新豐5線",'0926 4度C'!$B:$B,"平均")</f>
        <v>0</v>
      </c>
      <c r="G21" s="81">
        <f>SUMIFS('0926 4度C'!$AD:$AD,'0926 4度C'!$A:$A,"新豐7線",'0926 4度C'!$B:$B,"平均")</f>
        <v>0</v>
      </c>
      <c r="H21" s="81">
        <f>SUMIFS('0926 4度C'!$AD:$AD,'0926 4度C'!$A:$A,"新豐3線",'0926 4度C'!$B:$B,"平均")</f>
        <v>0</v>
      </c>
      <c r="I21" s="81">
        <f>SUMIFS('0926 4度C'!$AD:$AD,'0926 4度C'!$A:$A,"新豐1線",'0926 4度C'!$B:$B,"平均")</f>
        <v>0</v>
      </c>
      <c r="J21" s="82">
        <f>SUMIFS('0926 4度C'!$AD:$AD,'0926 4度C'!$A:$A,"新豐10線",'0926 4度C'!$B:$B,"平均")</f>
        <v>0</v>
      </c>
      <c r="K21" s="83">
        <f>SUMIFS('0926 4度C'!$AD:$AD,'0926 4度C'!$A:$A,"新豐8線",'0926 4度C'!$B:$B,"平均")</f>
        <v>0</v>
      </c>
      <c r="L21" s="81">
        <f>SUMIFS('0926 4度C'!$AD:$AD,'0926 4度C'!$A:$A,"新豐9線",'0926 4度C'!$B:$B,"平均")</f>
        <v>0</v>
      </c>
      <c r="M21" s="82">
        <f>SUMIFS('0926 4度C'!$AD:$AD,'0926 4度C'!$A:$A,"新豐4線",'0926 4度C'!$B:$B,"平均")</f>
        <v>0</v>
      </c>
    </row>
    <row r="22" spans="2:13" ht="17.25" customHeight="1">
      <c r="B22" s="548" t="s">
        <v>2477</v>
      </c>
      <c r="C22" s="549"/>
      <c r="D22" s="84">
        <f>SUMIFS('0926 4度C'!$I:$I,'0926 4度C'!$A:$A,"新豐6線",'0926 4度C'!$B:$B,"平均")</f>
        <v>15.333333333333334</v>
      </c>
      <c r="E22" s="85">
        <f>SUMIFS('0926 4度C'!$I:$I,'0926 4度C'!$A:$A,"新豐2線",'0926 4度C'!$B:$B,"平均")</f>
        <v>18</v>
      </c>
      <c r="F22" s="85">
        <f>SUMIFS('0926 4度C'!$I:$I,'0926 4度C'!$A:$A,"新豐5線",'0926 4度C'!$B:$B,"平均")</f>
        <v>16.666666666666668</v>
      </c>
      <c r="G22" s="85">
        <f>SUMIFS('0926 4度C'!$I:$I,'0926 4度C'!$A:$A,"新豐7線",'0926 4度C'!$B:$B,"平均")</f>
        <v>15.833333333333334</v>
      </c>
      <c r="H22" s="85">
        <f>SUMIFS('0926 4度C'!$I:$I,'0926 4度C'!$A:$A,"新豐3線",'0926 4度C'!$B:$B,"平均")</f>
        <v>11</v>
      </c>
      <c r="I22" s="85">
        <f>SUMIFS('0926 4度C'!$I:$I,'0926 4度C'!$A:$A,"新豐1線",'0926 4度C'!$B:$B,"平均")</f>
        <v>18.25</v>
      </c>
      <c r="J22" s="86">
        <f>SUMIFS('0926 4度C'!$I:$I,'0926 4度C'!$A:$A,"新豐10線",'0926 4度C'!$B:$B,"平均")</f>
        <v>10.199999999999999</v>
      </c>
      <c r="K22" s="84">
        <f>SUMIFS('0926 4度C'!$I:$I,'0926 4度C'!$A:$A,"新豐8線",'0926 4度C'!$B:$B,"平均")</f>
        <v>16.399999999999999</v>
      </c>
      <c r="L22" s="85">
        <f>SUMIFS('0926 4度C'!$I:$I,'0926 4度C'!$A:$A,"新豐9線",'0926 4度C'!$B:$B,"平均")</f>
        <v>17</v>
      </c>
      <c r="M22" s="86">
        <f>SUMIFS('0926 4度C'!$I:$I,'0926 4度C'!$A:$A,"新豐4線",'0926 4度C'!$B:$B,"平均")</f>
        <v>16.857142857142858</v>
      </c>
    </row>
    <row r="23" spans="2:13" ht="17.25" customHeight="1">
      <c r="B23" s="548" t="s">
        <v>2478</v>
      </c>
      <c r="C23" s="549"/>
      <c r="D23" s="87" t="s">
        <v>69</v>
      </c>
      <c r="E23" s="88" t="s">
        <v>70</v>
      </c>
      <c r="F23" s="88" t="s">
        <v>2479</v>
      </c>
      <c r="G23" s="88" t="s">
        <v>2480</v>
      </c>
      <c r="H23" s="88" t="s">
        <v>71</v>
      </c>
      <c r="I23" s="88" t="s">
        <v>69</v>
      </c>
      <c r="J23" s="89" t="s">
        <v>71</v>
      </c>
      <c r="K23" s="87" t="s">
        <v>2481</v>
      </c>
      <c r="L23" s="88" t="s">
        <v>2481</v>
      </c>
      <c r="M23" s="89" t="s">
        <v>2481</v>
      </c>
    </row>
    <row r="24" spans="2:13" ht="17.25" customHeight="1">
      <c r="B24" s="548" t="s">
        <v>2482</v>
      </c>
      <c r="C24" s="549"/>
      <c r="D24" s="87"/>
      <c r="E24" s="88"/>
      <c r="F24" s="88" t="s">
        <v>2483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2484</v>
      </c>
      <c r="C25" s="551"/>
      <c r="D25" s="90"/>
      <c r="E25" s="91" t="s">
        <v>2485</v>
      </c>
      <c r="F25" s="544" t="s">
        <v>2486</v>
      </c>
      <c r="G25" s="545"/>
      <c r="H25" s="91" t="s">
        <v>2487</v>
      </c>
      <c r="I25" s="91" t="s">
        <v>2488</v>
      </c>
      <c r="J25" s="92" t="s">
        <v>2489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06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activeCell="A10" sqref="A10"/>
      <selection pane="bottomLeft" activeCell="U58" sqref="U58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2490</v>
      </c>
      <c r="B1" s="1"/>
      <c r="C1" s="2" t="s">
        <v>2491</v>
      </c>
      <c r="D1" s="3">
        <f>SUM(F5:F64)</f>
        <v>117582</v>
      </c>
      <c r="E1" s="498" t="s">
        <v>2492</v>
      </c>
      <c r="F1" s="1">
        <f>SUM(G5:G64)</f>
        <v>3999174.8000000007</v>
      </c>
      <c r="G1" s="1" t="s">
        <v>2493</v>
      </c>
      <c r="H1" s="4">
        <f>L8+L11+L41+L50+L18+L56+L31+L37+L25+L64</f>
        <v>155.5404761904762</v>
      </c>
      <c r="I1" s="660" t="s">
        <v>2494</v>
      </c>
      <c r="J1" s="660"/>
      <c r="K1" s="660"/>
      <c r="L1" s="660" t="s">
        <v>2495</v>
      </c>
      <c r="M1" s="660"/>
      <c r="N1" s="660"/>
      <c r="O1" s="660" t="s">
        <v>2496</v>
      </c>
      <c r="P1" s="660"/>
      <c r="Q1" s="660"/>
      <c r="R1" s="660"/>
      <c r="S1" s="660" t="s">
        <v>2497</v>
      </c>
      <c r="T1" s="660"/>
      <c r="U1" s="660"/>
      <c r="V1" s="660"/>
      <c r="W1" s="660"/>
      <c r="X1" s="660"/>
      <c r="Y1" s="5" t="s">
        <v>2498</v>
      </c>
      <c r="Z1" s="6" t="s">
        <v>2499</v>
      </c>
      <c r="AA1" s="661" t="s">
        <v>142</v>
      </c>
      <c r="AB1" s="661"/>
      <c r="AC1" s="7" t="s">
        <v>140</v>
      </c>
      <c r="AD1" s="6" t="s">
        <v>2500</v>
      </c>
      <c r="AE1" s="660" t="s">
        <v>2501</v>
      </c>
      <c r="AF1" s="662"/>
      <c r="AG1" s="662"/>
    </row>
    <row r="2" spans="1:33" ht="26.25" customHeight="1">
      <c r="A2" s="27">
        <v>46291</v>
      </c>
      <c r="B2" s="28" t="s">
        <v>548</v>
      </c>
      <c r="C2" s="2" t="s">
        <v>2502</v>
      </c>
      <c r="D2" s="9">
        <f>AVERAGE(N8,N11,N41,N50,N18,N56,N25,N31,N37,N64)</f>
        <v>145.16350128533878</v>
      </c>
      <c r="E2" s="10" t="s">
        <v>0</v>
      </c>
      <c r="F2" s="11">
        <f>F1/D1</f>
        <v>34.011794322260215</v>
      </c>
      <c r="G2" s="1" t="s">
        <v>2503</v>
      </c>
      <c r="H2" s="508">
        <f>COUNT(H5:H64)</f>
        <v>0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SUM(Y8+Y11+Y18+Y25+Y31+Y37+Y41+Y50+Y56+Y64)</f>
        <v>0</v>
      </c>
      <c r="Z2" s="12">
        <f>SUM(Z8+Z11+Z18+Z25+Z31+Z37+Z41+Z50+Z56+Z64)</f>
        <v>0</v>
      </c>
      <c r="AA2" s="661"/>
      <c r="AB2" s="661"/>
      <c r="AC2" s="12">
        <v>50</v>
      </c>
      <c r="AD2" s="12">
        <f>SUM(AD8+AD11+AD18+AD25+AD31+AD37+AD41+AD50+AD56+AD64)</f>
        <v>0</v>
      </c>
      <c r="AE2" s="662"/>
      <c r="AF2" s="662"/>
      <c r="AG2" s="662"/>
    </row>
    <row r="3" spans="1:33" ht="40.5" customHeight="1">
      <c r="A3" s="610" t="s">
        <v>2504</v>
      </c>
      <c r="B3" s="610" t="s">
        <v>2505</v>
      </c>
      <c r="C3" s="610" t="s">
        <v>2506</v>
      </c>
      <c r="D3" s="610"/>
      <c r="E3" s="658" t="s">
        <v>2507</v>
      </c>
      <c r="F3" s="610" t="s">
        <v>2508</v>
      </c>
      <c r="G3" s="658" t="s">
        <v>2509</v>
      </c>
      <c r="H3" s="651" t="s">
        <v>2510</v>
      </c>
      <c r="I3" s="649" t="s">
        <v>2511</v>
      </c>
      <c r="J3" s="646" t="s">
        <v>2512</v>
      </c>
      <c r="K3" s="656" t="s">
        <v>2502</v>
      </c>
      <c r="L3" s="649" t="s">
        <v>2511</v>
      </c>
      <c r="M3" s="646" t="s">
        <v>2512</v>
      </c>
      <c r="N3" s="656" t="s">
        <v>2502</v>
      </c>
      <c r="O3" s="649" t="s">
        <v>2511</v>
      </c>
      <c r="P3" s="656" t="s">
        <v>2502</v>
      </c>
      <c r="Q3" s="647" t="s">
        <v>2513</v>
      </c>
      <c r="R3" s="623" t="s">
        <v>2514</v>
      </c>
      <c r="S3" s="657" t="s">
        <v>1</v>
      </c>
      <c r="T3" s="657"/>
      <c r="U3" s="651" t="s">
        <v>2</v>
      </c>
      <c r="V3" s="651" t="s">
        <v>2515</v>
      </c>
      <c r="W3" s="610" t="s">
        <v>2516</v>
      </c>
      <c r="X3" s="610"/>
      <c r="Y3" s="652" t="s">
        <v>2517</v>
      </c>
      <c r="Z3" s="609"/>
      <c r="AA3" s="653" t="s">
        <v>2518</v>
      </c>
      <c r="AB3" s="654"/>
      <c r="AC3" s="652" t="s">
        <v>2519</v>
      </c>
      <c r="AD3" s="609"/>
      <c r="AE3" s="646" t="s">
        <v>2520</v>
      </c>
      <c r="AF3" s="647" t="s">
        <v>2521</v>
      </c>
      <c r="AG3" s="623" t="s">
        <v>2522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507" t="s">
        <v>3</v>
      </c>
      <c r="T4" s="507" t="s">
        <v>4</v>
      </c>
      <c r="U4" s="651"/>
      <c r="V4" s="651"/>
      <c r="W4" s="498" t="s">
        <v>2523</v>
      </c>
      <c r="X4" s="498" t="s">
        <v>2524</v>
      </c>
      <c r="Y4" s="497" t="s">
        <v>2525</v>
      </c>
      <c r="Z4" s="497" t="s">
        <v>2526</v>
      </c>
      <c r="AA4" s="655"/>
      <c r="AB4" s="654"/>
      <c r="AC4" s="497" t="s">
        <v>2527</v>
      </c>
      <c r="AD4" s="497" t="s">
        <v>2528</v>
      </c>
      <c r="AE4" s="646"/>
      <c r="AF4" s="647"/>
      <c r="AG4" s="623"/>
    </row>
    <row r="5" spans="1:33">
      <c r="A5" s="648" t="s">
        <v>2529</v>
      </c>
      <c r="B5" s="33" t="s">
        <v>6</v>
      </c>
      <c r="C5" s="650" t="s">
        <v>7</v>
      </c>
      <c r="D5" s="650"/>
      <c r="E5" s="33">
        <v>50.92</v>
      </c>
      <c r="F5" s="507">
        <v>1691</v>
      </c>
      <c r="G5" s="498">
        <f t="shared" ref="G5:G7" si="0">E5*F5</f>
        <v>86105.72</v>
      </c>
      <c r="H5" s="511" t="s">
        <v>5</v>
      </c>
      <c r="I5" s="505">
        <v>15</v>
      </c>
      <c r="J5" s="30">
        <v>2000</v>
      </c>
      <c r="K5" s="13">
        <f t="shared" ref="K5:K64" si="1">J5/I5</f>
        <v>133.33333333333334</v>
      </c>
      <c r="L5" s="505">
        <v>15</v>
      </c>
      <c r="M5" s="14">
        <f t="shared" ref="M5:M7" si="2">F5/V5*60</f>
        <v>1914.3396226415105</v>
      </c>
      <c r="N5" s="13">
        <f t="shared" ref="N5:N64" si="3">M5/L5</f>
        <v>127.62264150943403</v>
      </c>
      <c r="O5" s="15">
        <f t="shared" ref="O5:O64" si="4">L5-I5</f>
        <v>0</v>
      </c>
      <c r="P5" s="16">
        <f t="shared" ref="P5:P64" si="5">N5-K5</f>
        <v>-5.7106918238993103</v>
      </c>
      <c r="Q5" s="503">
        <f t="shared" ref="Q5:Q64" si="6">N5/K5</f>
        <v>0.95716981132075518</v>
      </c>
      <c r="R5" s="619">
        <f>Q8</f>
        <v>0.96457384515289502</v>
      </c>
      <c r="S5" s="31">
        <v>0.70833333333333337</v>
      </c>
      <c r="T5" s="31">
        <v>0.74513888888888891</v>
      </c>
      <c r="U5" s="498"/>
      <c r="V5" s="506">
        <f t="shared" ref="V5:V7" si="7">(T5-S5)*24*60</f>
        <v>52.999999999999972</v>
      </c>
      <c r="W5" s="17"/>
      <c r="X5" s="17"/>
      <c r="Y5" s="18"/>
      <c r="Z5" s="18"/>
      <c r="AA5" s="610"/>
      <c r="AB5" s="610"/>
      <c r="AC5" s="19">
        <v>3</v>
      </c>
      <c r="AD5" s="19"/>
      <c r="AE5" s="15">
        <f t="shared" ref="AE5:AE49" si="8">M5-J5</f>
        <v>-85.660377358489541</v>
      </c>
      <c r="AF5" s="503">
        <f t="shared" ref="AF5:AF64" si="9">M5/J5</f>
        <v>0.95716981132075518</v>
      </c>
      <c r="AG5" s="619">
        <f>AF8</f>
        <v>0.96457384515289502</v>
      </c>
    </row>
    <row r="6" spans="1:33">
      <c r="A6" s="649" t="s">
        <v>2530</v>
      </c>
      <c r="B6" s="33" t="s">
        <v>6</v>
      </c>
      <c r="C6" s="650" t="s">
        <v>8</v>
      </c>
      <c r="D6" s="650"/>
      <c r="E6" s="33">
        <v>50.98</v>
      </c>
      <c r="F6" s="507">
        <v>1952</v>
      </c>
      <c r="G6" s="498">
        <f t="shared" si="0"/>
        <v>99512.959999999992</v>
      </c>
      <c r="H6" s="511" t="s">
        <v>5</v>
      </c>
      <c r="I6" s="505">
        <v>16</v>
      </c>
      <c r="J6" s="30">
        <v>2000</v>
      </c>
      <c r="K6" s="13">
        <f t="shared" si="1"/>
        <v>125</v>
      </c>
      <c r="L6" s="505">
        <v>16</v>
      </c>
      <c r="M6" s="14">
        <f t="shared" si="2"/>
        <v>1920.0000000000018</v>
      </c>
      <c r="N6" s="13">
        <f t="shared" si="3"/>
        <v>120.00000000000011</v>
      </c>
      <c r="O6" s="15">
        <f t="shared" si="4"/>
        <v>0</v>
      </c>
      <c r="P6" s="16">
        <f t="shared" si="5"/>
        <v>-4.9999999999998863</v>
      </c>
      <c r="Q6" s="503">
        <f t="shared" si="6"/>
        <v>0.96000000000000096</v>
      </c>
      <c r="R6" s="619"/>
      <c r="S6" s="31">
        <v>0.74930555555555556</v>
      </c>
      <c r="T6" s="31">
        <v>0.79166666666666663</v>
      </c>
      <c r="U6" s="498">
        <f t="shared" ref="U6:U7" si="10">IF(S6=TIME(17,0,0),"",(S6-T5)*24*60)</f>
        <v>5.9999999999999787</v>
      </c>
      <c r="V6" s="506">
        <f t="shared" si="7"/>
        <v>60.999999999999943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-79.999999999998181</v>
      </c>
      <c r="AF6" s="503">
        <f t="shared" si="9"/>
        <v>0.96000000000000096</v>
      </c>
      <c r="AG6" s="619"/>
    </row>
    <row r="7" spans="1:33">
      <c r="A7" s="649" t="s">
        <v>177</v>
      </c>
      <c r="B7" s="33" t="s">
        <v>6</v>
      </c>
      <c r="C7" s="641" t="s">
        <v>9</v>
      </c>
      <c r="D7" s="642"/>
      <c r="E7" s="33">
        <v>50.67</v>
      </c>
      <c r="F7" s="507">
        <v>944</v>
      </c>
      <c r="G7" s="498">
        <f t="shared" si="0"/>
        <v>47832.480000000003</v>
      </c>
      <c r="H7" s="511" t="s">
        <v>5</v>
      </c>
      <c r="I7" s="505">
        <v>15</v>
      </c>
      <c r="J7" s="30">
        <v>2000</v>
      </c>
      <c r="K7" s="13">
        <f t="shared" si="1"/>
        <v>133.33333333333334</v>
      </c>
      <c r="L7" s="505">
        <v>15</v>
      </c>
      <c r="M7" s="14">
        <f t="shared" si="2"/>
        <v>1953.103448275858</v>
      </c>
      <c r="N7" s="13">
        <f t="shared" si="3"/>
        <v>130.20689655172387</v>
      </c>
      <c r="O7" s="15">
        <f t="shared" si="4"/>
        <v>0</v>
      </c>
      <c r="P7" s="16">
        <f t="shared" si="5"/>
        <v>-3.1264367816094705</v>
      </c>
      <c r="Q7" s="503">
        <f t="shared" si="6"/>
        <v>0.97655172413792901</v>
      </c>
      <c r="R7" s="619"/>
      <c r="S7" s="31">
        <v>0.79583333333333328</v>
      </c>
      <c r="T7" s="31">
        <v>0.81597222222222221</v>
      </c>
      <c r="U7" s="498">
        <f t="shared" si="10"/>
        <v>5.9999999999999787</v>
      </c>
      <c r="V7" s="506">
        <f t="shared" si="7"/>
        <v>29.000000000000057</v>
      </c>
      <c r="W7" s="17"/>
      <c r="X7" s="17"/>
      <c r="Y7" s="20"/>
      <c r="Z7" s="20"/>
      <c r="AA7" s="614"/>
      <c r="AB7" s="615"/>
      <c r="AC7" s="21"/>
      <c r="AD7" s="21"/>
      <c r="AE7" s="15">
        <f t="shared" si="8"/>
        <v>-46.896551724142</v>
      </c>
      <c r="AF7" s="503">
        <f t="shared" si="9"/>
        <v>0.97655172413792901</v>
      </c>
      <c r="AG7" s="619"/>
    </row>
    <row r="8" spans="1:33">
      <c r="A8" s="649" t="s">
        <v>177</v>
      </c>
      <c r="B8" s="33" t="s">
        <v>180</v>
      </c>
      <c r="C8" s="620"/>
      <c r="D8" s="620"/>
      <c r="E8" s="504"/>
      <c r="F8" s="34"/>
      <c r="G8" s="13"/>
      <c r="H8" s="507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1929.1476903057901</v>
      </c>
      <c r="N8" s="13">
        <f t="shared" si="3"/>
        <v>125.81397980255153</v>
      </c>
      <c r="O8" s="15">
        <f t="shared" si="4"/>
        <v>0</v>
      </c>
      <c r="P8" s="16">
        <f t="shared" si="5"/>
        <v>-4.6208028061441269</v>
      </c>
      <c r="Q8" s="503">
        <f t="shared" si="6"/>
        <v>0.96457384515289502</v>
      </c>
      <c r="R8" s="619"/>
      <c r="S8" s="31"/>
      <c r="T8" s="31"/>
      <c r="U8" s="498"/>
      <c r="V8" s="506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-70.852309694209907</v>
      </c>
      <c r="AF8" s="503">
        <f t="shared" si="9"/>
        <v>0.96457384515289502</v>
      </c>
      <c r="AG8" s="619"/>
    </row>
    <row r="9" spans="1:33" ht="15.75" customHeight="1">
      <c r="A9" s="645" t="s">
        <v>81</v>
      </c>
      <c r="B9" s="33" t="s">
        <v>10</v>
      </c>
      <c r="C9" s="641" t="s">
        <v>14</v>
      </c>
      <c r="D9" s="642"/>
      <c r="E9" s="33">
        <v>39.619999999999997</v>
      </c>
      <c r="F9" s="507">
        <v>3077</v>
      </c>
      <c r="G9" s="498">
        <f t="shared" ref="G9:G10" si="11">E9*F9</f>
        <v>121910.73999999999</v>
      </c>
      <c r="H9" s="511" t="s">
        <v>5</v>
      </c>
      <c r="I9" s="505">
        <v>19</v>
      </c>
      <c r="J9" s="30">
        <v>1500</v>
      </c>
      <c r="K9" s="13">
        <f t="shared" si="1"/>
        <v>78.94736842105263</v>
      </c>
      <c r="L9" s="505">
        <v>19</v>
      </c>
      <c r="M9" s="14">
        <f t="shared" ref="M9:M10" si="12">F9/V9*60</f>
        <v>1431.1627906976746</v>
      </c>
      <c r="N9" s="13">
        <f t="shared" si="3"/>
        <v>75.324357405140773</v>
      </c>
      <c r="O9" s="15">
        <f t="shared" si="4"/>
        <v>0</v>
      </c>
      <c r="P9" s="16">
        <f t="shared" si="5"/>
        <v>-3.6230110159118567</v>
      </c>
      <c r="Q9" s="503">
        <f t="shared" si="6"/>
        <v>0.95410852713178318</v>
      </c>
      <c r="R9" s="619">
        <f>Q11</f>
        <v>0.95317991801615343</v>
      </c>
      <c r="S9" s="31">
        <v>8.3333333333333329E-2</v>
      </c>
      <c r="T9" s="31">
        <v>0.17291666666666666</v>
      </c>
      <c r="U9" s="498"/>
      <c r="V9" s="506">
        <f t="shared" ref="V9:V10" si="13">(T9-S9)*24*60</f>
        <v>129</v>
      </c>
      <c r="W9" s="17">
        <f>T9</f>
        <v>0.17291666666666666</v>
      </c>
      <c r="X9" s="17">
        <f>S10</f>
        <v>0.19027777777777774</v>
      </c>
      <c r="Y9" s="17"/>
      <c r="Z9" s="17"/>
      <c r="AA9" s="610"/>
      <c r="AB9" s="610"/>
      <c r="AC9" s="19">
        <v>2</v>
      </c>
      <c r="AD9" s="19"/>
      <c r="AE9" s="15">
        <f t="shared" si="8"/>
        <v>-68.837209302325391</v>
      </c>
      <c r="AF9" s="503">
        <f t="shared" si="9"/>
        <v>0.95410852713178307</v>
      </c>
      <c r="AG9" s="619">
        <f>AF11</f>
        <v>0.95317991801615332</v>
      </c>
    </row>
    <row r="10" spans="1:33" ht="15.75" customHeight="1">
      <c r="A10" s="645" t="s">
        <v>2531</v>
      </c>
      <c r="B10" s="33" t="s">
        <v>10</v>
      </c>
      <c r="C10" s="641" t="s">
        <v>11</v>
      </c>
      <c r="D10" s="642"/>
      <c r="E10" s="33">
        <v>39.799999999999997</v>
      </c>
      <c r="F10" s="507">
        <v>4547</v>
      </c>
      <c r="G10" s="498">
        <f t="shared" si="11"/>
        <v>180970.59999999998</v>
      </c>
      <c r="H10" s="511" t="s">
        <v>5</v>
      </c>
      <c r="I10" s="505">
        <v>17</v>
      </c>
      <c r="J10" s="30">
        <v>1500</v>
      </c>
      <c r="K10" s="13">
        <f t="shared" si="1"/>
        <v>88.235294117647058</v>
      </c>
      <c r="L10" s="505">
        <v>17</v>
      </c>
      <c r="M10" s="14">
        <f t="shared" si="12"/>
        <v>1428.3769633507854</v>
      </c>
      <c r="N10" s="13">
        <f t="shared" si="3"/>
        <v>84.022174314752078</v>
      </c>
      <c r="O10" s="15">
        <f t="shared" si="4"/>
        <v>0</v>
      </c>
      <c r="P10" s="16">
        <f t="shared" si="5"/>
        <v>-4.2131198028949797</v>
      </c>
      <c r="Q10" s="503">
        <f t="shared" si="6"/>
        <v>0.95225130890052356</v>
      </c>
      <c r="R10" s="619"/>
      <c r="S10" s="31">
        <v>0.19027777777777774</v>
      </c>
      <c r="T10" s="31">
        <v>0.32291666666666663</v>
      </c>
      <c r="U10" s="498">
        <f t="shared" ref="U10" si="14">IF(S10=TIME(17,0,0),"",(S10-T9)*24*60)</f>
        <v>24.99999999999995</v>
      </c>
      <c r="V10" s="506">
        <f t="shared" si="13"/>
        <v>191</v>
      </c>
      <c r="W10" s="17"/>
      <c r="X10" s="17"/>
      <c r="Y10" s="17"/>
      <c r="Z10" s="17"/>
      <c r="AA10" s="610"/>
      <c r="AB10" s="610"/>
      <c r="AC10" s="19"/>
      <c r="AD10" s="19"/>
      <c r="AE10" s="15">
        <f t="shared" si="8"/>
        <v>-71.623036649214555</v>
      </c>
      <c r="AF10" s="503">
        <f t="shared" si="9"/>
        <v>0.95225130890052367</v>
      </c>
      <c r="AG10" s="619"/>
    </row>
    <row r="11" spans="1:33" ht="16.5" customHeight="1">
      <c r="A11" s="645" t="s">
        <v>81</v>
      </c>
      <c r="B11" s="33" t="s">
        <v>180</v>
      </c>
      <c r="C11" s="620"/>
      <c r="D11" s="620"/>
      <c r="E11" s="504"/>
      <c r="F11" s="30"/>
      <c r="G11" s="14"/>
      <c r="H11" s="507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1429.76987702423</v>
      </c>
      <c r="N11" s="13">
        <f t="shared" si="3"/>
        <v>79.431659834679451</v>
      </c>
      <c r="O11" s="15">
        <f t="shared" si="4"/>
        <v>0</v>
      </c>
      <c r="P11" s="16">
        <f t="shared" si="5"/>
        <v>-3.9016734986538779</v>
      </c>
      <c r="Q11" s="503">
        <f t="shared" si="6"/>
        <v>0.95317991801615343</v>
      </c>
      <c r="R11" s="619"/>
      <c r="S11" s="31"/>
      <c r="T11" s="31"/>
      <c r="U11" s="13"/>
      <c r="V11" s="506"/>
      <c r="W11" s="13"/>
      <c r="X11" s="13"/>
      <c r="Y11" s="24">
        <f>SUM(Y9:Y10)</f>
        <v>0</v>
      </c>
      <c r="Z11" s="24">
        <f>SUM(Z9:Z10)</f>
        <v>0</v>
      </c>
      <c r="AA11" s="609"/>
      <c r="AB11" s="609"/>
      <c r="AC11" s="24">
        <v>2</v>
      </c>
      <c r="AD11" s="24">
        <f>SUM(AD9:AD10)</f>
        <v>0</v>
      </c>
      <c r="AE11" s="15">
        <f t="shared" si="8"/>
        <v>-70.230122975769973</v>
      </c>
      <c r="AF11" s="503">
        <f t="shared" si="9"/>
        <v>0.95317991801615332</v>
      </c>
      <c r="AG11" s="619"/>
    </row>
    <row r="12" spans="1:33" ht="16.5" customHeight="1">
      <c r="A12" s="643" t="s">
        <v>185</v>
      </c>
      <c r="B12" s="507" t="s">
        <v>15</v>
      </c>
      <c r="C12" s="635" t="s">
        <v>16</v>
      </c>
      <c r="D12" s="635"/>
      <c r="E12" s="33">
        <v>31.11</v>
      </c>
      <c r="F12" s="507">
        <v>2032</v>
      </c>
      <c r="G12" s="498">
        <f t="shared" ref="G12:G17" si="15">E12*F12</f>
        <v>63215.519999999997</v>
      </c>
      <c r="H12" s="511" t="s">
        <v>5</v>
      </c>
      <c r="I12" s="505">
        <v>14</v>
      </c>
      <c r="J12" s="30">
        <v>2000</v>
      </c>
      <c r="K12" s="13">
        <f t="shared" si="1"/>
        <v>142.85714285714286</v>
      </c>
      <c r="L12" s="505">
        <v>14</v>
      </c>
      <c r="M12" s="14">
        <f t="shared" ref="M12:M17" si="16">F12/V12*60</f>
        <v>1905.0000000000009</v>
      </c>
      <c r="N12" s="13">
        <f t="shared" si="3"/>
        <v>136.07142857142864</v>
      </c>
      <c r="O12" s="15">
        <f t="shared" si="4"/>
        <v>0</v>
      </c>
      <c r="P12" s="16">
        <f t="shared" si="5"/>
        <v>-6.7857142857142208</v>
      </c>
      <c r="Q12" s="503">
        <f t="shared" si="6"/>
        <v>0.95250000000000046</v>
      </c>
      <c r="R12" s="619">
        <f>Q18</f>
        <v>0.96464364207221398</v>
      </c>
      <c r="S12" s="31">
        <v>0.20833333333333334</v>
      </c>
      <c r="T12" s="31">
        <v>0.25277777777777777</v>
      </c>
      <c r="U12" s="498"/>
      <c r="V12" s="506">
        <f t="shared" ref="V12:V17" si="17">(T12-S12)*24*60</f>
        <v>63.999999999999972</v>
      </c>
      <c r="W12" s="17"/>
      <c r="X12" s="17"/>
      <c r="Y12" s="22"/>
      <c r="Z12" s="22"/>
      <c r="AA12" s="610"/>
      <c r="AB12" s="610"/>
      <c r="AC12" s="19">
        <v>6</v>
      </c>
      <c r="AD12" s="19"/>
      <c r="AE12" s="15">
        <f t="shared" si="8"/>
        <v>-94.999999999999091</v>
      </c>
      <c r="AF12" s="503">
        <f t="shared" si="9"/>
        <v>0.95250000000000046</v>
      </c>
      <c r="AG12" s="619">
        <f>AF18</f>
        <v>0.96464364207221387</v>
      </c>
    </row>
    <row r="13" spans="1:33" ht="16.5" customHeight="1">
      <c r="A13" s="644" t="s">
        <v>185</v>
      </c>
      <c r="B13" s="507" t="s">
        <v>17</v>
      </c>
      <c r="C13" s="635" t="s">
        <v>18</v>
      </c>
      <c r="D13" s="635"/>
      <c r="E13" s="33">
        <v>41</v>
      </c>
      <c r="F13" s="507">
        <v>1169</v>
      </c>
      <c r="G13" s="498">
        <f t="shared" si="15"/>
        <v>47929</v>
      </c>
      <c r="H13" s="511" t="s">
        <v>5</v>
      </c>
      <c r="I13" s="505">
        <v>26</v>
      </c>
      <c r="J13" s="30">
        <v>1500</v>
      </c>
      <c r="K13" s="13">
        <f t="shared" si="1"/>
        <v>57.692307692307693</v>
      </c>
      <c r="L13" s="505">
        <v>26</v>
      </c>
      <c r="M13" s="14">
        <f t="shared" si="16"/>
        <v>1431.4285714285718</v>
      </c>
      <c r="N13" s="13">
        <f t="shared" si="3"/>
        <v>55.054945054945065</v>
      </c>
      <c r="O13" s="15">
        <f t="shared" si="4"/>
        <v>0</v>
      </c>
      <c r="P13" s="16">
        <f t="shared" si="5"/>
        <v>-2.637362637362628</v>
      </c>
      <c r="Q13" s="503">
        <f t="shared" si="6"/>
        <v>0.9542857142857144</v>
      </c>
      <c r="R13" s="619"/>
      <c r="S13" s="31">
        <v>0.25763888888888886</v>
      </c>
      <c r="T13" s="31">
        <v>0.29166666666666663</v>
      </c>
      <c r="U13" s="498">
        <f t="shared" ref="U13:U17" si="18">IF(S13=TIME(17,0,0),"",(S13-T12)*24*60)</f>
        <v>6.9999999999999751</v>
      </c>
      <c r="V13" s="506">
        <f t="shared" si="17"/>
        <v>48.999999999999986</v>
      </c>
      <c r="W13" s="17"/>
      <c r="X13" s="17"/>
      <c r="Y13" s="17"/>
      <c r="Z13" s="17"/>
      <c r="AA13" s="610"/>
      <c r="AB13" s="610"/>
      <c r="AC13" s="19"/>
      <c r="AD13" s="19"/>
      <c r="AE13" s="15">
        <f t="shared" si="8"/>
        <v>-68.571428571428214</v>
      </c>
      <c r="AF13" s="503">
        <f t="shared" si="9"/>
        <v>0.95428571428571451</v>
      </c>
      <c r="AG13" s="619"/>
    </row>
    <row r="14" spans="1:33" ht="16.5" customHeight="1">
      <c r="A14" s="644" t="s">
        <v>2532</v>
      </c>
      <c r="B14" s="507" t="s">
        <v>10</v>
      </c>
      <c r="C14" s="635" t="s">
        <v>12</v>
      </c>
      <c r="D14" s="635"/>
      <c r="E14" s="33">
        <v>39.46</v>
      </c>
      <c r="F14" s="507">
        <v>1571</v>
      </c>
      <c r="G14" s="498">
        <f t="shared" si="15"/>
        <v>61991.66</v>
      </c>
      <c r="H14" s="511" t="s">
        <v>5</v>
      </c>
      <c r="I14" s="505">
        <v>15</v>
      </c>
      <c r="J14" s="30">
        <v>1500</v>
      </c>
      <c r="K14" s="13">
        <f t="shared" si="1"/>
        <v>100</v>
      </c>
      <c r="L14" s="505">
        <v>15</v>
      </c>
      <c r="M14" s="14">
        <f t="shared" si="16"/>
        <v>1450.153846153846</v>
      </c>
      <c r="N14" s="13">
        <f t="shared" si="3"/>
        <v>96.67692307692306</v>
      </c>
      <c r="O14" s="15">
        <f t="shared" si="4"/>
        <v>0</v>
      </c>
      <c r="P14" s="16">
        <f t="shared" si="5"/>
        <v>-3.3230769230769397</v>
      </c>
      <c r="Q14" s="503">
        <f t="shared" si="6"/>
        <v>0.9667692307692306</v>
      </c>
      <c r="R14" s="619"/>
      <c r="S14" s="31">
        <v>0.29652777777777772</v>
      </c>
      <c r="T14" s="31">
        <v>0.34166666666666662</v>
      </c>
      <c r="U14" s="498">
        <f t="shared" si="18"/>
        <v>6.9999999999999751</v>
      </c>
      <c r="V14" s="506">
        <f t="shared" si="17"/>
        <v>65.000000000000014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-49.846153846154039</v>
      </c>
      <c r="AF14" s="503">
        <f t="shared" si="9"/>
        <v>0.9667692307692306</v>
      </c>
      <c r="AG14" s="619"/>
    </row>
    <row r="15" spans="1:33" ht="16.5" customHeight="1">
      <c r="A15" s="644" t="s">
        <v>185</v>
      </c>
      <c r="B15" s="507" t="s">
        <v>6</v>
      </c>
      <c r="C15" s="635" t="s">
        <v>45</v>
      </c>
      <c r="D15" s="635"/>
      <c r="E15" s="33">
        <v>51.06</v>
      </c>
      <c r="F15" s="507">
        <v>2072</v>
      </c>
      <c r="G15" s="498">
        <f t="shared" si="15"/>
        <v>105796.32</v>
      </c>
      <c r="H15" s="511" t="s">
        <v>5</v>
      </c>
      <c r="I15" s="505">
        <v>13</v>
      </c>
      <c r="J15" s="30">
        <v>2000</v>
      </c>
      <c r="K15" s="13">
        <f t="shared" si="1"/>
        <v>153.84615384615384</v>
      </c>
      <c r="L15" s="505">
        <v>13</v>
      </c>
      <c r="M15" s="14">
        <f t="shared" si="16"/>
        <v>1912.6153846153868</v>
      </c>
      <c r="N15" s="13">
        <f t="shared" si="3"/>
        <v>147.12426035502975</v>
      </c>
      <c r="O15" s="15">
        <f t="shared" si="4"/>
        <v>0</v>
      </c>
      <c r="P15" s="16">
        <f t="shared" si="5"/>
        <v>-6.7218934911240922</v>
      </c>
      <c r="Q15" s="503">
        <f t="shared" si="6"/>
        <v>0.95630769230769341</v>
      </c>
      <c r="R15" s="619"/>
      <c r="S15" s="31">
        <v>0.70833333333333337</v>
      </c>
      <c r="T15" s="31">
        <v>0.75347222222222221</v>
      </c>
      <c r="U15" s="498" t="str">
        <f t="shared" si="18"/>
        <v/>
      </c>
      <c r="V15" s="506">
        <f t="shared" si="17"/>
        <v>64.999999999999929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-87.384615384613198</v>
      </c>
      <c r="AF15" s="503">
        <f t="shared" si="9"/>
        <v>0.95630769230769341</v>
      </c>
      <c r="AG15" s="619"/>
    </row>
    <row r="16" spans="1:33" ht="16.5" customHeight="1">
      <c r="A16" s="644" t="s">
        <v>185</v>
      </c>
      <c r="B16" s="507" t="s">
        <v>6</v>
      </c>
      <c r="C16" s="635" t="s">
        <v>25</v>
      </c>
      <c r="D16" s="635"/>
      <c r="E16" s="33">
        <v>56.43</v>
      </c>
      <c r="F16" s="507">
        <v>851</v>
      </c>
      <c r="G16" s="498">
        <f t="shared" si="15"/>
        <v>48021.93</v>
      </c>
      <c r="H16" s="511" t="s">
        <v>5</v>
      </c>
      <c r="I16" s="505">
        <v>13</v>
      </c>
      <c r="J16" s="30">
        <v>2000</v>
      </c>
      <c r="K16" s="13">
        <f t="shared" si="1"/>
        <v>153.84615384615384</v>
      </c>
      <c r="L16" s="505">
        <v>13</v>
      </c>
      <c r="M16" s="14">
        <f t="shared" si="16"/>
        <v>1963.8461538461488</v>
      </c>
      <c r="N16" s="13">
        <f t="shared" si="3"/>
        <v>151.06508875739607</v>
      </c>
      <c r="O16" s="15">
        <f t="shared" si="4"/>
        <v>0</v>
      </c>
      <c r="P16" s="16">
        <f t="shared" si="5"/>
        <v>-2.7810650887577708</v>
      </c>
      <c r="Q16" s="503">
        <f t="shared" si="6"/>
        <v>0.98192307692307446</v>
      </c>
      <c r="R16" s="619"/>
      <c r="S16" s="31">
        <v>0.75902777777777775</v>
      </c>
      <c r="T16" s="31">
        <v>0.77708333333333335</v>
      </c>
      <c r="U16" s="498">
        <f t="shared" si="18"/>
        <v>7.9999999999999716</v>
      </c>
      <c r="V16" s="506">
        <f t="shared" si="17"/>
        <v>26.000000000000068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-36.153846153851191</v>
      </c>
      <c r="AF16" s="503">
        <f t="shared" si="9"/>
        <v>0.98192307692307446</v>
      </c>
      <c r="AG16" s="619"/>
    </row>
    <row r="17" spans="1:33" ht="16.5" customHeight="1">
      <c r="A17" s="644" t="s">
        <v>185</v>
      </c>
      <c r="B17" s="507" t="s">
        <v>6</v>
      </c>
      <c r="C17" s="509" t="s">
        <v>20</v>
      </c>
      <c r="D17" s="510"/>
      <c r="E17" s="33">
        <v>54.5</v>
      </c>
      <c r="F17" s="507">
        <v>513</v>
      </c>
      <c r="G17" s="498">
        <f t="shared" si="15"/>
        <v>27958.5</v>
      </c>
      <c r="H17" s="511" t="s">
        <v>5</v>
      </c>
      <c r="I17" s="505">
        <v>19</v>
      </c>
      <c r="J17" s="30">
        <v>1500</v>
      </c>
      <c r="K17" s="13">
        <f t="shared" si="1"/>
        <v>78.94736842105263</v>
      </c>
      <c r="L17" s="505">
        <v>19</v>
      </c>
      <c r="M17" s="14">
        <f t="shared" si="16"/>
        <v>1465.714285714291</v>
      </c>
      <c r="N17" s="13">
        <f t="shared" si="3"/>
        <v>77.142857142857423</v>
      </c>
      <c r="O17" s="15">
        <f t="shared" si="4"/>
        <v>0</v>
      </c>
      <c r="P17" s="16">
        <f t="shared" si="5"/>
        <v>-1.8045112781952071</v>
      </c>
      <c r="Q17" s="503">
        <f t="shared" si="6"/>
        <v>0.97714285714286075</v>
      </c>
      <c r="R17" s="619"/>
      <c r="S17" s="31">
        <v>0.78055555555555556</v>
      </c>
      <c r="T17" s="31">
        <v>0.79513888888888884</v>
      </c>
      <c r="U17" s="498">
        <f t="shared" si="18"/>
        <v>4.9999999999999822</v>
      </c>
      <c r="V17" s="506">
        <f t="shared" si="17"/>
        <v>20.999999999999925</v>
      </c>
      <c r="W17" s="17"/>
      <c r="X17" s="17"/>
      <c r="Y17" s="20"/>
      <c r="Z17" s="20"/>
      <c r="AA17" s="501"/>
      <c r="AB17" s="502"/>
      <c r="AC17" s="19"/>
      <c r="AD17" s="19"/>
      <c r="AE17" s="15">
        <f t="shared" si="8"/>
        <v>-34.285714285708991</v>
      </c>
      <c r="AF17" s="503">
        <f t="shared" si="9"/>
        <v>0.97714285714286064</v>
      </c>
      <c r="AG17" s="619"/>
    </row>
    <row r="18" spans="1:33" ht="16.5" customHeight="1">
      <c r="A18" s="644" t="s">
        <v>185</v>
      </c>
      <c r="B18" s="33" t="s">
        <v>180</v>
      </c>
      <c r="C18" s="620"/>
      <c r="D18" s="620"/>
      <c r="E18" s="504"/>
      <c r="F18" s="34"/>
      <c r="G18" s="13"/>
      <c r="H18" s="507"/>
      <c r="I18" s="23">
        <v>16.666666666666668</v>
      </c>
      <c r="J18" s="30">
        <v>1750</v>
      </c>
      <c r="K18" s="13">
        <f t="shared" si="1"/>
        <v>104.99999999999999</v>
      </c>
      <c r="L18" s="23">
        <v>16.666666666666668</v>
      </c>
      <c r="M18" s="14">
        <f>AVERAGE(M12:M17)</f>
        <v>1688.1263736263743</v>
      </c>
      <c r="N18" s="13">
        <f t="shared" si="3"/>
        <v>101.28758241758246</v>
      </c>
      <c r="O18" s="15">
        <f t="shared" si="4"/>
        <v>0</v>
      </c>
      <c r="P18" s="16">
        <f t="shared" si="5"/>
        <v>-3.7124175824175296</v>
      </c>
      <c r="Q18" s="503">
        <f t="shared" si="6"/>
        <v>0.96464364207221398</v>
      </c>
      <c r="R18" s="619"/>
      <c r="S18" s="31"/>
      <c r="T18" s="31"/>
      <c r="U18" s="498"/>
      <c r="V18" s="506"/>
      <c r="W18" s="13"/>
      <c r="X18" s="13"/>
      <c r="Y18" s="24">
        <f>SUM(Y12:Y17)</f>
        <v>0</v>
      </c>
      <c r="Z18" s="24">
        <f>SUM(Z12:Z17)</f>
        <v>0</v>
      </c>
      <c r="AA18" s="609"/>
      <c r="AB18" s="609"/>
      <c r="AC18" s="24">
        <v>6</v>
      </c>
      <c r="AD18" s="24">
        <f>SUM(AD12:AD17)</f>
        <v>0</v>
      </c>
      <c r="AE18" s="15">
        <f t="shared" si="8"/>
        <v>-61.873626373625711</v>
      </c>
      <c r="AF18" s="503">
        <f t="shared" si="9"/>
        <v>0.96464364207221387</v>
      </c>
      <c r="AG18" s="619"/>
    </row>
    <row r="19" spans="1:33" ht="15.75" customHeight="1">
      <c r="A19" s="637" t="s">
        <v>189</v>
      </c>
      <c r="B19" s="33" t="s">
        <v>6</v>
      </c>
      <c r="C19" s="635" t="s">
        <v>22</v>
      </c>
      <c r="D19" s="635"/>
      <c r="E19" s="33">
        <v>50.67</v>
      </c>
      <c r="F19" s="507">
        <v>1088</v>
      </c>
      <c r="G19" s="498">
        <f t="shared" ref="G19:G24" si="19">E19*F19</f>
        <v>55128.959999999999</v>
      </c>
      <c r="H19" s="511" t="s">
        <v>5</v>
      </c>
      <c r="I19" s="505">
        <v>17</v>
      </c>
      <c r="J19" s="30">
        <v>2000</v>
      </c>
      <c r="K19" s="13">
        <f t="shared" si="1"/>
        <v>117.64705882352941</v>
      </c>
      <c r="L19" s="505">
        <v>17</v>
      </c>
      <c r="M19" s="14">
        <f t="shared" ref="M19:M24" si="20">F19/V19*60</f>
        <v>1919.9999999999977</v>
      </c>
      <c r="N19" s="13">
        <f t="shared" si="3"/>
        <v>112.9411764705881</v>
      </c>
      <c r="O19" s="15">
        <f t="shared" si="4"/>
        <v>0</v>
      </c>
      <c r="P19" s="16">
        <f t="shared" si="5"/>
        <v>-4.7058823529413019</v>
      </c>
      <c r="Q19" s="503">
        <f t="shared" si="6"/>
        <v>0.95999999999999897</v>
      </c>
      <c r="R19" s="619">
        <f>Q25</f>
        <v>0.95856452726017904</v>
      </c>
      <c r="S19" s="31">
        <v>0.25</v>
      </c>
      <c r="T19" s="31">
        <v>0.27361111111111114</v>
      </c>
      <c r="U19" s="498"/>
      <c r="V19" s="506">
        <f t="shared" ref="V19:V24" si="21">(T19-S19)*24*60</f>
        <v>34.000000000000043</v>
      </c>
      <c r="W19" s="17"/>
      <c r="X19" s="17"/>
      <c r="Y19" s="22"/>
      <c r="Z19" s="22"/>
      <c r="AA19" s="610"/>
      <c r="AB19" s="610"/>
      <c r="AC19" s="19">
        <v>6</v>
      </c>
      <c r="AD19" s="19"/>
      <c r="AE19" s="15">
        <f t="shared" si="8"/>
        <v>-80.000000000002274</v>
      </c>
      <c r="AF19" s="503">
        <f t="shared" si="9"/>
        <v>0.95999999999999885</v>
      </c>
      <c r="AG19" s="619">
        <f>AF25</f>
        <v>0.95856452726017904</v>
      </c>
    </row>
    <row r="20" spans="1:33" ht="15.75" customHeight="1">
      <c r="A20" s="638" t="s">
        <v>2533</v>
      </c>
      <c r="B20" s="33" t="s">
        <v>6</v>
      </c>
      <c r="C20" s="635" t="s">
        <v>23</v>
      </c>
      <c r="D20" s="635"/>
      <c r="E20" s="33">
        <v>57.73</v>
      </c>
      <c r="F20" s="507">
        <v>1910</v>
      </c>
      <c r="G20" s="498">
        <f t="shared" si="19"/>
        <v>110264.29999999999</v>
      </c>
      <c r="H20" s="511" t="s">
        <v>5</v>
      </c>
      <c r="I20" s="505">
        <v>14</v>
      </c>
      <c r="J20" s="30">
        <v>2000</v>
      </c>
      <c r="K20" s="13">
        <f t="shared" si="1"/>
        <v>142.85714285714286</v>
      </c>
      <c r="L20" s="505">
        <v>14</v>
      </c>
      <c r="M20" s="14">
        <f t="shared" si="20"/>
        <v>1909.9999999999991</v>
      </c>
      <c r="N20" s="13">
        <f t="shared" si="3"/>
        <v>136.42857142857136</v>
      </c>
      <c r="O20" s="15">
        <f t="shared" si="4"/>
        <v>0</v>
      </c>
      <c r="P20" s="16">
        <f t="shared" si="5"/>
        <v>-6.4285714285715017</v>
      </c>
      <c r="Q20" s="503">
        <f t="shared" si="6"/>
        <v>0.95499999999999952</v>
      </c>
      <c r="R20" s="619"/>
      <c r="S20" s="31">
        <v>0.27708333333333335</v>
      </c>
      <c r="T20" s="31">
        <v>0.31875000000000003</v>
      </c>
      <c r="U20" s="498">
        <f t="shared" ref="U20:U24" si="22">IF(S20=TIME(17,0,0),"",(S20-T19)*24*60)</f>
        <v>4.9999999999999822</v>
      </c>
      <c r="V20" s="506">
        <f t="shared" si="21"/>
        <v>60.000000000000028</v>
      </c>
      <c r="W20" s="17"/>
      <c r="X20" s="498"/>
      <c r="Y20" s="498"/>
      <c r="Z20" s="498"/>
      <c r="AA20" s="610"/>
      <c r="AB20" s="610"/>
      <c r="AC20" s="19"/>
      <c r="AD20" s="19"/>
      <c r="AE20" s="15">
        <f t="shared" si="8"/>
        <v>-90.000000000000909</v>
      </c>
      <c r="AF20" s="503">
        <f t="shared" si="9"/>
        <v>0.95499999999999952</v>
      </c>
      <c r="AG20" s="619"/>
    </row>
    <row r="21" spans="1:33" ht="15.75" customHeight="1">
      <c r="A21" s="638" t="s">
        <v>2533</v>
      </c>
      <c r="B21" s="33" t="s">
        <v>6</v>
      </c>
      <c r="C21" s="635" t="s">
        <v>24</v>
      </c>
      <c r="D21" s="635"/>
      <c r="E21" s="33">
        <v>53.27</v>
      </c>
      <c r="F21" s="507">
        <v>1111</v>
      </c>
      <c r="G21" s="498">
        <f t="shared" si="19"/>
        <v>59182.97</v>
      </c>
      <c r="H21" s="511" t="s">
        <v>5</v>
      </c>
      <c r="I21" s="505">
        <v>16</v>
      </c>
      <c r="J21" s="30">
        <v>2000</v>
      </c>
      <c r="K21" s="13">
        <f t="shared" si="1"/>
        <v>125</v>
      </c>
      <c r="L21" s="505">
        <v>16</v>
      </c>
      <c r="M21" s="14">
        <f t="shared" si="20"/>
        <v>1904.5714285714266</v>
      </c>
      <c r="N21" s="13">
        <f t="shared" si="3"/>
        <v>119.03571428571416</v>
      </c>
      <c r="O21" s="15">
        <f t="shared" si="4"/>
        <v>0</v>
      </c>
      <c r="P21" s="16">
        <f t="shared" si="5"/>
        <v>-5.9642857142858361</v>
      </c>
      <c r="Q21" s="503">
        <f t="shared" si="6"/>
        <v>0.95228571428571329</v>
      </c>
      <c r="R21" s="619"/>
      <c r="S21" s="31">
        <v>0.32222222222222224</v>
      </c>
      <c r="T21" s="31">
        <v>0.34652777777777782</v>
      </c>
      <c r="U21" s="498">
        <f t="shared" si="22"/>
        <v>4.9999999999999822</v>
      </c>
      <c r="V21" s="506">
        <f t="shared" si="21"/>
        <v>35.000000000000036</v>
      </c>
      <c r="W21" s="17"/>
      <c r="X21" s="498"/>
      <c r="Y21" s="498"/>
      <c r="Z21" s="498"/>
      <c r="AA21" s="610"/>
      <c r="AB21" s="610"/>
      <c r="AC21" s="19"/>
      <c r="AD21" s="19"/>
      <c r="AE21" s="15">
        <f t="shared" si="8"/>
        <v>-95.428571428573377</v>
      </c>
      <c r="AF21" s="503">
        <f t="shared" si="9"/>
        <v>0.95228571428571329</v>
      </c>
      <c r="AG21" s="619"/>
    </row>
    <row r="22" spans="1:33" ht="15.75" customHeight="1">
      <c r="A22" s="638" t="s">
        <v>2533</v>
      </c>
      <c r="B22" s="33" t="s">
        <v>6</v>
      </c>
      <c r="C22" s="635" t="s">
        <v>21</v>
      </c>
      <c r="D22" s="635"/>
      <c r="E22" s="33">
        <v>50.49</v>
      </c>
      <c r="F22" s="507">
        <v>1438</v>
      </c>
      <c r="G22" s="498">
        <f t="shared" si="19"/>
        <v>72604.62000000001</v>
      </c>
      <c r="H22" s="511" t="s">
        <v>5</v>
      </c>
      <c r="I22" s="505">
        <v>15</v>
      </c>
      <c r="J22" s="30">
        <v>2000</v>
      </c>
      <c r="K22" s="13">
        <f t="shared" si="1"/>
        <v>133.33333333333334</v>
      </c>
      <c r="L22" s="505">
        <v>15</v>
      </c>
      <c r="M22" s="14">
        <f t="shared" si="20"/>
        <v>1917.3333333333333</v>
      </c>
      <c r="N22" s="13">
        <f t="shared" si="3"/>
        <v>127.82222222222222</v>
      </c>
      <c r="O22" s="15">
        <f t="shared" si="4"/>
        <v>0</v>
      </c>
      <c r="P22" s="16">
        <f t="shared" si="5"/>
        <v>-5.51111111111112</v>
      </c>
      <c r="Q22" s="503">
        <f t="shared" si="6"/>
        <v>0.95866666666666656</v>
      </c>
      <c r="R22" s="619"/>
      <c r="S22" s="31">
        <v>0.70833333333333337</v>
      </c>
      <c r="T22" s="31">
        <v>0.73958333333333337</v>
      </c>
      <c r="U22" s="498" t="str">
        <f t="shared" si="22"/>
        <v/>
      </c>
      <c r="V22" s="506">
        <f t="shared" si="21"/>
        <v>45</v>
      </c>
      <c r="W22" s="17"/>
      <c r="X22" s="498"/>
      <c r="Y22" s="498"/>
      <c r="Z22" s="498"/>
      <c r="AA22" s="610"/>
      <c r="AB22" s="610"/>
      <c r="AC22" s="19"/>
      <c r="AD22" s="19"/>
      <c r="AE22" s="15">
        <f t="shared" si="8"/>
        <v>-82.666666666666742</v>
      </c>
      <c r="AF22" s="503">
        <f t="shared" si="9"/>
        <v>0.95866666666666667</v>
      </c>
      <c r="AG22" s="619"/>
    </row>
    <row r="23" spans="1:33" ht="15.75" customHeight="1">
      <c r="A23" s="638" t="s">
        <v>2533</v>
      </c>
      <c r="B23" s="33" t="s">
        <v>6</v>
      </c>
      <c r="C23" s="635" t="s">
        <v>26</v>
      </c>
      <c r="D23" s="635"/>
      <c r="E23" s="33">
        <v>54.09</v>
      </c>
      <c r="F23" s="507">
        <v>1544</v>
      </c>
      <c r="G23" s="498">
        <f t="shared" si="19"/>
        <v>83514.960000000006</v>
      </c>
      <c r="H23" s="511" t="s">
        <v>5</v>
      </c>
      <c r="I23" s="505">
        <v>18</v>
      </c>
      <c r="J23" s="30">
        <v>2000</v>
      </c>
      <c r="K23" s="13">
        <f t="shared" si="1"/>
        <v>111.11111111111111</v>
      </c>
      <c r="L23" s="505">
        <v>18</v>
      </c>
      <c r="M23" s="14">
        <f t="shared" si="20"/>
        <v>1930.0000000000007</v>
      </c>
      <c r="N23" s="13">
        <f t="shared" si="3"/>
        <v>107.22222222222226</v>
      </c>
      <c r="O23" s="15">
        <f t="shared" si="4"/>
        <v>0</v>
      </c>
      <c r="P23" s="16">
        <f t="shared" si="5"/>
        <v>-3.8888888888888573</v>
      </c>
      <c r="Q23" s="503">
        <f t="shared" si="6"/>
        <v>0.9650000000000003</v>
      </c>
      <c r="R23" s="619"/>
      <c r="S23" s="31">
        <v>0.74513888888888891</v>
      </c>
      <c r="T23" s="31">
        <v>0.77847222222222223</v>
      </c>
      <c r="U23" s="498">
        <f t="shared" si="22"/>
        <v>7.9999999999999716</v>
      </c>
      <c r="V23" s="506">
        <f t="shared" si="21"/>
        <v>47.999999999999986</v>
      </c>
      <c r="W23" s="17"/>
      <c r="X23" s="17"/>
      <c r="Y23" s="498"/>
      <c r="Z23" s="498"/>
      <c r="AA23" s="610"/>
      <c r="AB23" s="610"/>
      <c r="AC23" s="19"/>
      <c r="AD23" s="19"/>
      <c r="AE23" s="15">
        <f t="shared" si="8"/>
        <v>-69.999999999999318</v>
      </c>
      <c r="AF23" s="503">
        <f t="shared" si="9"/>
        <v>0.9650000000000003</v>
      </c>
      <c r="AG23" s="619"/>
    </row>
    <row r="24" spans="1:33" ht="15.75" customHeight="1">
      <c r="A24" s="638" t="s">
        <v>189</v>
      </c>
      <c r="B24" s="33" t="s">
        <v>6</v>
      </c>
      <c r="C24" s="635" t="s">
        <v>2057</v>
      </c>
      <c r="D24" s="635"/>
      <c r="E24" s="33">
        <v>50.67</v>
      </c>
      <c r="F24" s="507">
        <v>2209</v>
      </c>
      <c r="G24" s="498">
        <f t="shared" si="19"/>
        <v>111930.03</v>
      </c>
      <c r="H24" s="511" t="s">
        <v>5</v>
      </c>
      <c r="I24" s="505">
        <v>15</v>
      </c>
      <c r="J24" s="30">
        <v>2000</v>
      </c>
      <c r="K24" s="13">
        <f t="shared" si="1"/>
        <v>133.33333333333334</v>
      </c>
      <c r="L24" s="505">
        <v>15</v>
      </c>
      <c r="M24" s="14">
        <f t="shared" si="20"/>
        <v>1920.8695652173892</v>
      </c>
      <c r="N24" s="13">
        <f t="shared" si="3"/>
        <v>128.05797101449261</v>
      </c>
      <c r="O24" s="15">
        <f t="shared" si="4"/>
        <v>0</v>
      </c>
      <c r="P24" s="16">
        <f t="shared" si="5"/>
        <v>-5.2753623188407346</v>
      </c>
      <c r="Q24" s="503">
        <f t="shared" si="6"/>
        <v>0.96043478260869453</v>
      </c>
      <c r="R24" s="619"/>
      <c r="S24" s="31">
        <v>0.78333333333333333</v>
      </c>
      <c r="T24" s="31">
        <v>0.83125000000000004</v>
      </c>
      <c r="U24" s="498">
        <f t="shared" si="22"/>
        <v>6.9999999999999751</v>
      </c>
      <c r="V24" s="506">
        <f t="shared" si="21"/>
        <v>69.000000000000071</v>
      </c>
      <c r="W24" s="17"/>
      <c r="X24" s="22"/>
      <c r="Y24" s="22"/>
      <c r="Z24" s="22"/>
      <c r="AA24" s="610"/>
      <c r="AB24" s="610"/>
      <c r="AC24" s="19"/>
      <c r="AD24" s="19"/>
      <c r="AE24" s="15">
        <f t="shared" si="8"/>
        <v>-79.130434782610791</v>
      </c>
      <c r="AF24" s="503">
        <f t="shared" si="9"/>
        <v>0.96043478260869464</v>
      </c>
      <c r="AG24" s="619"/>
    </row>
    <row r="25" spans="1:33" ht="15.75" customHeight="1">
      <c r="A25" s="638" t="s">
        <v>2533</v>
      </c>
      <c r="B25" s="33" t="s">
        <v>180</v>
      </c>
      <c r="C25" s="620"/>
      <c r="D25" s="620"/>
      <c r="E25" s="504"/>
      <c r="F25" s="507"/>
      <c r="G25" s="498"/>
      <c r="H25" s="507"/>
      <c r="I25" s="23">
        <v>15.833333333333334</v>
      </c>
      <c r="J25" s="30">
        <v>2000</v>
      </c>
      <c r="K25" s="13">
        <f t="shared" si="1"/>
        <v>126.31578947368421</v>
      </c>
      <c r="L25" s="23">
        <v>15.833333333333334</v>
      </c>
      <c r="M25" s="14">
        <f>AVERAGE(M19:M24)</f>
        <v>1917.1290545203581</v>
      </c>
      <c r="N25" s="13">
        <f t="shared" si="3"/>
        <v>121.0818350223384</v>
      </c>
      <c r="O25" s="15">
        <f t="shared" si="4"/>
        <v>0</v>
      </c>
      <c r="P25" s="16">
        <f t="shared" si="5"/>
        <v>-5.2339544513458094</v>
      </c>
      <c r="Q25" s="503">
        <f t="shared" si="6"/>
        <v>0.95856452726017904</v>
      </c>
      <c r="R25" s="619"/>
      <c r="S25" s="31"/>
      <c r="T25" s="31"/>
      <c r="U25" s="13"/>
      <c r="V25" s="506"/>
      <c r="W25" s="13"/>
      <c r="X25" s="13"/>
      <c r="Y25" s="24">
        <f>SUM(Y19:Y24)</f>
        <v>0</v>
      </c>
      <c r="Z25" s="24">
        <f>SUM(Z19:Z24)</f>
        <v>0</v>
      </c>
      <c r="AA25" s="609"/>
      <c r="AB25" s="609"/>
      <c r="AC25" s="24">
        <v>6</v>
      </c>
      <c r="AD25" s="24">
        <f>SUM(AD19:AD24)</f>
        <v>0</v>
      </c>
      <c r="AE25" s="15">
        <f t="shared" si="8"/>
        <v>-82.870945479641932</v>
      </c>
      <c r="AF25" s="503">
        <f t="shared" si="9"/>
        <v>0.95856452726017904</v>
      </c>
      <c r="AG25" s="619"/>
    </row>
    <row r="26" spans="1:33" ht="15.75" customHeight="1">
      <c r="A26" s="636" t="s">
        <v>2534</v>
      </c>
      <c r="B26" s="33" t="s">
        <v>27</v>
      </c>
      <c r="C26" s="635" t="s">
        <v>28</v>
      </c>
      <c r="D26" s="635"/>
      <c r="E26" s="33">
        <v>31.29</v>
      </c>
      <c r="F26" s="507">
        <v>6987</v>
      </c>
      <c r="G26" s="498">
        <f t="shared" ref="G26:G30" si="23">E26*F26</f>
        <v>218623.22999999998</v>
      </c>
      <c r="H26" s="511" t="s">
        <v>5</v>
      </c>
      <c r="I26" s="505">
        <v>18</v>
      </c>
      <c r="J26" s="30">
        <v>2400</v>
      </c>
      <c r="K26" s="13">
        <f t="shared" si="1"/>
        <v>133.33333333333334</v>
      </c>
      <c r="L26" s="505">
        <v>18</v>
      </c>
      <c r="M26" s="14">
        <f t="shared" ref="M26:M30" si="24">F26/V26*60</f>
        <v>2290.8196721311474</v>
      </c>
      <c r="N26" s="13">
        <f t="shared" si="3"/>
        <v>127.26775956284152</v>
      </c>
      <c r="O26" s="15">
        <f t="shared" si="4"/>
        <v>0</v>
      </c>
      <c r="P26" s="16">
        <f t="shared" si="5"/>
        <v>-6.0655737704918238</v>
      </c>
      <c r="Q26" s="503">
        <f t="shared" si="6"/>
        <v>0.95450819672131137</v>
      </c>
      <c r="R26" s="619">
        <f>Q31</f>
        <v>0.95290838125954491</v>
      </c>
      <c r="S26" s="31">
        <v>8.3333333333333329E-2</v>
      </c>
      <c r="T26" s="31">
        <v>0.21041666666666664</v>
      </c>
      <c r="U26" s="498"/>
      <c r="V26" s="506">
        <f t="shared" ref="V26:V30" si="25">(T26-S26)*24*60</f>
        <v>183</v>
      </c>
      <c r="W26" s="17">
        <f>T26</f>
        <v>0.21041666666666664</v>
      </c>
      <c r="X26" s="17">
        <f>S27</f>
        <v>0.22916666666666666</v>
      </c>
      <c r="Y26" s="17"/>
      <c r="Z26" s="17"/>
      <c r="AA26" s="610"/>
      <c r="AB26" s="610"/>
      <c r="AC26" s="19">
        <v>5</v>
      </c>
      <c r="AD26" s="19"/>
      <c r="AE26" s="15">
        <f t="shared" si="8"/>
        <v>-109.1803278688526</v>
      </c>
      <c r="AF26" s="503">
        <f t="shared" si="9"/>
        <v>0.95450819672131137</v>
      </c>
      <c r="AG26" s="619">
        <f>AF31</f>
        <v>0.95290838125954491</v>
      </c>
    </row>
    <row r="27" spans="1:33" ht="15.75" customHeight="1">
      <c r="A27" s="636" t="s">
        <v>2534</v>
      </c>
      <c r="B27" s="33" t="s">
        <v>27</v>
      </c>
      <c r="C27" s="635" t="s">
        <v>29</v>
      </c>
      <c r="D27" s="635"/>
      <c r="E27" s="33">
        <v>26.37</v>
      </c>
      <c r="F27" s="507">
        <v>4497</v>
      </c>
      <c r="G27" s="498">
        <f t="shared" si="23"/>
        <v>118585.89</v>
      </c>
      <c r="H27" s="511" t="s">
        <v>5</v>
      </c>
      <c r="I27" s="505">
        <v>18</v>
      </c>
      <c r="J27" s="30">
        <v>2400</v>
      </c>
      <c r="K27" s="13">
        <f t="shared" si="1"/>
        <v>133.33333333333334</v>
      </c>
      <c r="L27" s="505">
        <v>18</v>
      </c>
      <c r="M27" s="14">
        <f t="shared" si="24"/>
        <v>2286.6101694915251</v>
      </c>
      <c r="N27" s="13">
        <f t="shared" si="3"/>
        <v>127.03389830508473</v>
      </c>
      <c r="O27" s="15">
        <f t="shared" si="4"/>
        <v>0</v>
      </c>
      <c r="P27" s="16">
        <f t="shared" si="5"/>
        <v>-6.2994350282486096</v>
      </c>
      <c r="Q27" s="503">
        <f t="shared" si="6"/>
        <v>0.95275423728813546</v>
      </c>
      <c r="R27" s="619"/>
      <c r="S27" s="31">
        <v>0.22916666666666666</v>
      </c>
      <c r="T27" s="31">
        <v>0.31111111111111112</v>
      </c>
      <c r="U27" s="498">
        <f t="shared" ref="U27:U30" si="26">(S27-T26)*24*60</f>
        <v>27.000000000000025</v>
      </c>
      <c r="V27" s="506">
        <f t="shared" si="25"/>
        <v>118.00000000000001</v>
      </c>
      <c r="W27" s="17"/>
      <c r="X27" s="17"/>
      <c r="Y27" s="17"/>
      <c r="Z27" s="17"/>
      <c r="AA27" s="610"/>
      <c r="AB27" s="610"/>
      <c r="AC27" s="19"/>
      <c r="AD27" s="19"/>
      <c r="AE27" s="15">
        <f t="shared" si="8"/>
        <v>-113.38983050847492</v>
      </c>
      <c r="AF27" s="503">
        <f t="shared" si="9"/>
        <v>0.95275423728813546</v>
      </c>
      <c r="AG27" s="619"/>
    </row>
    <row r="28" spans="1:33" ht="15.75" customHeight="1">
      <c r="A28" s="636" t="s">
        <v>192</v>
      </c>
      <c r="B28" s="33" t="s">
        <v>27</v>
      </c>
      <c r="C28" s="635" t="s">
        <v>34</v>
      </c>
      <c r="D28" s="635"/>
      <c r="E28" s="33">
        <v>24.43</v>
      </c>
      <c r="F28" s="507">
        <v>5403</v>
      </c>
      <c r="G28" s="498">
        <f t="shared" si="23"/>
        <v>131995.29</v>
      </c>
      <c r="H28" s="511" t="s">
        <v>5</v>
      </c>
      <c r="I28" s="505">
        <v>14</v>
      </c>
      <c r="J28" s="30">
        <v>2400</v>
      </c>
      <c r="K28" s="13">
        <f t="shared" si="1"/>
        <v>171.42857142857142</v>
      </c>
      <c r="L28" s="505">
        <v>14</v>
      </c>
      <c r="M28" s="14">
        <f t="shared" si="24"/>
        <v>2282.9577464788736</v>
      </c>
      <c r="N28" s="13">
        <f t="shared" si="3"/>
        <v>163.06841046277668</v>
      </c>
      <c r="O28" s="15">
        <f t="shared" si="4"/>
        <v>0</v>
      </c>
      <c r="P28" s="16">
        <f t="shared" si="5"/>
        <v>-8.3601609657947336</v>
      </c>
      <c r="Q28" s="503">
        <f t="shared" si="6"/>
        <v>0.95123239436619733</v>
      </c>
      <c r="R28" s="619"/>
      <c r="S28" s="31">
        <v>0.31597222222222221</v>
      </c>
      <c r="T28" s="31">
        <v>0.4145833333333333</v>
      </c>
      <c r="U28" s="498">
        <f t="shared" si="26"/>
        <v>6.9999999999999751</v>
      </c>
      <c r="V28" s="506">
        <f t="shared" si="25"/>
        <v>141.99999999999997</v>
      </c>
      <c r="W28" s="17"/>
      <c r="X28" s="17"/>
      <c r="Y28" s="17"/>
      <c r="Z28" s="17"/>
      <c r="AA28" s="610"/>
      <c r="AB28" s="610"/>
      <c r="AC28" s="19"/>
      <c r="AD28" s="19"/>
      <c r="AE28" s="15">
        <f t="shared" si="8"/>
        <v>-117.04225352112644</v>
      </c>
      <c r="AF28" s="503">
        <f t="shared" si="9"/>
        <v>0.95123239436619733</v>
      </c>
      <c r="AG28" s="619"/>
    </row>
    <row r="29" spans="1:33" ht="15.75" customHeight="1">
      <c r="A29" s="636" t="s">
        <v>192</v>
      </c>
      <c r="B29" s="33" t="s">
        <v>27</v>
      </c>
      <c r="C29" s="635" t="s">
        <v>75</v>
      </c>
      <c r="D29" s="635"/>
      <c r="E29" s="33">
        <v>25.98</v>
      </c>
      <c r="F29" s="507">
        <v>2935</v>
      </c>
      <c r="G29" s="498">
        <f t="shared" si="23"/>
        <v>76251.3</v>
      </c>
      <c r="H29" s="511" t="s">
        <v>5</v>
      </c>
      <c r="I29" s="505">
        <v>19</v>
      </c>
      <c r="J29" s="30">
        <v>2400</v>
      </c>
      <c r="K29" s="13">
        <f t="shared" si="1"/>
        <v>126.31578947368421</v>
      </c>
      <c r="L29" s="505">
        <v>19</v>
      </c>
      <c r="M29" s="14">
        <f t="shared" si="24"/>
        <v>2287.0129870129858</v>
      </c>
      <c r="N29" s="13">
        <f t="shared" si="3"/>
        <v>120.36910457963083</v>
      </c>
      <c r="O29" s="15">
        <f t="shared" si="4"/>
        <v>0</v>
      </c>
      <c r="P29" s="16">
        <f t="shared" si="5"/>
        <v>-5.9466848940533765</v>
      </c>
      <c r="Q29" s="503">
        <f t="shared" si="6"/>
        <v>0.95292207792207739</v>
      </c>
      <c r="R29" s="619"/>
      <c r="S29" s="31">
        <v>0.41874999999999996</v>
      </c>
      <c r="T29" s="31">
        <v>0.47222222222222221</v>
      </c>
      <c r="U29" s="498">
        <f t="shared" si="26"/>
        <v>5.9999999999999787</v>
      </c>
      <c r="V29" s="506">
        <f t="shared" si="25"/>
        <v>77.000000000000043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-112.98701298701417</v>
      </c>
      <c r="AF29" s="503">
        <f t="shared" si="9"/>
        <v>0.95292207792207739</v>
      </c>
      <c r="AG29" s="619"/>
    </row>
    <row r="30" spans="1:33" ht="15.75" customHeight="1">
      <c r="A30" s="636" t="s">
        <v>2534</v>
      </c>
      <c r="B30" s="33" t="s">
        <v>27</v>
      </c>
      <c r="C30" s="635" t="s">
        <v>55</v>
      </c>
      <c r="D30" s="635"/>
      <c r="E30" s="33">
        <v>23.89</v>
      </c>
      <c r="F30" s="507">
        <v>305</v>
      </c>
      <c r="G30" s="498">
        <f t="shared" si="23"/>
        <v>7286.45</v>
      </c>
      <c r="H30" s="511" t="s">
        <v>5</v>
      </c>
      <c r="I30" s="505">
        <v>13</v>
      </c>
      <c r="J30" s="30">
        <v>2400</v>
      </c>
      <c r="K30" s="13">
        <f t="shared" si="1"/>
        <v>184.61538461538461</v>
      </c>
      <c r="L30" s="505">
        <v>13</v>
      </c>
      <c r="M30" s="14">
        <f t="shared" si="24"/>
        <v>2287.5000000000082</v>
      </c>
      <c r="N30" s="13">
        <f t="shared" si="3"/>
        <v>175.96153846153908</v>
      </c>
      <c r="O30" s="15">
        <f t="shared" si="4"/>
        <v>0</v>
      </c>
      <c r="P30" s="16">
        <f t="shared" si="5"/>
        <v>-8.6538461538455351</v>
      </c>
      <c r="Q30" s="503">
        <f t="shared" si="6"/>
        <v>0.95312500000000333</v>
      </c>
      <c r="R30" s="619"/>
      <c r="S30" s="31">
        <v>0.47777777777777775</v>
      </c>
      <c r="T30" s="31">
        <v>0.48333333333333328</v>
      </c>
      <c r="U30" s="498">
        <f t="shared" si="26"/>
        <v>7.9999999999999716</v>
      </c>
      <c r="V30" s="506">
        <f t="shared" si="25"/>
        <v>7.9999999999999716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-112.49999999999181</v>
      </c>
      <c r="AF30" s="503">
        <f t="shared" si="9"/>
        <v>0.95312500000000344</v>
      </c>
      <c r="AG30" s="619"/>
    </row>
    <row r="31" spans="1:33" ht="15.75" customHeight="1">
      <c r="A31" s="636" t="s">
        <v>192</v>
      </c>
      <c r="B31" s="33" t="s">
        <v>180</v>
      </c>
      <c r="C31" s="620"/>
      <c r="D31" s="620"/>
      <c r="E31" s="504"/>
      <c r="F31" s="507"/>
      <c r="G31" s="498"/>
      <c r="H31" s="507"/>
      <c r="I31" s="23">
        <v>16.399999999999999</v>
      </c>
      <c r="J31" s="30">
        <v>2400</v>
      </c>
      <c r="K31" s="13">
        <f t="shared" si="1"/>
        <v>146.34146341463415</v>
      </c>
      <c r="L31" s="23">
        <v>16.399999999999999</v>
      </c>
      <c r="M31" s="14">
        <f>AVERAGE(M26:M30)</f>
        <v>2286.9801150229077</v>
      </c>
      <c r="N31" s="13">
        <f t="shared" si="3"/>
        <v>139.45000701359194</v>
      </c>
      <c r="O31" s="15">
        <f t="shared" si="4"/>
        <v>0</v>
      </c>
      <c r="P31" s="16">
        <f t="shared" si="5"/>
        <v>-6.8914564010422055</v>
      </c>
      <c r="Q31" s="503">
        <f t="shared" si="6"/>
        <v>0.95290838125954491</v>
      </c>
      <c r="R31" s="619"/>
      <c r="S31" s="31"/>
      <c r="T31" s="31"/>
      <c r="U31" s="498"/>
      <c r="V31" s="506"/>
      <c r="W31" s="498"/>
      <c r="X31" s="498"/>
      <c r="Y31" s="24">
        <f>SUM(Y26:Y30)</f>
        <v>0</v>
      </c>
      <c r="Z31" s="24">
        <f>SUM(Z26:Z30)</f>
        <v>0</v>
      </c>
      <c r="AA31" s="609"/>
      <c r="AB31" s="609"/>
      <c r="AC31" s="24">
        <v>5</v>
      </c>
      <c r="AD31" s="24">
        <f>SUM(AD26:AD30)</f>
        <v>0</v>
      </c>
      <c r="AE31" s="15">
        <f t="shared" si="8"/>
        <v>-113.01988497709226</v>
      </c>
      <c r="AF31" s="503">
        <f t="shared" si="9"/>
        <v>0.95290838125954491</v>
      </c>
      <c r="AG31" s="619"/>
    </row>
    <row r="32" spans="1:33" ht="15.75" customHeight="1">
      <c r="A32" s="633" t="s">
        <v>195</v>
      </c>
      <c r="B32" s="33" t="s">
        <v>27</v>
      </c>
      <c r="C32" s="611" t="s">
        <v>33</v>
      </c>
      <c r="D32" s="611"/>
      <c r="E32" s="33">
        <v>26.18</v>
      </c>
      <c r="F32" s="507">
        <v>4328</v>
      </c>
      <c r="G32" s="498">
        <f t="shared" ref="G32:G36" si="27">E32*F32</f>
        <v>113307.04</v>
      </c>
      <c r="H32" s="511" t="s">
        <v>5</v>
      </c>
      <c r="I32" s="505">
        <v>20</v>
      </c>
      <c r="J32" s="30">
        <v>2400</v>
      </c>
      <c r="K32" s="13">
        <f t="shared" si="1"/>
        <v>120</v>
      </c>
      <c r="L32" s="505">
        <v>20</v>
      </c>
      <c r="M32" s="14">
        <f t="shared" ref="M32:M36" si="28">F32/V32*60</f>
        <v>2298.0530973451332</v>
      </c>
      <c r="N32" s="13">
        <f t="shared" si="3"/>
        <v>114.90265486725666</v>
      </c>
      <c r="O32" s="15">
        <f t="shared" si="4"/>
        <v>0</v>
      </c>
      <c r="P32" s="16">
        <f t="shared" si="5"/>
        <v>-5.0973451327433423</v>
      </c>
      <c r="Q32" s="503">
        <f t="shared" si="6"/>
        <v>0.95752212389380553</v>
      </c>
      <c r="R32" s="619">
        <f>Q37</f>
        <v>0.96181897668790806</v>
      </c>
      <c r="S32" s="31">
        <v>8.3333333333333329E-2</v>
      </c>
      <c r="T32" s="31">
        <v>0.16180555555555554</v>
      </c>
      <c r="U32" s="498"/>
      <c r="V32" s="506">
        <f t="shared" ref="V32:V36" si="29">(T32-S32)*24*60</f>
        <v>112.99999999999997</v>
      </c>
      <c r="W32" s="22">
        <f>T32</f>
        <v>0.16180555555555554</v>
      </c>
      <c r="X32" s="22">
        <f>S33</f>
        <v>0.18333333333333332</v>
      </c>
      <c r="Y32" s="22"/>
      <c r="Z32" s="22"/>
      <c r="AA32" s="610"/>
      <c r="AB32" s="610"/>
      <c r="AC32" s="19">
        <v>5</v>
      </c>
      <c r="AD32" s="19"/>
      <c r="AE32" s="15">
        <f t="shared" si="8"/>
        <v>-101.94690265486679</v>
      </c>
      <c r="AF32" s="503">
        <f t="shared" si="9"/>
        <v>0.95752212389380553</v>
      </c>
      <c r="AG32" s="619">
        <f>AF37</f>
        <v>0.96181897668790794</v>
      </c>
    </row>
    <row r="33" spans="1:33" ht="15.75" customHeight="1">
      <c r="A33" s="633" t="s">
        <v>2535</v>
      </c>
      <c r="B33" s="33" t="s">
        <v>27</v>
      </c>
      <c r="C33" s="611" t="s">
        <v>30</v>
      </c>
      <c r="D33" s="611"/>
      <c r="E33" s="33">
        <v>26.18</v>
      </c>
      <c r="F33" s="507">
        <v>5588</v>
      </c>
      <c r="G33" s="498">
        <f t="shared" si="27"/>
        <v>146293.84</v>
      </c>
      <c r="H33" s="511" t="s">
        <v>5</v>
      </c>
      <c r="I33" s="505">
        <v>18</v>
      </c>
      <c r="J33" s="30">
        <v>2400</v>
      </c>
      <c r="K33" s="13">
        <f t="shared" si="1"/>
        <v>133.33333333333334</v>
      </c>
      <c r="L33" s="505">
        <v>18</v>
      </c>
      <c r="M33" s="14">
        <f t="shared" si="28"/>
        <v>2296.4383561643835</v>
      </c>
      <c r="N33" s="13">
        <f t="shared" si="3"/>
        <v>127.57990867579909</v>
      </c>
      <c r="O33" s="15">
        <f t="shared" si="4"/>
        <v>0</v>
      </c>
      <c r="P33" s="16">
        <f t="shared" si="5"/>
        <v>-5.7534246575342536</v>
      </c>
      <c r="Q33" s="503">
        <f t="shared" si="6"/>
        <v>0.95684931506849313</v>
      </c>
      <c r="R33" s="619"/>
      <c r="S33" s="31">
        <v>0.18333333333333332</v>
      </c>
      <c r="T33" s="31">
        <v>0.28472222222222221</v>
      </c>
      <c r="U33" s="498">
        <f t="shared" ref="U33:U36" si="30">(S33-T32)*24*60</f>
        <v>31.000000000000011</v>
      </c>
      <c r="V33" s="506">
        <f t="shared" si="29"/>
        <v>146</v>
      </c>
      <c r="W33" s="498"/>
      <c r="X33" s="498"/>
      <c r="Y33" s="498"/>
      <c r="Z33" s="498"/>
      <c r="AA33" s="610"/>
      <c r="AB33" s="610"/>
      <c r="AC33" s="19"/>
      <c r="AD33" s="19"/>
      <c r="AE33" s="15">
        <f t="shared" si="8"/>
        <v>-103.56164383561645</v>
      </c>
      <c r="AF33" s="503">
        <f t="shared" si="9"/>
        <v>0.95684931506849313</v>
      </c>
      <c r="AG33" s="619"/>
    </row>
    <row r="34" spans="1:33">
      <c r="A34" s="634" t="s">
        <v>195</v>
      </c>
      <c r="B34" s="33" t="s">
        <v>27</v>
      </c>
      <c r="C34" s="611" t="s">
        <v>35</v>
      </c>
      <c r="D34" s="611"/>
      <c r="E34" s="33">
        <v>34.1</v>
      </c>
      <c r="F34" s="507">
        <v>4539</v>
      </c>
      <c r="G34" s="498">
        <f t="shared" si="27"/>
        <v>154779.9</v>
      </c>
      <c r="H34" s="511" t="s">
        <v>5</v>
      </c>
      <c r="I34" s="505">
        <v>17</v>
      </c>
      <c r="J34" s="30">
        <v>1600</v>
      </c>
      <c r="K34" s="13">
        <f t="shared" si="1"/>
        <v>94.117647058823536</v>
      </c>
      <c r="L34" s="505">
        <v>17</v>
      </c>
      <c r="M34" s="14">
        <f t="shared" si="28"/>
        <v>1521.4525139664804</v>
      </c>
      <c r="N34" s="13">
        <f t="shared" si="3"/>
        <v>89.497206703910607</v>
      </c>
      <c r="O34" s="15">
        <f t="shared" si="4"/>
        <v>0</v>
      </c>
      <c r="P34" s="16">
        <f t="shared" si="5"/>
        <v>-4.6204403549129296</v>
      </c>
      <c r="Q34" s="503">
        <f t="shared" si="6"/>
        <v>0.95090782122905015</v>
      </c>
      <c r="R34" s="619"/>
      <c r="S34" s="31">
        <v>0.2895833333333333</v>
      </c>
      <c r="T34" s="31">
        <v>0.41388888888888886</v>
      </c>
      <c r="U34" s="498">
        <f t="shared" si="30"/>
        <v>6.9999999999999751</v>
      </c>
      <c r="V34" s="506">
        <f t="shared" si="29"/>
        <v>179</v>
      </c>
      <c r="W34" s="498"/>
      <c r="X34" s="498"/>
      <c r="Y34" s="498"/>
      <c r="Z34" s="498"/>
      <c r="AA34" s="610"/>
      <c r="AB34" s="610"/>
      <c r="AC34" s="19"/>
      <c r="AD34" s="19"/>
      <c r="AE34" s="15">
        <f t="shared" si="8"/>
        <v>-78.54748603351959</v>
      </c>
      <c r="AF34" s="503">
        <f t="shared" si="9"/>
        <v>0.95090782122905027</v>
      </c>
      <c r="AG34" s="619"/>
    </row>
    <row r="35" spans="1:33">
      <c r="A35" s="634" t="s">
        <v>195</v>
      </c>
      <c r="B35" s="33" t="s">
        <v>27</v>
      </c>
      <c r="C35" s="611" t="s">
        <v>54</v>
      </c>
      <c r="D35" s="611"/>
      <c r="E35" s="33">
        <v>24.25</v>
      </c>
      <c r="F35" s="507">
        <v>1102</v>
      </c>
      <c r="G35" s="498">
        <f t="shared" si="27"/>
        <v>26723.5</v>
      </c>
      <c r="H35" s="511" t="s">
        <v>5</v>
      </c>
      <c r="I35" s="505">
        <v>16</v>
      </c>
      <c r="J35" s="30">
        <v>2400</v>
      </c>
      <c r="K35" s="13">
        <f t="shared" si="1"/>
        <v>150</v>
      </c>
      <c r="L35" s="505">
        <v>16</v>
      </c>
      <c r="M35" s="14">
        <f t="shared" si="28"/>
        <v>2361.4285714285734</v>
      </c>
      <c r="N35" s="13">
        <f t="shared" si="3"/>
        <v>147.58928571428584</v>
      </c>
      <c r="O35" s="15">
        <f t="shared" si="4"/>
        <v>0</v>
      </c>
      <c r="P35" s="16">
        <f t="shared" si="5"/>
        <v>-2.4107142857141639</v>
      </c>
      <c r="Q35" s="503">
        <f t="shared" si="6"/>
        <v>0.98392857142857226</v>
      </c>
      <c r="R35" s="619"/>
      <c r="S35" s="31">
        <v>0.4194444444444444</v>
      </c>
      <c r="T35" s="31">
        <v>0.43888888888888883</v>
      </c>
      <c r="U35" s="498">
        <f t="shared" si="30"/>
        <v>7.9999999999999716</v>
      </c>
      <c r="V35" s="506">
        <f t="shared" si="29"/>
        <v>27.999999999999979</v>
      </c>
      <c r="W35" s="17"/>
      <c r="X35" s="17"/>
      <c r="Y35" s="17"/>
      <c r="Z35" s="17"/>
      <c r="AA35" s="610"/>
      <c r="AB35" s="610"/>
      <c r="AC35" s="19"/>
      <c r="AD35" s="19"/>
      <c r="AE35" s="15">
        <f t="shared" si="8"/>
        <v>-38.571428571426623</v>
      </c>
      <c r="AF35" s="503">
        <f t="shared" si="9"/>
        <v>0.98392857142857226</v>
      </c>
      <c r="AG35" s="619"/>
    </row>
    <row r="36" spans="1:33">
      <c r="A36" s="634" t="s">
        <v>2535</v>
      </c>
      <c r="B36" s="33" t="s">
        <v>27</v>
      </c>
      <c r="C36" s="611" t="s">
        <v>32</v>
      </c>
      <c r="D36" s="611"/>
      <c r="E36" s="33">
        <v>25.99</v>
      </c>
      <c r="F36" s="507">
        <v>2601</v>
      </c>
      <c r="G36" s="498">
        <f t="shared" si="27"/>
        <v>67599.989999999991</v>
      </c>
      <c r="H36" s="511" t="s">
        <v>5</v>
      </c>
      <c r="I36" s="505">
        <v>14</v>
      </c>
      <c r="J36" s="30">
        <v>2400</v>
      </c>
      <c r="K36" s="13">
        <f t="shared" si="1"/>
        <v>171.42857142857142</v>
      </c>
      <c r="L36" s="505">
        <v>14</v>
      </c>
      <c r="M36" s="14">
        <f t="shared" si="28"/>
        <v>2295</v>
      </c>
      <c r="N36" s="13">
        <f t="shared" si="3"/>
        <v>163.92857142857142</v>
      </c>
      <c r="O36" s="15">
        <f t="shared" si="4"/>
        <v>0</v>
      </c>
      <c r="P36" s="16">
        <f t="shared" si="5"/>
        <v>-7.5</v>
      </c>
      <c r="Q36" s="503">
        <f t="shared" si="6"/>
        <v>0.95625000000000004</v>
      </c>
      <c r="R36" s="619"/>
      <c r="S36" s="31">
        <v>0.44305555555555548</v>
      </c>
      <c r="T36" s="31">
        <v>0.4902777777777777</v>
      </c>
      <c r="U36" s="498">
        <f t="shared" si="30"/>
        <v>5.9999999999999787</v>
      </c>
      <c r="V36" s="506">
        <f t="shared" si="29"/>
        <v>68</v>
      </c>
      <c r="W36" s="17"/>
      <c r="X36" s="17"/>
      <c r="Y36" s="17"/>
      <c r="Z36" s="17"/>
      <c r="AA36" s="610"/>
      <c r="AB36" s="610"/>
      <c r="AC36" s="19"/>
      <c r="AD36" s="19"/>
      <c r="AE36" s="15">
        <f t="shared" si="8"/>
        <v>-105</v>
      </c>
      <c r="AF36" s="503">
        <f t="shared" si="9"/>
        <v>0.95625000000000004</v>
      </c>
      <c r="AG36" s="619"/>
    </row>
    <row r="37" spans="1:33">
      <c r="A37" s="634" t="s">
        <v>195</v>
      </c>
      <c r="B37" s="34" t="s">
        <v>180</v>
      </c>
      <c r="C37" s="620"/>
      <c r="D37" s="620"/>
      <c r="E37" s="504"/>
      <c r="F37" s="34"/>
      <c r="G37" s="13"/>
      <c r="H37" s="507"/>
      <c r="I37" s="23">
        <v>17</v>
      </c>
      <c r="J37" s="30">
        <v>2240</v>
      </c>
      <c r="K37" s="13">
        <f t="shared" si="1"/>
        <v>131.76470588235293</v>
      </c>
      <c r="L37" s="23">
        <v>17</v>
      </c>
      <c r="M37" s="14">
        <f>AVERAGE(M32:M36)</f>
        <v>2154.4745077809139</v>
      </c>
      <c r="N37" s="13">
        <f t="shared" si="3"/>
        <v>126.73379457534787</v>
      </c>
      <c r="O37" s="15">
        <f t="shared" si="4"/>
        <v>0</v>
      </c>
      <c r="P37" s="16">
        <f t="shared" si="5"/>
        <v>-5.0309113070050557</v>
      </c>
      <c r="Q37" s="503">
        <f t="shared" si="6"/>
        <v>0.96181897668790806</v>
      </c>
      <c r="R37" s="619"/>
      <c r="S37" s="31"/>
      <c r="T37" s="31"/>
      <c r="U37" s="13"/>
      <c r="V37" s="506"/>
      <c r="W37" s="13"/>
      <c r="X37" s="13"/>
      <c r="Y37" s="24">
        <f>SUM(Y32:Y36)</f>
        <v>0</v>
      </c>
      <c r="Z37" s="24">
        <f>SUM(Z32:Z36)</f>
        <v>0</v>
      </c>
      <c r="AA37" s="609"/>
      <c r="AB37" s="609"/>
      <c r="AC37" s="24">
        <v>5</v>
      </c>
      <c r="AD37" s="24">
        <f>SUM(AD32:AD36)</f>
        <v>0</v>
      </c>
      <c r="AE37" s="15">
        <f t="shared" si="8"/>
        <v>-85.525492219086118</v>
      </c>
      <c r="AF37" s="503">
        <f t="shared" si="9"/>
        <v>0.96181897668790794</v>
      </c>
      <c r="AG37" s="619"/>
    </row>
    <row r="38" spans="1:33" ht="15.75" customHeight="1">
      <c r="A38" s="630" t="s">
        <v>2536</v>
      </c>
      <c r="B38" s="33" t="s">
        <v>36</v>
      </c>
      <c r="C38" s="612" t="s">
        <v>37</v>
      </c>
      <c r="D38" s="613"/>
      <c r="E38" s="33">
        <v>21.13</v>
      </c>
      <c r="F38" s="507">
        <v>3730</v>
      </c>
      <c r="G38" s="498">
        <f t="shared" ref="G38:G40" si="31">E38*F38</f>
        <v>78814.899999999994</v>
      </c>
      <c r="H38" s="511" t="s">
        <v>5</v>
      </c>
      <c r="I38" s="505">
        <v>10</v>
      </c>
      <c r="J38" s="30">
        <v>3000</v>
      </c>
      <c r="K38" s="13">
        <f t="shared" si="1"/>
        <v>300</v>
      </c>
      <c r="L38" s="505">
        <v>10</v>
      </c>
      <c r="M38" s="14">
        <f t="shared" ref="M38:M40" si="32">F38/V38*60</f>
        <v>2869.2307692307691</v>
      </c>
      <c r="N38" s="14">
        <f t="shared" si="3"/>
        <v>286.92307692307691</v>
      </c>
      <c r="O38" s="15">
        <f t="shared" si="4"/>
        <v>0</v>
      </c>
      <c r="P38" s="16">
        <f t="shared" si="5"/>
        <v>-13.076923076923094</v>
      </c>
      <c r="Q38" s="503">
        <f t="shared" si="6"/>
        <v>0.95641025641025634</v>
      </c>
      <c r="R38" s="625">
        <f>Q41</f>
        <v>0.95586813186813191</v>
      </c>
      <c r="S38" s="31">
        <v>0.20833333333333334</v>
      </c>
      <c r="T38" s="31">
        <v>0.26250000000000001</v>
      </c>
      <c r="U38" s="22"/>
      <c r="V38" s="506">
        <f t="shared" ref="V38:V40" si="33">(T38-S38)*24*60</f>
        <v>78</v>
      </c>
      <c r="W38" s="17"/>
      <c r="X38" s="17"/>
      <c r="Y38" s="20"/>
      <c r="Z38" s="20"/>
      <c r="AA38" s="614"/>
      <c r="AB38" s="615"/>
      <c r="AC38" s="19">
        <v>3</v>
      </c>
      <c r="AD38" s="19"/>
      <c r="AE38" s="15">
        <f t="shared" si="8"/>
        <v>-130.76923076923094</v>
      </c>
      <c r="AF38" s="503">
        <f t="shared" si="9"/>
        <v>0.95641025641025634</v>
      </c>
      <c r="AG38" s="625">
        <f>AF41</f>
        <v>0.9558681318681318</v>
      </c>
    </row>
    <row r="39" spans="1:33" ht="15.75" customHeight="1">
      <c r="A39" s="631" t="s">
        <v>198</v>
      </c>
      <c r="B39" s="33" t="s">
        <v>36</v>
      </c>
      <c r="C39" s="612" t="s">
        <v>38</v>
      </c>
      <c r="D39" s="613"/>
      <c r="E39" s="33">
        <v>27.17</v>
      </c>
      <c r="F39" s="507">
        <v>4298</v>
      </c>
      <c r="G39" s="498">
        <f t="shared" si="31"/>
        <v>116776.66</v>
      </c>
      <c r="H39" s="511" t="s">
        <v>5</v>
      </c>
      <c r="I39" s="505">
        <v>10</v>
      </c>
      <c r="J39" s="30">
        <v>3000</v>
      </c>
      <c r="K39" s="13">
        <f t="shared" si="1"/>
        <v>300</v>
      </c>
      <c r="L39" s="505">
        <v>10</v>
      </c>
      <c r="M39" s="14">
        <f t="shared" si="32"/>
        <v>2865.333333333333</v>
      </c>
      <c r="N39" s="14">
        <f t="shared" si="3"/>
        <v>286.5333333333333</v>
      </c>
      <c r="O39" s="15">
        <f t="shared" si="4"/>
        <v>0</v>
      </c>
      <c r="P39" s="16">
        <f t="shared" si="5"/>
        <v>-13.466666666666697</v>
      </c>
      <c r="Q39" s="503">
        <f t="shared" si="6"/>
        <v>0.95511111111111102</v>
      </c>
      <c r="R39" s="626"/>
      <c r="S39" s="31">
        <v>0.26597222222222222</v>
      </c>
      <c r="T39" s="31">
        <v>0.32847222222222222</v>
      </c>
      <c r="U39" s="498">
        <f t="shared" ref="U39:U40" si="34">(S39-T38)*24*60</f>
        <v>4.9999999999999822</v>
      </c>
      <c r="V39" s="506">
        <f t="shared" si="33"/>
        <v>90</v>
      </c>
      <c r="W39" s="17"/>
      <c r="X39" s="17"/>
      <c r="Y39" s="20"/>
      <c r="Z39" s="20"/>
      <c r="AA39" s="614"/>
      <c r="AB39" s="615"/>
      <c r="AC39" s="19"/>
      <c r="AD39" s="19"/>
      <c r="AE39" s="15">
        <f t="shared" si="8"/>
        <v>-134.66666666666697</v>
      </c>
      <c r="AF39" s="503">
        <f t="shared" si="9"/>
        <v>0.95511111111111102</v>
      </c>
      <c r="AG39" s="626"/>
    </row>
    <row r="40" spans="1:33" ht="15.75" customHeight="1">
      <c r="A40" s="631" t="s">
        <v>2536</v>
      </c>
      <c r="B40" s="33" t="s">
        <v>36</v>
      </c>
      <c r="C40" s="612" t="s">
        <v>1511</v>
      </c>
      <c r="D40" s="613"/>
      <c r="E40" s="33">
        <v>37.880000000000003</v>
      </c>
      <c r="F40" s="507">
        <v>2008</v>
      </c>
      <c r="G40" s="498">
        <f t="shared" si="31"/>
        <v>76063.040000000008</v>
      </c>
      <c r="H40" s="511" t="s">
        <v>5</v>
      </c>
      <c r="I40" s="505">
        <v>13</v>
      </c>
      <c r="J40" s="30">
        <v>2000</v>
      </c>
      <c r="K40" s="13">
        <f t="shared" si="1"/>
        <v>153.84615384615384</v>
      </c>
      <c r="L40" s="505">
        <v>13</v>
      </c>
      <c r="M40" s="14">
        <f t="shared" si="32"/>
        <v>1912.3809523809521</v>
      </c>
      <c r="N40" s="14">
        <f t="shared" si="3"/>
        <v>147.1062271062271</v>
      </c>
      <c r="O40" s="15">
        <f t="shared" si="4"/>
        <v>0</v>
      </c>
      <c r="P40" s="16">
        <f t="shared" si="5"/>
        <v>-6.7399267399267444</v>
      </c>
      <c r="Q40" s="503">
        <f t="shared" si="6"/>
        <v>0.95619047619047615</v>
      </c>
      <c r="R40" s="626"/>
      <c r="S40" s="31">
        <v>0.33333333333333331</v>
      </c>
      <c r="T40" s="31">
        <v>0.37708333333333333</v>
      </c>
      <c r="U40" s="498">
        <f t="shared" si="34"/>
        <v>6.9999999999999751</v>
      </c>
      <c r="V40" s="506">
        <f t="shared" si="33"/>
        <v>63.000000000000014</v>
      </c>
      <c r="W40" s="17"/>
      <c r="X40" s="17"/>
      <c r="Y40" s="20"/>
      <c r="Z40" s="20"/>
      <c r="AA40" s="614"/>
      <c r="AB40" s="615"/>
      <c r="AC40" s="19"/>
      <c r="AD40" s="19"/>
      <c r="AE40" s="15">
        <f t="shared" si="8"/>
        <v>-87.619047619047933</v>
      </c>
      <c r="AF40" s="503">
        <f t="shared" si="9"/>
        <v>0.95619047619047604</v>
      </c>
      <c r="AG40" s="626"/>
    </row>
    <row r="41" spans="1:33" ht="15.75" customHeight="1">
      <c r="A41" s="632" t="s">
        <v>198</v>
      </c>
      <c r="B41" s="33" t="s">
        <v>180</v>
      </c>
      <c r="C41" s="607"/>
      <c r="D41" s="608"/>
      <c r="E41" s="496"/>
      <c r="F41" s="507"/>
      <c r="G41" s="498"/>
      <c r="H41" s="507"/>
      <c r="I41" s="23">
        <v>11</v>
      </c>
      <c r="J41" s="30">
        <v>2666.6666666666665</v>
      </c>
      <c r="K41" s="13">
        <f t="shared" si="1"/>
        <v>242.42424242424241</v>
      </c>
      <c r="L41" s="23">
        <v>11</v>
      </c>
      <c r="M41" s="14">
        <f>AVERAGE(M38:M40)</f>
        <v>2548.9816849816848</v>
      </c>
      <c r="N41" s="13">
        <f t="shared" si="3"/>
        <v>231.72560772560772</v>
      </c>
      <c r="O41" s="15">
        <f t="shared" si="4"/>
        <v>0</v>
      </c>
      <c r="P41" s="16">
        <f t="shared" si="5"/>
        <v>-10.698634698634692</v>
      </c>
      <c r="Q41" s="503">
        <f t="shared" si="6"/>
        <v>0.95586813186813191</v>
      </c>
      <c r="R41" s="627"/>
      <c r="S41" s="31"/>
      <c r="T41" s="31"/>
      <c r="U41" s="498"/>
      <c r="V41" s="506"/>
      <c r="W41" s="17"/>
      <c r="X41" s="17"/>
      <c r="Y41" s="24">
        <f>SUM(Y38:Y40)</f>
        <v>0</v>
      </c>
      <c r="Z41" s="24">
        <f>SUM(Z38:Z40)</f>
        <v>0</v>
      </c>
      <c r="AA41" s="628"/>
      <c r="AB41" s="629"/>
      <c r="AC41" s="24">
        <v>3</v>
      </c>
      <c r="AD41" s="24">
        <f>SUM(AD38:AD40)</f>
        <v>0</v>
      </c>
      <c r="AE41" s="15">
        <f t="shared" si="8"/>
        <v>-117.68498168498172</v>
      </c>
      <c r="AF41" s="503">
        <f t="shared" si="9"/>
        <v>0.9558681318681318</v>
      </c>
      <c r="AG41" s="627"/>
    </row>
    <row r="42" spans="1:33" ht="15.75" customHeight="1">
      <c r="A42" s="623" t="s">
        <v>2537</v>
      </c>
      <c r="B42" s="33" t="s">
        <v>10</v>
      </c>
      <c r="C42" s="611" t="s">
        <v>42</v>
      </c>
      <c r="D42" s="611"/>
      <c r="E42" s="33">
        <v>46</v>
      </c>
      <c r="F42" s="35">
        <v>697</v>
      </c>
      <c r="G42" s="498">
        <f t="shared" ref="G42:G49" si="35">E42*F42</f>
        <v>32062</v>
      </c>
      <c r="H42" s="511" t="s">
        <v>5</v>
      </c>
      <c r="I42" s="505">
        <v>16</v>
      </c>
      <c r="J42" s="30">
        <v>2000</v>
      </c>
      <c r="K42" s="13">
        <f t="shared" si="1"/>
        <v>125</v>
      </c>
      <c r="L42" s="505">
        <v>16</v>
      </c>
      <c r="M42" s="14">
        <f t="shared" ref="M42" si="36">F42/V42*60</f>
        <v>1991.4285714285709</v>
      </c>
      <c r="N42" s="14">
        <f t="shared" si="3"/>
        <v>124.46428571428568</v>
      </c>
      <c r="O42" s="15">
        <f t="shared" si="4"/>
        <v>0</v>
      </c>
      <c r="P42" s="16">
        <f t="shared" si="5"/>
        <v>-0.53571428571432023</v>
      </c>
      <c r="Q42" s="503">
        <f t="shared" si="6"/>
        <v>0.99571428571428544</v>
      </c>
      <c r="R42" s="619">
        <f>Q50</f>
        <v>0.97017904886498629</v>
      </c>
      <c r="S42" s="31">
        <v>0.20833333333333334</v>
      </c>
      <c r="T42" s="31">
        <v>0.22291666666666668</v>
      </c>
      <c r="U42" s="22"/>
      <c r="V42" s="506">
        <f t="shared" ref="V42:V49" si="37">(T42-S42)*24*60</f>
        <v>21.000000000000007</v>
      </c>
      <c r="W42" s="17"/>
      <c r="X42" s="17"/>
      <c r="Y42" s="22"/>
      <c r="Z42" s="22"/>
      <c r="AA42" s="610"/>
      <c r="AB42" s="610"/>
      <c r="AC42" s="19">
        <v>8</v>
      </c>
      <c r="AD42" s="19"/>
      <c r="AE42" s="15">
        <f t="shared" si="8"/>
        <v>-8.5714285714291236</v>
      </c>
      <c r="AF42" s="503">
        <f t="shared" si="9"/>
        <v>0.99571428571428544</v>
      </c>
      <c r="AG42" s="619">
        <f>AF50</f>
        <v>0.97017904886498618</v>
      </c>
    </row>
    <row r="43" spans="1:33" ht="15.75" customHeight="1">
      <c r="A43" s="623" t="s">
        <v>84</v>
      </c>
      <c r="B43" s="33" t="s">
        <v>10</v>
      </c>
      <c r="C43" s="611" t="s">
        <v>43</v>
      </c>
      <c r="D43" s="611"/>
      <c r="E43" s="33">
        <v>46</v>
      </c>
      <c r="F43" s="35">
        <v>811</v>
      </c>
      <c r="G43" s="498">
        <f t="shared" si="35"/>
        <v>37306</v>
      </c>
      <c r="H43" s="511" t="s">
        <v>5</v>
      </c>
      <c r="I43" s="505">
        <v>17</v>
      </c>
      <c r="J43" s="30">
        <v>2000</v>
      </c>
      <c r="K43" s="13">
        <f t="shared" si="1"/>
        <v>117.64705882352941</v>
      </c>
      <c r="L43" s="505">
        <v>17</v>
      </c>
      <c r="M43" s="14">
        <f>F43/V43*60</f>
        <v>1946.4000000000008</v>
      </c>
      <c r="N43" s="14">
        <f t="shared" si="3"/>
        <v>114.49411764705887</v>
      </c>
      <c r="O43" s="15">
        <f t="shared" si="4"/>
        <v>0</v>
      </c>
      <c r="P43" s="16">
        <f t="shared" si="5"/>
        <v>-3.1529411764705344</v>
      </c>
      <c r="Q43" s="503">
        <f t="shared" si="6"/>
        <v>0.97320000000000051</v>
      </c>
      <c r="R43" s="619"/>
      <c r="S43" s="31">
        <v>0.22638888888888889</v>
      </c>
      <c r="T43" s="31">
        <v>0.24374999999999999</v>
      </c>
      <c r="U43" s="498">
        <f t="shared" ref="U43:U49" si="38">IF(S43=TIME(17,0,0),"",(S43-T42)*24*60)</f>
        <v>4.9999999999999822</v>
      </c>
      <c r="V43" s="506">
        <f t="shared" si="37"/>
        <v>24.999999999999993</v>
      </c>
      <c r="W43" s="17"/>
      <c r="X43" s="17"/>
      <c r="Y43" s="17"/>
      <c r="Z43" s="17"/>
      <c r="AA43" s="610"/>
      <c r="AB43" s="610"/>
      <c r="AC43" s="19"/>
      <c r="AD43" s="19"/>
      <c r="AE43" s="15">
        <f t="shared" si="8"/>
        <v>-53.599999999999227</v>
      </c>
      <c r="AF43" s="503">
        <f t="shared" si="9"/>
        <v>0.9732000000000004</v>
      </c>
      <c r="AG43" s="619"/>
    </row>
    <row r="44" spans="1:33" ht="15.75" customHeight="1">
      <c r="A44" s="623" t="s">
        <v>84</v>
      </c>
      <c r="B44" s="33" t="s">
        <v>6</v>
      </c>
      <c r="C44" s="612" t="s">
        <v>41</v>
      </c>
      <c r="D44" s="613"/>
      <c r="E44" s="33">
        <v>51.44</v>
      </c>
      <c r="F44" s="35">
        <v>1075</v>
      </c>
      <c r="G44" s="498">
        <f t="shared" si="35"/>
        <v>55298</v>
      </c>
      <c r="H44" s="511" t="s">
        <v>5</v>
      </c>
      <c r="I44" s="505">
        <v>25</v>
      </c>
      <c r="J44" s="30">
        <v>2000</v>
      </c>
      <c r="K44" s="13">
        <f t="shared" si="1"/>
        <v>80</v>
      </c>
      <c r="L44" s="505">
        <v>25</v>
      </c>
      <c r="M44" s="14">
        <f t="shared" ref="M44:M49" si="39">F44/V44*60</f>
        <v>1954.5454545454547</v>
      </c>
      <c r="N44" s="14">
        <f t="shared" si="3"/>
        <v>78.181818181818187</v>
      </c>
      <c r="O44" s="15">
        <f t="shared" si="4"/>
        <v>0</v>
      </c>
      <c r="P44" s="16">
        <f t="shared" si="5"/>
        <v>-1.818181818181813</v>
      </c>
      <c r="Q44" s="503">
        <f t="shared" si="6"/>
        <v>0.97727272727272729</v>
      </c>
      <c r="R44" s="619"/>
      <c r="S44" s="31">
        <v>0.2472222222222222</v>
      </c>
      <c r="T44" s="31">
        <v>0.27013888888888887</v>
      </c>
      <c r="U44" s="498">
        <f t="shared" si="38"/>
        <v>4.9999999999999822</v>
      </c>
      <c r="V44" s="506">
        <f t="shared" si="37"/>
        <v>33</v>
      </c>
      <c r="W44" s="17"/>
      <c r="X44" s="17"/>
      <c r="Y44" s="20"/>
      <c r="Z44" s="20"/>
      <c r="AA44" s="610"/>
      <c r="AB44" s="610"/>
      <c r="AC44" s="19"/>
      <c r="AD44" s="19"/>
      <c r="AE44" s="15">
        <f t="shared" si="8"/>
        <v>-45.454545454545269</v>
      </c>
      <c r="AF44" s="503">
        <f t="shared" si="9"/>
        <v>0.9772727272727274</v>
      </c>
      <c r="AG44" s="619"/>
    </row>
    <row r="45" spans="1:33" ht="15.75" customHeight="1">
      <c r="A45" s="623" t="s">
        <v>84</v>
      </c>
      <c r="B45" s="33" t="s">
        <v>6</v>
      </c>
      <c r="C45" s="499" t="s">
        <v>77</v>
      </c>
      <c r="D45" s="500"/>
      <c r="E45" s="33">
        <v>56.43</v>
      </c>
      <c r="F45" s="35">
        <v>670</v>
      </c>
      <c r="G45" s="498">
        <f t="shared" si="35"/>
        <v>37808.1</v>
      </c>
      <c r="H45" s="511" t="s">
        <v>5</v>
      </c>
      <c r="I45" s="505">
        <v>23</v>
      </c>
      <c r="J45" s="30">
        <v>2000</v>
      </c>
      <c r="K45" s="13">
        <f t="shared" si="1"/>
        <v>86.956521739130437</v>
      </c>
      <c r="L45" s="505">
        <v>23</v>
      </c>
      <c r="M45" s="14">
        <f t="shared" si="39"/>
        <v>1914.2857142857138</v>
      </c>
      <c r="N45" s="14">
        <f t="shared" si="3"/>
        <v>83.22981366459625</v>
      </c>
      <c r="O45" s="15">
        <f t="shared" si="4"/>
        <v>0</v>
      </c>
      <c r="P45" s="16">
        <f t="shared" si="5"/>
        <v>-3.7267080745341872</v>
      </c>
      <c r="Q45" s="503">
        <f t="shared" si="6"/>
        <v>0.95714285714285685</v>
      </c>
      <c r="R45" s="619"/>
      <c r="S45" s="31">
        <v>0.27430555555555552</v>
      </c>
      <c r="T45" s="31">
        <v>0.28888888888888886</v>
      </c>
      <c r="U45" s="498">
        <f t="shared" si="38"/>
        <v>5.9999999999999787</v>
      </c>
      <c r="V45" s="506">
        <f t="shared" si="37"/>
        <v>21.000000000000007</v>
      </c>
      <c r="W45" s="17"/>
      <c r="X45" s="17"/>
      <c r="Y45" s="20"/>
      <c r="Z45" s="20"/>
      <c r="AA45" s="610"/>
      <c r="AB45" s="610"/>
      <c r="AC45" s="19"/>
      <c r="AD45" s="19"/>
      <c r="AE45" s="15">
        <f t="shared" si="8"/>
        <v>-85.714285714286234</v>
      </c>
      <c r="AF45" s="503">
        <f t="shared" si="9"/>
        <v>0.95714285714285685</v>
      </c>
      <c r="AG45" s="619"/>
    </row>
    <row r="46" spans="1:33" ht="15.75" customHeight="1">
      <c r="A46" s="623" t="s">
        <v>84</v>
      </c>
      <c r="B46" s="33" t="s">
        <v>6</v>
      </c>
      <c r="C46" s="499" t="s">
        <v>1513</v>
      </c>
      <c r="D46" s="500"/>
      <c r="E46" s="33">
        <v>56.43</v>
      </c>
      <c r="F46" s="35">
        <v>1203</v>
      </c>
      <c r="G46" s="498">
        <f t="shared" si="35"/>
        <v>67885.289999999994</v>
      </c>
      <c r="H46" s="511" t="s">
        <v>5</v>
      </c>
      <c r="I46" s="505">
        <v>21</v>
      </c>
      <c r="J46" s="30">
        <v>2000</v>
      </c>
      <c r="K46" s="13">
        <f t="shared" si="1"/>
        <v>95.238095238095241</v>
      </c>
      <c r="L46" s="505">
        <v>21</v>
      </c>
      <c r="M46" s="14">
        <f t="shared" si="39"/>
        <v>1950.8108108108092</v>
      </c>
      <c r="N46" s="14">
        <f t="shared" si="3"/>
        <v>92.895752895752821</v>
      </c>
      <c r="O46" s="15">
        <f t="shared" si="4"/>
        <v>0</v>
      </c>
      <c r="P46" s="16">
        <f t="shared" si="5"/>
        <v>-2.3423423423424197</v>
      </c>
      <c r="Q46" s="503">
        <f t="shared" si="6"/>
        <v>0.97540540540540455</v>
      </c>
      <c r="R46" s="619"/>
      <c r="S46" s="31">
        <v>0.2944444444444444</v>
      </c>
      <c r="T46" s="31">
        <v>0.32013888888888886</v>
      </c>
      <c r="U46" s="498">
        <f t="shared" si="38"/>
        <v>7.9999999999999716</v>
      </c>
      <c r="V46" s="506">
        <f t="shared" si="37"/>
        <v>37.000000000000028</v>
      </c>
      <c r="W46" s="17"/>
      <c r="X46" s="17"/>
      <c r="Y46" s="20"/>
      <c r="Z46" s="20"/>
      <c r="AA46" s="610"/>
      <c r="AB46" s="610"/>
      <c r="AC46" s="19"/>
      <c r="AD46" s="19"/>
      <c r="AE46" s="15">
        <f t="shared" si="8"/>
        <v>-49.189189189190756</v>
      </c>
      <c r="AF46" s="503">
        <f t="shared" si="9"/>
        <v>0.97540540540540466</v>
      </c>
      <c r="AG46" s="619"/>
    </row>
    <row r="47" spans="1:33" ht="15.75" customHeight="1">
      <c r="A47" s="623" t="s">
        <v>84</v>
      </c>
      <c r="B47" s="33" t="s">
        <v>6</v>
      </c>
      <c r="C47" s="612" t="s">
        <v>44</v>
      </c>
      <c r="D47" s="613"/>
      <c r="E47" s="33">
        <v>55.56</v>
      </c>
      <c r="F47" s="35">
        <v>1924</v>
      </c>
      <c r="G47" s="498">
        <f t="shared" si="35"/>
        <v>106897.44</v>
      </c>
      <c r="H47" s="511" t="s">
        <v>5</v>
      </c>
      <c r="I47" s="505">
        <v>17</v>
      </c>
      <c r="J47" s="30">
        <v>2000</v>
      </c>
      <c r="K47" s="13">
        <f t="shared" si="1"/>
        <v>117.64705882352941</v>
      </c>
      <c r="L47" s="505">
        <v>17</v>
      </c>
      <c r="M47" s="14">
        <f t="shared" si="39"/>
        <v>1924.0000000000018</v>
      </c>
      <c r="N47" s="14">
        <f t="shared" si="3"/>
        <v>113.1764705882354</v>
      </c>
      <c r="O47" s="15">
        <f t="shared" si="4"/>
        <v>0</v>
      </c>
      <c r="P47" s="16">
        <f t="shared" si="5"/>
        <v>-4.4705882352940023</v>
      </c>
      <c r="Q47" s="503">
        <f t="shared" si="6"/>
        <v>0.96200000000000097</v>
      </c>
      <c r="R47" s="619"/>
      <c r="S47" s="31">
        <v>0.70833333333333337</v>
      </c>
      <c r="T47" s="31">
        <v>0.75</v>
      </c>
      <c r="U47" s="498" t="str">
        <f t="shared" si="38"/>
        <v/>
      </c>
      <c r="V47" s="506">
        <f t="shared" si="37"/>
        <v>59.999999999999943</v>
      </c>
      <c r="W47" s="17"/>
      <c r="X47" s="17"/>
      <c r="Y47" s="20"/>
      <c r="Z47" s="20"/>
      <c r="AA47" s="614"/>
      <c r="AB47" s="615"/>
      <c r="AC47" s="19"/>
      <c r="AD47" s="19"/>
      <c r="AE47" s="15">
        <f t="shared" si="8"/>
        <v>-75.999999999998181</v>
      </c>
      <c r="AF47" s="503">
        <f t="shared" si="9"/>
        <v>0.96200000000000085</v>
      </c>
      <c r="AG47" s="619"/>
    </row>
    <row r="48" spans="1:33" ht="15.75" customHeight="1">
      <c r="A48" s="623" t="s">
        <v>84</v>
      </c>
      <c r="B48" s="33" t="s">
        <v>6</v>
      </c>
      <c r="C48" s="612" t="s">
        <v>72</v>
      </c>
      <c r="D48" s="613"/>
      <c r="E48" s="33">
        <v>58.17</v>
      </c>
      <c r="F48" s="35">
        <v>1255</v>
      </c>
      <c r="G48" s="498">
        <f t="shared" si="35"/>
        <v>73003.350000000006</v>
      </c>
      <c r="H48" s="511" t="s">
        <v>5</v>
      </c>
      <c r="I48" s="505">
        <v>13</v>
      </c>
      <c r="J48" s="30">
        <v>2000</v>
      </c>
      <c r="K48" s="13">
        <f t="shared" si="1"/>
        <v>153.84615384615384</v>
      </c>
      <c r="L48" s="505">
        <v>13</v>
      </c>
      <c r="M48" s="14">
        <f t="shared" si="39"/>
        <v>1930.7692307692296</v>
      </c>
      <c r="N48" s="14">
        <f t="shared" si="3"/>
        <v>148.52071005917151</v>
      </c>
      <c r="O48" s="15">
        <f t="shared" si="4"/>
        <v>0</v>
      </c>
      <c r="P48" s="16">
        <f t="shared" si="5"/>
        <v>-5.3254437869823334</v>
      </c>
      <c r="Q48" s="503">
        <f t="shared" si="6"/>
        <v>0.96538461538461484</v>
      </c>
      <c r="R48" s="619"/>
      <c r="S48" s="31">
        <v>0.75347222222222221</v>
      </c>
      <c r="T48" s="31">
        <v>0.78055555555555556</v>
      </c>
      <c r="U48" s="498">
        <f t="shared" si="38"/>
        <v>4.9999999999999822</v>
      </c>
      <c r="V48" s="506">
        <f t="shared" si="37"/>
        <v>39.000000000000021</v>
      </c>
      <c r="W48" s="17"/>
      <c r="X48" s="17"/>
      <c r="Y48" s="20"/>
      <c r="Z48" s="20"/>
      <c r="AA48" s="614"/>
      <c r="AB48" s="615"/>
      <c r="AC48" s="19"/>
      <c r="AD48" s="19"/>
      <c r="AE48" s="15">
        <f t="shared" si="8"/>
        <v>-69.23076923077042</v>
      </c>
      <c r="AF48" s="503">
        <f t="shared" si="9"/>
        <v>0.96538461538461484</v>
      </c>
      <c r="AG48" s="619"/>
    </row>
    <row r="49" spans="1:33" ht="15.75" customHeight="1">
      <c r="A49" s="623" t="s">
        <v>84</v>
      </c>
      <c r="B49" s="33" t="s">
        <v>6</v>
      </c>
      <c r="C49" s="612" t="s">
        <v>82</v>
      </c>
      <c r="D49" s="613"/>
      <c r="E49" s="33">
        <v>54.09</v>
      </c>
      <c r="F49" s="35">
        <v>1019</v>
      </c>
      <c r="G49" s="498">
        <f t="shared" si="35"/>
        <v>55117.710000000006</v>
      </c>
      <c r="H49" s="511" t="s">
        <v>5</v>
      </c>
      <c r="I49" s="505">
        <v>14</v>
      </c>
      <c r="J49" s="30">
        <v>2000</v>
      </c>
      <c r="K49" s="13">
        <f t="shared" si="1"/>
        <v>142.85714285714286</v>
      </c>
      <c r="L49" s="505">
        <v>14</v>
      </c>
      <c r="M49" s="14">
        <f t="shared" si="39"/>
        <v>1910.6249999999975</v>
      </c>
      <c r="N49" s="14">
        <f t="shared" si="3"/>
        <v>136.47321428571411</v>
      </c>
      <c r="O49" s="15">
        <f t="shared" si="4"/>
        <v>0</v>
      </c>
      <c r="P49" s="16">
        <f t="shared" si="5"/>
        <v>-6.3839285714287541</v>
      </c>
      <c r="Q49" s="503">
        <f t="shared" si="6"/>
        <v>0.95531249999999868</v>
      </c>
      <c r="R49" s="619"/>
      <c r="S49" s="31">
        <v>0.78402777777777777</v>
      </c>
      <c r="T49" s="31">
        <v>0.80625000000000002</v>
      </c>
      <c r="U49" s="498">
        <f t="shared" si="38"/>
        <v>4.9999999999999822</v>
      </c>
      <c r="V49" s="506">
        <f t="shared" si="37"/>
        <v>32.000000000000043</v>
      </c>
      <c r="W49" s="17"/>
      <c r="X49" s="17"/>
      <c r="Y49" s="20"/>
      <c r="Z49" s="20"/>
      <c r="AA49" s="614"/>
      <c r="AB49" s="615"/>
      <c r="AC49" s="19"/>
      <c r="AD49" s="19"/>
      <c r="AE49" s="15">
        <f t="shared" si="8"/>
        <v>-89.375000000002501</v>
      </c>
      <c r="AF49" s="503">
        <f t="shared" si="9"/>
        <v>0.95531249999999879</v>
      </c>
      <c r="AG49" s="619"/>
    </row>
    <row r="50" spans="1:33">
      <c r="A50" s="624" t="s">
        <v>84</v>
      </c>
      <c r="B50" s="33" t="s">
        <v>180</v>
      </c>
      <c r="C50" s="620"/>
      <c r="D50" s="620"/>
      <c r="E50" s="504"/>
      <c r="F50" s="34"/>
      <c r="G50" s="13"/>
      <c r="H50" s="507"/>
      <c r="I50" s="23">
        <v>18.25</v>
      </c>
      <c r="J50" s="30">
        <v>2000</v>
      </c>
      <c r="K50" s="13">
        <f t="shared" si="1"/>
        <v>109.58904109589041</v>
      </c>
      <c r="L50" s="23">
        <v>18.25</v>
      </c>
      <c r="M50" s="14">
        <f>AVERAGE(M42:M49)</f>
        <v>1940.3580977299723</v>
      </c>
      <c r="N50" s="13">
        <f t="shared" si="3"/>
        <v>106.32099165643685</v>
      </c>
      <c r="O50" s="15">
        <f t="shared" si="4"/>
        <v>0</v>
      </c>
      <c r="P50" s="16">
        <f t="shared" si="5"/>
        <v>-3.2680494394535629</v>
      </c>
      <c r="Q50" s="503">
        <f t="shared" si="6"/>
        <v>0.97017904886498629</v>
      </c>
      <c r="R50" s="619"/>
      <c r="S50" s="31"/>
      <c r="T50" s="31"/>
      <c r="U50" s="498"/>
      <c r="V50" s="506"/>
      <c r="W50" s="13"/>
      <c r="X50" s="13"/>
      <c r="Y50" s="24">
        <f>SUM(Y42:Y49)</f>
        <v>0</v>
      </c>
      <c r="Z50" s="24">
        <f>SUM(Z42:Z49)</f>
        <v>0</v>
      </c>
      <c r="AA50" s="609"/>
      <c r="AB50" s="609"/>
      <c r="AC50" s="24">
        <v>8</v>
      </c>
      <c r="AD50" s="24">
        <f>SUM(AD42:AD49)</f>
        <v>0</v>
      </c>
      <c r="AE50" s="15">
        <f>M50-J50</f>
        <v>-59.641902270027686</v>
      </c>
      <c r="AF50" s="503">
        <f t="shared" si="9"/>
        <v>0.97017904886498618</v>
      </c>
      <c r="AG50" s="619"/>
    </row>
    <row r="51" spans="1:33" ht="15.75" customHeight="1">
      <c r="A51" s="621" t="s">
        <v>85</v>
      </c>
      <c r="B51" s="507" t="s">
        <v>36</v>
      </c>
      <c r="C51" s="611" t="s">
        <v>46</v>
      </c>
      <c r="D51" s="611"/>
      <c r="E51" s="33">
        <v>35.119999999999997</v>
      </c>
      <c r="F51" s="35">
        <v>4051</v>
      </c>
      <c r="G51" s="498">
        <f t="shared" ref="G51:G55" si="40">E51*F51</f>
        <v>142271.12</v>
      </c>
      <c r="H51" s="511" t="s">
        <v>5</v>
      </c>
      <c r="I51" s="505">
        <v>10</v>
      </c>
      <c r="J51" s="30">
        <v>3000</v>
      </c>
      <c r="K51" s="13">
        <f t="shared" si="1"/>
        <v>300</v>
      </c>
      <c r="L51" s="505">
        <v>10</v>
      </c>
      <c r="M51" s="14">
        <f t="shared" ref="M51:M55" si="41">F51/V51*60</f>
        <v>2859.5294117647072</v>
      </c>
      <c r="N51" s="13">
        <f t="shared" si="3"/>
        <v>285.95294117647074</v>
      </c>
      <c r="O51" s="15">
        <f t="shared" si="4"/>
        <v>0</v>
      </c>
      <c r="P51" s="16">
        <f t="shared" si="5"/>
        <v>-14.047058823529255</v>
      </c>
      <c r="Q51" s="503">
        <f t="shared" si="6"/>
        <v>0.95317647058823585</v>
      </c>
      <c r="R51" s="619">
        <f>Q56</f>
        <v>0.95995943054567312</v>
      </c>
      <c r="S51" s="31">
        <v>0.20833333333333334</v>
      </c>
      <c r="T51" s="31">
        <v>0.2673611111111111</v>
      </c>
      <c r="U51" s="498"/>
      <c r="V51" s="506">
        <f t="shared" ref="V51:V55" si="42">(T51-S51)*24*60</f>
        <v>84.999999999999972</v>
      </c>
      <c r="W51" s="17"/>
      <c r="X51" s="17"/>
      <c r="Y51" s="22"/>
      <c r="Z51" s="22"/>
      <c r="AA51" s="610"/>
      <c r="AB51" s="610"/>
      <c r="AC51" s="19">
        <v>5</v>
      </c>
      <c r="AD51" s="19"/>
      <c r="AE51" s="15">
        <f t="shared" ref="AE51:AE64" si="43">M51-J51</f>
        <v>-140.47058823529278</v>
      </c>
      <c r="AF51" s="503">
        <f t="shared" si="9"/>
        <v>0.95317647058823574</v>
      </c>
      <c r="AG51" s="619">
        <f>AF56</f>
        <v>0.95995943054567323</v>
      </c>
    </row>
    <row r="52" spans="1:33" ht="15.75" customHeight="1">
      <c r="A52" s="621" t="s">
        <v>85</v>
      </c>
      <c r="B52" s="507" t="s">
        <v>36</v>
      </c>
      <c r="C52" s="611" t="s">
        <v>47</v>
      </c>
      <c r="D52" s="611"/>
      <c r="E52" s="33">
        <v>26.78</v>
      </c>
      <c r="F52" s="35">
        <v>1823</v>
      </c>
      <c r="G52" s="498">
        <f t="shared" si="40"/>
        <v>48819.94</v>
      </c>
      <c r="H52" s="511" t="s">
        <v>5</v>
      </c>
      <c r="I52" s="505">
        <v>10</v>
      </c>
      <c r="J52" s="30">
        <v>3000</v>
      </c>
      <c r="K52" s="13">
        <f t="shared" si="1"/>
        <v>300</v>
      </c>
      <c r="L52" s="505">
        <v>10</v>
      </c>
      <c r="M52" s="14">
        <f t="shared" si="41"/>
        <v>2878.4210526315769</v>
      </c>
      <c r="N52" s="13">
        <f t="shared" si="3"/>
        <v>287.84210526315769</v>
      </c>
      <c r="O52" s="15">
        <f t="shared" si="4"/>
        <v>0</v>
      </c>
      <c r="P52" s="16">
        <f t="shared" si="5"/>
        <v>-12.157894736842309</v>
      </c>
      <c r="Q52" s="503">
        <f t="shared" si="6"/>
        <v>0.95947368421052559</v>
      </c>
      <c r="R52" s="619"/>
      <c r="S52" s="31">
        <v>0.27152777777777776</v>
      </c>
      <c r="T52" s="31">
        <v>0.29791666666666666</v>
      </c>
      <c r="U52" s="498">
        <f t="shared" ref="U52:U55" si="44">(S52-T51)*24*60</f>
        <v>5.9999999999999787</v>
      </c>
      <c r="V52" s="506">
        <f t="shared" si="42"/>
        <v>38.000000000000028</v>
      </c>
      <c r="W52" s="498"/>
      <c r="X52" s="498"/>
      <c r="Y52" s="498"/>
      <c r="Z52" s="498"/>
      <c r="AA52" s="610"/>
      <c r="AB52" s="610"/>
      <c r="AC52" s="19"/>
      <c r="AD52" s="19"/>
      <c r="AE52" s="15">
        <f t="shared" si="43"/>
        <v>-121.57894736842309</v>
      </c>
      <c r="AF52" s="503">
        <f t="shared" si="9"/>
        <v>0.95947368421052559</v>
      </c>
      <c r="AG52" s="619"/>
    </row>
    <row r="53" spans="1:33" ht="15.75" customHeight="1">
      <c r="A53" s="621" t="s">
        <v>85</v>
      </c>
      <c r="B53" s="507" t="s">
        <v>36</v>
      </c>
      <c r="C53" s="611" t="s">
        <v>49</v>
      </c>
      <c r="D53" s="611"/>
      <c r="E53" s="33">
        <v>35.869999999999997</v>
      </c>
      <c r="F53" s="35">
        <v>2224</v>
      </c>
      <c r="G53" s="498">
        <f t="shared" si="40"/>
        <v>79774.87999999999</v>
      </c>
      <c r="H53" s="511" t="s">
        <v>5</v>
      </c>
      <c r="I53" s="505">
        <v>10</v>
      </c>
      <c r="J53" s="30">
        <v>3000</v>
      </c>
      <c r="K53" s="13">
        <f t="shared" si="1"/>
        <v>300</v>
      </c>
      <c r="L53" s="505">
        <v>10</v>
      </c>
      <c r="M53" s="14">
        <f t="shared" si="41"/>
        <v>2900.8695652173915</v>
      </c>
      <c r="N53" s="13">
        <f t="shared" si="3"/>
        <v>290.08695652173913</v>
      </c>
      <c r="O53" s="15">
        <f t="shared" si="4"/>
        <v>0</v>
      </c>
      <c r="P53" s="16">
        <f t="shared" si="5"/>
        <v>-9.9130434782608745</v>
      </c>
      <c r="Q53" s="503">
        <f t="shared" si="6"/>
        <v>0.96695652173913038</v>
      </c>
      <c r="R53" s="619"/>
      <c r="S53" s="31">
        <v>0.3034722222222222</v>
      </c>
      <c r="T53" s="31">
        <v>0.33541666666666664</v>
      </c>
      <c r="U53" s="498">
        <f t="shared" si="44"/>
        <v>7.9999999999999716</v>
      </c>
      <c r="V53" s="506">
        <f t="shared" si="42"/>
        <v>46</v>
      </c>
      <c r="W53" s="498"/>
      <c r="X53" s="498"/>
      <c r="Y53" s="498"/>
      <c r="Z53" s="498"/>
      <c r="AA53" s="610"/>
      <c r="AB53" s="610"/>
      <c r="AC53" s="19"/>
      <c r="AD53" s="19"/>
      <c r="AE53" s="15">
        <f t="shared" si="43"/>
        <v>-99.130434782608518</v>
      </c>
      <c r="AF53" s="503">
        <f t="shared" si="9"/>
        <v>0.96695652173913049</v>
      </c>
      <c r="AG53" s="619"/>
    </row>
    <row r="54" spans="1:33" ht="15.75" customHeight="1">
      <c r="A54" s="621" t="s">
        <v>85</v>
      </c>
      <c r="B54" s="507" t="s">
        <v>36</v>
      </c>
      <c r="C54" s="611" t="s">
        <v>39</v>
      </c>
      <c r="D54" s="611"/>
      <c r="E54" s="33">
        <v>35.869999999999997</v>
      </c>
      <c r="F54" s="35">
        <v>723</v>
      </c>
      <c r="G54" s="498">
        <f t="shared" si="40"/>
        <v>25934.01</v>
      </c>
      <c r="H54" s="511" t="s">
        <v>5</v>
      </c>
      <c r="I54" s="505">
        <v>9</v>
      </c>
      <c r="J54" s="30">
        <v>3000</v>
      </c>
      <c r="K54" s="13">
        <f t="shared" si="1"/>
        <v>333.33333333333331</v>
      </c>
      <c r="L54" s="505">
        <v>9</v>
      </c>
      <c r="M54" s="14">
        <f t="shared" si="41"/>
        <v>2891.999999999995</v>
      </c>
      <c r="N54" s="13">
        <f t="shared" si="3"/>
        <v>321.3333333333328</v>
      </c>
      <c r="O54" s="15">
        <f t="shared" si="4"/>
        <v>0</v>
      </c>
      <c r="P54" s="16">
        <f t="shared" si="5"/>
        <v>-12.000000000000512</v>
      </c>
      <c r="Q54" s="503">
        <f t="shared" si="6"/>
        <v>0.96399999999999841</v>
      </c>
      <c r="R54" s="619"/>
      <c r="S54" s="31">
        <v>0.34097222222222218</v>
      </c>
      <c r="T54" s="31">
        <v>0.35138888888888886</v>
      </c>
      <c r="U54" s="498">
        <f t="shared" si="44"/>
        <v>7.9999999999999716</v>
      </c>
      <c r="V54" s="506">
        <f t="shared" si="42"/>
        <v>15.000000000000027</v>
      </c>
      <c r="W54" s="498"/>
      <c r="X54" s="498"/>
      <c r="Y54" s="498"/>
      <c r="Z54" s="498"/>
      <c r="AA54" s="610"/>
      <c r="AB54" s="610"/>
      <c r="AC54" s="19"/>
      <c r="AD54" s="19"/>
      <c r="AE54" s="15">
        <f t="shared" si="43"/>
        <v>-108.000000000005</v>
      </c>
      <c r="AF54" s="503">
        <f t="shared" si="9"/>
        <v>0.9639999999999983</v>
      </c>
      <c r="AG54" s="619"/>
    </row>
    <row r="55" spans="1:33">
      <c r="A55" s="622" t="s">
        <v>85</v>
      </c>
      <c r="B55" s="507" t="s">
        <v>36</v>
      </c>
      <c r="C55" s="611" t="s">
        <v>74</v>
      </c>
      <c r="D55" s="611"/>
      <c r="E55" s="33">
        <v>33.770000000000003</v>
      </c>
      <c r="F55" s="35">
        <v>3012</v>
      </c>
      <c r="G55" s="498">
        <f t="shared" si="40"/>
        <v>101715.24</v>
      </c>
      <c r="H55" s="511" t="s">
        <v>5</v>
      </c>
      <c r="I55" s="505">
        <v>12</v>
      </c>
      <c r="J55" s="30">
        <v>3000</v>
      </c>
      <c r="K55" s="13">
        <f t="shared" si="1"/>
        <v>250</v>
      </c>
      <c r="L55" s="505">
        <v>12</v>
      </c>
      <c r="M55" s="14">
        <f t="shared" si="41"/>
        <v>2868.5714285714275</v>
      </c>
      <c r="N55" s="13">
        <f t="shared" si="3"/>
        <v>239.04761904761895</v>
      </c>
      <c r="O55" s="15">
        <f t="shared" si="4"/>
        <v>0</v>
      </c>
      <c r="P55" s="16">
        <f t="shared" si="5"/>
        <v>-10.952380952381048</v>
      </c>
      <c r="Q55" s="503">
        <f t="shared" si="6"/>
        <v>0.95619047619047581</v>
      </c>
      <c r="R55" s="619"/>
      <c r="S55" s="31">
        <v>0.35624999999999996</v>
      </c>
      <c r="T55" s="31">
        <v>0.39999999999999997</v>
      </c>
      <c r="U55" s="498">
        <f t="shared" si="44"/>
        <v>6.9999999999999751</v>
      </c>
      <c r="V55" s="506">
        <f t="shared" si="42"/>
        <v>63.000000000000014</v>
      </c>
      <c r="W55" s="17"/>
      <c r="X55" s="17"/>
      <c r="Y55" s="17"/>
      <c r="Z55" s="17"/>
      <c r="AA55" s="610"/>
      <c r="AB55" s="610"/>
      <c r="AC55" s="19"/>
      <c r="AD55" s="19"/>
      <c r="AE55" s="15">
        <f t="shared" si="43"/>
        <v>-131.42857142857247</v>
      </c>
      <c r="AF55" s="503">
        <f t="shared" si="9"/>
        <v>0.95619047619047581</v>
      </c>
      <c r="AG55" s="619"/>
    </row>
    <row r="56" spans="1:33">
      <c r="A56" s="622" t="s">
        <v>85</v>
      </c>
      <c r="B56" s="33" t="s">
        <v>180</v>
      </c>
      <c r="C56" s="620"/>
      <c r="D56" s="620"/>
      <c r="E56" s="504"/>
      <c r="F56" s="34"/>
      <c r="G56" s="13"/>
      <c r="H56" s="507"/>
      <c r="I56" s="23">
        <v>10.199999999999999</v>
      </c>
      <c r="J56" s="30">
        <v>3000</v>
      </c>
      <c r="K56" s="13">
        <f t="shared" si="1"/>
        <v>294.11764705882354</v>
      </c>
      <c r="L56" s="23">
        <v>10.199999999999999</v>
      </c>
      <c r="M56" s="14">
        <f>AVERAGE(M51:M55)</f>
        <v>2879.8782916370196</v>
      </c>
      <c r="N56" s="13">
        <f t="shared" si="3"/>
        <v>282.34100898402153</v>
      </c>
      <c r="O56" s="15">
        <f t="shared" si="4"/>
        <v>0</v>
      </c>
      <c r="P56" s="16">
        <f t="shared" si="5"/>
        <v>-11.776638074802008</v>
      </c>
      <c r="Q56" s="503">
        <f t="shared" si="6"/>
        <v>0.95995943054567312</v>
      </c>
      <c r="R56" s="619"/>
      <c r="S56" s="31"/>
      <c r="T56" s="31"/>
      <c r="U56" s="13"/>
      <c r="V56" s="506"/>
      <c r="W56" s="13"/>
      <c r="X56" s="13"/>
      <c r="Y56" s="24">
        <f>SUM(Y51:Y55)</f>
        <v>0</v>
      </c>
      <c r="Z56" s="24">
        <f>SUM(Z51:Z55)</f>
        <v>0</v>
      </c>
      <c r="AA56" s="609"/>
      <c r="AB56" s="609"/>
      <c r="AC56" s="24">
        <v>5</v>
      </c>
      <c r="AD56" s="24">
        <f>SUM(AD51:AD55)</f>
        <v>0</v>
      </c>
      <c r="AE56" s="15">
        <f t="shared" si="43"/>
        <v>-120.12170836298037</v>
      </c>
      <c r="AF56" s="503">
        <f t="shared" si="9"/>
        <v>0.95995943054567323</v>
      </c>
      <c r="AG56" s="619"/>
    </row>
    <row r="57" spans="1:33" ht="15.75" customHeight="1">
      <c r="A57" s="616" t="s">
        <v>200</v>
      </c>
      <c r="B57" s="507" t="s">
        <v>27</v>
      </c>
      <c r="C57" s="611" t="s">
        <v>50</v>
      </c>
      <c r="D57" s="611"/>
      <c r="E57" s="33">
        <v>19.02</v>
      </c>
      <c r="F57" s="507">
        <v>8055</v>
      </c>
      <c r="G57" s="498">
        <f t="shared" ref="G57:G63" si="45">E57*F57</f>
        <v>153206.1</v>
      </c>
      <c r="H57" s="511" t="s">
        <v>5</v>
      </c>
      <c r="I57" s="505">
        <v>14</v>
      </c>
      <c r="J57" s="30">
        <v>2400</v>
      </c>
      <c r="K57" s="13">
        <f t="shared" si="1"/>
        <v>171.42857142857142</v>
      </c>
      <c r="L57" s="505">
        <v>14</v>
      </c>
      <c r="M57" s="14">
        <f t="shared" ref="M57:M63" si="46">F57/V57*60</f>
        <v>2290.5213270142176</v>
      </c>
      <c r="N57" s="13">
        <f t="shared" si="3"/>
        <v>163.60866621530127</v>
      </c>
      <c r="O57" s="15">
        <f t="shared" si="4"/>
        <v>0</v>
      </c>
      <c r="P57" s="16">
        <f t="shared" si="5"/>
        <v>-7.8199052132701468</v>
      </c>
      <c r="Q57" s="503">
        <f t="shared" si="6"/>
        <v>0.95438388625592419</v>
      </c>
      <c r="R57" s="619">
        <f>Q64</f>
        <v>0.96541240517292681</v>
      </c>
      <c r="S57" s="31">
        <v>8.3333333333333329E-2</v>
      </c>
      <c r="T57" s="31">
        <v>0.22986111111111113</v>
      </c>
      <c r="U57" s="22"/>
      <c r="V57" s="506">
        <f t="shared" ref="V57:V63" si="47">(T57-S57)*24*60</f>
        <v>211.00000000000006</v>
      </c>
      <c r="W57" s="17">
        <f>T57</f>
        <v>0.22986111111111113</v>
      </c>
      <c r="X57" s="17">
        <f>S58</f>
        <v>0.25</v>
      </c>
      <c r="Y57" s="17"/>
      <c r="Z57" s="17"/>
      <c r="AA57" s="610"/>
      <c r="AB57" s="610"/>
      <c r="AC57" s="19">
        <v>7</v>
      </c>
      <c r="AD57" s="19"/>
      <c r="AE57" s="15">
        <f t="shared" si="43"/>
        <v>-109.4786729857824</v>
      </c>
      <c r="AF57" s="503">
        <f t="shared" si="9"/>
        <v>0.95438388625592396</v>
      </c>
      <c r="AG57" s="619">
        <f>AF64</f>
        <v>0.9654124051729267</v>
      </c>
    </row>
    <row r="58" spans="1:33" ht="15.75" customHeight="1">
      <c r="A58" s="617" t="s">
        <v>200</v>
      </c>
      <c r="B58" s="507" t="s">
        <v>27</v>
      </c>
      <c r="C58" s="611" t="s">
        <v>51</v>
      </c>
      <c r="D58" s="611"/>
      <c r="E58" s="33">
        <v>20.36</v>
      </c>
      <c r="F58" s="507">
        <v>2851</v>
      </c>
      <c r="G58" s="498">
        <f t="shared" si="45"/>
        <v>58046.36</v>
      </c>
      <c r="H58" s="511" t="s">
        <v>5</v>
      </c>
      <c r="I58" s="505">
        <v>17</v>
      </c>
      <c r="J58" s="30">
        <v>2400</v>
      </c>
      <c r="K58" s="13">
        <f t="shared" si="1"/>
        <v>141.1764705882353</v>
      </c>
      <c r="L58" s="505">
        <v>17</v>
      </c>
      <c r="M58" s="14">
        <f t="shared" si="46"/>
        <v>2311.6216216216221</v>
      </c>
      <c r="N58" s="13">
        <f t="shared" si="3"/>
        <v>135.9777424483307</v>
      </c>
      <c r="O58" s="15">
        <f t="shared" si="4"/>
        <v>0</v>
      </c>
      <c r="P58" s="16">
        <f t="shared" si="5"/>
        <v>-5.1987281399046026</v>
      </c>
      <c r="Q58" s="503">
        <f t="shared" si="6"/>
        <v>0.96317567567567575</v>
      </c>
      <c r="R58" s="619"/>
      <c r="S58" s="31">
        <v>0.25</v>
      </c>
      <c r="T58" s="31">
        <v>0.30138888888888887</v>
      </c>
      <c r="U58" s="498">
        <f t="shared" ref="U58:U63" si="48">(S58-T57)*24*60</f>
        <v>28.999999999999979</v>
      </c>
      <c r="V58" s="506">
        <f t="shared" si="47"/>
        <v>73.999999999999972</v>
      </c>
      <c r="W58" s="17"/>
      <c r="X58" s="17"/>
      <c r="Y58" s="17"/>
      <c r="Z58" s="17"/>
      <c r="AA58" s="610"/>
      <c r="AB58" s="610"/>
      <c r="AC58" s="19"/>
      <c r="AD58" s="19"/>
      <c r="AE58" s="15">
        <f t="shared" si="43"/>
        <v>-88.378378378377874</v>
      </c>
      <c r="AF58" s="503">
        <f t="shared" si="9"/>
        <v>0.96317567567567586</v>
      </c>
      <c r="AG58" s="619"/>
    </row>
    <row r="59" spans="1:33" ht="15.75" customHeight="1">
      <c r="A59" s="617" t="s">
        <v>200</v>
      </c>
      <c r="B59" s="507" t="s">
        <v>27</v>
      </c>
      <c r="C59" s="611" t="s">
        <v>876</v>
      </c>
      <c r="D59" s="611"/>
      <c r="E59" s="33">
        <v>23.8</v>
      </c>
      <c r="F59" s="507">
        <v>2092</v>
      </c>
      <c r="G59" s="498">
        <f t="shared" si="45"/>
        <v>49789.599999999999</v>
      </c>
      <c r="H59" s="511" t="s">
        <v>5</v>
      </c>
      <c r="I59" s="505">
        <v>16</v>
      </c>
      <c r="J59" s="30">
        <v>2400</v>
      </c>
      <c r="K59" s="13">
        <f t="shared" si="1"/>
        <v>150</v>
      </c>
      <c r="L59" s="505">
        <v>16</v>
      </c>
      <c r="M59" s="14">
        <f t="shared" si="46"/>
        <v>2324.4444444444457</v>
      </c>
      <c r="N59" s="13">
        <f t="shared" si="3"/>
        <v>145.27777777777786</v>
      </c>
      <c r="O59" s="15">
        <f t="shared" si="4"/>
        <v>0</v>
      </c>
      <c r="P59" s="16">
        <f t="shared" si="5"/>
        <v>-4.7222222222221433</v>
      </c>
      <c r="Q59" s="503">
        <f t="shared" si="6"/>
        <v>0.968518518518519</v>
      </c>
      <c r="R59" s="619"/>
      <c r="S59" s="31">
        <v>0.30694444444444441</v>
      </c>
      <c r="T59" s="31">
        <v>0.34444444444444439</v>
      </c>
      <c r="U59" s="498">
        <f t="shared" si="48"/>
        <v>7.9999999999999716</v>
      </c>
      <c r="V59" s="506">
        <f t="shared" si="47"/>
        <v>53.999999999999972</v>
      </c>
      <c r="W59" s="17"/>
      <c r="X59" s="17"/>
      <c r="Y59" s="17"/>
      <c r="Z59" s="17"/>
      <c r="AA59" s="610"/>
      <c r="AB59" s="610"/>
      <c r="AC59" s="19"/>
      <c r="AD59" s="19"/>
      <c r="AE59" s="15">
        <f t="shared" si="43"/>
        <v>-75.555555555554292</v>
      </c>
      <c r="AF59" s="503">
        <f t="shared" si="9"/>
        <v>0.968518518518519</v>
      </c>
      <c r="AG59" s="619"/>
    </row>
    <row r="60" spans="1:33" ht="15.75" customHeight="1">
      <c r="A60" s="617" t="s">
        <v>200</v>
      </c>
      <c r="B60" s="507" t="s">
        <v>27</v>
      </c>
      <c r="C60" s="611" t="s">
        <v>31</v>
      </c>
      <c r="D60" s="611"/>
      <c r="E60" s="33">
        <v>25.99</v>
      </c>
      <c r="F60" s="507">
        <v>781</v>
      </c>
      <c r="G60" s="498">
        <f t="shared" si="45"/>
        <v>20298.189999999999</v>
      </c>
      <c r="H60" s="511" t="s">
        <v>5</v>
      </c>
      <c r="I60" s="505">
        <v>18</v>
      </c>
      <c r="J60" s="30">
        <v>2400</v>
      </c>
      <c r="K60" s="13">
        <f t="shared" si="1"/>
        <v>133.33333333333334</v>
      </c>
      <c r="L60" s="505">
        <v>18</v>
      </c>
      <c r="M60" s="14">
        <f t="shared" si="46"/>
        <v>2342.9999999999991</v>
      </c>
      <c r="N60" s="13">
        <f t="shared" si="3"/>
        <v>130.16666666666663</v>
      </c>
      <c r="O60" s="15">
        <f t="shared" si="4"/>
        <v>0</v>
      </c>
      <c r="P60" s="16">
        <f t="shared" si="5"/>
        <v>-3.166666666666714</v>
      </c>
      <c r="Q60" s="503">
        <f t="shared" si="6"/>
        <v>0.97624999999999962</v>
      </c>
      <c r="R60" s="619"/>
      <c r="S60" s="31">
        <v>0.34999999999999992</v>
      </c>
      <c r="T60" s="31">
        <v>0.36388888888888882</v>
      </c>
      <c r="U60" s="498">
        <f t="shared" si="48"/>
        <v>7.9999999999999716</v>
      </c>
      <c r="V60" s="506">
        <f t="shared" si="47"/>
        <v>20.000000000000007</v>
      </c>
      <c r="W60" s="17"/>
      <c r="X60" s="17"/>
      <c r="Y60" s="17"/>
      <c r="Z60" s="17"/>
      <c r="AA60" s="610"/>
      <c r="AB60" s="610"/>
      <c r="AC60" s="19"/>
      <c r="AD60" s="19"/>
      <c r="AE60" s="15">
        <f t="shared" si="43"/>
        <v>-57.000000000000909</v>
      </c>
      <c r="AF60" s="503">
        <f t="shared" si="9"/>
        <v>0.97624999999999962</v>
      </c>
      <c r="AG60" s="619"/>
    </row>
    <row r="61" spans="1:33" ht="15.75" customHeight="1">
      <c r="A61" s="617" t="s">
        <v>200</v>
      </c>
      <c r="B61" s="507" t="s">
        <v>27</v>
      </c>
      <c r="C61" s="611" t="s">
        <v>53</v>
      </c>
      <c r="D61" s="611"/>
      <c r="E61" s="33">
        <v>28.29</v>
      </c>
      <c r="F61" s="507">
        <v>1905</v>
      </c>
      <c r="G61" s="498">
        <f t="shared" si="45"/>
        <v>53892.45</v>
      </c>
      <c r="H61" s="511" t="s">
        <v>5</v>
      </c>
      <c r="I61" s="505">
        <v>19</v>
      </c>
      <c r="J61" s="30">
        <v>2400</v>
      </c>
      <c r="K61" s="13">
        <f t="shared" si="1"/>
        <v>126.31578947368421</v>
      </c>
      <c r="L61" s="505">
        <v>19</v>
      </c>
      <c r="M61" s="14">
        <f t="shared" si="46"/>
        <v>2286.0000000000005</v>
      </c>
      <c r="N61" s="13">
        <f t="shared" si="3"/>
        <v>120.31578947368423</v>
      </c>
      <c r="O61" s="15">
        <f t="shared" si="4"/>
        <v>0</v>
      </c>
      <c r="P61" s="16">
        <f t="shared" si="5"/>
        <v>-5.9999999999999716</v>
      </c>
      <c r="Q61" s="503">
        <f t="shared" si="6"/>
        <v>0.95250000000000024</v>
      </c>
      <c r="R61" s="619"/>
      <c r="S61" s="31">
        <v>0.36874999999999991</v>
      </c>
      <c r="T61" s="31">
        <v>0.40347222222222212</v>
      </c>
      <c r="U61" s="498">
        <f t="shared" si="48"/>
        <v>6.9999999999999751</v>
      </c>
      <c r="V61" s="506">
        <f t="shared" si="47"/>
        <v>49.999999999999986</v>
      </c>
      <c r="W61" s="17"/>
      <c r="X61" s="17"/>
      <c r="Y61" s="17"/>
      <c r="Z61" s="17"/>
      <c r="AA61" s="610"/>
      <c r="AB61" s="610"/>
      <c r="AC61" s="19"/>
      <c r="AD61" s="19"/>
      <c r="AE61" s="15">
        <f t="shared" si="43"/>
        <v>-113.99999999999955</v>
      </c>
      <c r="AF61" s="503">
        <f t="shared" si="9"/>
        <v>0.95250000000000024</v>
      </c>
      <c r="AG61" s="619"/>
    </row>
    <row r="62" spans="1:33" ht="15.75" customHeight="1">
      <c r="A62" s="617" t="s">
        <v>200</v>
      </c>
      <c r="B62" s="507" t="s">
        <v>27</v>
      </c>
      <c r="C62" s="611" t="s">
        <v>52</v>
      </c>
      <c r="D62" s="611"/>
      <c r="E62" s="33">
        <v>25.98</v>
      </c>
      <c r="F62" s="507">
        <v>1217</v>
      </c>
      <c r="G62" s="498">
        <f t="shared" si="45"/>
        <v>31617.66</v>
      </c>
      <c r="H62" s="511" t="s">
        <v>5</v>
      </c>
      <c r="I62" s="505">
        <v>17</v>
      </c>
      <c r="J62" s="30">
        <v>2400</v>
      </c>
      <c r="K62" s="13">
        <f t="shared" si="1"/>
        <v>141.1764705882353</v>
      </c>
      <c r="L62" s="505">
        <v>17</v>
      </c>
      <c r="M62" s="14">
        <f t="shared" si="46"/>
        <v>2355.4838709677442</v>
      </c>
      <c r="N62" s="13">
        <f t="shared" si="3"/>
        <v>138.5578747628085</v>
      </c>
      <c r="O62" s="15">
        <f t="shared" si="4"/>
        <v>0</v>
      </c>
      <c r="P62" s="16">
        <f t="shared" si="5"/>
        <v>-2.6185958254268087</v>
      </c>
      <c r="Q62" s="503">
        <f t="shared" si="6"/>
        <v>0.9814516129032268</v>
      </c>
      <c r="R62" s="619"/>
      <c r="S62" s="31">
        <v>0.40694444444444433</v>
      </c>
      <c r="T62" s="31">
        <v>0.42847222222222209</v>
      </c>
      <c r="U62" s="498">
        <f t="shared" si="48"/>
        <v>4.9999999999999822</v>
      </c>
      <c r="V62" s="506">
        <f t="shared" si="47"/>
        <v>30.999999999999972</v>
      </c>
      <c r="W62" s="17"/>
      <c r="X62" s="17"/>
      <c r="Y62" s="17"/>
      <c r="Z62" s="17"/>
      <c r="AA62" s="610"/>
      <c r="AB62" s="610"/>
      <c r="AC62" s="19"/>
      <c r="AD62" s="19"/>
      <c r="AE62" s="15">
        <f t="shared" si="43"/>
        <v>-44.516129032255776</v>
      </c>
      <c r="AF62" s="503">
        <f t="shared" si="9"/>
        <v>0.9814516129032268</v>
      </c>
      <c r="AG62" s="619"/>
    </row>
    <row r="63" spans="1:33" ht="15.75" customHeight="1">
      <c r="A63" s="617" t="s">
        <v>200</v>
      </c>
      <c r="B63" s="507" t="s">
        <v>27</v>
      </c>
      <c r="C63" s="612" t="s">
        <v>197</v>
      </c>
      <c r="D63" s="613"/>
      <c r="E63" s="33">
        <v>23.89</v>
      </c>
      <c r="F63" s="507">
        <v>2154</v>
      </c>
      <c r="G63" s="498">
        <f t="shared" si="45"/>
        <v>51459.06</v>
      </c>
      <c r="H63" s="511" t="s">
        <v>5</v>
      </c>
      <c r="I63" s="505">
        <v>17</v>
      </c>
      <c r="J63" s="30">
        <v>2400</v>
      </c>
      <c r="K63" s="13">
        <f t="shared" si="1"/>
        <v>141.1764705882353</v>
      </c>
      <c r="L63" s="505">
        <v>17</v>
      </c>
      <c r="M63" s="14">
        <f t="shared" si="46"/>
        <v>2307.8571428571413</v>
      </c>
      <c r="N63" s="13">
        <f t="shared" si="3"/>
        <v>135.75630252100831</v>
      </c>
      <c r="O63" s="15">
        <f t="shared" si="4"/>
        <v>0</v>
      </c>
      <c r="P63" s="16">
        <f t="shared" si="5"/>
        <v>-5.4201680672269958</v>
      </c>
      <c r="Q63" s="503">
        <f t="shared" si="6"/>
        <v>0.96160714285714211</v>
      </c>
      <c r="R63" s="619"/>
      <c r="S63" s="31">
        <v>0.4319444444444443</v>
      </c>
      <c r="T63" s="31">
        <v>0.47083333333333321</v>
      </c>
      <c r="U63" s="498">
        <f t="shared" si="48"/>
        <v>4.9999999999999822</v>
      </c>
      <c r="V63" s="506">
        <f t="shared" si="47"/>
        <v>56.000000000000043</v>
      </c>
      <c r="W63" s="17"/>
      <c r="X63" s="17"/>
      <c r="Y63" s="20"/>
      <c r="Z63" s="20"/>
      <c r="AA63" s="614"/>
      <c r="AB63" s="615"/>
      <c r="AC63" s="19"/>
      <c r="AD63" s="19"/>
      <c r="AE63" s="15">
        <f t="shared" si="43"/>
        <v>-92.142857142858702</v>
      </c>
      <c r="AF63" s="503">
        <f t="shared" si="9"/>
        <v>0.96160714285714222</v>
      </c>
      <c r="AG63" s="619"/>
    </row>
    <row r="64" spans="1:33" ht="16.5" customHeight="1">
      <c r="A64" s="618" t="s">
        <v>200</v>
      </c>
      <c r="B64" s="33" t="s">
        <v>180</v>
      </c>
      <c r="C64" s="607"/>
      <c r="D64" s="608"/>
      <c r="E64" s="504"/>
      <c r="F64" s="34"/>
      <c r="G64" s="13"/>
      <c r="H64" s="507"/>
      <c r="I64" s="23">
        <v>16.857142857142858</v>
      </c>
      <c r="J64" s="30">
        <v>2400</v>
      </c>
      <c r="K64" s="13">
        <f t="shared" si="1"/>
        <v>142.37288135593221</v>
      </c>
      <c r="L64" s="23">
        <v>16.857142857142858</v>
      </c>
      <c r="M64" s="14">
        <f>AVERAGE(M57:M63)</f>
        <v>2316.9897724150242</v>
      </c>
      <c r="N64" s="13">
        <f t="shared" si="3"/>
        <v>137.44854582123025</v>
      </c>
      <c r="O64" s="15">
        <f t="shared" si="4"/>
        <v>0</v>
      </c>
      <c r="P64" s="16">
        <f t="shared" si="5"/>
        <v>-4.9243355347019531</v>
      </c>
      <c r="Q64" s="503">
        <f t="shared" si="6"/>
        <v>0.96541240517292681</v>
      </c>
      <c r="R64" s="619"/>
      <c r="S64" s="31"/>
      <c r="T64" s="31"/>
      <c r="U64" s="13"/>
      <c r="V64" s="506"/>
      <c r="W64" s="13"/>
      <c r="X64" s="13"/>
      <c r="Y64" s="24">
        <f>SUM(Y57:Y63)</f>
        <v>0</v>
      </c>
      <c r="Z64" s="24">
        <f>SUM(Z57:Z63)</f>
        <v>0</v>
      </c>
      <c r="AA64" s="609"/>
      <c r="AB64" s="609"/>
      <c r="AC64" s="24">
        <v>7</v>
      </c>
      <c r="AD64" s="24">
        <f>SUM(AD57:AD63)</f>
        <v>0</v>
      </c>
      <c r="AE64" s="15">
        <f t="shared" si="43"/>
        <v>-83.010227584975837</v>
      </c>
      <c r="AF64" s="503">
        <f t="shared" si="9"/>
        <v>0.9654124051729267</v>
      </c>
      <c r="AG64" s="619"/>
    </row>
    <row r="65" spans="4:5">
      <c r="D65" s="25"/>
      <c r="E65" s="25"/>
    </row>
  </sheetData>
  <mergeCells count="179">
    <mergeCell ref="A57:A64"/>
    <mergeCell ref="C57:D57"/>
    <mergeCell ref="R57:R64"/>
    <mergeCell ref="AA57:AB57"/>
    <mergeCell ref="AG57:AG64"/>
    <mergeCell ref="C58:D58"/>
    <mergeCell ref="AA58:AB58"/>
    <mergeCell ref="C59:D59"/>
    <mergeCell ref="AA59:AB59"/>
    <mergeCell ref="C60:D60"/>
    <mergeCell ref="C64:D64"/>
    <mergeCell ref="AA64:AB64"/>
    <mergeCell ref="AA60:AB60"/>
    <mergeCell ref="C61:D61"/>
    <mergeCell ref="AA61:AB61"/>
    <mergeCell ref="C62:D62"/>
    <mergeCell ref="AA62:AB62"/>
    <mergeCell ref="C63:D63"/>
    <mergeCell ref="AA63:AB63"/>
    <mergeCell ref="AG51:AG56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51:A56"/>
    <mergeCell ref="C51:D51"/>
    <mergeCell ref="R51:R56"/>
    <mergeCell ref="AA51:AB51"/>
    <mergeCell ref="AA56:AB56"/>
    <mergeCell ref="AA46:AB46"/>
    <mergeCell ref="C47:D47"/>
    <mergeCell ref="AA47:AB47"/>
    <mergeCell ref="C48:D48"/>
    <mergeCell ref="AA48:AB48"/>
    <mergeCell ref="C49:D49"/>
    <mergeCell ref="AA49:AB49"/>
    <mergeCell ref="A42:A50"/>
    <mergeCell ref="C42:D42"/>
    <mergeCell ref="R42:R50"/>
    <mergeCell ref="AA42:AB42"/>
    <mergeCell ref="A38:A41"/>
    <mergeCell ref="C38:D38"/>
    <mergeCell ref="R38:R41"/>
    <mergeCell ref="AA38:AB38"/>
    <mergeCell ref="A32:A37"/>
    <mergeCell ref="C32:D32"/>
    <mergeCell ref="R32:R37"/>
    <mergeCell ref="AA32:AB32"/>
    <mergeCell ref="AG42:AG50"/>
    <mergeCell ref="C43:D43"/>
    <mergeCell ref="AA43:AB43"/>
    <mergeCell ref="C44:D44"/>
    <mergeCell ref="AA44:AB44"/>
    <mergeCell ref="AA45:AB45"/>
    <mergeCell ref="AG38:AG41"/>
    <mergeCell ref="C39:D39"/>
    <mergeCell ref="AA39:AB39"/>
    <mergeCell ref="C40:D40"/>
    <mergeCell ref="AA40:AB40"/>
    <mergeCell ref="C41:D41"/>
    <mergeCell ref="AA41:AB41"/>
    <mergeCell ref="C50:D50"/>
    <mergeCell ref="AA50:AB50"/>
    <mergeCell ref="AG32:AG37"/>
    <mergeCell ref="C33:D33"/>
    <mergeCell ref="AA33:AB33"/>
    <mergeCell ref="C34:D34"/>
    <mergeCell ref="AA34:AB34"/>
    <mergeCell ref="C35:D35"/>
    <mergeCell ref="C29:D29"/>
    <mergeCell ref="AA29:AB29"/>
    <mergeCell ref="C30:D30"/>
    <mergeCell ref="AA30:AB30"/>
    <mergeCell ref="C31:D31"/>
    <mergeCell ref="AA31:AB31"/>
    <mergeCell ref="AA35:AB35"/>
    <mergeCell ref="C36:D36"/>
    <mergeCell ref="AA36:AB36"/>
    <mergeCell ref="C37:D37"/>
    <mergeCell ref="AA37:AB37"/>
    <mergeCell ref="AG26:AG31"/>
    <mergeCell ref="C27:D27"/>
    <mergeCell ref="AA27:AB27"/>
    <mergeCell ref="C28:D28"/>
    <mergeCell ref="AA28:AB28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19:A25"/>
    <mergeCell ref="C19:D19"/>
    <mergeCell ref="R19:R25"/>
    <mergeCell ref="AA19:AB19"/>
    <mergeCell ref="AA24:AB24"/>
    <mergeCell ref="C25:D25"/>
    <mergeCell ref="A12:A18"/>
    <mergeCell ref="AA25:AB25"/>
    <mergeCell ref="A26:A31"/>
    <mergeCell ref="C26:D26"/>
    <mergeCell ref="R26:R31"/>
    <mergeCell ref="AA26:AB26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4:O62 O50:O51 O64 O5:O9 O11:O13 O18:O47">
    <cfRule type="cellIs" dxfId="2062" priority="51" operator="greaterThan">
      <formula>0</formula>
    </cfRule>
  </conditionalFormatting>
  <conditionalFormatting sqref="P5:P7 P54:P55 AE54:AE55 P57:P62 P26:P30 P51 P9 P11:P13 P19:P24 P42:P47 P32:P40 AE5:AE51 AE57:AE64">
    <cfRule type="cellIs" dxfId="2061" priority="55" operator="lessThan">
      <formula>0</formula>
    </cfRule>
  </conditionalFormatting>
  <conditionalFormatting sqref="AF54:AF55 Q54:Q62 Q50:Q51 Q64 Q5:Q9 Q11:Q13 Q18:Q47 AF5:AF51 AF57:AF64">
    <cfRule type="cellIs" dxfId="2060" priority="52" operator="greaterThan">
      <formula>1</formula>
    </cfRule>
    <cfRule type="cellIs" dxfId="2059" priority="53" operator="lessThan">
      <formula>0.8</formula>
    </cfRule>
  </conditionalFormatting>
  <conditionalFormatting sqref="AG12:AG13 R12:R13 AG54 R54:R62 AG50:AG51 R50:R51 R64 AG5:AG9 R5:R9 AG18:AG47 R18:R47">
    <cfRule type="cellIs" dxfId="2058" priority="57" operator="lessThan">
      <formula>0.8</formula>
    </cfRule>
  </conditionalFormatting>
  <conditionalFormatting sqref="AG38">
    <cfRule type="cellIs" dxfId="2057" priority="59" operator="lessThan">
      <formula>0.8</formula>
    </cfRule>
  </conditionalFormatting>
  <conditionalFormatting sqref="AG19:AG24">
    <cfRule type="cellIs" dxfId="2056" priority="56" operator="lessThan">
      <formula>0.8</formula>
    </cfRule>
  </conditionalFormatting>
  <conditionalFormatting sqref="AG26">
    <cfRule type="cellIs" dxfId="2055" priority="58" operator="lessThan">
      <formula>0.8</formula>
    </cfRule>
  </conditionalFormatting>
  <conditionalFormatting sqref="AG32:AG36">
    <cfRule type="cellIs" dxfId="2054" priority="54" operator="lessThan">
      <formula>0.8</formula>
    </cfRule>
  </conditionalFormatting>
  <conditionalFormatting sqref="AE56">
    <cfRule type="cellIs" dxfId="2053" priority="50" operator="lessThan">
      <formula>0</formula>
    </cfRule>
  </conditionalFormatting>
  <conditionalFormatting sqref="AF56">
    <cfRule type="cellIs" dxfId="2052" priority="48" operator="greaterThan">
      <formula>1</formula>
    </cfRule>
    <cfRule type="cellIs" dxfId="2051" priority="49" operator="lessThan">
      <formula>0.8</formula>
    </cfRule>
  </conditionalFormatting>
  <conditionalFormatting sqref="O14:O15">
    <cfRule type="cellIs" dxfId="2050" priority="43" operator="greaterThan">
      <formula>0</formula>
    </cfRule>
  </conditionalFormatting>
  <conditionalFormatting sqref="P14:P15">
    <cfRule type="cellIs" dxfId="2049" priority="46" operator="lessThan">
      <formula>0</formula>
    </cfRule>
  </conditionalFormatting>
  <conditionalFormatting sqref="Q14:Q15">
    <cfRule type="cellIs" dxfId="2048" priority="44" operator="greaterThan">
      <formula>1</formula>
    </cfRule>
    <cfRule type="cellIs" dxfId="2047" priority="45" operator="lessThan">
      <formula>0.8</formula>
    </cfRule>
  </conditionalFormatting>
  <conditionalFormatting sqref="R14:R15 AG14:AG15">
    <cfRule type="cellIs" dxfId="2046" priority="47" operator="lessThan">
      <formula>0.8</formula>
    </cfRule>
  </conditionalFormatting>
  <conditionalFormatting sqref="O10">
    <cfRule type="cellIs" dxfId="2045" priority="39" operator="greaterThan">
      <formula>0</formula>
    </cfRule>
  </conditionalFormatting>
  <conditionalFormatting sqref="P10">
    <cfRule type="cellIs" dxfId="2044" priority="42" operator="lessThan">
      <formula>0</formula>
    </cfRule>
  </conditionalFormatting>
  <conditionalFormatting sqref="Q10">
    <cfRule type="cellIs" dxfId="2043" priority="40" operator="greaterThan">
      <formula>1</formula>
    </cfRule>
    <cfRule type="cellIs" dxfId="2042" priority="41" operator="lessThan">
      <formula>0.8</formula>
    </cfRule>
  </conditionalFormatting>
  <conditionalFormatting sqref="O48">
    <cfRule type="cellIs" dxfId="2041" priority="34" operator="greaterThan">
      <formula>0</formula>
    </cfRule>
  </conditionalFormatting>
  <conditionalFormatting sqref="P48">
    <cfRule type="cellIs" dxfId="2040" priority="37" operator="lessThan">
      <formula>0</formula>
    </cfRule>
  </conditionalFormatting>
  <conditionalFormatting sqref="Q48">
    <cfRule type="cellIs" dxfId="2039" priority="35" operator="greaterThan">
      <formula>1</formula>
    </cfRule>
    <cfRule type="cellIs" dxfId="2038" priority="36" operator="lessThan">
      <formula>0.8</formula>
    </cfRule>
  </conditionalFormatting>
  <conditionalFormatting sqref="R48 AG48">
    <cfRule type="cellIs" dxfId="2037" priority="38" operator="lessThan">
      <formula>0.8</formula>
    </cfRule>
  </conditionalFormatting>
  <conditionalFormatting sqref="O53">
    <cfRule type="cellIs" dxfId="2036" priority="29" operator="greaterThan">
      <formula>0</formula>
    </cfRule>
  </conditionalFormatting>
  <conditionalFormatting sqref="P53 AE53">
    <cfRule type="cellIs" dxfId="2035" priority="32" operator="lessThan">
      <formula>0</formula>
    </cfRule>
  </conditionalFormatting>
  <conditionalFormatting sqref="Q53 AF53">
    <cfRule type="cellIs" dxfId="2034" priority="30" operator="greaterThan">
      <formula>1</formula>
    </cfRule>
    <cfRule type="cellIs" dxfId="2033" priority="31" operator="lessThan">
      <formula>0.8</formula>
    </cfRule>
  </conditionalFormatting>
  <conditionalFormatting sqref="R53 AG53">
    <cfRule type="cellIs" dxfId="2032" priority="33" operator="lessThan">
      <formula>0.8</formula>
    </cfRule>
  </conditionalFormatting>
  <conditionalFormatting sqref="O63">
    <cfRule type="cellIs" dxfId="2031" priority="24" operator="greaterThan">
      <formula>0</formula>
    </cfRule>
  </conditionalFormatting>
  <conditionalFormatting sqref="P63">
    <cfRule type="cellIs" dxfId="2030" priority="27" operator="lessThan">
      <formula>0</formula>
    </cfRule>
  </conditionalFormatting>
  <conditionalFormatting sqref="Q63">
    <cfRule type="cellIs" dxfId="2029" priority="25" operator="greaterThan">
      <formula>1</formula>
    </cfRule>
    <cfRule type="cellIs" dxfId="2028" priority="26" operator="lessThan">
      <formula>0.8</formula>
    </cfRule>
  </conditionalFormatting>
  <conditionalFormatting sqref="R63">
    <cfRule type="cellIs" dxfId="2027" priority="28" operator="lessThan">
      <formula>0.8</formula>
    </cfRule>
  </conditionalFormatting>
  <conditionalFormatting sqref="O16:O17">
    <cfRule type="cellIs" dxfId="2026" priority="19" operator="greaterThan">
      <formula>0</formula>
    </cfRule>
  </conditionalFormatting>
  <conditionalFormatting sqref="P16:P17">
    <cfRule type="cellIs" dxfId="2025" priority="22" operator="lessThan">
      <formula>0</formula>
    </cfRule>
  </conditionalFormatting>
  <conditionalFormatting sqref="Q16:Q17">
    <cfRule type="cellIs" dxfId="2024" priority="20" operator="greaterThan">
      <formula>1</formula>
    </cfRule>
    <cfRule type="cellIs" dxfId="2023" priority="21" operator="lessThan">
      <formula>0.8</formula>
    </cfRule>
  </conditionalFormatting>
  <conditionalFormatting sqref="R16:R17 AG16:AG17">
    <cfRule type="cellIs" dxfId="2022" priority="23" operator="lessThan">
      <formula>0.8</formula>
    </cfRule>
  </conditionalFormatting>
  <conditionalFormatting sqref="O49">
    <cfRule type="cellIs" dxfId="2021" priority="14" operator="greaterThan">
      <formula>0</formula>
    </cfRule>
  </conditionalFormatting>
  <conditionalFormatting sqref="P49">
    <cfRule type="cellIs" dxfId="2020" priority="17" operator="lessThan">
      <formula>0</formula>
    </cfRule>
  </conditionalFormatting>
  <conditionalFormatting sqref="Q49">
    <cfRule type="cellIs" dxfId="2019" priority="15" operator="greaterThan">
      <formula>1</formula>
    </cfRule>
    <cfRule type="cellIs" dxfId="2018" priority="16" operator="lessThan">
      <formula>0.8</formula>
    </cfRule>
  </conditionalFormatting>
  <conditionalFormatting sqref="AG49 R49">
    <cfRule type="cellIs" dxfId="2017" priority="18" operator="lessThan">
      <formula>0.8</formula>
    </cfRule>
  </conditionalFormatting>
  <conditionalFormatting sqref="O52">
    <cfRule type="cellIs" dxfId="2016" priority="9" operator="greaterThan">
      <formula>0</formula>
    </cfRule>
  </conditionalFormatting>
  <conditionalFormatting sqref="P52 AE52">
    <cfRule type="cellIs" dxfId="2015" priority="12" operator="lessThan">
      <formula>0</formula>
    </cfRule>
  </conditionalFormatting>
  <conditionalFormatting sqref="Q52 AF52">
    <cfRule type="cellIs" dxfId="2014" priority="10" operator="greaterThan">
      <formula>1</formula>
    </cfRule>
    <cfRule type="cellIs" dxfId="2013" priority="11" operator="lessThan">
      <formula>0.8</formula>
    </cfRule>
  </conditionalFormatting>
  <conditionalFormatting sqref="R52 AG52">
    <cfRule type="cellIs" dxfId="2012" priority="13" operator="lessThan">
      <formula>0.8</formula>
    </cfRule>
  </conditionalFormatting>
  <conditionalFormatting sqref="P8">
    <cfRule type="cellIs" dxfId="2011" priority="8" operator="lessThan">
      <formula>0</formula>
    </cfRule>
  </conditionalFormatting>
  <conditionalFormatting sqref="P18">
    <cfRule type="cellIs" dxfId="2010" priority="7" operator="lessThan">
      <formula>0</formula>
    </cfRule>
  </conditionalFormatting>
  <conditionalFormatting sqref="P25">
    <cfRule type="cellIs" dxfId="2009" priority="6" operator="lessThan">
      <formula>0</formula>
    </cfRule>
  </conditionalFormatting>
  <conditionalFormatting sqref="P31">
    <cfRule type="cellIs" dxfId="2008" priority="5" operator="lessThan">
      <formula>0</formula>
    </cfRule>
  </conditionalFormatting>
  <conditionalFormatting sqref="P41">
    <cfRule type="cellIs" dxfId="2007" priority="4" operator="lessThan">
      <formula>0</formula>
    </cfRule>
  </conditionalFormatting>
  <conditionalFormatting sqref="P50">
    <cfRule type="cellIs" dxfId="2006" priority="3" operator="lessThan">
      <formula>0</formula>
    </cfRule>
  </conditionalFormatting>
  <conditionalFormatting sqref="P56">
    <cfRule type="cellIs" dxfId="2005" priority="2" operator="lessThan">
      <formula>0</formula>
    </cfRule>
  </conditionalFormatting>
  <conditionalFormatting sqref="P64">
    <cfRule type="cellIs" dxfId="2004" priority="1" operator="lessThan">
      <formula>0</formula>
    </cfRule>
  </conditionalFormatting>
  <dataValidations count="1">
    <dataValidation type="list" allowBlank="1" showInputMessage="1" showErrorMessage="1" sqref="AB8 AA5:AB7 AB55 AA8:AA55 AB10:AB51 AA56:AB6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9" sqref="G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2321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2322</v>
      </c>
      <c r="C3" s="596" t="str">
        <f>TEXT('0925 4度C'!A2,"yyyy.mm.ddaaaa")</f>
        <v>2026.09.25星期五</v>
      </c>
      <c r="D3" s="597"/>
      <c r="E3" s="39" t="s">
        <v>2323</v>
      </c>
      <c r="F3" s="598">
        <f>'0925 4度C'!D1</f>
        <v>117707</v>
      </c>
      <c r="G3" s="599"/>
      <c r="H3" s="39" t="s">
        <v>2324</v>
      </c>
      <c r="I3" s="600">
        <f>'0925 4度C'!F1</f>
        <v>3981501.97</v>
      </c>
      <c r="J3" s="601"/>
      <c r="K3" s="40"/>
      <c r="L3" s="41"/>
      <c r="M3" s="42"/>
      <c r="N3" s="42"/>
    </row>
    <row r="4" spans="2:17" ht="28.5" customHeight="1">
      <c r="B4" s="602" t="s">
        <v>2325</v>
      </c>
      <c r="C4" s="588" t="s">
        <v>2326</v>
      </c>
      <c r="D4" s="589"/>
      <c r="E4" s="605" t="s">
        <v>2327</v>
      </c>
      <c r="F4" s="606"/>
      <c r="G4" s="605" t="s">
        <v>2328</v>
      </c>
      <c r="H4" s="606"/>
      <c r="I4" s="605" t="s">
        <v>2329</v>
      </c>
      <c r="J4" s="606"/>
      <c r="K4" s="586" t="s">
        <v>2330</v>
      </c>
      <c r="L4" s="587"/>
      <c r="M4" s="587" t="s">
        <v>2331</v>
      </c>
      <c r="N4" s="587"/>
    </row>
    <row r="5" spans="2:17" ht="28.5" customHeight="1">
      <c r="B5" s="603"/>
      <c r="C5" s="588" t="s">
        <v>2332</v>
      </c>
      <c r="D5" s="589"/>
      <c r="E5" s="588" t="s">
        <v>2333</v>
      </c>
      <c r="F5" s="589"/>
      <c r="G5" s="590" t="s">
        <v>2334</v>
      </c>
      <c r="H5" s="591"/>
      <c r="I5" s="592" t="s">
        <v>2335</v>
      </c>
      <c r="J5" s="593"/>
      <c r="K5" s="43" t="s">
        <v>2336</v>
      </c>
      <c r="L5" s="44" t="s">
        <v>2337</v>
      </c>
      <c r="M5" s="43" t="s">
        <v>2336</v>
      </c>
      <c r="N5" s="44" t="s">
        <v>2338</v>
      </c>
    </row>
    <row r="6" spans="2:17" ht="28.5" customHeight="1">
      <c r="B6" s="603"/>
      <c r="C6" s="588" t="s">
        <v>56</v>
      </c>
      <c r="D6" s="589"/>
      <c r="E6" s="580">
        <f>AVERAGE(D13:M13)</f>
        <v>151.16938866475886</v>
      </c>
      <c r="F6" s="581">
        <f>AVERAGE(D31:O31,D13:J13)</f>
        <v>155.88783371352423</v>
      </c>
      <c r="G6" s="582">
        <f>AVERAGE(D13:J13)</f>
        <v>155.88783371352423</v>
      </c>
      <c r="H6" s="583"/>
      <c r="I6" s="582">
        <f>AVERAGE(K13:M13)</f>
        <v>140.15968355097311</v>
      </c>
      <c r="J6" s="583"/>
      <c r="K6" s="584">
        <f>'0925 4度C'!Y2</f>
        <v>0</v>
      </c>
      <c r="L6" s="569">
        <f>'0925 4度C'!Z2</f>
        <v>0</v>
      </c>
      <c r="M6" s="585">
        <f>'0925 4度C'!AC2</f>
        <v>50</v>
      </c>
      <c r="N6" s="569">
        <f>'0925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145.09617184693994</v>
      </c>
      <c r="F7" s="573">
        <f>AVERAGE(D32:O32,D14:J14)</f>
        <v>149.8443969056504</v>
      </c>
      <c r="G7" s="574">
        <f>AVERAGE(D14:J14)</f>
        <v>149.8443969056504</v>
      </c>
      <c r="H7" s="575"/>
      <c r="I7" s="574">
        <f>AVERAGE(K14:M14)</f>
        <v>134.01698004328219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0.96031361934844739</v>
      </c>
      <c r="F8" s="577">
        <f>AVERAGE(D15:J15,D33:O33)</f>
        <v>0.96211522577704023</v>
      </c>
      <c r="G8" s="578">
        <f>AVERAGE(D15:J15)</f>
        <v>0.96211522577704023</v>
      </c>
      <c r="H8" s="579"/>
      <c r="I8" s="578">
        <f>AVERAGE(K15:M15)</f>
        <v>0.95610987101506451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2339</v>
      </c>
      <c r="N9" s="42"/>
      <c r="O9" s="42"/>
      <c r="P9" s="42"/>
      <c r="Q9" s="42"/>
    </row>
    <row r="10" spans="2:17" ht="30" customHeight="1">
      <c r="B10" s="552" t="s">
        <v>2340</v>
      </c>
      <c r="C10" s="553"/>
      <c r="D10" s="554" t="s">
        <v>2341</v>
      </c>
      <c r="E10" s="555"/>
      <c r="F10" s="555"/>
      <c r="G10" s="555"/>
      <c r="H10" s="555"/>
      <c r="I10" s="555"/>
      <c r="J10" s="556"/>
      <c r="K10" s="557" t="s">
        <v>2342</v>
      </c>
      <c r="L10" s="558"/>
      <c r="M10" s="559"/>
      <c r="P10" s="48"/>
      <c r="Q10" s="48"/>
    </row>
    <row r="11" spans="2:17" ht="17.25" customHeight="1">
      <c r="B11" s="560" t="s">
        <v>2343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2344</v>
      </c>
      <c r="C13" s="55" t="s">
        <v>2345</v>
      </c>
      <c r="D13" s="56">
        <f>SUMIFS('0925 4度C'!$K:$K,'0925 4度C'!$A:$A,"新豐6線",'0925 4度C'!$B:$B,"平均")</f>
        <v>130.43478260869566</v>
      </c>
      <c r="E13" s="57">
        <f>SUMIFS('0925 4度C'!$K:$K,'0925 4度C'!$A:$A,"新豐2線",'0925 4度C'!$B:$B,"平均")</f>
        <v>83.333333333333329</v>
      </c>
      <c r="F13" s="58">
        <f>SUMIFS('0925 4度C'!$K:$K,'0925 4度C'!$A:$A,"新豐5線",'0925 4度C'!$B:$B,"平均")</f>
        <v>104.99999999999999</v>
      </c>
      <c r="G13" s="58">
        <f>SUMIFS('0925 4度C'!$K:$K,'0925 4度C'!$A:$A,"新豐7線",'0925 4度C'!$B:$B,"平均")</f>
        <v>126.31578947368421</v>
      </c>
      <c r="H13" s="58">
        <f>SUMIFS('0925 4度C'!$K:$K,'0925 4度C'!$A:$A,"新豐3線",'0925 4度C'!$B:$B,"平均")</f>
        <v>242.42424242424241</v>
      </c>
      <c r="I13" s="58">
        <f>SUMIFS('0925 4度C'!$K:$K,'0925 4度C'!$A:$A,"新豐1線",'0925 4度C'!$B:$B,"平均")</f>
        <v>109.58904109589041</v>
      </c>
      <c r="J13" s="59">
        <f>SUMIFS('0925 4度C'!$K:$K,'0925 4度C'!$A:$A,"新豐10線",'0925 4度C'!$B:$B,"平均")</f>
        <v>294.11764705882354</v>
      </c>
      <c r="K13" s="60">
        <f>SUMIFS('0925 4度C'!$K:$K,'0925 4度C'!$A:$A,"新豐8線",'0925 4度C'!$B:$B,"平均")</f>
        <v>146.34146341463415</v>
      </c>
      <c r="L13" s="61">
        <f>SUMIFS('0925 4度C'!$K:$K,'0925 4度C'!$A:$A,"新豐9線",'0925 4度C'!$B:$B,"平均")</f>
        <v>131.76470588235293</v>
      </c>
      <c r="M13" s="59">
        <f>SUMIFS('0925 4度C'!$K:$K,'0925 4度C'!$A:$A,"新豐4線",'0925 4度C'!$B:$B,"平均")</f>
        <v>142.37288135593221</v>
      </c>
    </row>
    <row r="14" spans="2:17" ht="39.6" customHeight="1">
      <c r="B14" s="565"/>
      <c r="C14" s="62" t="s">
        <v>2346</v>
      </c>
      <c r="D14" s="63">
        <f>SUMIFS('0925 4度C'!$N:$N,'0925 4度C'!$A:$A,"新豐6線",'0925 4度C'!$B:$B,"平均")</f>
        <v>126.30667038275725</v>
      </c>
      <c r="E14" s="64">
        <f>SUMIFS('0925 4度C'!$N:$N,'0925 4度C'!$A:$A,"新豐2線",'0925 4度C'!$B:$B,"平均")</f>
        <v>79.720163263328729</v>
      </c>
      <c r="F14" s="64">
        <f>SUMIFS('0925 4度C'!$N:$N,'0925 4度C'!$A:$A,"新豐5線",'0925 4度C'!$B:$B,"平均")</f>
        <v>101.34272317176639</v>
      </c>
      <c r="G14" s="64">
        <f>SUMIFS('0925 4度C'!$N:$N,'0925 4度C'!$A:$A,"新豐7線",'0925 4度C'!$B:$B,"平均")</f>
        <v>121.11937577729358</v>
      </c>
      <c r="H14" s="64">
        <f>SUMIFS('0925 4度C'!$N:$N,'0925 4度C'!$A:$A,"新豐3線",'0925 4度C'!$B:$B,"平均")</f>
        <v>231.81463551638527</v>
      </c>
      <c r="I14" s="64">
        <f>SUMIFS('0925 4度C'!$N:$N,'0925 4度C'!$A:$A,"新豐1線",'0925 4度C'!$B:$B,"平均")</f>
        <v>106.25031936806992</v>
      </c>
      <c r="J14" s="65">
        <f>SUMIFS('0925 4度C'!$N:$N,'0925 4度C'!$A:$A,"新豐10線",'0925 4度C'!$B:$B,"平均")</f>
        <v>282.35689085995165</v>
      </c>
      <c r="K14" s="66">
        <f>SUMIFS('0925 4度C'!$N:$N,'0925 4度C'!$A:$A,"新豐8線",'0925 4度C'!$B:$B,"平均")</f>
        <v>139.878161030337</v>
      </c>
      <c r="L14" s="67">
        <f>SUMIFS('0925 4度C'!$N:$N,'0925 4度C'!$A:$A,"新豐9線",'0925 4度C'!$B:$B,"平均")</f>
        <v>125.63543990888681</v>
      </c>
      <c r="M14" s="65">
        <f>SUMIFS('0925 4度C'!$N:$N,'0925 4度C'!$A:$A,"新豐4線",'0925 4度C'!$B:$B,"平均")</f>
        <v>136.53733919062282</v>
      </c>
    </row>
    <row r="15" spans="2:17" ht="40.15" customHeight="1">
      <c r="B15" s="566"/>
      <c r="C15" s="68" t="s">
        <v>2347</v>
      </c>
      <c r="D15" s="69">
        <f t="shared" ref="D15:M15" si="0">D14/D13</f>
        <v>0.96835113960113883</v>
      </c>
      <c r="E15" s="70">
        <f t="shared" si="0"/>
        <v>0.95664195915994477</v>
      </c>
      <c r="F15" s="70">
        <f t="shared" si="0"/>
        <v>0.96516879211206108</v>
      </c>
      <c r="G15" s="70">
        <f t="shared" si="0"/>
        <v>0.95886172490357424</v>
      </c>
      <c r="H15" s="70">
        <f t="shared" si="0"/>
        <v>0.9562353715050893</v>
      </c>
      <c r="I15" s="70">
        <f t="shared" si="0"/>
        <v>0.96953416423363803</v>
      </c>
      <c r="J15" s="71">
        <f t="shared" si="0"/>
        <v>0.96001342892383557</v>
      </c>
      <c r="K15" s="69">
        <f t="shared" si="0"/>
        <v>0.95583410037396943</v>
      </c>
      <c r="L15" s="70">
        <f t="shared" si="0"/>
        <v>0.95348324930851602</v>
      </c>
      <c r="M15" s="71">
        <f t="shared" si="0"/>
        <v>0.95901226336270784</v>
      </c>
    </row>
    <row r="16" spans="2:17" ht="17.25" customHeight="1">
      <c r="B16" s="567" t="s">
        <v>2348</v>
      </c>
      <c r="C16" s="72" t="s">
        <v>2349</v>
      </c>
      <c r="D16" s="73">
        <f>VLOOKUP("新豐6線",'0925 4度C'!$A:$T,19,0)</f>
        <v>0.70833333333333337</v>
      </c>
      <c r="E16" s="74">
        <f>VLOOKUP("新豐2線",'0925 4度C'!$A:$T,19,0)</f>
        <v>8.3333333333333329E-2</v>
      </c>
      <c r="F16" s="74">
        <f>VLOOKUP("新豐5線",'0925 4度C'!$A:$T,19,0)</f>
        <v>0.20833333333333334</v>
      </c>
      <c r="G16" s="74">
        <f>VLOOKUP("新豐7線",'0925 4度C'!$A:$T,19,0)</f>
        <v>0.25</v>
      </c>
      <c r="H16" s="74">
        <f>VLOOKUP("新豐3線",'0925 4度C'!$A:$T,19,0)</f>
        <v>0.20833333333333334</v>
      </c>
      <c r="I16" s="74">
        <f>VLOOKUP("新豐1線",'0925 4度C'!$A:$T,19,0)</f>
        <v>0.20833333333333334</v>
      </c>
      <c r="J16" s="75">
        <f>VLOOKUP("新豐10線",'0925 4度C'!$A:$T,19,0)</f>
        <v>0.20833333333333334</v>
      </c>
      <c r="K16" s="76">
        <f>VLOOKUP("新豐8線",'0925 4度C'!$A:$T,19,0)</f>
        <v>8.3333333333333329E-2</v>
      </c>
      <c r="L16" s="77">
        <f>VLOOKUP("新豐9線",'0925 4度C'!$A:$T,19,0)</f>
        <v>8.3333333333333329E-2</v>
      </c>
      <c r="M16" s="78">
        <f>VLOOKUP("新豐4線",'0925 4度C'!$A:$T,19,0)</f>
        <v>8.3333333333333329E-2</v>
      </c>
    </row>
    <row r="17" spans="2:13" ht="17.25" customHeight="1">
      <c r="B17" s="568"/>
      <c r="C17" s="72" t="s">
        <v>2350</v>
      </c>
      <c r="D17" s="76">
        <f>LOOKUP(2,1/(('0925 4度C'!$A:$A="新豐6線")*('0925 4度C'!$T:$T&lt;&gt;"")),'0925 4度C'!$T:$T)</f>
        <v>0.80555555555555558</v>
      </c>
      <c r="E17" s="74">
        <f>LOOKUP(2,1/(('0925 4度C'!$A:$A="新豐2線")*('0925 4度C'!$T:$T&lt;&gt;"")),'0925 4度C'!$T:$T)</f>
        <v>0.33611111111111114</v>
      </c>
      <c r="F17" s="74">
        <f>LOOKUP(2,1/(('0925 4度C'!$A:$A="新豐5線")*('0925 4度C'!$T:$T&lt;&gt;"")),'0925 4度C'!$T:$T)</f>
        <v>0.79097222222222219</v>
      </c>
      <c r="G17" s="74">
        <f>LOOKUP(2,1/(('0925 4度C'!$A:$A="新豐7線")*('0925 4度C'!$T:$T&lt;&gt;"")),'0925 4度C'!$T:$T)</f>
        <v>0.81874999999999998</v>
      </c>
      <c r="H17" s="74">
        <f>LOOKUP(2,1/(('0925 4度C'!$A:$A="新豐3線")*('0925 4度C'!$T:$T&lt;&gt;"")),'0925 4度C'!$T:$T)</f>
        <v>0.42013888888888884</v>
      </c>
      <c r="I17" s="74">
        <f>LOOKUP(2,1/(('0925 4度C'!$A:$A="新豐1線")*('0925 4度C'!$T:$T&lt;&gt;"")),'0925 4度C'!$T:$T)</f>
        <v>0.7993055555555556</v>
      </c>
      <c r="J17" s="75">
        <f>LOOKUP(2,1/(('0925 4度C'!$A:$A="新豐10線")*('0925 4度C'!$T:$T&lt;&gt;"")),'0925 4度C'!$T:$T)</f>
        <v>0.38472222222222219</v>
      </c>
      <c r="K17" s="73">
        <f>LOOKUP(2,1/(('0925 4度C'!$A:$A="新豐8線")*('0925 4度C'!$T:$T&lt;&gt;"")),'0925 4度C'!$T:$T)</f>
        <v>0.48402777777777772</v>
      </c>
      <c r="L17" s="74">
        <f>LOOKUP(2,1/(('0925 4度C'!$A:$A="新豐9線")*('0925 4度C'!$T:$T&lt;&gt;"")),'0925 4度C'!$T:$T)</f>
        <v>0.48611111111111099</v>
      </c>
      <c r="M17" s="75">
        <f>LOOKUP(2,1/(('0925 4度C'!$A:$A="新豐4線")*('0925 4度C'!$T:$T&lt;&gt;"")),'0925 4度C'!$T:$T)</f>
        <v>0.46736111111111095</v>
      </c>
    </row>
    <row r="18" spans="2:13" ht="17.25" customHeight="1">
      <c r="B18" s="546" t="s">
        <v>2351</v>
      </c>
      <c r="C18" s="79" t="s">
        <v>2352</v>
      </c>
      <c r="D18" s="80">
        <f>SUMIFS('0925 4度C'!$Y:$Y,'0925 4度C'!$A:$A,"新豐6線",'0925 4度C'!$B:$B,"平均")</f>
        <v>0</v>
      </c>
      <c r="E18" s="81">
        <f>SUMIFS('0925 4度C'!$Y:$Y,'0925 4度C'!$A:$A,"新豐2線",'0925 4度C'!$B:$B,"平均")</f>
        <v>0</v>
      </c>
      <c r="F18" s="81">
        <f>SUMIFS('0925 4度C'!$Y:$Y,'0925 4度C'!$A:$A,"新豐5線",'0925 4度C'!$B:$B,"平均")</f>
        <v>0</v>
      </c>
      <c r="G18" s="81">
        <f>SUMIFS('0925 4度C'!$Y:$Y,'0925 4度C'!$A:$A,"新豐7線",'0925 4度C'!$B:$B,"平均")</f>
        <v>0</v>
      </c>
      <c r="H18" s="81">
        <f>SUMIFS('0925 4度C'!$Y:$Y,'0925 4度C'!$A:$A,"新豐3線",'0925 4度C'!$B:$B,"平均")</f>
        <v>0</v>
      </c>
      <c r="I18" s="81">
        <f>SUMIFS('0925 4度C'!$Y:$Y,'0925 4度C'!$A:$A,"新豐1線",'0925 4度C'!$B:$B,"平均")</f>
        <v>0</v>
      </c>
      <c r="J18" s="82">
        <f>SUMIFS('0925 4度C'!$Y:$Y,'0925 4度C'!$A:$A,"新豐10線",'0925 4度C'!$B:$B,"平均")</f>
        <v>0</v>
      </c>
      <c r="K18" s="83">
        <f>SUMIFS('0925 4度C'!$Y:$Y,'0925 4度C'!$A:$A,"新豐8線",'0925 4度C'!$B:$B,"平均")</f>
        <v>0</v>
      </c>
      <c r="L18" s="81">
        <f>SUMIFS('0925 4度C'!$Y:$Y,'0925 4度C'!$A:$A,"新豐9線",'0925 4度C'!$B:$B,"平均")</f>
        <v>0</v>
      </c>
      <c r="M18" s="82">
        <f>SUMIFS('0925 4度C'!$Y:$Y,'0925 4度C'!$A:$A,"新豐4線",'0925 4度C'!$B:$B,"平均")</f>
        <v>0</v>
      </c>
    </row>
    <row r="19" spans="2:13" ht="17.25" customHeight="1">
      <c r="B19" s="547"/>
      <c r="C19" s="79" t="s">
        <v>2353</v>
      </c>
      <c r="D19" s="80">
        <f>SUMIFS('0925 4度C'!$Z:$Z,'0925 4度C'!$A:$A,"新豐6線",'0925 4度C'!$B:$B,"平均")</f>
        <v>0</v>
      </c>
      <c r="E19" s="81">
        <f>SUMIFS('0925 4度C'!$Z:$Z,'0925 4度C'!$A:$A,"新豐2線",'0925 4度C'!$B:$B,"平均")</f>
        <v>0</v>
      </c>
      <c r="F19" s="81">
        <f>SUMIFS('0925 4度C'!$Z:$Z,'0925 4度C'!$A:$A,"新豐5線",'0925 4度C'!$B:$B,"平均")</f>
        <v>0</v>
      </c>
      <c r="G19" s="81">
        <f>SUMIFS('0925 4度C'!$Z:$Z,'0925 4度C'!$A:$A,"新豐7線",'0925 4度C'!$B:$B,"平均")</f>
        <v>0</v>
      </c>
      <c r="H19" s="81">
        <f>SUMIFS('0925 4度C'!$Z:$Z,'0925 4度C'!$A:$A,"新豐3線",'0925 4度C'!$B:$B,"平均")</f>
        <v>0</v>
      </c>
      <c r="I19" s="81">
        <f>SUMIFS('0925 4度C'!$Z:$Z,'0925 4度C'!$A:$A,"新豐1線",'0925 4度C'!$B:$B,"平均")</f>
        <v>0</v>
      </c>
      <c r="J19" s="82">
        <f>SUMIFS('0925 4度C'!$Z:$Z,'0925 4度C'!$A:$A,"新豐10線",'0925 4度C'!$B:$B,"平均")</f>
        <v>0</v>
      </c>
      <c r="K19" s="83">
        <f>SUMIFS('0925 4度C'!$Z:$Z,'0925 4度C'!$A:$A,"新豐8線",'0925 4度C'!$B:$B,"平均")</f>
        <v>0</v>
      </c>
      <c r="L19" s="81">
        <f>SUMIFS('0925 4度C'!$Z:$Z,'0925 4度C'!$A:$A,"新豐9線",'0925 4度C'!$B:$B,"平均")</f>
        <v>0</v>
      </c>
      <c r="M19" s="82">
        <f>SUMIFS('0925 4度C'!$Z:$Z,'0925 4度C'!$A:$A,"新豐4線",'0925 4度C'!$B:$B,"平均")</f>
        <v>0</v>
      </c>
    </row>
    <row r="20" spans="2:13" ht="17.25" customHeight="1">
      <c r="B20" s="546" t="s">
        <v>2354</v>
      </c>
      <c r="C20" s="79" t="s">
        <v>2355</v>
      </c>
      <c r="D20" s="80">
        <f>SUMIFS('0925 4度C'!$AC:$AC,'0925 4度C'!$A:$A,"新豐6線",'0925 4度C'!$B:$B,"平均")</f>
        <v>3</v>
      </c>
      <c r="E20" s="81">
        <f>SUMIFS('0925 4度C'!$AC:$AC,'0925 4度C'!$A:$A,"新豐2線",'0925 4度C'!$B:$B,"平均")</f>
        <v>2</v>
      </c>
      <c r="F20" s="81">
        <f>SUMIFS('0925 4度C'!$AC:$AC,'0925 4度C'!$A:$A,"新豐5線",'0925 4度C'!$B:$B,"平均")</f>
        <v>6</v>
      </c>
      <c r="G20" s="81">
        <f>SUMIFS('0925 4度C'!$AC:$AC,'0925 4度C'!$A:$A,"新豐7線",'0925 4度C'!$B:$B,"平均")</f>
        <v>6</v>
      </c>
      <c r="H20" s="81">
        <f>SUMIFS('0925 4度C'!$AC:$AC,'0925 4度C'!$A:$A,"新豐3線",'0925 4度C'!$B:$B,"平均")</f>
        <v>3</v>
      </c>
      <c r="I20" s="81">
        <f>SUMIFS('0925 4度C'!$AC:$AC,'0925 4度C'!$A:$A,"新豐1線",'0925 4度C'!$B:$B,"平均")</f>
        <v>8</v>
      </c>
      <c r="J20" s="82">
        <f>SUMIFS('0925 4度C'!$AC:$AC,'0925 4度C'!$A:$A,"新豐10線",'0925 4度C'!$B:$B,"平均")</f>
        <v>5</v>
      </c>
      <c r="K20" s="83">
        <f>SUMIFS('0925 4度C'!$AC:$AC,'0925 4度C'!$A:$A,"新豐8線",'0925 4度C'!$B:$B,"平均")</f>
        <v>5</v>
      </c>
      <c r="L20" s="81">
        <f>SUMIFS('0925 4度C'!$AC:$AC,'0925 4度C'!$A:$A,"新豐9線",'0925 4度C'!$B:$B,"平均")</f>
        <v>5</v>
      </c>
      <c r="M20" s="82">
        <f>SUMIFS('0925 4度C'!$AC:$AC,'0925 4度C'!$A:$A,"新豐4線",'0925 4度C'!$B:$B,"平均")</f>
        <v>7</v>
      </c>
    </row>
    <row r="21" spans="2:13" ht="17.25" customHeight="1">
      <c r="B21" s="547"/>
      <c r="C21" s="79" t="s">
        <v>2356</v>
      </c>
      <c r="D21" s="80">
        <f>SUMIFS('0925 4度C'!$AD:$AD,'0925 4度C'!$A:$A,"新豐6線",'0925 4度C'!$B:$B,"平均")</f>
        <v>0</v>
      </c>
      <c r="E21" s="81">
        <f>SUMIFS('0925 4度C'!$AD:$AD,'0925 4度C'!$A:$A,"新豐2線",'0925 4度C'!$B:$B,"平均")</f>
        <v>0</v>
      </c>
      <c r="F21" s="81">
        <f>SUMIFS('0925 4度C'!$AD:$AD,'0925 4度C'!$A:$A,"新豐5線",'0925 4度C'!$B:$B,"平均")</f>
        <v>0</v>
      </c>
      <c r="G21" s="81">
        <f>SUMIFS('0925 4度C'!$AD:$AD,'0925 4度C'!$A:$A,"新豐7線",'0925 4度C'!$B:$B,"平均")</f>
        <v>0</v>
      </c>
      <c r="H21" s="81">
        <f>SUMIFS('0925 4度C'!$AD:$AD,'0925 4度C'!$A:$A,"新豐3線",'0925 4度C'!$B:$B,"平均")</f>
        <v>0</v>
      </c>
      <c r="I21" s="81">
        <f>SUMIFS('0925 4度C'!$AD:$AD,'0925 4度C'!$A:$A,"新豐1線",'0925 4度C'!$B:$B,"平均")</f>
        <v>0</v>
      </c>
      <c r="J21" s="82">
        <f>SUMIFS('0925 4度C'!$AD:$AD,'0925 4度C'!$A:$A,"新豐10線",'0925 4度C'!$B:$B,"平均")</f>
        <v>0</v>
      </c>
      <c r="K21" s="83">
        <f>SUMIFS('0925 4度C'!$AD:$AD,'0925 4度C'!$A:$A,"新豐8線",'0925 4度C'!$B:$B,"平均")</f>
        <v>0</v>
      </c>
      <c r="L21" s="81">
        <f>SUMIFS('0925 4度C'!$AD:$AD,'0925 4度C'!$A:$A,"新豐9線",'0925 4度C'!$B:$B,"平均")</f>
        <v>0</v>
      </c>
      <c r="M21" s="82">
        <f>SUMIFS('0925 4度C'!$AD:$AD,'0925 4度C'!$A:$A,"新豐4線",'0925 4度C'!$B:$B,"平均")</f>
        <v>0</v>
      </c>
    </row>
    <row r="22" spans="2:13" ht="17.25" customHeight="1">
      <c r="B22" s="548" t="s">
        <v>2357</v>
      </c>
      <c r="C22" s="549"/>
      <c r="D22" s="84">
        <f>SUMIFS('0925 4度C'!$I:$I,'0925 4度C'!$A:$A,"新豐6線",'0925 4度C'!$B:$B,"平均")</f>
        <v>15.333333333333334</v>
      </c>
      <c r="E22" s="85">
        <f>SUMIFS('0925 4度C'!$I:$I,'0925 4度C'!$A:$A,"新豐2線",'0925 4度C'!$B:$B,"平均")</f>
        <v>18</v>
      </c>
      <c r="F22" s="85">
        <f>SUMIFS('0925 4度C'!$I:$I,'0925 4度C'!$A:$A,"新豐5線",'0925 4度C'!$B:$B,"平均")</f>
        <v>16.666666666666668</v>
      </c>
      <c r="G22" s="85">
        <f>SUMIFS('0925 4度C'!$I:$I,'0925 4度C'!$A:$A,"新豐7線",'0925 4度C'!$B:$B,"平均")</f>
        <v>15.833333333333334</v>
      </c>
      <c r="H22" s="85">
        <f>SUMIFS('0925 4度C'!$I:$I,'0925 4度C'!$A:$A,"新豐3線",'0925 4度C'!$B:$B,"平均")</f>
        <v>11</v>
      </c>
      <c r="I22" s="85">
        <f>SUMIFS('0925 4度C'!$I:$I,'0925 4度C'!$A:$A,"新豐1線",'0925 4度C'!$B:$B,"平均")</f>
        <v>18.25</v>
      </c>
      <c r="J22" s="86">
        <f>SUMIFS('0925 4度C'!$I:$I,'0925 4度C'!$A:$A,"新豐10線",'0925 4度C'!$B:$B,"平均")</f>
        <v>10.199999999999999</v>
      </c>
      <c r="K22" s="84">
        <f>SUMIFS('0925 4度C'!$I:$I,'0925 4度C'!$A:$A,"新豐8線",'0925 4度C'!$B:$B,"平均")</f>
        <v>16.399999999999999</v>
      </c>
      <c r="L22" s="85">
        <f>SUMIFS('0925 4度C'!$I:$I,'0925 4度C'!$A:$A,"新豐9線",'0925 4度C'!$B:$B,"平均")</f>
        <v>17</v>
      </c>
      <c r="M22" s="86">
        <f>SUMIFS('0925 4度C'!$I:$I,'0925 4度C'!$A:$A,"新豐4線",'0925 4度C'!$B:$B,"平均")</f>
        <v>16.857142857142858</v>
      </c>
    </row>
    <row r="23" spans="2:13" ht="17.25" customHeight="1">
      <c r="B23" s="548" t="s">
        <v>2358</v>
      </c>
      <c r="C23" s="549"/>
      <c r="D23" s="87" t="s">
        <v>69</v>
      </c>
      <c r="E23" s="88" t="s">
        <v>70</v>
      </c>
      <c r="F23" s="88" t="s">
        <v>123</v>
      </c>
      <c r="G23" s="88" t="s">
        <v>2359</v>
      </c>
      <c r="H23" s="88" t="s">
        <v>71</v>
      </c>
      <c r="I23" s="88" t="s">
        <v>69</v>
      </c>
      <c r="J23" s="89" t="s">
        <v>71</v>
      </c>
      <c r="K23" s="87" t="s">
        <v>2360</v>
      </c>
      <c r="L23" s="88" t="s">
        <v>2360</v>
      </c>
      <c r="M23" s="89" t="s">
        <v>2360</v>
      </c>
    </row>
    <row r="24" spans="2:13" ht="17.25" customHeight="1">
      <c r="B24" s="548" t="s">
        <v>2361</v>
      </c>
      <c r="C24" s="549"/>
      <c r="D24" s="87"/>
      <c r="E24" s="88"/>
      <c r="F24" s="88" t="s">
        <v>2362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2363</v>
      </c>
      <c r="C25" s="551"/>
      <c r="D25" s="90"/>
      <c r="E25" s="91" t="s">
        <v>2364</v>
      </c>
      <c r="F25" s="544" t="s">
        <v>2365</v>
      </c>
      <c r="G25" s="545"/>
      <c r="H25" s="91" t="s">
        <v>2366</v>
      </c>
      <c r="I25" s="91" t="s">
        <v>2367</v>
      </c>
      <c r="J25" s="92" t="s">
        <v>2368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00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5"/>
  <sheetViews>
    <sheetView zoomScale="80" zoomScaleNormal="80" workbookViewId="0">
      <pane ySplit="4" topLeftCell="A5" activePane="bottomLeft" state="frozen"/>
      <selection activeCell="M45" sqref="M45"/>
      <selection pane="bottomLeft" activeCell="G13" sqref="G13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2369</v>
      </c>
      <c r="B1" s="1"/>
      <c r="C1" s="2" t="s">
        <v>2370</v>
      </c>
      <c r="D1" s="3">
        <f>SUM(F5:F64)</f>
        <v>117707</v>
      </c>
      <c r="E1" s="486" t="s">
        <v>2371</v>
      </c>
      <c r="F1" s="1">
        <f>SUM(G5:G64)</f>
        <v>3981501.97</v>
      </c>
      <c r="G1" s="1" t="s">
        <v>2372</v>
      </c>
      <c r="H1" s="4">
        <f>L8+L11+L41+L50+L18+L56+L31+L37+L25+L64</f>
        <v>155.5404761904762</v>
      </c>
      <c r="I1" s="660" t="s">
        <v>2373</v>
      </c>
      <c r="J1" s="660"/>
      <c r="K1" s="660"/>
      <c r="L1" s="660" t="s">
        <v>2374</v>
      </c>
      <c r="M1" s="660"/>
      <c r="N1" s="660"/>
      <c r="O1" s="660" t="s">
        <v>2375</v>
      </c>
      <c r="P1" s="660"/>
      <c r="Q1" s="660"/>
      <c r="R1" s="660"/>
      <c r="S1" s="660" t="s">
        <v>2376</v>
      </c>
      <c r="T1" s="660"/>
      <c r="U1" s="660"/>
      <c r="V1" s="660"/>
      <c r="W1" s="660"/>
      <c r="X1" s="660"/>
      <c r="Y1" s="5" t="s">
        <v>2377</v>
      </c>
      <c r="Z1" s="6" t="s">
        <v>2378</v>
      </c>
      <c r="AA1" s="661" t="s">
        <v>2379</v>
      </c>
      <c r="AB1" s="661"/>
      <c r="AC1" s="171" t="s">
        <v>2377</v>
      </c>
      <c r="AD1" s="6" t="s">
        <v>2380</v>
      </c>
      <c r="AE1" s="660" t="s">
        <v>2381</v>
      </c>
      <c r="AF1" s="662"/>
      <c r="AG1" s="662"/>
    </row>
    <row r="2" spans="1:33" ht="26.25" customHeight="1">
      <c r="A2" s="27">
        <v>46290</v>
      </c>
      <c r="B2" s="28" t="s">
        <v>474</v>
      </c>
      <c r="C2" s="2" t="s">
        <v>2344</v>
      </c>
      <c r="D2" s="9">
        <f>AVERAGE(N8,N11,N41,N50,N18,N56,N25,N31,N37,N64)</f>
        <v>145.09617184693994</v>
      </c>
      <c r="E2" s="10" t="s">
        <v>0</v>
      </c>
      <c r="F2" s="11">
        <f>F1/D1</f>
        <v>33.825532636121899</v>
      </c>
      <c r="G2" s="1" t="s">
        <v>2382</v>
      </c>
      <c r="H2" s="494">
        <f>COUNT(H5:H64)</f>
        <v>0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SUM(Y8+Y11+Y18+Y25+Y31+Y37+Y41+Y50+Y56+Y64)</f>
        <v>0</v>
      </c>
      <c r="Z2" s="12">
        <f>SUM(Z8+Z11+Z18+Z25+Z31+Z37+Z41+Z50+Z56+Z64)</f>
        <v>0</v>
      </c>
      <c r="AA2" s="661"/>
      <c r="AB2" s="661"/>
      <c r="AC2" s="172">
        <v>50</v>
      </c>
      <c r="AD2" s="12">
        <f>SUM(AD8+AD11+AD18+AD25+AD31+AD37+AD41+AD50+AD56+AD64)</f>
        <v>0</v>
      </c>
      <c r="AE2" s="662"/>
      <c r="AF2" s="662"/>
      <c r="AG2" s="662"/>
    </row>
    <row r="3" spans="1:33" ht="40.5" customHeight="1">
      <c r="A3" s="610" t="s">
        <v>2383</v>
      </c>
      <c r="B3" s="610" t="s">
        <v>2384</v>
      </c>
      <c r="C3" s="610" t="s">
        <v>2385</v>
      </c>
      <c r="D3" s="610"/>
      <c r="E3" s="658" t="s">
        <v>2386</v>
      </c>
      <c r="F3" s="610" t="s">
        <v>2387</v>
      </c>
      <c r="G3" s="658" t="s">
        <v>2388</v>
      </c>
      <c r="H3" s="651" t="s">
        <v>2389</v>
      </c>
      <c r="I3" s="649" t="s">
        <v>2390</v>
      </c>
      <c r="J3" s="646" t="s">
        <v>2391</v>
      </c>
      <c r="K3" s="656" t="s">
        <v>2344</v>
      </c>
      <c r="L3" s="649" t="s">
        <v>2392</v>
      </c>
      <c r="M3" s="646" t="s">
        <v>2391</v>
      </c>
      <c r="N3" s="656" t="s">
        <v>2344</v>
      </c>
      <c r="O3" s="649" t="s">
        <v>2390</v>
      </c>
      <c r="P3" s="656" t="s">
        <v>2344</v>
      </c>
      <c r="Q3" s="647" t="s">
        <v>2393</v>
      </c>
      <c r="R3" s="623" t="s">
        <v>2394</v>
      </c>
      <c r="S3" s="657" t="s">
        <v>1</v>
      </c>
      <c r="T3" s="657"/>
      <c r="U3" s="651" t="s">
        <v>2</v>
      </c>
      <c r="V3" s="651" t="s">
        <v>2395</v>
      </c>
      <c r="W3" s="610" t="s">
        <v>2396</v>
      </c>
      <c r="X3" s="610"/>
      <c r="Y3" s="652" t="s">
        <v>2397</v>
      </c>
      <c r="Z3" s="609"/>
      <c r="AA3" s="653" t="s">
        <v>2398</v>
      </c>
      <c r="AB3" s="654"/>
      <c r="AC3" s="652" t="s">
        <v>2399</v>
      </c>
      <c r="AD3" s="609"/>
      <c r="AE3" s="646" t="s">
        <v>2400</v>
      </c>
      <c r="AF3" s="647" t="s">
        <v>2401</v>
      </c>
      <c r="AG3" s="623" t="s">
        <v>2394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493" t="s">
        <v>3</v>
      </c>
      <c r="T4" s="493" t="s">
        <v>4</v>
      </c>
      <c r="U4" s="651"/>
      <c r="V4" s="651"/>
      <c r="W4" s="486" t="s">
        <v>2402</v>
      </c>
      <c r="X4" s="486" t="s">
        <v>2403</v>
      </c>
      <c r="Y4" s="485" t="s">
        <v>2404</v>
      </c>
      <c r="Z4" s="485" t="s">
        <v>2405</v>
      </c>
      <c r="AA4" s="655"/>
      <c r="AB4" s="654"/>
      <c r="AC4" s="485" t="s">
        <v>2406</v>
      </c>
      <c r="AD4" s="485" t="s">
        <v>2407</v>
      </c>
      <c r="AE4" s="646"/>
      <c r="AF4" s="647"/>
      <c r="AG4" s="623"/>
    </row>
    <row r="5" spans="1:33">
      <c r="A5" s="648" t="s">
        <v>2408</v>
      </c>
      <c r="B5" s="33" t="s">
        <v>6</v>
      </c>
      <c r="C5" s="650" t="s">
        <v>7</v>
      </c>
      <c r="D5" s="650"/>
      <c r="E5" s="33">
        <v>50.92</v>
      </c>
      <c r="F5" s="493">
        <v>1530</v>
      </c>
      <c r="G5" s="486">
        <f t="shared" ref="G5:G7" si="0">E5*F5</f>
        <v>77907.600000000006</v>
      </c>
      <c r="H5" s="495" t="s">
        <v>5</v>
      </c>
      <c r="I5" s="491">
        <v>15</v>
      </c>
      <c r="J5" s="30">
        <v>2000</v>
      </c>
      <c r="K5" s="13">
        <f t="shared" ref="K5:K64" si="1">J5/I5</f>
        <v>133.33333333333334</v>
      </c>
      <c r="L5" s="491">
        <v>15</v>
      </c>
      <c r="M5" s="14">
        <f t="shared" ref="M5:M7" si="2">F5/V5*60</f>
        <v>1912.5000000000007</v>
      </c>
      <c r="N5" s="13">
        <f t="shared" ref="N5:N64" si="3">M5/L5</f>
        <v>127.50000000000004</v>
      </c>
      <c r="O5" s="15">
        <f t="shared" ref="O5:O64" si="4">L5-I5</f>
        <v>0</v>
      </c>
      <c r="P5" s="16">
        <f t="shared" ref="P5:P64" si="5">N5-K5</f>
        <v>-5.8333333333333002</v>
      </c>
      <c r="Q5" s="487">
        <f t="shared" ref="Q5:Q64" si="6">N5/K5</f>
        <v>0.95625000000000027</v>
      </c>
      <c r="R5" s="619">
        <f>Q8</f>
        <v>0.96835113960113883</v>
      </c>
      <c r="S5" s="31">
        <v>0.70833333333333337</v>
      </c>
      <c r="T5" s="31">
        <v>0.7416666666666667</v>
      </c>
      <c r="U5" s="486"/>
      <c r="V5" s="492">
        <f t="shared" ref="V5:V7" si="7">(T5-S5)*24*60</f>
        <v>47.999999999999986</v>
      </c>
      <c r="W5" s="17"/>
      <c r="X5" s="17"/>
      <c r="Y5" s="18"/>
      <c r="Z5" s="18"/>
      <c r="AA5" s="610"/>
      <c r="AB5" s="610"/>
      <c r="AC5" s="155">
        <v>3</v>
      </c>
      <c r="AD5" s="19"/>
      <c r="AE5" s="15">
        <f t="shared" ref="AE5:AE49" si="8">M5-J5</f>
        <v>-87.499999999999318</v>
      </c>
      <c r="AF5" s="487">
        <f t="shared" ref="AF5:AF64" si="9">M5/J5</f>
        <v>0.95625000000000038</v>
      </c>
      <c r="AG5" s="619">
        <f>AF8</f>
        <v>0.96835113960113894</v>
      </c>
    </row>
    <row r="6" spans="1:33">
      <c r="A6" s="649" t="s">
        <v>2409</v>
      </c>
      <c r="B6" s="33" t="s">
        <v>6</v>
      </c>
      <c r="C6" s="650" t="s">
        <v>8</v>
      </c>
      <c r="D6" s="650"/>
      <c r="E6" s="33">
        <v>50.98</v>
      </c>
      <c r="F6" s="493">
        <v>1730</v>
      </c>
      <c r="G6" s="486">
        <f t="shared" si="0"/>
        <v>88195.4</v>
      </c>
      <c r="H6" s="495" t="s">
        <v>5</v>
      </c>
      <c r="I6" s="491">
        <v>16</v>
      </c>
      <c r="J6" s="30">
        <v>2000</v>
      </c>
      <c r="K6" s="13">
        <f t="shared" si="1"/>
        <v>125</v>
      </c>
      <c r="L6" s="491">
        <v>16</v>
      </c>
      <c r="M6" s="14">
        <f t="shared" si="2"/>
        <v>1922.2222222222231</v>
      </c>
      <c r="N6" s="13">
        <f t="shared" si="3"/>
        <v>120.13888888888894</v>
      </c>
      <c r="O6" s="15">
        <f t="shared" si="4"/>
        <v>0</v>
      </c>
      <c r="P6" s="16">
        <f t="shared" si="5"/>
        <v>-4.8611111111110574</v>
      </c>
      <c r="Q6" s="487">
        <f t="shared" si="6"/>
        <v>0.96111111111111158</v>
      </c>
      <c r="R6" s="619"/>
      <c r="S6" s="31">
        <v>0.74513888888888891</v>
      </c>
      <c r="T6" s="31">
        <v>0.78263888888888888</v>
      </c>
      <c r="U6" s="486">
        <f t="shared" ref="U6:U7" si="10">IF(S6=TIME(17,0,0),"",(S6-T5)*24*60)</f>
        <v>4.9999999999999822</v>
      </c>
      <c r="V6" s="492">
        <f t="shared" si="7"/>
        <v>53.999999999999972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-77.777777777776919</v>
      </c>
      <c r="AF6" s="487">
        <f t="shared" si="9"/>
        <v>0.96111111111111158</v>
      </c>
      <c r="AG6" s="619"/>
    </row>
    <row r="7" spans="1:33">
      <c r="A7" s="649" t="s">
        <v>177</v>
      </c>
      <c r="B7" s="33" t="s">
        <v>6</v>
      </c>
      <c r="C7" s="641" t="s">
        <v>9</v>
      </c>
      <c r="D7" s="642"/>
      <c r="E7" s="33">
        <v>50.67</v>
      </c>
      <c r="F7" s="493">
        <v>856</v>
      </c>
      <c r="G7" s="486">
        <f t="shared" si="0"/>
        <v>43373.520000000004</v>
      </c>
      <c r="H7" s="495" t="s">
        <v>5</v>
      </c>
      <c r="I7" s="491">
        <v>15</v>
      </c>
      <c r="J7" s="30">
        <v>2000</v>
      </c>
      <c r="K7" s="13">
        <f t="shared" si="1"/>
        <v>133.33333333333334</v>
      </c>
      <c r="L7" s="491">
        <v>15</v>
      </c>
      <c r="M7" s="14">
        <f t="shared" si="2"/>
        <v>1975.38461538461</v>
      </c>
      <c r="N7" s="13">
        <f t="shared" si="3"/>
        <v>131.69230769230734</v>
      </c>
      <c r="O7" s="15">
        <f t="shared" si="4"/>
        <v>0</v>
      </c>
      <c r="P7" s="16">
        <f t="shared" si="5"/>
        <v>-1.6410256410260047</v>
      </c>
      <c r="Q7" s="487">
        <f t="shared" si="6"/>
        <v>0.98769230769230498</v>
      </c>
      <c r="R7" s="619"/>
      <c r="S7" s="31">
        <v>0.78749999999999998</v>
      </c>
      <c r="T7" s="31">
        <v>0.80555555555555558</v>
      </c>
      <c r="U7" s="486">
        <f t="shared" si="10"/>
        <v>6.9999999999999751</v>
      </c>
      <c r="V7" s="492">
        <f t="shared" si="7"/>
        <v>26.000000000000068</v>
      </c>
      <c r="W7" s="17"/>
      <c r="X7" s="17"/>
      <c r="Y7" s="20"/>
      <c r="Z7" s="20"/>
      <c r="AA7" s="614"/>
      <c r="AB7" s="615"/>
      <c r="AC7" s="155"/>
      <c r="AD7" s="21"/>
      <c r="AE7" s="15">
        <f t="shared" si="8"/>
        <v>-24.615384615389985</v>
      </c>
      <c r="AF7" s="487">
        <f t="shared" si="9"/>
        <v>0.98769230769230498</v>
      </c>
      <c r="AG7" s="619"/>
    </row>
    <row r="8" spans="1:33">
      <c r="A8" s="649" t="s">
        <v>2410</v>
      </c>
      <c r="B8" s="33" t="s">
        <v>2411</v>
      </c>
      <c r="C8" s="620"/>
      <c r="D8" s="620"/>
      <c r="E8" s="488"/>
      <c r="F8" s="34"/>
      <c r="G8" s="13"/>
      <c r="H8" s="493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1936.7022792022779</v>
      </c>
      <c r="N8" s="13">
        <f t="shared" si="3"/>
        <v>126.30667038275725</v>
      </c>
      <c r="O8" s="15">
        <f t="shared" si="4"/>
        <v>0</v>
      </c>
      <c r="P8" s="16">
        <f t="shared" si="5"/>
        <v>-4.1281122259384091</v>
      </c>
      <c r="Q8" s="487">
        <f t="shared" si="6"/>
        <v>0.96835113960113883</v>
      </c>
      <c r="R8" s="619"/>
      <c r="S8" s="31"/>
      <c r="T8" s="31"/>
      <c r="U8" s="486"/>
      <c r="V8" s="492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-63.29772079772215</v>
      </c>
      <c r="AF8" s="487">
        <f t="shared" si="9"/>
        <v>0.96835113960113894</v>
      </c>
      <c r="AG8" s="619"/>
    </row>
    <row r="9" spans="1:33" ht="15.75" customHeight="1">
      <c r="A9" s="645" t="s">
        <v>2412</v>
      </c>
      <c r="B9" s="33" t="s">
        <v>10</v>
      </c>
      <c r="C9" s="641" t="s">
        <v>14</v>
      </c>
      <c r="D9" s="642"/>
      <c r="E9" s="33">
        <v>39.619999999999997</v>
      </c>
      <c r="F9" s="493">
        <v>3326</v>
      </c>
      <c r="G9" s="486">
        <f t="shared" ref="G9:G10" si="11">E9*F9</f>
        <v>131776.12</v>
      </c>
      <c r="H9" s="495" t="s">
        <v>5</v>
      </c>
      <c r="I9" s="491">
        <v>19</v>
      </c>
      <c r="J9" s="30">
        <v>1500</v>
      </c>
      <c r="K9" s="13">
        <f t="shared" si="1"/>
        <v>78.94736842105263</v>
      </c>
      <c r="L9" s="491">
        <v>19</v>
      </c>
      <c r="M9" s="14">
        <f t="shared" ref="M9:M10" si="12">F9/V9*60</f>
        <v>1435.68345323741</v>
      </c>
      <c r="N9" s="13">
        <f t="shared" si="3"/>
        <v>75.562287012495261</v>
      </c>
      <c r="O9" s="15">
        <f t="shared" si="4"/>
        <v>0</v>
      </c>
      <c r="P9" s="16">
        <f t="shared" si="5"/>
        <v>-3.3850814085573688</v>
      </c>
      <c r="Q9" s="487">
        <f t="shared" si="6"/>
        <v>0.95712230215827332</v>
      </c>
      <c r="R9" s="619">
        <f>Q11</f>
        <v>0.95664195915994477</v>
      </c>
      <c r="S9" s="31">
        <v>8.3333333333333329E-2</v>
      </c>
      <c r="T9" s="31">
        <v>0.17986111111111111</v>
      </c>
      <c r="U9" s="486"/>
      <c r="V9" s="492">
        <f t="shared" ref="V9:V10" si="13">(T9-S9)*24*60</f>
        <v>139</v>
      </c>
      <c r="W9" s="17">
        <f>T9</f>
        <v>0.17986111111111111</v>
      </c>
      <c r="X9" s="17">
        <f>S10</f>
        <v>0.19861111111111113</v>
      </c>
      <c r="Y9" s="17"/>
      <c r="Z9" s="17"/>
      <c r="AA9" s="610"/>
      <c r="AB9" s="610"/>
      <c r="AC9" s="155">
        <v>2</v>
      </c>
      <c r="AD9" s="19"/>
      <c r="AE9" s="15">
        <f t="shared" si="8"/>
        <v>-64.316546762589951</v>
      </c>
      <c r="AF9" s="487">
        <f t="shared" si="9"/>
        <v>0.95712230215827332</v>
      </c>
      <c r="AG9" s="619">
        <f>AF11</f>
        <v>0.95664195915994465</v>
      </c>
    </row>
    <row r="10" spans="1:33" ht="15.75" customHeight="1">
      <c r="A10" s="645" t="s">
        <v>2413</v>
      </c>
      <c r="B10" s="33" t="s">
        <v>10</v>
      </c>
      <c r="C10" s="641" t="s">
        <v>11</v>
      </c>
      <c r="D10" s="642"/>
      <c r="E10" s="33">
        <v>39.799999999999997</v>
      </c>
      <c r="F10" s="493">
        <v>4733</v>
      </c>
      <c r="G10" s="486">
        <f t="shared" si="11"/>
        <v>188373.4</v>
      </c>
      <c r="H10" s="495" t="s">
        <v>5</v>
      </c>
      <c r="I10" s="491">
        <v>17</v>
      </c>
      <c r="J10" s="30">
        <v>1500</v>
      </c>
      <c r="K10" s="13">
        <f t="shared" si="1"/>
        <v>88.235294117647058</v>
      </c>
      <c r="L10" s="491">
        <v>17</v>
      </c>
      <c r="M10" s="14">
        <f t="shared" si="12"/>
        <v>1434.242424242424</v>
      </c>
      <c r="N10" s="13">
        <f t="shared" si="3"/>
        <v>84.367201426024948</v>
      </c>
      <c r="O10" s="15">
        <f t="shared" si="4"/>
        <v>0</v>
      </c>
      <c r="P10" s="16">
        <f t="shared" si="5"/>
        <v>-3.8680926916221097</v>
      </c>
      <c r="Q10" s="487">
        <f t="shared" si="6"/>
        <v>0.9561616161616161</v>
      </c>
      <c r="R10" s="619"/>
      <c r="S10" s="31">
        <v>0.19861111111111113</v>
      </c>
      <c r="T10" s="31">
        <v>0.33611111111111114</v>
      </c>
      <c r="U10" s="486">
        <f t="shared" ref="U10" si="14">IF(S10=TIME(17,0,0),"",(S10-T9)*24*60)</f>
        <v>27.000000000000025</v>
      </c>
      <c r="V10" s="492">
        <f t="shared" si="13"/>
        <v>198.00000000000003</v>
      </c>
      <c r="W10" s="17"/>
      <c r="X10" s="17"/>
      <c r="Y10" s="17"/>
      <c r="Z10" s="17"/>
      <c r="AA10" s="610"/>
      <c r="AB10" s="610"/>
      <c r="AC10" s="155"/>
      <c r="AD10" s="19"/>
      <c r="AE10" s="15">
        <f t="shared" si="8"/>
        <v>-65.757575757575978</v>
      </c>
      <c r="AF10" s="487">
        <f t="shared" si="9"/>
        <v>0.95616161616161599</v>
      </c>
      <c r="AG10" s="619"/>
    </row>
    <row r="11" spans="1:33" ht="16.5" customHeight="1">
      <c r="A11" s="645" t="s">
        <v>2414</v>
      </c>
      <c r="B11" s="33" t="s">
        <v>2411</v>
      </c>
      <c r="C11" s="620"/>
      <c r="D11" s="620"/>
      <c r="E11" s="488"/>
      <c r="F11" s="30"/>
      <c r="G11" s="14"/>
      <c r="H11" s="493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1434.962938739917</v>
      </c>
      <c r="N11" s="13">
        <f t="shared" si="3"/>
        <v>79.720163263328729</v>
      </c>
      <c r="O11" s="15">
        <f t="shared" si="4"/>
        <v>0</v>
      </c>
      <c r="P11" s="16">
        <f t="shared" si="5"/>
        <v>-3.6131700700045997</v>
      </c>
      <c r="Q11" s="487">
        <f t="shared" si="6"/>
        <v>0.95664195915994477</v>
      </c>
      <c r="R11" s="619"/>
      <c r="S11" s="31"/>
      <c r="T11" s="31"/>
      <c r="U11" s="13"/>
      <c r="V11" s="492"/>
      <c r="W11" s="13"/>
      <c r="X11" s="13"/>
      <c r="Y11" s="24">
        <f>SUM(Y9:Y10)</f>
        <v>0</v>
      </c>
      <c r="Z11" s="24">
        <f>SUM(Z9:Z10)</f>
        <v>0</v>
      </c>
      <c r="AA11" s="609"/>
      <c r="AB11" s="609"/>
      <c r="AC11" s="24">
        <v>2</v>
      </c>
      <c r="AD11" s="24">
        <f>SUM(AD9:AD10)</f>
        <v>0</v>
      </c>
      <c r="AE11" s="15">
        <f t="shared" si="8"/>
        <v>-65.037061260082965</v>
      </c>
      <c r="AF11" s="487">
        <f t="shared" si="9"/>
        <v>0.95664195915994465</v>
      </c>
      <c r="AG11" s="619"/>
    </row>
    <row r="12" spans="1:33" ht="16.5" customHeight="1">
      <c r="A12" s="643" t="s">
        <v>2415</v>
      </c>
      <c r="B12" s="493" t="s">
        <v>15</v>
      </c>
      <c r="C12" s="635" t="s">
        <v>16</v>
      </c>
      <c r="D12" s="635"/>
      <c r="E12" s="33">
        <v>31.11</v>
      </c>
      <c r="F12" s="493">
        <v>1886</v>
      </c>
      <c r="G12" s="486">
        <f t="shared" ref="G12:G17" si="15">E12*F12</f>
        <v>58673.46</v>
      </c>
      <c r="H12" s="495" t="s">
        <v>5</v>
      </c>
      <c r="I12" s="491">
        <v>14</v>
      </c>
      <c r="J12" s="30">
        <v>2000</v>
      </c>
      <c r="K12" s="13">
        <f t="shared" si="1"/>
        <v>142.85714285714286</v>
      </c>
      <c r="L12" s="491">
        <v>14</v>
      </c>
      <c r="M12" s="14">
        <f t="shared" ref="M12:M17" si="16">F12/V12*60</f>
        <v>1917.9661016949156</v>
      </c>
      <c r="N12" s="13">
        <f t="shared" si="3"/>
        <v>136.99757869249396</v>
      </c>
      <c r="O12" s="15">
        <f t="shared" si="4"/>
        <v>0</v>
      </c>
      <c r="P12" s="16">
        <f t="shared" si="5"/>
        <v>-5.8595641646489014</v>
      </c>
      <c r="Q12" s="487">
        <f t="shared" si="6"/>
        <v>0.95898305084745772</v>
      </c>
      <c r="R12" s="619">
        <f>Q18</f>
        <v>0.96516879211206108</v>
      </c>
      <c r="S12" s="31">
        <v>0.20833333333333334</v>
      </c>
      <c r="T12" s="31">
        <v>0.24930555555555556</v>
      </c>
      <c r="U12" s="486"/>
      <c r="V12" s="492">
        <f t="shared" ref="V12:V17" si="17">(T12-S12)*24*60</f>
        <v>58.999999999999993</v>
      </c>
      <c r="W12" s="17"/>
      <c r="X12" s="17"/>
      <c r="Y12" s="22"/>
      <c r="Z12" s="22"/>
      <c r="AA12" s="610"/>
      <c r="AB12" s="610"/>
      <c r="AC12" s="155">
        <v>6</v>
      </c>
      <c r="AD12" s="19"/>
      <c r="AE12" s="15">
        <f t="shared" si="8"/>
        <v>-82.033898305084449</v>
      </c>
      <c r="AF12" s="487">
        <f t="shared" si="9"/>
        <v>0.95898305084745783</v>
      </c>
      <c r="AG12" s="619">
        <f>AF18</f>
        <v>0.96516879211206097</v>
      </c>
    </row>
    <row r="13" spans="1:33" ht="16.5" customHeight="1">
      <c r="A13" s="644" t="s">
        <v>2416</v>
      </c>
      <c r="B13" s="493" t="s">
        <v>17</v>
      </c>
      <c r="C13" s="635" t="s">
        <v>18</v>
      </c>
      <c r="D13" s="635"/>
      <c r="E13" s="33">
        <v>41</v>
      </c>
      <c r="F13" s="493">
        <v>1230</v>
      </c>
      <c r="G13" s="486">
        <f t="shared" si="15"/>
        <v>50430</v>
      </c>
      <c r="H13" s="495" t="s">
        <v>5</v>
      </c>
      <c r="I13" s="491">
        <v>26</v>
      </c>
      <c r="J13" s="30">
        <v>1500</v>
      </c>
      <c r="K13" s="13">
        <f t="shared" si="1"/>
        <v>57.692307692307693</v>
      </c>
      <c r="L13" s="491">
        <v>26</v>
      </c>
      <c r="M13" s="14">
        <f t="shared" si="16"/>
        <v>1447.0588235294124</v>
      </c>
      <c r="N13" s="13">
        <f t="shared" si="3"/>
        <v>55.65610859728509</v>
      </c>
      <c r="O13" s="15">
        <f t="shared" si="4"/>
        <v>0</v>
      </c>
      <c r="P13" s="16">
        <f t="shared" si="5"/>
        <v>-2.036199095022603</v>
      </c>
      <c r="Q13" s="487">
        <f t="shared" si="6"/>
        <v>0.96470588235294152</v>
      </c>
      <c r="R13" s="619"/>
      <c r="S13" s="31">
        <v>0.25416666666666665</v>
      </c>
      <c r="T13" s="31">
        <v>0.2895833333333333</v>
      </c>
      <c r="U13" s="486">
        <f t="shared" ref="U13:U17" si="18">IF(S13=TIME(17,0,0),"",(S13-T12)*24*60)</f>
        <v>6.9999999999999751</v>
      </c>
      <c r="V13" s="492">
        <f t="shared" si="17"/>
        <v>50.999999999999979</v>
      </c>
      <c r="W13" s="17"/>
      <c r="X13" s="17"/>
      <c r="Y13" s="17"/>
      <c r="Z13" s="17"/>
      <c r="AA13" s="610"/>
      <c r="AB13" s="610"/>
      <c r="AC13" s="155"/>
      <c r="AD13" s="19"/>
      <c r="AE13" s="15">
        <f t="shared" si="8"/>
        <v>-52.941176470587607</v>
      </c>
      <c r="AF13" s="487">
        <f t="shared" si="9"/>
        <v>0.96470588235294163</v>
      </c>
      <c r="AG13" s="619"/>
    </row>
    <row r="14" spans="1:33" ht="16.5" customHeight="1">
      <c r="A14" s="644" t="s">
        <v>2415</v>
      </c>
      <c r="B14" s="493" t="s">
        <v>10</v>
      </c>
      <c r="C14" s="635" t="s">
        <v>12</v>
      </c>
      <c r="D14" s="635"/>
      <c r="E14" s="33">
        <v>39.46</v>
      </c>
      <c r="F14" s="493">
        <v>1595</v>
      </c>
      <c r="G14" s="486">
        <f t="shared" si="15"/>
        <v>62938.700000000004</v>
      </c>
      <c r="H14" s="495" t="s">
        <v>5</v>
      </c>
      <c r="I14" s="491">
        <v>15</v>
      </c>
      <c r="J14" s="30">
        <v>1500</v>
      </c>
      <c r="K14" s="13">
        <f t="shared" si="1"/>
        <v>100</v>
      </c>
      <c r="L14" s="491">
        <v>15</v>
      </c>
      <c r="M14" s="14">
        <f t="shared" si="16"/>
        <v>1450</v>
      </c>
      <c r="N14" s="13">
        <f t="shared" si="3"/>
        <v>96.666666666666671</v>
      </c>
      <c r="O14" s="15">
        <f t="shared" si="4"/>
        <v>0</v>
      </c>
      <c r="P14" s="16">
        <f t="shared" si="5"/>
        <v>-3.3333333333333286</v>
      </c>
      <c r="Q14" s="487">
        <f t="shared" si="6"/>
        <v>0.96666666666666667</v>
      </c>
      <c r="R14" s="619"/>
      <c r="S14" s="31">
        <v>0.2944444444444444</v>
      </c>
      <c r="T14" s="31">
        <v>0.34027777777777773</v>
      </c>
      <c r="U14" s="486">
        <f t="shared" si="18"/>
        <v>6.9999999999999751</v>
      </c>
      <c r="V14" s="492">
        <f t="shared" si="17"/>
        <v>66</v>
      </c>
      <c r="W14" s="17"/>
      <c r="X14" s="17"/>
      <c r="Y14" s="17"/>
      <c r="Z14" s="17"/>
      <c r="AA14" s="610"/>
      <c r="AB14" s="610"/>
      <c r="AC14" s="155"/>
      <c r="AD14" s="19"/>
      <c r="AE14" s="15">
        <f t="shared" si="8"/>
        <v>-50</v>
      </c>
      <c r="AF14" s="487">
        <f t="shared" si="9"/>
        <v>0.96666666666666667</v>
      </c>
      <c r="AG14" s="619"/>
    </row>
    <row r="15" spans="1:33" ht="16.5" customHeight="1">
      <c r="A15" s="644" t="s">
        <v>2417</v>
      </c>
      <c r="B15" s="493" t="s">
        <v>6</v>
      </c>
      <c r="C15" s="635" t="s">
        <v>45</v>
      </c>
      <c r="D15" s="635"/>
      <c r="E15" s="33">
        <v>51.06</v>
      </c>
      <c r="F15" s="493">
        <v>1948</v>
      </c>
      <c r="G15" s="486">
        <f t="shared" si="15"/>
        <v>99464.88</v>
      </c>
      <c r="H15" s="495" t="s">
        <v>5</v>
      </c>
      <c r="I15" s="491">
        <v>13</v>
      </c>
      <c r="J15" s="30">
        <v>2000</v>
      </c>
      <c r="K15" s="13">
        <f t="shared" si="1"/>
        <v>153.84615384615384</v>
      </c>
      <c r="L15" s="491">
        <v>13</v>
      </c>
      <c r="M15" s="14">
        <f t="shared" si="16"/>
        <v>1916.0655737704935</v>
      </c>
      <c r="N15" s="13">
        <f t="shared" si="3"/>
        <v>147.38965952080719</v>
      </c>
      <c r="O15" s="15">
        <f t="shared" si="4"/>
        <v>0</v>
      </c>
      <c r="P15" s="16">
        <f t="shared" si="5"/>
        <v>-6.4564943253466538</v>
      </c>
      <c r="Q15" s="487">
        <f t="shared" si="6"/>
        <v>0.95803278688524673</v>
      </c>
      <c r="R15" s="619"/>
      <c r="S15" s="31">
        <v>0.70833333333333337</v>
      </c>
      <c r="T15" s="31">
        <v>0.75069444444444444</v>
      </c>
      <c r="U15" s="486" t="str">
        <f t="shared" si="18"/>
        <v/>
      </c>
      <c r="V15" s="492">
        <f t="shared" si="17"/>
        <v>60.999999999999943</v>
      </c>
      <c r="W15" s="17"/>
      <c r="X15" s="17"/>
      <c r="Y15" s="17"/>
      <c r="Z15" s="17"/>
      <c r="AA15" s="610"/>
      <c r="AB15" s="610"/>
      <c r="AC15" s="155"/>
      <c r="AD15" s="19"/>
      <c r="AE15" s="15">
        <f t="shared" si="8"/>
        <v>-83.934426229506471</v>
      </c>
      <c r="AF15" s="487">
        <f t="shared" si="9"/>
        <v>0.95803278688524673</v>
      </c>
      <c r="AG15" s="619"/>
    </row>
    <row r="16" spans="1:33" ht="16.5" customHeight="1">
      <c r="A16" s="644" t="s">
        <v>2415</v>
      </c>
      <c r="B16" s="493" t="s">
        <v>6</v>
      </c>
      <c r="C16" s="635" t="s">
        <v>25</v>
      </c>
      <c r="D16" s="635"/>
      <c r="E16" s="33">
        <v>56.43</v>
      </c>
      <c r="F16" s="493">
        <v>782</v>
      </c>
      <c r="G16" s="486">
        <f t="shared" si="15"/>
        <v>44128.26</v>
      </c>
      <c r="H16" s="495" t="s">
        <v>5</v>
      </c>
      <c r="I16" s="491">
        <v>13</v>
      </c>
      <c r="J16" s="30">
        <v>2000</v>
      </c>
      <c r="K16" s="13">
        <f t="shared" si="1"/>
        <v>153.84615384615384</v>
      </c>
      <c r="L16" s="491">
        <v>13</v>
      </c>
      <c r="M16" s="14">
        <f t="shared" si="16"/>
        <v>1954.9999999999936</v>
      </c>
      <c r="N16" s="13">
        <f t="shared" si="3"/>
        <v>150.3846153846149</v>
      </c>
      <c r="O16" s="15">
        <f t="shared" si="4"/>
        <v>0</v>
      </c>
      <c r="P16" s="16">
        <f t="shared" si="5"/>
        <v>-3.461538461538936</v>
      </c>
      <c r="Q16" s="487">
        <f t="shared" si="6"/>
        <v>0.97749999999999693</v>
      </c>
      <c r="R16" s="619"/>
      <c r="S16" s="31">
        <v>0.75416666666666665</v>
      </c>
      <c r="T16" s="31">
        <v>0.77083333333333337</v>
      </c>
      <c r="U16" s="486">
        <f t="shared" si="18"/>
        <v>4.9999999999999822</v>
      </c>
      <c r="V16" s="492">
        <f t="shared" si="17"/>
        <v>24.000000000000075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-45.000000000006366</v>
      </c>
      <c r="AF16" s="487">
        <f t="shared" si="9"/>
        <v>0.97749999999999682</v>
      </c>
      <c r="AG16" s="619"/>
    </row>
    <row r="17" spans="1:33" ht="16.5" customHeight="1">
      <c r="A17" s="644" t="s">
        <v>2418</v>
      </c>
      <c r="B17" s="493" t="s">
        <v>6</v>
      </c>
      <c r="C17" s="489" t="s">
        <v>20</v>
      </c>
      <c r="D17" s="490"/>
      <c r="E17" s="33">
        <v>54.5</v>
      </c>
      <c r="F17" s="493">
        <v>531</v>
      </c>
      <c r="G17" s="486">
        <f t="shared" si="15"/>
        <v>28939.5</v>
      </c>
      <c r="H17" s="495" t="s">
        <v>5</v>
      </c>
      <c r="I17" s="491">
        <v>19</v>
      </c>
      <c r="J17" s="30">
        <v>1500</v>
      </c>
      <c r="K17" s="13">
        <f t="shared" si="1"/>
        <v>78.94736842105263</v>
      </c>
      <c r="L17" s="491">
        <v>19</v>
      </c>
      <c r="M17" s="14">
        <f t="shared" si="16"/>
        <v>1448.1818181818232</v>
      </c>
      <c r="N17" s="13">
        <f t="shared" si="3"/>
        <v>76.220095693780166</v>
      </c>
      <c r="O17" s="15">
        <f t="shared" si="4"/>
        <v>0</v>
      </c>
      <c r="P17" s="16">
        <f t="shared" si="5"/>
        <v>-2.7272727272724637</v>
      </c>
      <c r="Q17" s="487">
        <f t="shared" si="6"/>
        <v>0.96545454545454878</v>
      </c>
      <c r="R17" s="619"/>
      <c r="S17" s="31">
        <v>0.77569444444444446</v>
      </c>
      <c r="T17" s="31">
        <v>0.79097222222222219</v>
      </c>
      <c r="U17" s="486">
        <f t="shared" si="18"/>
        <v>6.9999999999999751</v>
      </c>
      <c r="V17" s="492">
        <f t="shared" si="17"/>
        <v>21.999999999999922</v>
      </c>
      <c r="W17" s="17"/>
      <c r="X17" s="17"/>
      <c r="Y17" s="20"/>
      <c r="Z17" s="20"/>
      <c r="AA17" s="482"/>
      <c r="AB17" s="483"/>
      <c r="AC17" s="155"/>
      <c r="AD17" s="19"/>
      <c r="AE17" s="15">
        <f t="shared" si="8"/>
        <v>-51.818181818176754</v>
      </c>
      <c r="AF17" s="487">
        <f t="shared" si="9"/>
        <v>0.96545454545454878</v>
      </c>
      <c r="AG17" s="619"/>
    </row>
    <row r="18" spans="1:33" ht="16.5" customHeight="1">
      <c r="A18" s="644" t="s">
        <v>2418</v>
      </c>
      <c r="B18" s="33" t="s">
        <v>180</v>
      </c>
      <c r="C18" s="620"/>
      <c r="D18" s="620"/>
      <c r="E18" s="488"/>
      <c r="F18" s="34"/>
      <c r="G18" s="13"/>
      <c r="H18" s="493"/>
      <c r="I18" s="23">
        <v>16.666666666666668</v>
      </c>
      <c r="J18" s="30">
        <v>1750</v>
      </c>
      <c r="K18" s="13">
        <f t="shared" si="1"/>
        <v>104.99999999999999</v>
      </c>
      <c r="L18" s="23">
        <v>16.666666666666668</v>
      </c>
      <c r="M18" s="14">
        <f>AVERAGE(M12:M17)</f>
        <v>1689.0453861961066</v>
      </c>
      <c r="N18" s="13">
        <f t="shared" si="3"/>
        <v>101.34272317176639</v>
      </c>
      <c r="O18" s="15">
        <f t="shared" si="4"/>
        <v>0</v>
      </c>
      <c r="P18" s="16">
        <f t="shared" si="5"/>
        <v>-3.6572768282335915</v>
      </c>
      <c r="Q18" s="487">
        <f t="shared" si="6"/>
        <v>0.96516879211206108</v>
      </c>
      <c r="R18" s="619"/>
      <c r="S18" s="31"/>
      <c r="T18" s="31"/>
      <c r="U18" s="486"/>
      <c r="V18" s="492"/>
      <c r="W18" s="13"/>
      <c r="X18" s="13"/>
      <c r="Y18" s="24">
        <f>SUM(Y12:Y17)</f>
        <v>0</v>
      </c>
      <c r="Z18" s="24">
        <f>SUM(Z12:Z17)</f>
        <v>0</v>
      </c>
      <c r="AA18" s="609"/>
      <c r="AB18" s="609"/>
      <c r="AC18" s="24">
        <v>6</v>
      </c>
      <c r="AD18" s="24">
        <f>SUM(AD12:AD17)</f>
        <v>0</v>
      </c>
      <c r="AE18" s="15">
        <f t="shared" si="8"/>
        <v>-60.95461380389338</v>
      </c>
      <c r="AF18" s="487">
        <f t="shared" si="9"/>
        <v>0.96516879211206097</v>
      </c>
      <c r="AG18" s="619"/>
    </row>
    <row r="19" spans="1:33" ht="15.75" customHeight="1">
      <c r="A19" s="637" t="s">
        <v>189</v>
      </c>
      <c r="B19" s="33" t="s">
        <v>6</v>
      </c>
      <c r="C19" s="635" t="s">
        <v>22</v>
      </c>
      <c r="D19" s="635"/>
      <c r="E19" s="33">
        <v>50.67</v>
      </c>
      <c r="F19" s="493">
        <v>1175</v>
      </c>
      <c r="G19" s="486">
        <f t="shared" ref="G19:G24" si="19">E19*F19</f>
        <v>59537.25</v>
      </c>
      <c r="H19" s="495" t="s">
        <v>5</v>
      </c>
      <c r="I19" s="491">
        <v>17</v>
      </c>
      <c r="J19" s="30">
        <v>2000</v>
      </c>
      <c r="K19" s="13">
        <f t="shared" si="1"/>
        <v>117.64705882352941</v>
      </c>
      <c r="L19" s="491">
        <v>17</v>
      </c>
      <c r="M19" s="14">
        <f t="shared" ref="M19:M24" si="20">F19/V19*60</f>
        <v>1905.4054054054041</v>
      </c>
      <c r="N19" s="13">
        <f t="shared" si="3"/>
        <v>112.08267090620024</v>
      </c>
      <c r="O19" s="15">
        <f t="shared" si="4"/>
        <v>0</v>
      </c>
      <c r="P19" s="16">
        <f t="shared" si="5"/>
        <v>-5.5643879173291708</v>
      </c>
      <c r="Q19" s="487">
        <f t="shared" si="6"/>
        <v>0.95270270270270208</v>
      </c>
      <c r="R19" s="619">
        <f>Q25</f>
        <v>0.95886172490357424</v>
      </c>
      <c r="S19" s="31">
        <v>0.25</v>
      </c>
      <c r="T19" s="31">
        <v>0.27569444444444446</v>
      </c>
      <c r="U19" s="486"/>
      <c r="V19" s="492">
        <f t="shared" ref="V19:V24" si="21">(T19-S19)*24*60</f>
        <v>37.000000000000028</v>
      </c>
      <c r="W19" s="17"/>
      <c r="X19" s="17"/>
      <c r="Y19" s="22"/>
      <c r="Z19" s="22"/>
      <c r="AA19" s="610"/>
      <c r="AB19" s="610"/>
      <c r="AC19" s="155">
        <v>6</v>
      </c>
      <c r="AD19" s="19"/>
      <c r="AE19" s="15">
        <f t="shared" si="8"/>
        <v>-94.594594594595947</v>
      </c>
      <c r="AF19" s="487">
        <f t="shared" si="9"/>
        <v>0.95270270270270208</v>
      </c>
      <c r="AG19" s="619">
        <f>AF25</f>
        <v>0.95886172490357424</v>
      </c>
    </row>
    <row r="20" spans="1:33" ht="15.75" customHeight="1">
      <c r="A20" s="638" t="s">
        <v>189</v>
      </c>
      <c r="B20" s="33" t="s">
        <v>6</v>
      </c>
      <c r="C20" s="635" t="s">
        <v>23</v>
      </c>
      <c r="D20" s="635"/>
      <c r="E20" s="33">
        <v>57.73</v>
      </c>
      <c r="F20" s="493">
        <v>1843</v>
      </c>
      <c r="G20" s="486">
        <f t="shared" si="19"/>
        <v>106396.39</v>
      </c>
      <c r="H20" s="495" t="s">
        <v>5</v>
      </c>
      <c r="I20" s="491">
        <v>14</v>
      </c>
      <c r="J20" s="30">
        <v>2000</v>
      </c>
      <c r="K20" s="13">
        <f t="shared" si="1"/>
        <v>142.85714285714286</v>
      </c>
      <c r="L20" s="491">
        <v>14</v>
      </c>
      <c r="M20" s="14">
        <f t="shared" si="20"/>
        <v>1906.5517241379298</v>
      </c>
      <c r="N20" s="13">
        <f t="shared" si="3"/>
        <v>136.18226600985213</v>
      </c>
      <c r="O20" s="15">
        <f t="shared" si="4"/>
        <v>0</v>
      </c>
      <c r="P20" s="16">
        <f t="shared" si="5"/>
        <v>-6.6748768472907329</v>
      </c>
      <c r="Q20" s="487">
        <f t="shared" si="6"/>
        <v>0.95327586206896486</v>
      </c>
      <c r="R20" s="619"/>
      <c r="S20" s="31">
        <v>0.28125</v>
      </c>
      <c r="T20" s="31">
        <v>0.3215277777777778</v>
      </c>
      <c r="U20" s="486">
        <f t="shared" ref="U20:U24" si="22">IF(S20=TIME(17,0,0),"",(S20-T19)*24*60)</f>
        <v>7.9999999999999716</v>
      </c>
      <c r="V20" s="492">
        <f t="shared" si="21"/>
        <v>58.000000000000036</v>
      </c>
      <c r="W20" s="17"/>
      <c r="X20" s="486"/>
      <c r="Y20" s="486"/>
      <c r="Z20" s="486"/>
      <c r="AA20" s="610"/>
      <c r="AB20" s="610"/>
      <c r="AC20" s="155"/>
      <c r="AD20" s="19"/>
      <c r="AE20" s="15">
        <f t="shared" si="8"/>
        <v>-93.448275862070204</v>
      </c>
      <c r="AF20" s="487">
        <f t="shared" si="9"/>
        <v>0.95327586206896486</v>
      </c>
      <c r="AG20" s="619"/>
    </row>
    <row r="21" spans="1:33" ht="15.75" customHeight="1">
      <c r="A21" s="638" t="s">
        <v>189</v>
      </c>
      <c r="B21" s="33" t="s">
        <v>6</v>
      </c>
      <c r="C21" s="635" t="s">
        <v>24</v>
      </c>
      <c r="D21" s="635"/>
      <c r="E21" s="33">
        <v>53.27</v>
      </c>
      <c r="F21" s="493">
        <v>1035</v>
      </c>
      <c r="G21" s="486">
        <f t="shared" si="19"/>
        <v>55134.450000000004</v>
      </c>
      <c r="H21" s="495" t="s">
        <v>5</v>
      </c>
      <c r="I21" s="491">
        <v>16</v>
      </c>
      <c r="J21" s="30">
        <v>2000</v>
      </c>
      <c r="K21" s="13">
        <f t="shared" si="1"/>
        <v>125</v>
      </c>
      <c r="L21" s="491">
        <v>16</v>
      </c>
      <c r="M21" s="14">
        <f t="shared" si="20"/>
        <v>1940.625000000002</v>
      </c>
      <c r="N21" s="13">
        <f t="shared" si="3"/>
        <v>121.28906250000013</v>
      </c>
      <c r="O21" s="15">
        <f t="shared" si="4"/>
        <v>0</v>
      </c>
      <c r="P21" s="16">
        <f t="shared" si="5"/>
        <v>-3.7109374999998721</v>
      </c>
      <c r="Q21" s="487">
        <f t="shared" si="6"/>
        <v>0.97031250000000102</v>
      </c>
      <c r="R21" s="619"/>
      <c r="S21" s="31">
        <v>0.32569444444444445</v>
      </c>
      <c r="T21" s="31">
        <v>0.34791666666666665</v>
      </c>
      <c r="U21" s="486">
        <f t="shared" si="22"/>
        <v>5.9999999999999787</v>
      </c>
      <c r="V21" s="492">
        <f t="shared" si="21"/>
        <v>31.999999999999964</v>
      </c>
      <c r="W21" s="17"/>
      <c r="X21" s="486"/>
      <c r="Y21" s="486"/>
      <c r="Z21" s="486"/>
      <c r="AA21" s="610"/>
      <c r="AB21" s="610"/>
      <c r="AC21" s="155"/>
      <c r="AD21" s="19"/>
      <c r="AE21" s="15">
        <f t="shared" si="8"/>
        <v>-59.374999999997954</v>
      </c>
      <c r="AF21" s="487">
        <f t="shared" si="9"/>
        <v>0.97031250000000102</v>
      </c>
      <c r="AG21" s="619"/>
    </row>
    <row r="22" spans="1:33" ht="15.75" customHeight="1">
      <c r="A22" s="638" t="s">
        <v>2419</v>
      </c>
      <c r="B22" s="33" t="s">
        <v>6</v>
      </c>
      <c r="C22" s="635" t="s">
        <v>21</v>
      </c>
      <c r="D22" s="635"/>
      <c r="E22" s="33">
        <v>50.49</v>
      </c>
      <c r="F22" s="493">
        <v>1288</v>
      </c>
      <c r="G22" s="486">
        <f t="shared" si="19"/>
        <v>65031.12</v>
      </c>
      <c r="H22" s="495" t="s">
        <v>5</v>
      </c>
      <c r="I22" s="491">
        <v>15</v>
      </c>
      <c r="J22" s="30">
        <v>2000</v>
      </c>
      <c r="K22" s="13">
        <f t="shared" si="1"/>
        <v>133.33333333333334</v>
      </c>
      <c r="L22" s="491">
        <v>15</v>
      </c>
      <c r="M22" s="14">
        <f t="shared" si="20"/>
        <v>1931.9999999999993</v>
      </c>
      <c r="N22" s="13">
        <f t="shared" si="3"/>
        <v>128.79999999999995</v>
      </c>
      <c r="O22" s="15">
        <f t="shared" si="4"/>
        <v>0</v>
      </c>
      <c r="P22" s="16">
        <f t="shared" si="5"/>
        <v>-4.5333333333333883</v>
      </c>
      <c r="Q22" s="487">
        <f t="shared" si="6"/>
        <v>0.96599999999999964</v>
      </c>
      <c r="R22" s="619"/>
      <c r="S22" s="31">
        <v>0.70833333333333337</v>
      </c>
      <c r="T22" s="31">
        <v>0.73611111111111116</v>
      </c>
      <c r="U22" s="486" t="str">
        <f t="shared" si="22"/>
        <v/>
      </c>
      <c r="V22" s="492">
        <f t="shared" si="21"/>
        <v>40.000000000000014</v>
      </c>
      <c r="W22" s="17"/>
      <c r="X22" s="486"/>
      <c r="Y22" s="486"/>
      <c r="Z22" s="486"/>
      <c r="AA22" s="610"/>
      <c r="AB22" s="610"/>
      <c r="AC22" s="155"/>
      <c r="AD22" s="19"/>
      <c r="AE22" s="15">
        <f t="shared" si="8"/>
        <v>-68.000000000000682</v>
      </c>
      <c r="AF22" s="487">
        <f t="shared" si="9"/>
        <v>0.96599999999999964</v>
      </c>
      <c r="AG22" s="619"/>
    </row>
    <row r="23" spans="1:33" ht="15.75" customHeight="1">
      <c r="A23" s="638" t="s">
        <v>2419</v>
      </c>
      <c r="B23" s="33" t="s">
        <v>6</v>
      </c>
      <c r="C23" s="635" t="s">
        <v>26</v>
      </c>
      <c r="D23" s="635"/>
      <c r="E23" s="33">
        <v>54.09</v>
      </c>
      <c r="F23" s="493">
        <v>1404</v>
      </c>
      <c r="G23" s="486">
        <f t="shared" si="19"/>
        <v>75942.36</v>
      </c>
      <c r="H23" s="495" t="s">
        <v>5</v>
      </c>
      <c r="I23" s="491">
        <v>18</v>
      </c>
      <c r="J23" s="30">
        <v>2000</v>
      </c>
      <c r="K23" s="13">
        <f t="shared" si="1"/>
        <v>111.11111111111111</v>
      </c>
      <c r="L23" s="491">
        <v>18</v>
      </c>
      <c r="M23" s="14">
        <f t="shared" si="20"/>
        <v>1914.5454545454545</v>
      </c>
      <c r="N23" s="13">
        <f t="shared" si="3"/>
        <v>106.36363636363636</v>
      </c>
      <c r="O23" s="15">
        <f t="shared" si="4"/>
        <v>0</v>
      </c>
      <c r="P23" s="16">
        <f t="shared" si="5"/>
        <v>-4.7474747474747545</v>
      </c>
      <c r="Q23" s="487">
        <f t="shared" si="6"/>
        <v>0.95727272727272716</v>
      </c>
      <c r="R23" s="619"/>
      <c r="S23" s="31">
        <v>0.74027777777777781</v>
      </c>
      <c r="T23" s="31">
        <v>0.77083333333333337</v>
      </c>
      <c r="U23" s="486">
        <f t="shared" si="22"/>
        <v>5.9999999999999787</v>
      </c>
      <c r="V23" s="492">
        <f t="shared" si="21"/>
        <v>44</v>
      </c>
      <c r="W23" s="17"/>
      <c r="X23" s="17"/>
      <c r="Y23" s="486"/>
      <c r="Z23" s="486"/>
      <c r="AA23" s="610"/>
      <c r="AB23" s="610"/>
      <c r="AC23" s="155"/>
      <c r="AD23" s="19"/>
      <c r="AE23" s="15">
        <f t="shared" si="8"/>
        <v>-85.454545454545496</v>
      </c>
      <c r="AF23" s="487">
        <f t="shared" si="9"/>
        <v>0.95727272727272728</v>
      </c>
      <c r="AG23" s="619"/>
    </row>
    <row r="24" spans="1:33" ht="15.75" customHeight="1">
      <c r="A24" s="638" t="s">
        <v>2419</v>
      </c>
      <c r="B24" s="33" t="s">
        <v>6</v>
      </c>
      <c r="C24" s="635" t="s">
        <v>2057</v>
      </c>
      <c r="D24" s="635"/>
      <c r="E24" s="33">
        <v>50.67</v>
      </c>
      <c r="F24" s="493">
        <v>1939</v>
      </c>
      <c r="G24" s="486">
        <f t="shared" si="19"/>
        <v>98249.13</v>
      </c>
      <c r="H24" s="495" t="s">
        <v>5</v>
      </c>
      <c r="I24" s="491">
        <v>15</v>
      </c>
      <c r="J24" s="30">
        <v>2000</v>
      </c>
      <c r="K24" s="13">
        <f t="shared" si="1"/>
        <v>133.33333333333334</v>
      </c>
      <c r="L24" s="491">
        <v>15</v>
      </c>
      <c r="M24" s="14">
        <f t="shared" si="20"/>
        <v>1907.2131147541002</v>
      </c>
      <c r="N24" s="13">
        <f t="shared" si="3"/>
        <v>127.14754098360667</v>
      </c>
      <c r="O24" s="15">
        <f t="shared" si="4"/>
        <v>0</v>
      </c>
      <c r="P24" s="16">
        <f t="shared" si="5"/>
        <v>-6.1857923497266682</v>
      </c>
      <c r="Q24" s="487">
        <f t="shared" si="6"/>
        <v>0.95360655737705002</v>
      </c>
      <c r="R24" s="619"/>
      <c r="S24" s="31">
        <v>0.77638888888888891</v>
      </c>
      <c r="T24" s="31">
        <v>0.81874999999999998</v>
      </c>
      <c r="U24" s="486">
        <f t="shared" si="22"/>
        <v>7.9999999999999716</v>
      </c>
      <c r="V24" s="492">
        <f t="shared" si="21"/>
        <v>60.999999999999943</v>
      </c>
      <c r="W24" s="17"/>
      <c r="X24" s="22"/>
      <c r="Y24" s="22"/>
      <c r="Z24" s="22"/>
      <c r="AA24" s="610"/>
      <c r="AB24" s="610"/>
      <c r="AC24" s="155"/>
      <c r="AD24" s="19"/>
      <c r="AE24" s="15">
        <f t="shared" si="8"/>
        <v>-92.786885245899839</v>
      </c>
      <c r="AF24" s="487">
        <f t="shared" si="9"/>
        <v>0.95360655737705013</v>
      </c>
      <c r="AG24" s="619"/>
    </row>
    <row r="25" spans="1:33" ht="15.75" customHeight="1">
      <c r="A25" s="638" t="s">
        <v>189</v>
      </c>
      <c r="B25" s="33" t="s">
        <v>2411</v>
      </c>
      <c r="C25" s="620"/>
      <c r="D25" s="620"/>
      <c r="E25" s="488"/>
      <c r="F25" s="493"/>
      <c r="G25" s="486"/>
      <c r="H25" s="493"/>
      <c r="I25" s="23">
        <v>15.833333333333334</v>
      </c>
      <c r="J25" s="30">
        <v>2000</v>
      </c>
      <c r="K25" s="13">
        <f t="shared" si="1"/>
        <v>126.31578947368421</v>
      </c>
      <c r="L25" s="23">
        <v>15.833333333333334</v>
      </c>
      <c r="M25" s="14">
        <f>AVERAGE(M19:M24)</f>
        <v>1917.7234498071484</v>
      </c>
      <c r="N25" s="13">
        <f t="shared" si="3"/>
        <v>121.11937577729358</v>
      </c>
      <c r="O25" s="15">
        <f t="shared" si="4"/>
        <v>0</v>
      </c>
      <c r="P25" s="16">
        <f t="shared" si="5"/>
        <v>-5.1964136963906213</v>
      </c>
      <c r="Q25" s="487">
        <f t="shared" si="6"/>
        <v>0.95886172490357424</v>
      </c>
      <c r="R25" s="619"/>
      <c r="S25" s="31"/>
      <c r="T25" s="31"/>
      <c r="U25" s="13"/>
      <c r="V25" s="492"/>
      <c r="W25" s="13"/>
      <c r="X25" s="13"/>
      <c r="Y25" s="24">
        <f>SUM(Y19:Y24)</f>
        <v>0</v>
      </c>
      <c r="Z25" s="24">
        <f>SUM(Z19:Z24)</f>
        <v>0</v>
      </c>
      <c r="AA25" s="609"/>
      <c r="AB25" s="609"/>
      <c r="AC25" s="24">
        <v>6</v>
      </c>
      <c r="AD25" s="24">
        <f>SUM(AD19:AD24)</f>
        <v>0</v>
      </c>
      <c r="AE25" s="15">
        <f t="shared" si="8"/>
        <v>-82.276550192851573</v>
      </c>
      <c r="AF25" s="487">
        <f t="shared" si="9"/>
        <v>0.95886172490357424</v>
      </c>
      <c r="AG25" s="619"/>
    </row>
    <row r="26" spans="1:33" ht="15.75" customHeight="1">
      <c r="A26" s="636" t="s">
        <v>2420</v>
      </c>
      <c r="B26" s="33" t="s">
        <v>27</v>
      </c>
      <c r="C26" s="635" t="s">
        <v>28</v>
      </c>
      <c r="D26" s="635"/>
      <c r="E26" s="33">
        <v>31.29</v>
      </c>
      <c r="F26" s="493">
        <v>6504</v>
      </c>
      <c r="G26" s="486">
        <f t="shared" ref="G26:G30" si="23">E26*F26</f>
        <v>203510.16</v>
      </c>
      <c r="H26" s="495" t="s">
        <v>5</v>
      </c>
      <c r="I26" s="491">
        <v>18</v>
      </c>
      <c r="J26" s="30">
        <v>2400</v>
      </c>
      <c r="K26" s="13">
        <f t="shared" si="1"/>
        <v>133.33333333333334</v>
      </c>
      <c r="L26" s="491">
        <v>18</v>
      </c>
      <c r="M26" s="14">
        <f t="shared" ref="M26:M30" si="24">F26/V26*60</f>
        <v>2295.5294117647059</v>
      </c>
      <c r="N26" s="13">
        <f t="shared" si="3"/>
        <v>127.52941176470588</v>
      </c>
      <c r="O26" s="15">
        <f t="shared" si="4"/>
        <v>0</v>
      </c>
      <c r="P26" s="16">
        <f t="shared" si="5"/>
        <v>-5.8039215686274588</v>
      </c>
      <c r="Q26" s="487">
        <f t="shared" si="6"/>
        <v>0.95647058823529407</v>
      </c>
      <c r="R26" s="619">
        <f>Q31</f>
        <v>0.95583410037396943</v>
      </c>
      <c r="S26" s="31">
        <v>8.3333333333333329E-2</v>
      </c>
      <c r="T26" s="31">
        <v>0.2013888888888889</v>
      </c>
      <c r="U26" s="486"/>
      <c r="V26" s="492">
        <f t="shared" ref="V26:V30" si="25">(T26-S26)*24*60</f>
        <v>170</v>
      </c>
      <c r="W26" s="17">
        <f>T26</f>
        <v>0.2013888888888889</v>
      </c>
      <c r="X26" s="17">
        <f>S27</f>
        <v>0.22013888888888891</v>
      </c>
      <c r="Y26" s="17"/>
      <c r="Z26" s="17"/>
      <c r="AA26" s="610"/>
      <c r="AB26" s="610"/>
      <c r="AC26" s="155">
        <v>5</v>
      </c>
      <c r="AD26" s="19"/>
      <c r="AE26" s="15">
        <f t="shared" si="8"/>
        <v>-104.47058823529414</v>
      </c>
      <c r="AF26" s="487">
        <f t="shared" si="9"/>
        <v>0.95647058823529407</v>
      </c>
      <c r="AG26" s="619">
        <f>AF31</f>
        <v>0.95583410037396943</v>
      </c>
    </row>
    <row r="27" spans="1:33" ht="15.75" customHeight="1">
      <c r="A27" s="636" t="s">
        <v>2421</v>
      </c>
      <c r="B27" s="33" t="s">
        <v>27</v>
      </c>
      <c r="C27" s="635" t="s">
        <v>29</v>
      </c>
      <c r="D27" s="635"/>
      <c r="E27" s="33">
        <v>26.37</v>
      </c>
      <c r="F27" s="493">
        <v>4439</v>
      </c>
      <c r="G27" s="486">
        <f t="shared" si="23"/>
        <v>117056.43000000001</v>
      </c>
      <c r="H27" s="495" t="s">
        <v>5</v>
      </c>
      <c r="I27" s="491">
        <v>18</v>
      </c>
      <c r="J27" s="30">
        <v>2400</v>
      </c>
      <c r="K27" s="13">
        <f t="shared" si="1"/>
        <v>133.33333333333334</v>
      </c>
      <c r="L27" s="491">
        <v>18</v>
      </c>
      <c r="M27" s="14">
        <f t="shared" si="24"/>
        <v>2296.03448275862</v>
      </c>
      <c r="N27" s="13">
        <f t="shared" si="3"/>
        <v>127.55747126436778</v>
      </c>
      <c r="O27" s="15">
        <f t="shared" si="4"/>
        <v>0</v>
      </c>
      <c r="P27" s="16">
        <f t="shared" si="5"/>
        <v>-5.7758620689655658</v>
      </c>
      <c r="Q27" s="487">
        <f t="shared" si="6"/>
        <v>0.95668103448275821</v>
      </c>
      <c r="R27" s="619"/>
      <c r="S27" s="31">
        <v>0.22013888888888891</v>
      </c>
      <c r="T27" s="31">
        <v>0.30069444444444449</v>
      </c>
      <c r="U27" s="486">
        <f t="shared" ref="U27:U30" si="26">(S27-T26)*24*60</f>
        <v>27.000000000000025</v>
      </c>
      <c r="V27" s="492">
        <f t="shared" si="25"/>
        <v>116.00000000000003</v>
      </c>
      <c r="W27" s="17"/>
      <c r="X27" s="17"/>
      <c r="Y27" s="17"/>
      <c r="Z27" s="17"/>
      <c r="AA27" s="610"/>
      <c r="AB27" s="610"/>
      <c r="AC27" s="155"/>
      <c r="AD27" s="19"/>
      <c r="AE27" s="15">
        <f t="shared" si="8"/>
        <v>-103.96551724137998</v>
      </c>
      <c r="AF27" s="487">
        <f t="shared" si="9"/>
        <v>0.95668103448275832</v>
      </c>
      <c r="AG27" s="619"/>
    </row>
    <row r="28" spans="1:33" ht="15.75" customHeight="1">
      <c r="A28" s="636" t="s">
        <v>2421</v>
      </c>
      <c r="B28" s="33" t="s">
        <v>27</v>
      </c>
      <c r="C28" s="635" t="s">
        <v>34</v>
      </c>
      <c r="D28" s="635"/>
      <c r="E28" s="33">
        <v>24.43</v>
      </c>
      <c r="F28" s="493">
        <v>5938</v>
      </c>
      <c r="G28" s="486">
        <f t="shared" si="23"/>
        <v>145065.34</v>
      </c>
      <c r="H28" s="495" t="s">
        <v>5</v>
      </c>
      <c r="I28" s="491">
        <v>14</v>
      </c>
      <c r="J28" s="30">
        <v>2400</v>
      </c>
      <c r="K28" s="13">
        <f t="shared" si="1"/>
        <v>171.42857142857142</v>
      </c>
      <c r="L28" s="491">
        <v>14</v>
      </c>
      <c r="M28" s="14">
        <f t="shared" si="24"/>
        <v>2283.8461538461538</v>
      </c>
      <c r="N28" s="13">
        <f t="shared" si="3"/>
        <v>163.13186813186812</v>
      </c>
      <c r="O28" s="15">
        <f t="shared" si="4"/>
        <v>0</v>
      </c>
      <c r="P28" s="16">
        <f t="shared" si="5"/>
        <v>-8.2967032967032992</v>
      </c>
      <c r="Q28" s="487">
        <f t="shared" si="6"/>
        <v>0.95160256410256405</v>
      </c>
      <c r="R28" s="619"/>
      <c r="S28" s="31">
        <v>0.30555555555555558</v>
      </c>
      <c r="T28" s="31">
        <v>0.41388888888888892</v>
      </c>
      <c r="U28" s="486">
        <f t="shared" si="26"/>
        <v>6.9999999999999751</v>
      </c>
      <c r="V28" s="492">
        <f t="shared" si="25"/>
        <v>156</v>
      </c>
      <c r="W28" s="17"/>
      <c r="X28" s="17"/>
      <c r="Y28" s="17"/>
      <c r="Z28" s="17"/>
      <c r="AA28" s="610"/>
      <c r="AB28" s="610"/>
      <c r="AC28" s="155"/>
      <c r="AD28" s="19"/>
      <c r="AE28" s="15">
        <f t="shared" si="8"/>
        <v>-116.15384615384619</v>
      </c>
      <c r="AF28" s="487">
        <f t="shared" si="9"/>
        <v>0.95160256410256405</v>
      </c>
      <c r="AG28" s="619"/>
    </row>
    <row r="29" spans="1:33" ht="15.75" customHeight="1">
      <c r="A29" s="636" t="s">
        <v>2422</v>
      </c>
      <c r="B29" s="33" t="s">
        <v>27</v>
      </c>
      <c r="C29" s="635" t="s">
        <v>75</v>
      </c>
      <c r="D29" s="635"/>
      <c r="E29" s="33">
        <v>25.98</v>
      </c>
      <c r="F29" s="493">
        <v>3030</v>
      </c>
      <c r="G29" s="486">
        <f t="shared" si="23"/>
        <v>78719.399999999994</v>
      </c>
      <c r="H29" s="495" t="s">
        <v>5</v>
      </c>
      <c r="I29" s="491">
        <v>19</v>
      </c>
      <c r="J29" s="30">
        <v>2400</v>
      </c>
      <c r="K29" s="13">
        <f t="shared" si="1"/>
        <v>126.31578947368421</v>
      </c>
      <c r="L29" s="491">
        <v>19</v>
      </c>
      <c r="M29" s="14">
        <f t="shared" si="24"/>
        <v>2301.2658227848115</v>
      </c>
      <c r="N29" s="13">
        <f t="shared" si="3"/>
        <v>121.11925383077956</v>
      </c>
      <c r="O29" s="15">
        <f t="shared" si="4"/>
        <v>0</v>
      </c>
      <c r="P29" s="16">
        <f t="shared" si="5"/>
        <v>-5.1965356429046494</v>
      </c>
      <c r="Q29" s="487">
        <f t="shared" si="6"/>
        <v>0.95886075949367156</v>
      </c>
      <c r="R29" s="619"/>
      <c r="S29" s="31">
        <v>0.41944444444444445</v>
      </c>
      <c r="T29" s="31">
        <v>0.47430555555555554</v>
      </c>
      <c r="U29" s="486">
        <f t="shared" si="26"/>
        <v>7.9999999999999716</v>
      </c>
      <c r="V29" s="492">
        <f t="shared" si="25"/>
        <v>78.999999999999957</v>
      </c>
      <c r="W29" s="17"/>
      <c r="X29" s="17"/>
      <c r="Y29" s="17"/>
      <c r="Z29" s="17"/>
      <c r="AA29" s="610"/>
      <c r="AB29" s="610"/>
      <c r="AC29" s="155"/>
      <c r="AD29" s="19"/>
      <c r="AE29" s="15">
        <f t="shared" si="8"/>
        <v>-98.734177215188538</v>
      </c>
      <c r="AF29" s="487">
        <f t="shared" si="9"/>
        <v>0.95886075949367144</v>
      </c>
      <c r="AG29" s="619"/>
    </row>
    <row r="30" spans="1:33" ht="15.75" customHeight="1">
      <c r="A30" s="636" t="s">
        <v>192</v>
      </c>
      <c r="B30" s="33" t="s">
        <v>27</v>
      </c>
      <c r="C30" s="635" t="s">
        <v>55</v>
      </c>
      <c r="D30" s="635"/>
      <c r="E30" s="33">
        <v>23.89</v>
      </c>
      <c r="F30" s="493">
        <v>344</v>
      </c>
      <c r="G30" s="486">
        <f t="shared" si="23"/>
        <v>8218.16</v>
      </c>
      <c r="H30" s="495" t="s">
        <v>5</v>
      </c>
      <c r="I30" s="491">
        <v>13</v>
      </c>
      <c r="J30" s="30">
        <v>2400</v>
      </c>
      <c r="K30" s="13">
        <f t="shared" si="1"/>
        <v>184.61538461538461</v>
      </c>
      <c r="L30" s="491">
        <v>13</v>
      </c>
      <c r="M30" s="14">
        <f t="shared" si="24"/>
        <v>2293.3333333333412</v>
      </c>
      <c r="N30" s="13">
        <f t="shared" si="3"/>
        <v>176.41025641025701</v>
      </c>
      <c r="O30" s="15">
        <f t="shared" si="4"/>
        <v>0</v>
      </c>
      <c r="P30" s="16">
        <f t="shared" si="5"/>
        <v>-8.2051282051276075</v>
      </c>
      <c r="Q30" s="487">
        <f t="shared" si="6"/>
        <v>0.95555555555555882</v>
      </c>
      <c r="R30" s="619"/>
      <c r="S30" s="31">
        <v>0.47777777777777775</v>
      </c>
      <c r="T30" s="31">
        <v>0.48402777777777772</v>
      </c>
      <c r="U30" s="486">
        <f t="shared" si="26"/>
        <v>4.9999999999999822</v>
      </c>
      <c r="V30" s="492">
        <f t="shared" si="25"/>
        <v>8.999999999999968</v>
      </c>
      <c r="W30" s="17"/>
      <c r="X30" s="17"/>
      <c r="Y30" s="17"/>
      <c r="Z30" s="17"/>
      <c r="AA30" s="610"/>
      <c r="AB30" s="610"/>
      <c r="AC30" s="155"/>
      <c r="AD30" s="19"/>
      <c r="AE30" s="15">
        <f t="shared" si="8"/>
        <v>-106.66666666665878</v>
      </c>
      <c r="AF30" s="487">
        <f t="shared" si="9"/>
        <v>0.95555555555555882</v>
      </c>
      <c r="AG30" s="619"/>
    </row>
    <row r="31" spans="1:33" ht="15.75" customHeight="1">
      <c r="A31" s="636" t="s">
        <v>2422</v>
      </c>
      <c r="B31" s="33" t="s">
        <v>180</v>
      </c>
      <c r="C31" s="620"/>
      <c r="D31" s="620"/>
      <c r="E31" s="488"/>
      <c r="F31" s="493"/>
      <c r="G31" s="486"/>
      <c r="H31" s="493"/>
      <c r="I31" s="23">
        <v>16.399999999999999</v>
      </c>
      <c r="J31" s="30">
        <v>2400</v>
      </c>
      <c r="K31" s="13">
        <f t="shared" si="1"/>
        <v>146.34146341463415</v>
      </c>
      <c r="L31" s="23">
        <v>16.399999999999999</v>
      </c>
      <c r="M31" s="14">
        <f>AVERAGE(M26:M30)</f>
        <v>2294.0018408975266</v>
      </c>
      <c r="N31" s="13">
        <f t="shared" si="3"/>
        <v>139.878161030337</v>
      </c>
      <c r="O31" s="15">
        <f t="shared" si="4"/>
        <v>0</v>
      </c>
      <c r="P31" s="16">
        <f t="shared" si="5"/>
        <v>-6.4633023842971511</v>
      </c>
      <c r="Q31" s="487">
        <f t="shared" si="6"/>
        <v>0.95583410037396943</v>
      </c>
      <c r="R31" s="619"/>
      <c r="S31" s="31"/>
      <c r="T31" s="31"/>
      <c r="U31" s="486"/>
      <c r="V31" s="492"/>
      <c r="W31" s="486"/>
      <c r="X31" s="486"/>
      <c r="Y31" s="24">
        <f>SUM(Y26:Y30)</f>
        <v>0</v>
      </c>
      <c r="Z31" s="24">
        <f>SUM(Z26:Z30)</f>
        <v>0</v>
      </c>
      <c r="AA31" s="609"/>
      <c r="AB31" s="609"/>
      <c r="AC31" s="24">
        <v>5</v>
      </c>
      <c r="AD31" s="24">
        <f>SUM(AD26:AD30)</f>
        <v>0</v>
      </c>
      <c r="AE31" s="15">
        <f t="shared" si="8"/>
        <v>-105.99815910247344</v>
      </c>
      <c r="AF31" s="487">
        <f t="shared" si="9"/>
        <v>0.95583410037396943</v>
      </c>
      <c r="AG31" s="619"/>
    </row>
    <row r="32" spans="1:33" ht="15.75" customHeight="1">
      <c r="A32" s="633" t="s">
        <v>2423</v>
      </c>
      <c r="B32" s="33" t="s">
        <v>27</v>
      </c>
      <c r="C32" s="611" t="s">
        <v>33</v>
      </c>
      <c r="D32" s="611"/>
      <c r="E32" s="33">
        <v>26.18</v>
      </c>
      <c r="F32" s="493">
        <v>4269</v>
      </c>
      <c r="G32" s="486">
        <f t="shared" ref="G32:G36" si="27">E32*F32</f>
        <v>111762.42</v>
      </c>
      <c r="H32" s="495" t="s">
        <v>5</v>
      </c>
      <c r="I32" s="491">
        <v>20</v>
      </c>
      <c r="J32" s="30">
        <v>2400</v>
      </c>
      <c r="K32" s="13">
        <f t="shared" si="1"/>
        <v>120</v>
      </c>
      <c r="L32" s="491">
        <v>20</v>
      </c>
      <c r="M32" s="14">
        <f t="shared" ref="M32:M36" si="28">F32/V32*60</f>
        <v>2286.9642857142862</v>
      </c>
      <c r="N32" s="13">
        <f t="shared" si="3"/>
        <v>114.34821428571431</v>
      </c>
      <c r="O32" s="15">
        <f t="shared" si="4"/>
        <v>0</v>
      </c>
      <c r="P32" s="16">
        <f t="shared" si="5"/>
        <v>-5.651785714285694</v>
      </c>
      <c r="Q32" s="487">
        <f t="shared" si="6"/>
        <v>0.95290178571428585</v>
      </c>
      <c r="R32" s="619">
        <f>Q37</f>
        <v>0.95348324930851602</v>
      </c>
      <c r="S32" s="31">
        <v>8.3333333333333329E-2</v>
      </c>
      <c r="T32" s="31">
        <v>0.16111111111111109</v>
      </c>
      <c r="U32" s="486"/>
      <c r="V32" s="492">
        <f t="shared" ref="V32:V36" si="29">(T32-S32)*24*60</f>
        <v>111.99999999999997</v>
      </c>
      <c r="W32" s="22">
        <f>T32</f>
        <v>0.16111111111111109</v>
      </c>
      <c r="X32" s="22">
        <f>S33</f>
        <v>0.18055555555555552</v>
      </c>
      <c r="Y32" s="22"/>
      <c r="Z32" s="22"/>
      <c r="AA32" s="610"/>
      <c r="AB32" s="610"/>
      <c r="AC32" s="155">
        <v>5</v>
      </c>
      <c r="AD32" s="19"/>
      <c r="AE32" s="15">
        <f t="shared" si="8"/>
        <v>-113.03571428571377</v>
      </c>
      <c r="AF32" s="487">
        <f t="shared" si="9"/>
        <v>0.95290178571428596</v>
      </c>
      <c r="AG32" s="619">
        <f>AF37</f>
        <v>0.95348324930851602</v>
      </c>
    </row>
    <row r="33" spans="1:33" ht="15.75" customHeight="1">
      <c r="A33" s="633" t="s">
        <v>2424</v>
      </c>
      <c r="B33" s="33" t="s">
        <v>27</v>
      </c>
      <c r="C33" s="611" t="s">
        <v>30</v>
      </c>
      <c r="D33" s="611"/>
      <c r="E33" s="33">
        <v>26.18</v>
      </c>
      <c r="F33" s="493">
        <v>5404</v>
      </c>
      <c r="G33" s="486">
        <f t="shared" si="27"/>
        <v>141476.72</v>
      </c>
      <c r="H33" s="495" t="s">
        <v>5</v>
      </c>
      <c r="I33" s="491">
        <v>18</v>
      </c>
      <c r="J33" s="30">
        <v>2400</v>
      </c>
      <c r="K33" s="13">
        <f t="shared" si="1"/>
        <v>133.33333333333334</v>
      </c>
      <c r="L33" s="491">
        <v>18</v>
      </c>
      <c r="M33" s="14">
        <f t="shared" si="28"/>
        <v>2283.3802816901416</v>
      </c>
      <c r="N33" s="13">
        <f t="shared" si="3"/>
        <v>126.85446009389676</v>
      </c>
      <c r="O33" s="15">
        <f t="shared" si="4"/>
        <v>0</v>
      </c>
      <c r="P33" s="16">
        <f t="shared" si="5"/>
        <v>-6.4788732394365809</v>
      </c>
      <c r="Q33" s="487">
        <f t="shared" si="6"/>
        <v>0.95140845070422564</v>
      </c>
      <c r="R33" s="619"/>
      <c r="S33" s="31">
        <v>0.18055555555555552</v>
      </c>
      <c r="T33" s="31">
        <v>0.27916666666666662</v>
      </c>
      <c r="U33" s="486">
        <f t="shared" ref="U33:U36" si="30">(S33-T32)*24*60</f>
        <v>27.999999999999979</v>
      </c>
      <c r="V33" s="492">
        <f t="shared" si="29"/>
        <v>141.99999999999997</v>
      </c>
      <c r="W33" s="486"/>
      <c r="X33" s="486"/>
      <c r="Y33" s="486"/>
      <c r="Z33" s="486"/>
      <c r="AA33" s="610"/>
      <c r="AB33" s="610"/>
      <c r="AC33" s="155"/>
      <c r="AD33" s="19"/>
      <c r="AE33" s="15">
        <f t="shared" si="8"/>
        <v>-116.6197183098584</v>
      </c>
      <c r="AF33" s="487">
        <f t="shared" si="9"/>
        <v>0.95140845070422564</v>
      </c>
      <c r="AG33" s="619"/>
    </row>
    <row r="34" spans="1:33">
      <c r="A34" s="634" t="s">
        <v>2425</v>
      </c>
      <c r="B34" s="33" t="s">
        <v>27</v>
      </c>
      <c r="C34" s="611" t="s">
        <v>35</v>
      </c>
      <c r="D34" s="611"/>
      <c r="E34" s="33">
        <v>34.1</v>
      </c>
      <c r="F34" s="493">
        <v>4376</v>
      </c>
      <c r="G34" s="486">
        <f t="shared" si="27"/>
        <v>149221.6</v>
      </c>
      <c r="H34" s="495" t="s">
        <v>5</v>
      </c>
      <c r="I34" s="491">
        <v>17</v>
      </c>
      <c r="J34" s="30">
        <v>1600</v>
      </c>
      <c r="K34" s="13">
        <f t="shared" si="1"/>
        <v>94.117647058823536</v>
      </c>
      <c r="L34" s="491">
        <v>17</v>
      </c>
      <c r="M34" s="14">
        <f t="shared" si="28"/>
        <v>1526.5116279069764</v>
      </c>
      <c r="N34" s="13">
        <f t="shared" si="3"/>
        <v>89.794801641586844</v>
      </c>
      <c r="O34" s="15">
        <f t="shared" si="4"/>
        <v>0</v>
      </c>
      <c r="P34" s="16">
        <f t="shared" si="5"/>
        <v>-4.3228454172366924</v>
      </c>
      <c r="Q34" s="487">
        <f t="shared" si="6"/>
        <v>0.95406976744186012</v>
      </c>
      <c r="R34" s="619"/>
      <c r="S34" s="31">
        <v>0.28333333333333327</v>
      </c>
      <c r="T34" s="31">
        <v>0.40277777777777773</v>
      </c>
      <c r="U34" s="486">
        <f t="shared" si="30"/>
        <v>5.9999999999999787</v>
      </c>
      <c r="V34" s="492">
        <f t="shared" si="29"/>
        <v>172.00000000000003</v>
      </c>
      <c r="W34" s="486"/>
      <c r="X34" s="486"/>
      <c r="Y34" s="486"/>
      <c r="Z34" s="486"/>
      <c r="AA34" s="610"/>
      <c r="AB34" s="610"/>
      <c r="AC34" s="155"/>
      <c r="AD34" s="19"/>
      <c r="AE34" s="15">
        <f t="shared" si="8"/>
        <v>-73.4883720930236</v>
      </c>
      <c r="AF34" s="487">
        <f t="shared" si="9"/>
        <v>0.95406976744186023</v>
      </c>
      <c r="AG34" s="619"/>
    </row>
    <row r="35" spans="1:33">
      <c r="A35" s="634" t="s">
        <v>2423</v>
      </c>
      <c r="B35" s="33" t="s">
        <v>27</v>
      </c>
      <c r="C35" s="611" t="s">
        <v>54</v>
      </c>
      <c r="D35" s="611"/>
      <c r="E35" s="33">
        <v>24.25</v>
      </c>
      <c r="F35" s="493">
        <v>1187</v>
      </c>
      <c r="G35" s="486">
        <f t="shared" si="27"/>
        <v>28784.75</v>
      </c>
      <c r="H35" s="495" t="s">
        <v>5</v>
      </c>
      <c r="I35" s="491">
        <v>16</v>
      </c>
      <c r="J35" s="30">
        <v>2400</v>
      </c>
      <c r="K35" s="13">
        <f t="shared" si="1"/>
        <v>150</v>
      </c>
      <c r="L35" s="491">
        <v>16</v>
      </c>
      <c r="M35" s="14">
        <f t="shared" si="28"/>
        <v>2297.4193548387116</v>
      </c>
      <c r="N35" s="13">
        <f t="shared" si="3"/>
        <v>143.58870967741947</v>
      </c>
      <c r="O35" s="15">
        <f t="shared" si="4"/>
        <v>0</v>
      </c>
      <c r="P35" s="16">
        <f t="shared" si="5"/>
        <v>-6.4112903225805269</v>
      </c>
      <c r="Q35" s="487">
        <f t="shared" si="6"/>
        <v>0.95725806451612983</v>
      </c>
      <c r="R35" s="619"/>
      <c r="S35" s="31">
        <v>0.40763888888888883</v>
      </c>
      <c r="T35" s="31">
        <v>0.42916666666666659</v>
      </c>
      <c r="U35" s="486">
        <f t="shared" si="30"/>
        <v>6.9999999999999751</v>
      </c>
      <c r="V35" s="492">
        <f t="shared" si="29"/>
        <v>30.999999999999972</v>
      </c>
      <c r="W35" s="17"/>
      <c r="X35" s="17"/>
      <c r="Y35" s="17"/>
      <c r="Z35" s="17"/>
      <c r="AA35" s="610"/>
      <c r="AB35" s="610"/>
      <c r="AC35" s="155"/>
      <c r="AD35" s="19"/>
      <c r="AE35" s="15">
        <f t="shared" si="8"/>
        <v>-102.58064516128843</v>
      </c>
      <c r="AF35" s="487">
        <f t="shared" si="9"/>
        <v>0.95725806451612983</v>
      </c>
      <c r="AG35" s="619"/>
    </row>
    <row r="36" spans="1:33">
      <c r="A36" s="634" t="s">
        <v>2425</v>
      </c>
      <c r="B36" s="33" t="s">
        <v>27</v>
      </c>
      <c r="C36" s="611" t="s">
        <v>32</v>
      </c>
      <c r="D36" s="611"/>
      <c r="E36" s="33">
        <v>25.99</v>
      </c>
      <c r="F36" s="493">
        <v>2894</v>
      </c>
      <c r="G36" s="486">
        <f t="shared" si="27"/>
        <v>75215.06</v>
      </c>
      <c r="H36" s="495" t="s">
        <v>5</v>
      </c>
      <c r="I36" s="491">
        <v>14</v>
      </c>
      <c r="J36" s="30">
        <v>2400</v>
      </c>
      <c r="K36" s="13">
        <f t="shared" si="1"/>
        <v>171.42857142857142</v>
      </c>
      <c r="L36" s="491">
        <v>14</v>
      </c>
      <c r="M36" s="14">
        <f t="shared" si="28"/>
        <v>2284.7368421052643</v>
      </c>
      <c r="N36" s="13">
        <f t="shared" si="3"/>
        <v>163.19548872180459</v>
      </c>
      <c r="O36" s="15">
        <f t="shared" si="4"/>
        <v>0</v>
      </c>
      <c r="P36" s="16">
        <f t="shared" si="5"/>
        <v>-8.2330827067668224</v>
      </c>
      <c r="Q36" s="487">
        <f t="shared" si="6"/>
        <v>0.95197368421052686</v>
      </c>
      <c r="R36" s="619"/>
      <c r="S36" s="31">
        <v>0.43333333333333324</v>
      </c>
      <c r="T36" s="31">
        <v>0.48611111111111099</v>
      </c>
      <c r="U36" s="486">
        <f t="shared" si="30"/>
        <v>5.9999999999999787</v>
      </c>
      <c r="V36" s="492">
        <f t="shared" si="29"/>
        <v>75.999999999999972</v>
      </c>
      <c r="W36" s="17"/>
      <c r="X36" s="17"/>
      <c r="Y36" s="17"/>
      <c r="Z36" s="17"/>
      <c r="AA36" s="610"/>
      <c r="AB36" s="610"/>
      <c r="AC36" s="155"/>
      <c r="AD36" s="19"/>
      <c r="AE36" s="15">
        <f t="shared" si="8"/>
        <v>-115.26315789473574</v>
      </c>
      <c r="AF36" s="487">
        <f t="shared" si="9"/>
        <v>0.95197368421052675</v>
      </c>
      <c r="AG36" s="619"/>
    </row>
    <row r="37" spans="1:33">
      <c r="A37" s="634" t="s">
        <v>2423</v>
      </c>
      <c r="B37" s="34" t="s">
        <v>2411</v>
      </c>
      <c r="C37" s="620"/>
      <c r="D37" s="620"/>
      <c r="E37" s="488"/>
      <c r="F37" s="34"/>
      <c r="G37" s="13"/>
      <c r="H37" s="493"/>
      <c r="I37" s="23">
        <v>17</v>
      </c>
      <c r="J37" s="30">
        <v>2240</v>
      </c>
      <c r="K37" s="13">
        <f t="shared" si="1"/>
        <v>131.76470588235293</v>
      </c>
      <c r="L37" s="23">
        <v>17</v>
      </c>
      <c r="M37" s="14">
        <f>AVERAGE(M32:M36)</f>
        <v>2135.8024784510758</v>
      </c>
      <c r="N37" s="13">
        <f t="shared" si="3"/>
        <v>125.63543990888681</v>
      </c>
      <c r="O37" s="15">
        <f t="shared" si="4"/>
        <v>0</v>
      </c>
      <c r="P37" s="16">
        <f t="shared" si="5"/>
        <v>-6.1292659734661186</v>
      </c>
      <c r="Q37" s="487">
        <f t="shared" si="6"/>
        <v>0.95348324930851602</v>
      </c>
      <c r="R37" s="619"/>
      <c r="S37" s="31"/>
      <c r="T37" s="31"/>
      <c r="U37" s="13"/>
      <c r="V37" s="492"/>
      <c r="W37" s="13"/>
      <c r="X37" s="13"/>
      <c r="Y37" s="24">
        <f>SUM(Y32:Y36)</f>
        <v>0</v>
      </c>
      <c r="Z37" s="24">
        <f>SUM(Z32:Z36)</f>
        <v>0</v>
      </c>
      <c r="AA37" s="609"/>
      <c r="AB37" s="609"/>
      <c r="AC37" s="24">
        <v>5</v>
      </c>
      <c r="AD37" s="24">
        <f>SUM(AD32:AD36)</f>
        <v>0</v>
      </c>
      <c r="AE37" s="15">
        <f t="shared" si="8"/>
        <v>-104.19752154892421</v>
      </c>
      <c r="AF37" s="487">
        <f t="shared" si="9"/>
        <v>0.95348324930851602</v>
      </c>
      <c r="AG37" s="619"/>
    </row>
    <row r="38" spans="1:33" ht="15.75" customHeight="1">
      <c r="A38" s="630" t="s">
        <v>2426</v>
      </c>
      <c r="B38" s="33" t="s">
        <v>36</v>
      </c>
      <c r="C38" s="612" t="s">
        <v>37</v>
      </c>
      <c r="D38" s="613"/>
      <c r="E38" s="33">
        <v>21.13</v>
      </c>
      <c r="F38" s="493">
        <v>4122</v>
      </c>
      <c r="G38" s="486">
        <f t="shared" ref="G38:G40" si="31">E38*F38</f>
        <v>87097.86</v>
      </c>
      <c r="H38" s="495" t="s">
        <v>5</v>
      </c>
      <c r="I38" s="491">
        <v>10</v>
      </c>
      <c r="J38" s="30">
        <v>3000</v>
      </c>
      <c r="K38" s="13">
        <f t="shared" si="1"/>
        <v>300</v>
      </c>
      <c r="L38" s="491">
        <v>10</v>
      </c>
      <c r="M38" s="14">
        <f t="shared" ref="M38:M40" si="32">F38/V38*60</f>
        <v>2875.813953488373</v>
      </c>
      <c r="N38" s="14">
        <f t="shared" si="3"/>
        <v>287.5813953488373</v>
      </c>
      <c r="O38" s="15">
        <f t="shared" si="4"/>
        <v>0</v>
      </c>
      <c r="P38" s="16">
        <f t="shared" si="5"/>
        <v>-12.418604651162696</v>
      </c>
      <c r="Q38" s="487">
        <f t="shared" si="6"/>
        <v>0.95860465116279103</v>
      </c>
      <c r="R38" s="625">
        <f>Q41</f>
        <v>0.9562353715050893</v>
      </c>
      <c r="S38" s="31">
        <v>0.20833333333333334</v>
      </c>
      <c r="T38" s="31">
        <v>0.26805555555555555</v>
      </c>
      <c r="U38" s="22"/>
      <c r="V38" s="492">
        <f t="shared" ref="V38:V40" si="33">(T38-S38)*24*60</f>
        <v>85.999999999999972</v>
      </c>
      <c r="W38" s="17"/>
      <c r="X38" s="17"/>
      <c r="Y38" s="20"/>
      <c r="Z38" s="20"/>
      <c r="AA38" s="614"/>
      <c r="AB38" s="615"/>
      <c r="AC38" s="155">
        <v>3</v>
      </c>
      <c r="AD38" s="19"/>
      <c r="AE38" s="15">
        <f t="shared" si="8"/>
        <v>-124.18604651162696</v>
      </c>
      <c r="AF38" s="487">
        <f t="shared" si="9"/>
        <v>0.95860465116279103</v>
      </c>
      <c r="AG38" s="625">
        <f>AF41</f>
        <v>0.9562353715050893</v>
      </c>
    </row>
    <row r="39" spans="1:33" ht="15.75" customHeight="1">
      <c r="A39" s="631" t="s">
        <v>2426</v>
      </c>
      <c r="B39" s="33" t="s">
        <v>36</v>
      </c>
      <c r="C39" s="612" t="s">
        <v>38</v>
      </c>
      <c r="D39" s="613"/>
      <c r="E39" s="33">
        <v>27.17</v>
      </c>
      <c r="F39" s="493">
        <v>4822</v>
      </c>
      <c r="G39" s="486">
        <f t="shared" si="31"/>
        <v>131013.74</v>
      </c>
      <c r="H39" s="495" t="s">
        <v>5</v>
      </c>
      <c r="I39" s="491">
        <v>10</v>
      </c>
      <c r="J39" s="30">
        <v>3000</v>
      </c>
      <c r="K39" s="13">
        <f t="shared" si="1"/>
        <v>300</v>
      </c>
      <c r="L39" s="491">
        <v>10</v>
      </c>
      <c r="M39" s="14">
        <f t="shared" si="32"/>
        <v>2864.5544554455432</v>
      </c>
      <c r="N39" s="14">
        <f t="shared" si="3"/>
        <v>286.45544554455432</v>
      </c>
      <c r="O39" s="15">
        <f t="shared" si="4"/>
        <v>0</v>
      </c>
      <c r="P39" s="16">
        <f t="shared" si="5"/>
        <v>-13.544554455445677</v>
      </c>
      <c r="Q39" s="487">
        <f t="shared" si="6"/>
        <v>0.95485148514851437</v>
      </c>
      <c r="R39" s="626"/>
      <c r="S39" s="31">
        <v>0.27361111111111108</v>
      </c>
      <c r="T39" s="31">
        <v>0.34375</v>
      </c>
      <c r="U39" s="486">
        <f t="shared" ref="U39:U40" si="34">(S39-T38)*24*60</f>
        <v>7.9999999999999716</v>
      </c>
      <c r="V39" s="492">
        <f t="shared" si="33"/>
        <v>101.00000000000004</v>
      </c>
      <c r="W39" s="17"/>
      <c r="X39" s="17"/>
      <c r="Y39" s="20"/>
      <c r="Z39" s="20"/>
      <c r="AA39" s="614"/>
      <c r="AB39" s="615"/>
      <c r="AC39" s="155"/>
      <c r="AD39" s="19"/>
      <c r="AE39" s="15">
        <f t="shared" si="8"/>
        <v>-135.44554455445677</v>
      </c>
      <c r="AF39" s="487">
        <f t="shared" si="9"/>
        <v>0.95485148514851437</v>
      </c>
      <c r="AG39" s="626"/>
    </row>
    <row r="40" spans="1:33" ht="15.75" customHeight="1">
      <c r="A40" s="631" t="s">
        <v>2426</v>
      </c>
      <c r="B40" s="33" t="s">
        <v>36</v>
      </c>
      <c r="C40" s="612" t="s">
        <v>1511</v>
      </c>
      <c r="D40" s="613"/>
      <c r="E40" s="33">
        <v>37.880000000000003</v>
      </c>
      <c r="F40" s="493">
        <v>3278</v>
      </c>
      <c r="G40" s="486">
        <f t="shared" si="31"/>
        <v>124170.64000000001</v>
      </c>
      <c r="H40" s="495" t="s">
        <v>5</v>
      </c>
      <c r="I40" s="491">
        <v>13</v>
      </c>
      <c r="J40" s="30">
        <v>2000</v>
      </c>
      <c r="K40" s="13">
        <f t="shared" si="1"/>
        <v>153.84615384615384</v>
      </c>
      <c r="L40" s="491">
        <v>13</v>
      </c>
      <c r="M40" s="14">
        <f t="shared" si="32"/>
        <v>1909.5145631067969</v>
      </c>
      <c r="N40" s="14">
        <f t="shared" si="3"/>
        <v>146.88573562359977</v>
      </c>
      <c r="O40" s="15">
        <f t="shared" si="4"/>
        <v>0</v>
      </c>
      <c r="P40" s="16">
        <f t="shared" si="5"/>
        <v>-6.9604182225540683</v>
      </c>
      <c r="Q40" s="487">
        <f t="shared" si="6"/>
        <v>0.95475728155339856</v>
      </c>
      <c r="R40" s="626"/>
      <c r="S40" s="31">
        <v>0.34861111111111109</v>
      </c>
      <c r="T40" s="31">
        <v>0.42013888888888884</v>
      </c>
      <c r="U40" s="486">
        <f t="shared" si="34"/>
        <v>6.9999999999999751</v>
      </c>
      <c r="V40" s="492">
        <f t="shared" si="33"/>
        <v>102.99999999999996</v>
      </c>
      <c r="W40" s="17"/>
      <c r="X40" s="17"/>
      <c r="Y40" s="20"/>
      <c r="Z40" s="20"/>
      <c r="AA40" s="614"/>
      <c r="AB40" s="615"/>
      <c r="AC40" s="155"/>
      <c r="AD40" s="19"/>
      <c r="AE40" s="15">
        <f t="shared" si="8"/>
        <v>-90.485436893203087</v>
      </c>
      <c r="AF40" s="487">
        <f t="shared" si="9"/>
        <v>0.95475728155339845</v>
      </c>
      <c r="AG40" s="626"/>
    </row>
    <row r="41" spans="1:33" ht="15.75" customHeight="1">
      <c r="A41" s="632" t="s">
        <v>198</v>
      </c>
      <c r="B41" s="33" t="s">
        <v>2427</v>
      </c>
      <c r="C41" s="607"/>
      <c r="D41" s="608"/>
      <c r="E41" s="484"/>
      <c r="F41" s="493"/>
      <c r="G41" s="486"/>
      <c r="H41" s="493"/>
      <c r="I41" s="23">
        <v>11</v>
      </c>
      <c r="J41" s="30">
        <v>2666.6666666666665</v>
      </c>
      <c r="K41" s="13">
        <f t="shared" si="1"/>
        <v>242.42424242424241</v>
      </c>
      <c r="L41" s="23">
        <v>11</v>
      </c>
      <c r="M41" s="14">
        <f>AVERAGE(M38:M40)</f>
        <v>2549.960990680238</v>
      </c>
      <c r="N41" s="13">
        <f t="shared" si="3"/>
        <v>231.81463551638527</v>
      </c>
      <c r="O41" s="15">
        <f t="shared" si="4"/>
        <v>0</v>
      </c>
      <c r="P41" s="16">
        <f t="shared" si="5"/>
        <v>-10.609606907857142</v>
      </c>
      <c r="Q41" s="487">
        <f t="shared" si="6"/>
        <v>0.9562353715050893</v>
      </c>
      <c r="R41" s="627"/>
      <c r="S41" s="31"/>
      <c r="T41" s="31"/>
      <c r="U41" s="486"/>
      <c r="V41" s="492"/>
      <c r="W41" s="17"/>
      <c r="X41" s="17"/>
      <c r="Y41" s="24">
        <f>SUM(Y38:Y40)</f>
        <v>0</v>
      </c>
      <c r="Z41" s="24">
        <f>SUM(Z38:Z40)</f>
        <v>0</v>
      </c>
      <c r="AA41" s="628"/>
      <c r="AB41" s="629"/>
      <c r="AC41" s="24">
        <v>3</v>
      </c>
      <c r="AD41" s="24">
        <f>SUM(AD38:AD40)</f>
        <v>0</v>
      </c>
      <c r="AE41" s="15">
        <f t="shared" si="8"/>
        <v>-116.70567598642856</v>
      </c>
      <c r="AF41" s="487">
        <f t="shared" si="9"/>
        <v>0.9562353715050893</v>
      </c>
      <c r="AG41" s="627"/>
    </row>
    <row r="42" spans="1:33" ht="15.75" customHeight="1">
      <c r="A42" s="623" t="s">
        <v>2428</v>
      </c>
      <c r="B42" s="33" t="s">
        <v>10</v>
      </c>
      <c r="C42" s="611" t="s">
        <v>42</v>
      </c>
      <c r="D42" s="611"/>
      <c r="E42" s="33">
        <v>46</v>
      </c>
      <c r="F42" s="35">
        <v>745</v>
      </c>
      <c r="G42" s="486">
        <f t="shared" ref="G42:G49" si="35">E42*F42</f>
        <v>34270</v>
      </c>
      <c r="H42" s="495" t="s">
        <v>5</v>
      </c>
      <c r="I42" s="491">
        <v>16</v>
      </c>
      <c r="J42" s="30">
        <v>2000</v>
      </c>
      <c r="K42" s="13">
        <f t="shared" si="1"/>
        <v>125</v>
      </c>
      <c r="L42" s="491">
        <v>16</v>
      </c>
      <c r="M42" s="14">
        <f t="shared" ref="M42" si="36">F42/V42*60</f>
        <v>1943.4782608695652</v>
      </c>
      <c r="N42" s="14">
        <f t="shared" si="3"/>
        <v>121.46739130434783</v>
      </c>
      <c r="O42" s="15">
        <f t="shared" si="4"/>
        <v>0</v>
      </c>
      <c r="P42" s="16">
        <f t="shared" si="5"/>
        <v>-3.5326086956521721</v>
      </c>
      <c r="Q42" s="487">
        <f t="shared" si="6"/>
        <v>0.97173913043478266</v>
      </c>
      <c r="R42" s="619">
        <f>Q50</f>
        <v>0.96953416423363803</v>
      </c>
      <c r="S42" s="31">
        <v>0.20833333333333334</v>
      </c>
      <c r="T42" s="31">
        <v>0.22430555555555556</v>
      </c>
      <c r="U42" s="22"/>
      <c r="V42" s="492">
        <f t="shared" ref="V42:V49" si="37">(T42-S42)*24*60</f>
        <v>23</v>
      </c>
      <c r="W42" s="17"/>
      <c r="X42" s="17"/>
      <c r="Y42" s="22"/>
      <c r="Z42" s="22"/>
      <c r="AA42" s="610"/>
      <c r="AB42" s="610"/>
      <c r="AC42" s="155">
        <v>8</v>
      </c>
      <c r="AD42" s="19"/>
      <c r="AE42" s="15">
        <f t="shared" si="8"/>
        <v>-56.521739130434753</v>
      </c>
      <c r="AF42" s="487">
        <f t="shared" si="9"/>
        <v>0.97173913043478266</v>
      </c>
      <c r="AG42" s="619">
        <f>AF50</f>
        <v>0.96953416423363803</v>
      </c>
    </row>
    <row r="43" spans="1:33" ht="15.75" customHeight="1">
      <c r="A43" s="623" t="s">
        <v>2429</v>
      </c>
      <c r="B43" s="33" t="s">
        <v>10</v>
      </c>
      <c r="C43" s="611" t="s">
        <v>43</v>
      </c>
      <c r="D43" s="611"/>
      <c r="E43" s="33">
        <v>46</v>
      </c>
      <c r="F43" s="35">
        <v>858</v>
      </c>
      <c r="G43" s="486">
        <f t="shared" si="35"/>
        <v>39468</v>
      </c>
      <c r="H43" s="495" t="s">
        <v>5</v>
      </c>
      <c r="I43" s="491">
        <v>17</v>
      </c>
      <c r="J43" s="30">
        <v>2000</v>
      </c>
      <c r="K43" s="13">
        <f t="shared" si="1"/>
        <v>117.64705882352941</v>
      </c>
      <c r="L43" s="491">
        <v>17</v>
      </c>
      <c r="M43" s="14">
        <f>F43/V43*60</f>
        <v>1906.6666666666677</v>
      </c>
      <c r="N43" s="14">
        <f t="shared" si="3"/>
        <v>112.1568627450981</v>
      </c>
      <c r="O43" s="15">
        <f t="shared" si="4"/>
        <v>0</v>
      </c>
      <c r="P43" s="16">
        <f t="shared" si="5"/>
        <v>-5.4901960784313104</v>
      </c>
      <c r="Q43" s="487">
        <f t="shared" si="6"/>
        <v>0.95333333333333381</v>
      </c>
      <c r="R43" s="619"/>
      <c r="S43" s="31">
        <v>0.22777777777777777</v>
      </c>
      <c r="T43" s="31">
        <v>0.24652777777777776</v>
      </c>
      <c r="U43" s="486">
        <f t="shared" ref="U43:U49" si="38">IF(S43=TIME(17,0,0),"",(S43-T42)*24*60)</f>
        <v>4.9999999999999822</v>
      </c>
      <c r="V43" s="492">
        <f t="shared" si="37"/>
        <v>26.999999999999986</v>
      </c>
      <c r="W43" s="17"/>
      <c r="X43" s="17"/>
      <c r="Y43" s="17"/>
      <c r="Z43" s="17"/>
      <c r="AA43" s="610"/>
      <c r="AB43" s="610"/>
      <c r="AC43" s="155"/>
      <c r="AD43" s="19"/>
      <c r="AE43" s="15">
        <f t="shared" si="8"/>
        <v>-93.333333333332348</v>
      </c>
      <c r="AF43" s="487">
        <f t="shared" si="9"/>
        <v>0.95333333333333381</v>
      </c>
      <c r="AG43" s="619"/>
    </row>
    <row r="44" spans="1:33" ht="15.75" customHeight="1">
      <c r="A44" s="623" t="s">
        <v>2430</v>
      </c>
      <c r="B44" s="33" t="s">
        <v>6</v>
      </c>
      <c r="C44" s="612" t="s">
        <v>41</v>
      </c>
      <c r="D44" s="613"/>
      <c r="E44" s="33">
        <v>51.44</v>
      </c>
      <c r="F44" s="35">
        <v>998</v>
      </c>
      <c r="G44" s="486">
        <f t="shared" si="35"/>
        <v>51337.119999999995</v>
      </c>
      <c r="H44" s="495" t="s">
        <v>5</v>
      </c>
      <c r="I44" s="491">
        <v>25</v>
      </c>
      <c r="J44" s="30">
        <v>2000</v>
      </c>
      <c r="K44" s="13">
        <f t="shared" si="1"/>
        <v>80</v>
      </c>
      <c r="L44" s="491">
        <v>25</v>
      </c>
      <c r="M44" s="14">
        <f t="shared" ref="M44:M49" si="39">F44/V44*60</f>
        <v>1931.6129032258082</v>
      </c>
      <c r="N44" s="14">
        <f t="shared" si="3"/>
        <v>77.26451612903233</v>
      </c>
      <c r="O44" s="15">
        <f t="shared" si="4"/>
        <v>0</v>
      </c>
      <c r="P44" s="16">
        <f t="shared" si="5"/>
        <v>-2.7354838709676699</v>
      </c>
      <c r="Q44" s="487">
        <f t="shared" si="6"/>
        <v>0.96580645161290413</v>
      </c>
      <c r="R44" s="619"/>
      <c r="S44" s="31">
        <v>0.25208333333333333</v>
      </c>
      <c r="T44" s="31">
        <v>0.27361111111111108</v>
      </c>
      <c r="U44" s="486">
        <f t="shared" si="38"/>
        <v>8.0000000000000107</v>
      </c>
      <c r="V44" s="492">
        <f t="shared" si="37"/>
        <v>30.999999999999972</v>
      </c>
      <c r="W44" s="17"/>
      <c r="X44" s="17"/>
      <c r="Y44" s="20"/>
      <c r="Z44" s="20"/>
      <c r="AA44" s="610"/>
      <c r="AB44" s="610"/>
      <c r="AC44" s="155"/>
      <c r="AD44" s="19"/>
      <c r="AE44" s="15">
        <f t="shared" si="8"/>
        <v>-68.387096774191832</v>
      </c>
      <c r="AF44" s="487">
        <f t="shared" si="9"/>
        <v>0.96580645161290413</v>
      </c>
      <c r="AG44" s="619"/>
    </row>
    <row r="45" spans="1:33" ht="15.75" customHeight="1">
      <c r="A45" s="623" t="s">
        <v>2429</v>
      </c>
      <c r="B45" s="33" t="s">
        <v>6</v>
      </c>
      <c r="C45" s="480" t="s">
        <v>77</v>
      </c>
      <c r="D45" s="481"/>
      <c r="E45" s="33">
        <v>56.43</v>
      </c>
      <c r="F45" s="35">
        <v>599</v>
      </c>
      <c r="G45" s="486">
        <f t="shared" si="35"/>
        <v>33801.57</v>
      </c>
      <c r="H45" s="495" t="s">
        <v>5</v>
      </c>
      <c r="I45" s="491">
        <v>23</v>
      </c>
      <c r="J45" s="30">
        <v>2000</v>
      </c>
      <c r="K45" s="13">
        <f t="shared" si="1"/>
        <v>86.956521739130437</v>
      </c>
      <c r="L45" s="491">
        <v>23</v>
      </c>
      <c r="M45" s="14">
        <f t="shared" si="39"/>
        <v>1996.6666666666649</v>
      </c>
      <c r="N45" s="14">
        <f t="shared" si="3"/>
        <v>86.811594202898476</v>
      </c>
      <c r="O45" s="15">
        <f t="shared" si="4"/>
        <v>0</v>
      </c>
      <c r="P45" s="16">
        <f t="shared" si="5"/>
        <v>-0.14492753623196108</v>
      </c>
      <c r="Q45" s="487">
        <f t="shared" si="6"/>
        <v>0.99833333333333241</v>
      </c>
      <c r="R45" s="619"/>
      <c r="S45" s="31">
        <v>0.27777777777777773</v>
      </c>
      <c r="T45" s="31">
        <v>0.29027777777777775</v>
      </c>
      <c r="U45" s="486">
        <f t="shared" si="38"/>
        <v>5.9999999999999787</v>
      </c>
      <c r="V45" s="492">
        <f t="shared" si="37"/>
        <v>18.000000000000014</v>
      </c>
      <c r="W45" s="17"/>
      <c r="X45" s="17"/>
      <c r="Y45" s="20"/>
      <c r="Z45" s="20"/>
      <c r="AA45" s="610"/>
      <c r="AB45" s="610"/>
      <c r="AC45" s="155"/>
      <c r="AD45" s="19"/>
      <c r="AE45" s="15">
        <f t="shared" si="8"/>
        <v>-3.3333333333350765</v>
      </c>
      <c r="AF45" s="487">
        <f t="shared" si="9"/>
        <v>0.99833333333333241</v>
      </c>
      <c r="AG45" s="619"/>
    </row>
    <row r="46" spans="1:33" ht="15.75" customHeight="1">
      <c r="A46" s="623" t="s">
        <v>2431</v>
      </c>
      <c r="B46" s="33" t="s">
        <v>6</v>
      </c>
      <c r="C46" s="480" t="s">
        <v>1513</v>
      </c>
      <c r="D46" s="481"/>
      <c r="E46" s="33">
        <v>56.43</v>
      </c>
      <c r="F46" s="35">
        <v>1703</v>
      </c>
      <c r="G46" s="486">
        <f t="shared" si="35"/>
        <v>96100.29</v>
      </c>
      <c r="H46" s="495" t="s">
        <v>5</v>
      </c>
      <c r="I46" s="491">
        <v>21</v>
      </c>
      <c r="J46" s="30">
        <v>2000</v>
      </c>
      <c r="K46" s="13">
        <f t="shared" si="1"/>
        <v>95.238095238095241</v>
      </c>
      <c r="L46" s="491">
        <v>21</v>
      </c>
      <c r="M46" s="14">
        <f t="shared" si="39"/>
        <v>1927.9245283018877</v>
      </c>
      <c r="N46" s="14">
        <f t="shared" si="3"/>
        <v>91.805929919137512</v>
      </c>
      <c r="O46" s="15">
        <f t="shared" si="4"/>
        <v>0</v>
      </c>
      <c r="P46" s="16">
        <f t="shared" si="5"/>
        <v>-3.432165318957729</v>
      </c>
      <c r="Q46" s="487">
        <f t="shared" si="6"/>
        <v>0.96396226415094388</v>
      </c>
      <c r="R46" s="619"/>
      <c r="S46" s="31">
        <v>0.29374999999999996</v>
      </c>
      <c r="T46" s="31">
        <v>0.33055555555555549</v>
      </c>
      <c r="U46" s="486">
        <f t="shared" si="38"/>
        <v>4.9999999999999822</v>
      </c>
      <c r="V46" s="492">
        <f t="shared" si="37"/>
        <v>52.999999999999972</v>
      </c>
      <c r="W46" s="17"/>
      <c r="X46" s="17"/>
      <c r="Y46" s="20"/>
      <c r="Z46" s="20"/>
      <c r="AA46" s="610"/>
      <c r="AB46" s="610"/>
      <c r="AC46" s="155"/>
      <c r="AD46" s="19"/>
      <c r="AE46" s="15">
        <f t="shared" si="8"/>
        <v>-72.075471698112324</v>
      </c>
      <c r="AF46" s="487">
        <f t="shared" si="9"/>
        <v>0.96396226415094388</v>
      </c>
      <c r="AG46" s="619"/>
    </row>
    <row r="47" spans="1:33" ht="15.75" customHeight="1">
      <c r="A47" s="623" t="s">
        <v>2431</v>
      </c>
      <c r="B47" s="33" t="s">
        <v>6</v>
      </c>
      <c r="C47" s="612" t="s">
        <v>44</v>
      </c>
      <c r="D47" s="613"/>
      <c r="E47" s="33">
        <v>55.56</v>
      </c>
      <c r="F47" s="35">
        <v>1706</v>
      </c>
      <c r="G47" s="486">
        <f t="shared" si="35"/>
        <v>94785.36</v>
      </c>
      <c r="H47" s="495" t="s">
        <v>5</v>
      </c>
      <c r="I47" s="491">
        <v>17</v>
      </c>
      <c r="J47" s="30">
        <v>2000</v>
      </c>
      <c r="K47" s="13">
        <f t="shared" si="1"/>
        <v>117.64705882352941</v>
      </c>
      <c r="L47" s="491">
        <v>17</v>
      </c>
      <c r="M47" s="14">
        <f t="shared" si="39"/>
        <v>1931.320754716982</v>
      </c>
      <c r="N47" s="14">
        <f t="shared" si="3"/>
        <v>113.607103218646</v>
      </c>
      <c r="O47" s="15">
        <f t="shared" si="4"/>
        <v>0</v>
      </c>
      <c r="P47" s="16">
        <f t="shared" si="5"/>
        <v>-4.0399556048834029</v>
      </c>
      <c r="Q47" s="487">
        <f t="shared" si="6"/>
        <v>0.96566037735849108</v>
      </c>
      <c r="R47" s="619"/>
      <c r="S47" s="31">
        <v>0.70833333333333337</v>
      </c>
      <c r="T47" s="31">
        <v>0.74513888888888891</v>
      </c>
      <c r="U47" s="486" t="str">
        <f t="shared" si="38"/>
        <v/>
      </c>
      <c r="V47" s="492">
        <f t="shared" si="37"/>
        <v>52.999999999999972</v>
      </c>
      <c r="W47" s="17"/>
      <c r="X47" s="17"/>
      <c r="Y47" s="20"/>
      <c r="Z47" s="20"/>
      <c r="AA47" s="614"/>
      <c r="AB47" s="615"/>
      <c r="AC47" s="155"/>
      <c r="AD47" s="19"/>
      <c r="AE47" s="15">
        <f t="shared" si="8"/>
        <v>-68.679245283017963</v>
      </c>
      <c r="AF47" s="487">
        <f t="shared" si="9"/>
        <v>0.96566037735849097</v>
      </c>
      <c r="AG47" s="619"/>
    </row>
    <row r="48" spans="1:33" ht="15.75" customHeight="1">
      <c r="A48" s="623" t="s">
        <v>2431</v>
      </c>
      <c r="B48" s="33" t="s">
        <v>6</v>
      </c>
      <c r="C48" s="612" t="s">
        <v>72</v>
      </c>
      <c r="D48" s="613"/>
      <c r="E48" s="33">
        <v>58.17</v>
      </c>
      <c r="F48" s="35">
        <v>1115</v>
      </c>
      <c r="G48" s="486">
        <f t="shared" si="35"/>
        <v>64859.55</v>
      </c>
      <c r="H48" s="495" t="s">
        <v>5</v>
      </c>
      <c r="I48" s="491">
        <v>13</v>
      </c>
      <c r="J48" s="30">
        <v>2000</v>
      </c>
      <c r="K48" s="13">
        <f t="shared" si="1"/>
        <v>153.84615384615384</v>
      </c>
      <c r="L48" s="491">
        <v>13</v>
      </c>
      <c r="M48" s="14">
        <f t="shared" si="39"/>
        <v>1911.4285714285695</v>
      </c>
      <c r="N48" s="14">
        <f t="shared" si="3"/>
        <v>147.03296703296689</v>
      </c>
      <c r="O48" s="15">
        <f t="shared" si="4"/>
        <v>0</v>
      </c>
      <c r="P48" s="16">
        <f t="shared" si="5"/>
        <v>-6.8131868131869453</v>
      </c>
      <c r="Q48" s="487">
        <f t="shared" si="6"/>
        <v>0.95571428571428485</v>
      </c>
      <c r="R48" s="619"/>
      <c r="S48" s="31">
        <v>0.75069444444444444</v>
      </c>
      <c r="T48" s="31">
        <v>0.77500000000000002</v>
      </c>
      <c r="U48" s="486">
        <f t="shared" si="38"/>
        <v>7.9999999999999716</v>
      </c>
      <c r="V48" s="492">
        <f t="shared" si="37"/>
        <v>35.000000000000036</v>
      </c>
      <c r="W48" s="17"/>
      <c r="X48" s="17"/>
      <c r="Y48" s="20"/>
      <c r="Z48" s="20"/>
      <c r="AA48" s="614"/>
      <c r="AB48" s="615"/>
      <c r="AC48" s="155"/>
      <c r="AD48" s="19"/>
      <c r="AE48" s="15">
        <f t="shared" si="8"/>
        <v>-88.571428571430488</v>
      </c>
      <c r="AF48" s="487">
        <f t="shared" si="9"/>
        <v>0.95571428571428474</v>
      </c>
      <c r="AG48" s="619"/>
    </row>
    <row r="49" spans="1:33" ht="15.75" customHeight="1">
      <c r="A49" s="623" t="s">
        <v>2430</v>
      </c>
      <c r="B49" s="33" t="s">
        <v>6</v>
      </c>
      <c r="C49" s="612" t="s">
        <v>82</v>
      </c>
      <c r="D49" s="613"/>
      <c r="E49" s="33">
        <v>54.09</v>
      </c>
      <c r="F49" s="35">
        <v>949</v>
      </c>
      <c r="G49" s="486">
        <f t="shared" si="35"/>
        <v>51331.41</v>
      </c>
      <c r="H49" s="495" t="s">
        <v>5</v>
      </c>
      <c r="I49" s="491">
        <v>14</v>
      </c>
      <c r="J49" s="30">
        <v>2000</v>
      </c>
      <c r="K49" s="13">
        <f t="shared" si="1"/>
        <v>142.85714285714286</v>
      </c>
      <c r="L49" s="491">
        <v>14</v>
      </c>
      <c r="M49" s="14">
        <f t="shared" si="39"/>
        <v>1963.4482758620652</v>
      </c>
      <c r="N49" s="14">
        <f t="shared" si="3"/>
        <v>140.24630541871895</v>
      </c>
      <c r="O49" s="15">
        <f t="shared" si="4"/>
        <v>0</v>
      </c>
      <c r="P49" s="16">
        <f t="shared" si="5"/>
        <v>-2.6108374384239141</v>
      </c>
      <c r="Q49" s="487">
        <f t="shared" si="6"/>
        <v>0.98172413793103264</v>
      </c>
      <c r="R49" s="619"/>
      <c r="S49" s="31">
        <v>0.77916666666666667</v>
      </c>
      <c r="T49" s="31">
        <v>0.7993055555555556</v>
      </c>
      <c r="U49" s="486">
        <f t="shared" si="38"/>
        <v>5.9999999999999787</v>
      </c>
      <c r="V49" s="492">
        <f t="shared" si="37"/>
        <v>29.000000000000057</v>
      </c>
      <c r="W49" s="17"/>
      <c r="X49" s="17"/>
      <c r="Y49" s="20"/>
      <c r="Z49" s="20"/>
      <c r="AA49" s="614"/>
      <c r="AB49" s="615"/>
      <c r="AC49" s="155"/>
      <c r="AD49" s="19"/>
      <c r="AE49" s="15">
        <f t="shared" si="8"/>
        <v>-36.551724137934798</v>
      </c>
      <c r="AF49" s="487">
        <f t="shared" si="9"/>
        <v>0.98172413793103264</v>
      </c>
      <c r="AG49" s="619"/>
    </row>
    <row r="50" spans="1:33">
      <c r="A50" s="624" t="s">
        <v>2432</v>
      </c>
      <c r="B50" s="33" t="s">
        <v>180</v>
      </c>
      <c r="C50" s="620"/>
      <c r="D50" s="620"/>
      <c r="E50" s="488"/>
      <c r="F50" s="34"/>
      <c r="G50" s="13"/>
      <c r="H50" s="493"/>
      <c r="I50" s="23">
        <v>18.25</v>
      </c>
      <c r="J50" s="30">
        <v>2000</v>
      </c>
      <c r="K50" s="13">
        <f t="shared" si="1"/>
        <v>109.58904109589041</v>
      </c>
      <c r="L50" s="23">
        <v>18.25</v>
      </c>
      <c r="M50" s="14">
        <f>AVERAGE(M42:M49)</f>
        <v>1939.0683284672762</v>
      </c>
      <c r="N50" s="13">
        <f t="shared" si="3"/>
        <v>106.25031936806992</v>
      </c>
      <c r="O50" s="15">
        <f t="shared" si="4"/>
        <v>0</v>
      </c>
      <c r="P50" s="16">
        <f t="shared" si="5"/>
        <v>-3.3387217278204844</v>
      </c>
      <c r="Q50" s="487">
        <f t="shared" si="6"/>
        <v>0.96953416423363803</v>
      </c>
      <c r="R50" s="619"/>
      <c r="S50" s="31"/>
      <c r="T50" s="31"/>
      <c r="U50" s="486"/>
      <c r="V50" s="492"/>
      <c r="W50" s="13"/>
      <c r="X50" s="13"/>
      <c r="Y50" s="24">
        <f>SUM(Y42:Y49)</f>
        <v>0</v>
      </c>
      <c r="Z50" s="24">
        <f>SUM(Z42:Z49)</f>
        <v>0</v>
      </c>
      <c r="AA50" s="609"/>
      <c r="AB50" s="609"/>
      <c r="AC50" s="24">
        <v>8</v>
      </c>
      <c r="AD50" s="24">
        <f>SUM(AD42:AD49)</f>
        <v>0</v>
      </c>
      <c r="AE50" s="15">
        <f>M50-J50</f>
        <v>-60.93167153272384</v>
      </c>
      <c r="AF50" s="487">
        <f t="shared" si="9"/>
        <v>0.96953416423363803</v>
      </c>
      <c r="AG50" s="619"/>
    </row>
    <row r="51" spans="1:33" ht="15.75" customHeight="1">
      <c r="A51" s="621" t="s">
        <v>2433</v>
      </c>
      <c r="B51" s="493" t="s">
        <v>36</v>
      </c>
      <c r="C51" s="611" t="s">
        <v>46</v>
      </c>
      <c r="D51" s="611"/>
      <c r="E51" s="33">
        <v>35.119999999999997</v>
      </c>
      <c r="F51" s="35">
        <v>3805</v>
      </c>
      <c r="G51" s="486">
        <f t="shared" ref="G51:G55" si="40">E51*F51</f>
        <v>133631.59999999998</v>
      </c>
      <c r="H51" s="495" t="s">
        <v>5</v>
      </c>
      <c r="I51" s="491">
        <v>10</v>
      </c>
      <c r="J51" s="30">
        <v>3000</v>
      </c>
      <c r="K51" s="13">
        <f t="shared" si="1"/>
        <v>300</v>
      </c>
      <c r="L51" s="491">
        <v>10</v>
      </c>
      <c r="M51" s="14">
        <f t="shared" ref="M51:M55" si="41">F51/V51*60</f>
        <v>2853.75</v>
      </c>
      <c r="N51" s="13">
        <f t="shared" si="3"/>
        <v>285.375</v>
      </c>
      <c r="O51" s="15">
        <f t="shared" si="4"/>
        <v>0</v>
      </c>
      <c r="P51" s="16">
        <f t="shared" si="5"/>
        <v>-14.625</v>
      </c>
      <c r="Q51" s="487">
        <f t="shared" si="6"/>
        <v>0.95125000000000004</v>
      </c>
      <c r="R51" s="619">
        <f>Q56</f>
        <v>0.96001342892383557</v>
      </c>
      <c r="S51" s="31">
        <v>0.20833333333333334</v>
      </c>
      <c r="T51" s="31">
        <v>0.2638888888888889</v>
      </c>
      <c r="U51" s="486"/>
      <c r="V51" s="492">
        <f t="shared" ref="V51:V55" si="42">(T51-S51)*24*60</f>
        <v>80</v>
      </c>
      <c r="W51" s="17"/>
      <c r="X51" s="17"/>
      <c r="Y51" s="22"/>
      <c r="Z51" s="22"/>
      <c r="AA51" s="610"/>
      <c r="AB51" s="610"/>
      <c r="AC51" s="155">
        <v>5</v>
      </c>
      <c r="AD51" s="19"/>
      <c r="AE51" s="15">
        <f t="shared" ref="AE51:AE64" si="43">M51-J51</f>
        <v>-146.25</v>
      </c>
      <c r="AF51" s="487">
        <f t="shared" si="9"/>
        <v>0.95125000000000004</v>
      </c>
      <c r="AG51" s="619">
        <f>AF56</f>
        <v>0.96001342892383557</v>
      </c>
    </row>
    <row r="52" spans="1:33" ht="15.75" customHeight="1">
      <c r="A52" s="621" t="s">
        <v>85</v>
      </c>
      <c r="B52" s="493" t="s">
        <v>36</v>
      </c>
      <c r="C52" s="611" t="s">
        <v>47</v>
      </c>
      <c r="D52" s="611"/>
      <c r="E52" s="33">
        <v>26.78</v>
      </c>
      <c r="F52" s="35">
        <v>1859</v>
      </c>
      <c r="G52" s="486">
        <f t="shared" si="40"/>
        <v>49784.020000000004</v>
      </c>
      <c r="H52" s="495" t="s">
        <v>5</v>
      </c>
      <c r="I52" s="491">
        <v>10</v>
      </c>
      <c r="J52" s="30">
        <v>3000</v>
      </c>
      <c r="K52" s="13">
        <f t="shared" si="1"/>
        <v>300</v>
      </c>
      <c r="L52" s="491">
        <v>10</v>
      </c>
      <c r="M52" s="14">
        <f t="shared" si="41"/>
        <v>2859.9999999999986</v>
      </c>
      <c r="N52" s="13">
        <f t="shared" si="3"/>
        <v>285.99999999999989</v>
      </c>
      <c r="O52" s="15">
        <f t="shared" si="4"/>
        <v>0</v>
      </c>
      <c r="P52" s="16">
        <f t="shared" si="5"/>
        <v>-14.000000000000114</v>
      </c>
      <c r="Q52" s="487">
        <f t="shared" si="6"/>
        <v>0.95333333333333292</v>
      </c>
      <c r="R52" s="619"/>
      <c r="S52" s="31">
        <v>0.26944444444444443</v>
      </c>
      <c r="T52" s="31">
        <v>0.29652777777777778</v>
      </c>
      <c r="U52" s="486">
        <f t="shared" ref="U52:U55" si="44">(S52-T51)*24*60</f>
        <v>7.9999999999999716</v>
      </c>
      <c r="V52" s="492">
        <f t="shared" si="42"/>
        <v>39.000000000000021</v>
      </c>
      <c r="W52" s="486"/>
      <c r="X52" s="486"/>
      <c r="Y52" s="486"/>
      <c r="Z52" s="486"/>
      <c r="AA52" s="610"/>
      <c r="AB52" s="610"/>
      <c r="AC52" s="155"/>
      <c r="AD52" s="19"/>
      <c r="AE52" s="15">
        <f t="shared" si="43"/>
        <v>-140.00000000000136</v>
      </c>
      <c r="AF52" s="487">
        <f t="shared" si="9"/>
        <v>0.95333333333333292</v>
      </c>
      <c r="AG52" s="619"/>
    </row>
    <row r="53" spans="1:33" ht="15.75" customHeight="1">
      <c r="A53" s="621" t="s">
        <v>2434</v>
      </c>
      <c r="B53" s="493" t="s">
        <v>36</v>
      </c>
      <c r="C53" s="611" t="s">
        <v>49</v>
      </c>
      <c r="D53" s="611"/>
      <c r="E53" s="33">
        <v>35.869999999999997</v>
      </c>
      <c r="F53" s="35">
        <v>2189</v>
      </c>
      <c r="G53" s="486">
        <f t="shared" si="40"/>
        <v>78519.429999999993</v>
      </c>
      <c r="H53" s="495" t="s">
        <v>5</v>
      </c>
      <c r="I53" s="491">
        <v>10</v>
      </c>
      <c r="J53" s="30">
        <v>3000</v>
      </c>
      <c r="K53" s="13">
        <f t="shared" si="1"/>
        <v>300</v>
      </c>
      <c r="L53" s="491">
        <v>10</v>
      </c>
      <c r="M53" s="14">
        <f t="shared" si="41"/>
        <v>2855.217391304348</v>
      </c>
      <c r="N53" s="13">
        <f t="shared" si="3"/>
        <v>285.52173913043481</v>
      </c>
      <c r="O53" s="15">
        <f t="shared" si="4"/>
        <v>0</v>
      </c>
      <c r="P53" s="16">
        <f t="shared" si="5"/>
        <v>-14.47826086956519</v>
      </c>
      <c r="Q53" s="487">
        <f t="shared" si="6"/>
        <v>0.95173913043478275</v>
      </c>
      <c r="R53" s="619"/>
      <c r="S53" s="31">
        <v>0.3</v>
      </c>
      <c r="T53" s="31">
        <v>0.33194444444444443</v>
      </c>
      <c r="U53" s="486">
        <f t="shared" si="44"/>
        <v>4.9999999999999822</v>
      </c>
      <c r="V53" s="492">
        <f t="shared" si="42"/>
        <v>46</v>
      </c>
      <c r="W53" s="486"/>
      <c r="X53" s="486"/>
      <c r="Y53" s="486"/>
      <c r="Z53" s="486"/>
      <c r="AA53" s="610"/>
      <c r="AB53" s="610"/>
      <c r="AC53" s="155"/>
      <c r="AD53" s="19"/>
      <c r="AE53" s="15">
        <f t="shared" si="43"/>
        <v>-144.78260869565202</v>
      </c>
      <c r="AF53" s="487">
        <f t="shared" si="9"/>
        <v>0.95173913043478264</v>
      </c>
      <c r="AG53" s="619"/>
    </row>
    <row r="54" spans="1:33" ht="15.75" customHeight="1">
      <c r="A54" s="621" t="s">
        <v>2435</v>
      </c>
      <c r="B54" s="493" t="s">
        <v>36</v>
      </c>
      <c r="C54" s="611" t="s">
        <v>39</v>
      </c>
      <c r="D54" s="611"/>
      <c r="E54" s="33">
        <v>35.869999999999997</v>
      </c>
      <c r="F54" s="35">
        <v>741</v>
      </c>
      <c r="G54" s="486">
        <f t="shared" si="40"/>
        <v>26579.67</v>
      </c>
      <c r="H54" s="495" t="s">
        <v>5</v>
      </c>
      <c r="I54" s="491">
        <v>9</v>
      </c>
      <c r="J54" s="30">
        <v>3000</v>
      </c>
      <c r="K54" s="13">
        <f t="shared" si="1"/>
        <v>333.33333333333331</v>
      </c>
      <c r="L54" s="491">
        <v>9</v>
      </c>
      <c r="M54" s="14">
        <f t="shared" si="41"/>
        <v>2963.999999999995</v>
      </c>
      <c r="N54" s="13">
        <f t="shared" si="3"/>
        <v>329.3333333333328</v>
      </c>
      <c r="O54" s="15">
        <f t="shared" si="4"/>
        <v>0</v>
      </c>
      <c r="P54" s="16">
        <f t="shared" si="5"/>
        <v>-4.0000000000005116</v>
      </c>
      <c r="Q54" s="487">
        <f t="shared" si="6"/>
        <v>0.98799999999999844</v>
      </c>
      <c r="R54" s="619"/>
      <c r="S54" s="31">
        <v>0.33749999999999997</v>
      </c>
      <c r="T54" s="31">
        <v>0.34791666666666665</v>
      </c>
      <c r="U54" s="486">
        <f t="shared" si="44"/>
        <v>7.9999999999999716</v>
      </c>
      <c r="V54" s="492">
        <f t="shared" si="42"/>
        <v>15.000000000000027</v>
      </c>
      <c r="W54" s="486"/>
      <c r="X54" s="486"/>
      <c r="Y54" s="486"/>
      <c r="Z54" s="486"/>
      <c r="AA54" s="610"/>
      <c r="AB54" s="610"/>
      <c r="AC54" s="155"/>
      <c r="AD54" s="19"/>
      <c r="AE54" s="15">
        <f t="shared" si="43"/>
        <v>-36.000000000005002</v>
      </c>
      <c r="AF54" s="487">
        <f t="shared" si="9"/>
        <v>0.98799999999999832</v>
      </c>
      <c r="AG54" s="619"/>
    </row>
    <row r="55" spans="1:33">
      <c r="A55" s="622" t="s">
        <v>85</v>
      </c>
      <c r="B55" s="493" t="s">
        <v>36</v>
      </c>
      <c r="C55" s="611" t="s">
        <v>74</v>
      </c>
      <c r="D55" s="611"/>
      <c r="E55" s="33">
        <v>33.770000000000003</v>
      </c>
      <c r="F55" s="35">
        <v>2246</v>
      </c>
      <c r="G55" s="486">
        <f t="shared" si="40"/>
        <v>75847.420000000013</v>
      </c>
      <c r="H55" s="495" t="s">
        <v>5</v>
      </c>
      <c r="I55" s="491">
        <v>12</v>
      </c>
      <c r="J55" s="30">
        <v>3000</v>
      </c>
      <c r="K55" s="13">
        <f t="shared" si="1"/>
        <v>250</v>
      </c>
      <c r="L55" s="491">
        <v>12</v>
      </c>
      <c r="M55" s="14">
        <f t="shared" si="41"/>
        <v>2867.234042553192</v>
      </c>
      <c r="N55" s="13">
        <f t="shared" si="3"/>
        <v>238.936170212766</v>
      </c>
      <c r="O55" s="15">
        <f t="shared" si="4"/>
        <v>0</v>
      </c>
      <c r="P55" s="16">
        <f t="shared" si="5"/>
        <v>-11.063829787233999</v>
      </c>
      <c r="Q55" s="487">
        <f t="shared" si="6"/>
        <v>0.95574468085106401</v>
      </c>
      <c r="R55" s="619"/>
      <c r="S55" s="31">
        <v>0.3520833333333333</v>
      </c>
      <c r="T55" s="31">
        <v>0.38472222222222219</v>
      </c>
      <c r="U55" s="486">
        <f t="shared" si="44"/>
        <v>5.9999999999999787</v>
      </c>
      <c r="V55" s="492">
        <f t="shared" si="42"/>
        <v>46.999999999999993</v>
      </c>
      <c r="W55" s="17"/>
      <c r="X55" s="17"/>
      <c r="Y55" s="17"/>
      <c r="Z55" s="17"/>
      <c r="AA55" s="610"/>
      <c r="AB55" s="610"/>
      <c r="AC55" s="155"/>
      <c r="AD55" s="19"/>
      <c r="AE55" s="15">
        <f t="shared" si="43"/>
        <v>-132.76595744680799</v>
      </c>
      <c r="AF55" s="487">
        <f t="shared" si="9"/>
        <v>0.95574468085106401</v>
      </c>
      <c r="AG55" s="619"/>
    </row>
    <row r="56" spans="1:33">
      <c r="A56" s="622" t="s">
        <v>2433</v>
      </c>
      <c r="B56" s="33" t="s">
        <v>2411</v>
      </c>
      <c r="C56" s="620"/>
      <c r="D56" s="620"/>
      <c r="E56" s="488"/>
      <c r="F56" s="34"/>
      <c r="G56" s="13"/>
      <c r="H56" s="493"/>
      <c r="I56" s="23">
        <v>10.199999999999999</v>
      </c>
      <c r="J56" s="30">
        <v>3000</v>
      </c>
      <c r="K56" s="13">
        <f t="shared" si="1"/>
        <v>294.11764705882354</v>
      </c>
      <c r="L56" s="23">
        <v>10.199999999999999</v>
      </c>
      <c r="M56" s="14">
        <f>AVERAGE(M51:M55)</f>
        <v>2880.0402867715065</v>
      </c>
      <c r="N56" s="13">
        <f t="shared" si="3"/>
        <v>282.35689085995165</v>
      </c>
      <c r="O56" s="15">
        <f t="shared" si="4"/>
        <v>0</v>
      </c>
      <c r="P56" s="16">
        <f t="shared" si="5"/>
        <v>-11.760756198871889</v>
      </c>
      <c r="Q56" s="487">
        <f t="shared" si="6"/>
        <v>0.96001342892383557</v>
      </c>
      <c r="R56" s="619"/>
      <c r="S56" s="31"/>
      <c r="T56" s="31"/>
      <c r="U56" s="13"/>
      <c r="V56" s="492"/>
      <c r="W56" s="13"/>
      <c r="X56" s="13"/>
      <c r="Y56" s="24">
        <f>SUM(Y51:Y55)</f>
        <v>0</v>
      </c>
      <c r="Z56" s="24">
        <f>SUM(Z51:Z55)</f>
        <v>0</v>
      </c>
      <c r="AA56" s="609"/>
      <c r="AB56" s="609"/>
      <c r="AC56" s="24">
        <v>5</v>
      </c>
      <c r="AD56" s="24">
        <f>SUM(AD51:AD55)</f>
        <v>0</v>
      </c>
      <c r="AE56" s="15">
        <f t="shared" si="43"/>
        <v>-119.95971322849346</v>
      </c>
      <c r="AF56" s="487">
        <f t="shared" si="9"/>
        <v>0.96001342892383557</v>
      </c>
      <c r="AG56" s="619"/>
    </row>
    <row r="57" spans="1:33" ht="15.75" customHeight="1">
      <c r="A57" s="616" t="s">
        <v>2436</v>
      </c>
      <c r="B57" s="493" t="s">
        <v>27</v>
      </c>
      <c r="C57" s="611" t="s">
        <v>50</v>
      </c>
      <c r="D57" s="611"/>
      <c r="E57" s="33">
        <v>19.02</v>
      </c>
      <c r="F57" s="493">
        <v>7285</v>
      </c>
      <c r="G57" s="486">
        <f t="shared" ref="G57:G63" si="45">E57*F57</f>
        <v>138560.69999999998</v>
      </c>
      <c r="H57" s="495" t="s">
        <v>5</v>
      </c>
      <c r="I57" s="491">
        <v>14</v>
      </c>
      <c r="J57" s="30">
        <v>2400</v>
      </c>
      <c r="K57" s="13">
        <f t="shared" si="1"/>
        <v>171.42857142857142</v>
      </c>
      <c r="L57" s="491">
        <v>14</v>
      </c>
      <c r="M57" s="14">
        <f t="shared" ref="M57:M63" si="46">F57/V57*60</f>
        <v>2288.4816753926698</v>
      </c>
      <c r="N57" s="13">
        <f t="shared" si="3"/>
        <v>163.46297681376214</v>
      </c>
      <c r="O57" s="15">
        <f t="shared" si="4"/>
        <v>0</v>
      </c>
      <c r="P57" s="16">
        <f t="shared" si="5"/>
        <v>-7.9655946148092767</v>
      </c>
      <c r="Q57" s="487">
        <f t="shared" si="6"/>
        <v>0.95353403141361259</v>
      </c>
      <c r="R57" s="619">
        <f>Q64</f>
        <v>0.95901226336270784</v>
      </c>
      <c r="S57" s="31">
        <v>8.3333333333333329E-2</v>
      </c>
      <c r="T57" s="31">
        <v>0.21597222222222223</v>
      </c>
      <c r="U57" s="22"/>
      <c r="V57" s="492">
        <f t="shared" ref="V57:V63" si="47">(T57-S57)*24*60</f>
        <v>191.00000000000003</v>
      </c>
      <c r="W57" s="17">
        <f>T57</f>
        <v>0.21597222222222223</v>
      </c>
      <c r="X57" s="17">
        <f>S58</f>
        <v>0.23402777777777778</v>
      </c>
      <c r="Y57" s="17"/>
      <c r="Z57" s="17"/>
      <c r="AA57" s="610"/>
      <c r="AB57" s="610"/>
      <c r="AC57" s="155">
        <v>7</v>
      </c>
      <c r="AD57" s="19"/>
      <c r="AE57" s="15">
        <f t="shared" si="43"/>
        <v>-111.51832460733021</v>
      </c>
      <c r="AF57" s="487">
        <f t="shared" si="9"/>
        <v>0.95353403141361237</v>
      </c>
      <c r="AG57" s="619">
        <f>AF64</f>
        <v>0.95901226336270795</v>
      </c>
    </row>
    <row r="58" spans="1:33" ht="15.75" customHeight="1">
      <c r="A58" s="617" t="s">
        <v>200</v>
      </c>
      <c r="B58" s="493" t="s">
        <v>27</v>
      </c>
      <c r="C58" s="611" t="s">
        <v>51</v>
      </c>
      <c r="D58" s="611"/>
      <c r="E58" s="33">
        <v>20.36</v>
      </c>
      <c r="F58" s="493">
        <v>2829</v>
      </c>
      <c r="G58" s="486">
        <f t="shared" si="45"/>
        <v>57598.439999999995</v>
      </c>
      <c r="H58" s="495" t="s">
        <v>5</v>
      </c>
      <c r="I58" s="491">
        <v>17</v>
      </c>
      <c r="J58" s="30">
        <v>2400</v>
      </c>
      <c r="K58" s="13">
        <f t="shared" si="1"/>
        <v>141.1764705882353</v>
      </c>
      <c r="L58" s="491">
        <v>17</v>
      </c>
      <c r="M58" s="14">
        <f t="shared" si="46"/>
        <v>2293.7837837837847</v>
      </c>
      <c r="N58" s="13">
        <f t="shared" si="3"/>
        <v>134.9284578696344</v>
      </c>
      <c r="O58" s="15">
        <f t="shared" si="4"/>
        <v>0</v>
      </c>
      <c r="P58" s="16">
        <f t="shared" si="5"/>
        <v>-6.2480127186009042</v>
      </c>
      <c r="Q58" s="487">
        <f t="shared" si="6"/>
        <v>0.95574324324324356</v>
      </c>
      <c r="R58" s="619"/>
      <c r="S58" s="31">
        <v>0.23402777777777778</v>
      </c>
      <c r="T58" s="31">
        <v>0.28541666666666665</v>
      </c>
      <c r="U58" s="486">
        <f t="shared" ref="U58:U63" si="48">(S58-T57)*24*60</f>
        <v>25.999999999999986</v>
      </c>
      <c r="V58" s="492">
        <f t="shared" si="47"/>
        <v>73.999999999999972</v>
      </c>
      <c r="W58" s="17"/>
      <c r="X58" s="17"/>
      <c r="Y58" s="17"/>
      <c r="Z58" s="17"/>
      <c r="AA58" s="610"/>
      <c r="AB58" s="610"/>
      <c r="AC58" s="155"/>
      <c r="AD58" s="19"/>
      <c r="AE58" s="15">
        <f t="shared" si="43"/>
        <v>-106.21621621621534</v>
      </c>
      <c r="AF58" s="487">
        <f t="shared" si="9"/>
        <v>0.95574324324324356</v>
      </c>
      <c r="AG58" s="619"/>
    </row>
    <row r="59" spans="1:33" ht="15.75" customHeight="1">
      <c r="A59" s="617" t="s">
        <v>200</v>
      </c>
      <c r="B59" s="493" t="s">
        <v>27</v>
      </c>
      <c r="C59" s="611" t="s">
        <v>876</v>
      </c>
      <c r="D59" s="611"/>
      <c r="E59" s="33">
        <v>23.8</v>
      </c>
      <c r="F59" s="493">
        <v>2015</v>
      </c>
      <c r="G59" s="486">
        <f t="shared" si="45"/>
        <v>47957</v>
      </c>
      <c r="H59" s="495" t="s">
        <v>5</v>
      </c>
      <c r="I59" s="491">
        <v>16</v>
      </c>
      <c r="J59" s="30">
        <v>2400</v>
      </c>
      <c r="K59" s="13">
        <f t="shared" si="1"/>
        <v>150</v>
      </c>
      <c r="L59" s="491">
        <v>16</v>
      </c>
      <c r="M59" s="14">
        <f t="shared" si="46"/>
        <v>2325.0000000000014</v>
      </c>
      <c r="N59" s="13">
        <f t="shared" si="3"/>
        <v>145.31250000000009</v>
      </c>
      <c r="O59" s="15">
        <f t="shared" si="4"/>
        <v>0</v>
      </c>
      <c r="P59" s="16">
        <f t="shared" si="5"/>
        <v>-4.6874999999999147</v>
      </c>
      <c r="Q59" s="487">
        <f t="shared" si="6"/>
        <v>0.96875000000000056</v>
      </c>
      <c r="R59" s="619"/>
      <c r="S59" s="31">
        <v>0.29027777777777775</v>
      </c>
      <c r="T59" s="31">
        <v>0.32638888888888884</v>
      </c>
      <c r="U59" s="486">
        <f t="shared" si="48"/>
        <v>6.9999999999999751</v>
      </c>
      <c r="V59" s="492">
        <f t="shared" si="47"/>
        <v>51.999999999999972</v>
      </c>
      <c r="W59" s="17"/>
      <c r="X59" s="17"/>
      <c r="Y59" s="17"/>
      <c r="Z59" s="17"/>
      <c r="AA59" s="610"/>
      <c r="AB59" s="610"/>
      <c r="AC59" s="155"/>
      <c r="AD59" s="19"/>
      <c r="AE59" s="15">
        <f t="shared" si="43"/>
        <v>-74.999999999998636</v>
      </c>
      <c r="AF59" s="487">
        <f t="shared" si="9"/>
        <v>0.96875000000000056</v>
      </c>
      <c r="AG59" s="619"/>
    </row>
    <row r="60" spans="1:33" ht="15.75" customHeight="1">
      <c r="A60" s="617" t="s">
        <v>2437</v>
      </c>
      <c r="B60" s="493" t="s">
        <v>27</v>
      </c>
      <c r="C60" s="611" t="s">
        <v>31</v>
      </c>
      <c r="D60" s="611"/>
      <c r="E60" s="33">
        <v>25.99</v>
      </c>
      <c r="F60" s="493">
        <v>813</v>
      </c>
      <c r="G60" s="486">
        <f t="shared" si="45"/>
        <v>21129.87</v>
      </c>
      <c r="H60" s="495" t="s">
        <v>5</v>
      </c>
      <c r="I60" s="491">
        <v>18</v>
      </c>
      <c r="J60" s="30">
        <v>2400</v>
      </c>
      <c r="K60" s="13">
        <f t="shared" si="1"/>
        <v>133.33333333333334</v>
      </c>
      <c r="L60" s="491">
        <v>18</v>
      </c>
      <c r="M60" s="14">
        <f t="shared" si="46"/>
        <v>2322.8571428571422</v>
      </c>
      <c r="N60" s="13">
        <f t="shared" si="3"/>
        <v>129.04761904761901</v>
      </c>
      <c r="O60" s="15">
        <f t="shared" si="4"/>
        <v>0</v>
      </c>
      <c r="P60" s="16">
        <f t="shared" si="5"/>
        <v>-4.2857142857143344</v>
      </c>
      <c r="Q60" s="487">
        <f t="shared" si="6"/>
        <v>0.96785714285714253</v>
      </c>
      <c r="R60" s="619"/>
      <c r="S60" s="31">
        <v>0.33194444444444438</v>
      </c>
      <c r="T60" s="31">
        <v>0.34652777777777771</v>
      </c>
      <c r="U60" s="486">
        <f t="shared" si="48"/>
        <v>7.9999999999999716</v>
      </c>
      <c r="V60" s="492">
        <f t="shared" si="47"/>
        <v>21.000000000000007</v>
      </c>
      <c r="W60" s="17"/>
      <c r="X60" s="17"/>
      <c r="Y60" s="17"/>
      <c r="Z60" s="17"/>
      <c r="AA60" s="610"/>
      <c r="AB60" s="610"/>
      <c r="AC60" s="155"/>
      <c r="AD60" s="19"/>
      <c r="AE60" s="15">
        <f t="shared" si="43"/>
        <v>-77.142857142857792</v>
      </c>
      <c r="AF60" s="487">
        <f t="shared" si="9"/>
        <v>0.96785714285714264</v>
      </c>
      <c r="AG60" s="619"/>
    </row>
    <row r="61" spans="1:33" ht="15.75" customHeight="1">
      <c r="A61" s="617" t="s">
        <v>2438</v>
      </c>
      <c r="B61" s="493" t="s">
        <v>27</v>
      </c>
      <c r="C61" s="611" t="s">
        <v>53</v>
      </c>
      <c r="D61" s="611"/>
      <c r="E61" s="33">
        <v>28.29</v>
      </c>
      <c r="F61" s="493">
        <v>1958</v>
      </c>
      <c r="G61" s="486">
        <f t="shared" si="45"/>
        <v>55391.82</v>
      </c>
      <c r="H61" s="495" t="s">
        <v>5</v>
      </c>
      <c r="I61" s="491">
        <v>19</v>
      </c>
      <c r="J61" s="30">
        <v>2400</v>
      </c>
      <c r="K61" s="13">
        <f t="shared" si="1"/>
        <v>126.31578947368421</v>
      </c>
      <c r="L61" s="491">
        <v>19</v>
      </c>
      <c r="M61" s="14">
        <f t="shared" si="46"/>
        <v>2303.5294117647068</v>
      </c>
      <c r="N61" s="13">
        <f t="shared" si="3"/>
        <v>121.2383900928793</v>
      </c>
      <c r="O61" s="15">
        <f t="shared" si="4"/>
        <v>0</v>
      </c>
      <c r="P61" s="16">
        <f t="shared" si="5"/>
        <v>-5.0773993808049056</v>
      </c>
      <c r="Q61" s="487">
        <f t="shared" si="6"/>
        <v>0.95980392156862782</v>
      </c>
      <c r="R61" s="619"/>
      <c r="S61" s="31">
        <v>0.35138888888888881</v>
      </c>
      <c r="T61" s="31">
        <v>0.38680555555555546</v>
      </c>
      <c r="U61" s="486">
        <f t="shared" si="48"/>
        <v>6.9999999999999751</v>
      </c>
      <c r="V61" s="492">
        <f t="shared" si="47"/>
        <v>50.999999999999979</v>
      </c>
      <c r="W61" s="17"/>
      <c r="X61" s="17"/>
      <c r="Y61" s="17"/>
      <c r="Z61" s="17"/>
      <c r="AA61" s="610"/>
      <c r="AB61" s="610"/>
      <c r="AC61" s="155"/>
      <c r="AD61" s="19"/>
      <c r="AE61" s="15">
        <f t="shared" si="43"/>
        <v>-96.470588235293235</v>
      </c>
      <c r="AF61" s="487">
        <f t="shared" si="9"/>
        <v>0.95980392156862782</v>
      </c>
      <c r="AG61" s="619"/>
    </row>
    <row r="62" spans="1:33" ht="15.75" customHeight="1">
      <c r="A62" s="617" t="s">
        <v>2437</v>
      </c>
      <c r="B62" s="493" t="s">
        <v>27</v>
      </c>
      <c r="C62" s="611" t="s">
        <v>52</v>
      </c>
      <c r="D62" s="611"/>
      <c r="E62" s="33">
        <v>25.98</v>
      </c>
      <c r="F62" s="493">
        <v>1256</v>
      </c>
      <c r="G62" s="486">
        <f t="shared" si="45"/>
        <v>32630.880000000001</v>
      </c>
      <c r="H62" s="495" t="s">
        <v>5</v>
      </c>
      <c r="I62" s="491">
        <v>17</v>
      </c>
      <c r="J62" s="30">
        <v>2400</v>
      </c>
      <c r="K62" s="13">
        <f t="shared" si="1"/>
        <v>141.1764705882353</v>
      </c>
      <c r="L62" s="491">
        <v>17</v>
      </c>
      <c r="M62" s="14">
        <f t="shared" si="46"/>
        <v>2283.6363636363662</v>
      </c>
      <c r="N62" s="13">
        <f t="shared" si="3"/>
        <v>134.33155080213919</v>
      </c>
      <c r="O62" s="15">
        <f t="shared" si="4"/>
        <v>0</v>
      </c>
      <c r="P62" s="16">
        <f t="shared" si="5"/>
        <v>-6.8449197860961135</v>
      </c>
      <c r="Q62" s="487">
        <f t="shared" si="6"/>
        <v>0.95151515151515254</v>
      </c>
      <c r="R62" s="619"/>
      <c r="S62" s="31">
        <v>0.39166666666666655</v>
      </c>
      <c r="T62" s="31">
        <v>0.41458333333333319</v>
      </c>
      <c r="U62" s="486">
        <f t="shared" si="48"/>
        <v>6.9999999999999751</v>
      </c>
      <c r="V62" s="492">
        <f t="shared" si="47"/>
        <v>32.999999999999964</v>
      </c>
      <c r="W62" s="17"/>
      <c r="X62" s="17"/>
      <c r="Y62" s="17"/>
      <c r="Z62" s="17"/>
      <c r="AA62" s="610"/>
      <c r="AB62" s="610"/>
      <c r="AC62" s="155"/>
      <c r="AD62" s="19"/>
      <c r="AE62" s="15">
        <f t="shared" si="43"/>
        <v>-116.36363636363376</v>
      </c>
      <c r="AF62" s="487">
        <f t="shared" si="9"/>
        <v>0.95151515151515265</v>
      </c>
      <c r="AG62" s="619"/>
    </row>
    <row r="63" spans="1:33" ht="15.75" customHeight="1">
      <c r="A63" s="617" t="s">
        <v>2437</v>
      </c>
      <c r="B63" s="493" t="s">
        <v>27</v>
      </c>
      <c r="C63" s="612" t="s">
        <v>197</v>
      </c>
      <c r="D63" s="613"/>
      <c r="E63" s="33">
        <v>23.89</v>
      </c>
      <c r="F63" s="493">
        <v>2600</v>
      </c>
      <c r="G63" s="486">
        <f t="shared" si="45"/>
        <v>62114</v>
      </c>
      <c r="H63" s="495" t="s">
        <v>5</v>
      </c>
      <c r="I63" s="491">
        <v>17</v>
      </c>
      <c r="J63" s="30">
        <v>2400</v>
      </c>
      <c r="K63" s="13">
        <f t="shared" si="1"/>
        <v>141.1764705882353</v>
      </c>
      <c r="L63" s="491">
        <v>17</v>
      </c>
      <c r="M63" s="14">
        <f t="shared" si="46"/>
        <v>2294.1176470588234</v>
      </c>
      <c r="N63" s="13">
        <f t="shared" si="3"/>
        <v>134.94809688581313</v>
      </c>
      <c r="O63" s="15">
        <f t="shared" si="4"/>
        <v>0</v>
      </c>
      <c r="P63" s="16">
        <f t="shared" si="5"/>
        <v>-6.228373702422175</v>
      </c>
      <c r="Q63" s="487">
        <f t="shared" si="6"/>
        <v>0.95588235294117629</v>
      </c>
      <c r="R63" s="619"/>
      <c r="S63" s="31">
        <v>0.42013888888888873</v>
      </c>
      <c r="T63" s="31">
        <v>0.46736111111111095</v>
      </c>
      <c r="U63" s="486">
        <f t="shared" si="48"/>
        <v>7.9999999999999716</v>
      </c>
      <c r="V63" s="492">
        <f t="shared" si="47"/>
        <v>68</v>
      </c>
      <c r="W63" s="17"/>
      <c r="X63" s="17"/>
      <c r="Y63" s="20"/>
      <c r="Z63" s="20"/>
      <c r="AA63" s="614"/>
      <c r="AB63" s="615"/>
      <c r="AC63" s="155"/>
      <c r="AD63" s="19"/>
      <c r="AE63" s="15">
        <f t="shared" si="43"/>
        <v>-105.88235294117658</v>
      </c>
      <c r="AF63" s="487">
        <f t="shared" si="9"/>
        <v>0.95588235294117641</v>
      </c>
      <c r="AG63" s="619"/>
    </row>
    <row r="64" spans="1:33" ht="16.5" customHeight="1">
      <c r="A64" s="618" t="s">
        <v>2439</v>
      </c>
      <c r="B64" s="33" t="s">
        <v>2440</v>
      </c>
      <c r="C64" s="607"/>
      <c r="D64" s="608"/>
      <c r="E64" s="488"/>
      <c r="F64" s="34"/>
      <c r="G64" s="13"/>
      <c r="H64" s="493"/>
      <c r="I64" s="23">
        <v>16.857142857142858</v>
      </c>
      <c r="J64" s="30">
        <v>2400</v>
      </c>
      <c r="K64" s="13">
        <f t="shared" si="1"/>
        <v>142.37288135593221</v>
      </c>
      <c r="L64" s="23">
        <v>16.857142857142858</v>
      </c>
      <c r="M64" s="14">
        <f>AVERAGE(M57:M63)</f>
        <v>2301.6294320704992</v>
      </c>
      <c r="N64" s="13">
        <f t="shared" si="3"/>
        <v>136.53733919062282</v>
      </c>
      <c r="O64" s="15">
        <f t="shared" si="4"/>
        <v>0</v>
      </c>
      <c r="P64" s="16">
        <f t="shared" si="5"/>
        <v>-5.8355421653093913</v>
      </c>
      <c r="Q64" s="487">
        <f t="shared" si="6"/>
        <v>0.95901226336270784</v>
      </c>
      <c r="R64" s="619"/>
      <c r="S64" s="31"/>
      <c r="T64" s="31"/>
      <c r="U64" s="13"/>
      <c r="V64" s="492"/>
      <c r="W64" s="13"/>
      <c r="X64" s="13"/>
      <c r="Y64" s="24">
        <f>SUM(Y57:Y63)</f>
        <v>0</v>
      </c>
      <c r="Z64" s="24">
        <f>SUM(Z57:Z63)</f>
        <v>0</v>
      </c>
      <c r="AA64" s="609"/>
      <c r="AB64" s="609"/>
      <c r="AC64" s="24">
        <v>7</v>
      </c>
      <c r="AD64" s="24">
        <f>SUM(AD57:AD63)</f>
        <v>0</v>
      </c>
      <c r="AE64" s="15">
        <f t="shared" si="43"/>
        <v>-98.370567929500794</v>
      </c>
      <c r="AF64" s="487">
        <f t="shared" si="9"/>
        <v>0.95901226336270795</v>
      </c>
      <c r="AG64" s="619"/>
    </row>
    <row r="65" spans="4:5">
      <c r="D65" s="25"/>
      <c r="E65" s="25"/>
    </row>
  </sheetData>
  <mergeCells count="179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19:A25"/>
    <mergeCell ref="C19:D19"/>
    <mergeCell ref="R19:R25"/>
    <mergeCell ref="AA19:AB19"/>
    <mergeCell ref="AA24:AB24"/>
    <mergeCell ref="C25:D25"/>
    <mergeCell ref="A12:A18"/>
    <mergeCell ref="AA25:AB25"/>
    <mergeCell ref="A26:A31"/>
    <mergeCell ref="C26:D26"/>
    <mergeCell ref="R26:R31"/>
    <mergeCell ref="AA26:AB26"/>
    <mergeCell ref="C13:D13"/>
    <mergeCell ref="AA13:AB13"/>
    <mergeCell ref="C14:D14"/>
    <mergeCell ref="AA14:AB14"/>
    <mergeCell ref="C15:D15"/>
    <mergeCell ref="AA15:AB15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36:D36"/>
    <mergeCell ref="AA36:AB36"/>
    <mergeCell ref="C37:D37"/>
    <mergeCell ref="AA37:AB37"/>
    <mergeCell ref="AG26:AG31"/>
    <mergeCell ref="C27:D27"/>
    <mergeCell ref="AA27:AB27"/>
    <mergeCell ref="C28:D28"/>
    <mergeCell ref="AA28:AB28"/>
    <mergeCell ref="C33:D33"/>
    <mergeCell ref="AA33:AB33"/>
    <mergeCell ref="C34:D34"/>
    <mergeCell ref="AA34:AB34"/>
    <mergeCell ref="C35:D35"/>
    <mergeCell ref="C29:D29"/>
    <mergeCell ref="AA29:AB29"/>
    <mergeCell ref="C30:D30"/>
    <mergeCell ref="AA30:AB30"/>
    <mergeCell ref="C31:D31"/>
    <mergeCell ref="AA31:AB31"/>
    <mergeCell ref="AA35:AB35"/>
    <mergeCell ref="A38:A41"/>
    <mergeCell ref="C38:D38"/>
    <mergeCell ref="R38:R41"/>
    <mergeCell ref="AA38:AB38"/>
    <mergeCell ref="A32:A37"/>
    <mergeCell ref="C32:D32"/>
    <mergeCell ref="R32:R37"/>
    <mergeCell ref="AA32:AB32"/>
    <mergeCell ref="AG42:AG50"/>
    <mergeCell ref="C43:D43"/>
    <mergeCell ref="AA43:AB43"/>
    <mergeCell ref="C44:D44"/>
    <mergeCell ref="AA44:AB44"/>
    <mergeCell ref="AA45:AB45"/>
    <mergeCell ref="AG38:AG41"/>
    <mergeCell ref="C39:D39"/>
    <mergeCell ref="AA39:AB39"/>
    <mergeCell ref="C40:D40"/>
    <mergeCell ref="AA40:AB40"/>
    <mergeCell ref="C41:D41"/>
    <mergeCell ref="AA41:AB41"/>
    <mergeCell ref="C50:D50"/>
    <mergeCell ref="AA50:AB50"/>
    <mergeCell ref="AG32:AG37"/>
    <mergeCell ref="A51:A56"/>
    <mergeCell ref="C51:D51"/>
    <mergeCell ref="R51:R56"/>
    <mergeCell ref="AA51:AB51"/>
    <mergeCell ref="AA56:AB56"/>
    <mergeCell ref="AA46:AB46"/>
    <mergeCell ref="C47:D47"/>
    <mergeCell ref="AA47:AB47"/>
    <mergeCell ref="C48:D48"/>
    <mergeCell ref="AA48:AB48"/>
    <mergeCell ref="C49:D49"/>
    <mergeCell ref="AA49:AB49"/>
    <mergeCell ref="A42:A50"/>
    <mergeCell ref="C42:D42"/>
    <mergeCell ref="R42:R50"/>
    <mergeCell ref="AA42:AB42"/>
    <mergeCell ref="AG51:AG56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57:A64"/>
    <mergeCell ref="C57:D57"/>
    <mergeCell ref="R57:R64"/>
    <mergeCell ref="AA57:AB57"/>
    <mergeCell ref="AG57:AG64"/>
    <mergeCell ref="C58:D58"/>
    <mergeCell ref="AA58:AB58"/>
    <mergeCell ref="C59:D59"/>
    <mergeCell ref="AA59:AB59"/>
    <mergeCell ref="C60:D60"/>
    <mergeCell ref="C64:D64"/>
    <mergeCell ref="AA64:AB64"/>
    <mergeCell ref="AA60:AB60"/>
    <mergeCell ref="C61:D61"/>
    <mergeCell ref="AA61:AB61"/>
    <mergeCell ref="C62:D62"/>
    <mergeCell ref="AA62:AB62"/>
    <mergeCell ref="C63:D63"/>
    <mergeCell ref="AA63:AB63"/>
  </mergeCells>
  <phoneticPr fontId="3" type="noConversion"/>
  <conditionalFormatting sqref="O54:O62 O50:O51 O64 O5:O9 O11:O13 O18:O47">
    <cfRule type="cellIs" dxfId="2002" priority="51" operator="greaterThan">
      <formula>0</formula>
    </cfRule>
  </conditionalFormatting>
  <conditionalFormatting sqref="P5:P7 P54:P55 AE54:AE55 P57:P62 P51 P9 P19:P24 P42:P47 P11:P13 P26:P30 P32:P40 AE5:AE51 AE57:AE64">
    <cfRule type="cellIs" dxfId="2001" priority="55" operator="lessThan">
      <formula>0</formula>
    </cfRule>
  </conditionalFormatting>
  <conditionalFormatting sqref="AF54:AF55 Q54:Q62 Q50:Q51 Q64 Q5:Q9 Q11:Q13 Q18:Q47 AF5:AF51 AF57:AF64">
    <cfRule type="cellIs" dxfId="2000" priority="52" operator="greaterThan">
      <formula>1</formula>
    </cfRule>
    <cfRule type="cellIs" dxfId="1999" priority="53" operator="lessThan">
      <formula>0.8</formula>
    </cfRule>
  </conditionalFormatting>
  <conditionalFormatting sqref="AG12:AG13 R12:R13 AG54 R54:R62 AG50:AG51 R50:R51 R64 AG5:AG9 R5:R9 R18:R47 AG18:AG47">
    <cfRule type="cellIs" dxfId="1998" priority="57" operator="lessThan">
      <formula>0.8</formula>
    </cfRule>
  </conditionalFormatting>
  <conditionalFormatting sqref="AG38">
    <cfRule type="cellIs" dxfId="1997" priority="59" operator="lessThan">
      <formula>0.8</formula>
    </cfRule>
  </conditionalFormatting>
  <conditionalFormatting sqref="AG19:AG24">
    <cfRule type="cellIs" dxfId="1996" priority="56" operator="lessThan">
      <formula>0.8</formula>
    </cfRule>
  </conditionalFormatting>
  <conditionalFormatting sqref="AG26">
    <cfRule type="cellIs" dxfId="1995" priority="58" operator="lessThan">
      <formula>0.8</formula>
    </cfRule>
  </conditionalFormatting>
  <conditionalFormatting sqref="AG32:AG36">
    <cfRule type="cellIs" dxfId="1994" priority="54" operator="lessThan">
      <formula>0.8</formula>
    </cfRule>
  </conditionalFormatting>
  <conditionalFormatting sqref="AE56">
    <cfRule type="cellIs" dxfId="1993" priority="50" operator="lessThan">
      <formula>0</formula>
    </cfRule>
  </conditionalFormatting>
  <conditionalFormatting sqref="AF56">
    <cfRule type="cellIs" dxfId="1992" priority="48" operator="greaterThan">
      <formula>1</formula>
    </cfRule>
    <cfRule type="cellIs" dxfId="1991" priority="49" operator="lessThan">
      <formula>0.8</formula>
    </cfRule>
  </conditionalFormatting>
  <conditionalFormatting sqref="O14:O15">
    <cfRule type="cellIs" dxfId="1990" priority="43" operator="greaterThan">
      <formula>0</formula>
    </cfRule>
  </conditionalFormatting>
  <conditionalFormatting sqref="P14:P15">
    <cfRule type="cellIs" dxfId="1989" priority="46" operator="lessThan">
      <formula>0</formula>
    </cfRule>
  </conditionalFormatting>
  <conditionalFormatting sqref="Q14:Q15">
    <cfRule type="cellIs" dxfId="1988" priority="44" operator="greaterThan">
      <formula>1</formula>
    </cfRule>
    <cfRule type="cellIs" dxfId="1987" priority="45" operator="lessThan">
      <formula>0.8</formula>
    </cfRule>
  </conditionalFormatting>
  <conditionalFormatting sqref="R14:R15 AG14:AG15">
    <cfRule type="cellIs" dxfId="1986" priority="47" operator="lessThan">
      <formula>0.8</formula>
    </cfRule>
  </conditionalFormatting>
  <conditionalFormatting sqref="O10">
    <cfRule type="cellIs" dxfId="1985" priority="39" operator="greaterThan">
      <formula>0</formula>
    </cfRule>
  </conditionalFormatting>
  <conditionalFormatting sqref="P10">
    <cfRule type="cellIs" dxfId="1984" priority="42" operator="lessThan">
      <formula>0</formula>
    </cfRule>
  </conditionalFormatting>
  <conditionalFormatting sqref="Q10">
    <cfRule type="cellIs" dxfId="1983" priority="40" operator="greaterThan">
      <formula>1</formula>
    </cfRule>
    <cfRule type="cellIs" dxfId="1982" priority="41" operator="lessThan">
      <formula>0.8</formula>
    </cfRule>
  </conditionalFormatting>
  <conditionalFormatting sqref="O48">
    <cfRule type="cellIs" dxfId="1981" priority="34" operator="greaterThan">
      <formula>0</formula>
    </cfRule>
  </conditionalFormatting>
  <conditionalFormatting sqref="P48">
    <cfRule type="cellIs" dxfId="1980" priority="37" operator="lessThan">
      <formula>0</formula>
    </cfRule>
  </conditionalFormatting>
  <conditionalFormatting sqref="Q48">
    <cfRule type="cellIs" dxfId="1979" priority="35" operator="greaterThan">
      <formula>1</formula>
    </cfRule>
    <cfRule type="cellIs" dxfId="1978" priority="36" operator="lessThan">
      <formula>0.8</formula>
    </cfRule>
  </conditionalFormatting>
  <conditionalFormatting sqref="R48 AG48">
    <cfRule type="cellIs" dxfId="1977" priority="38" operator="lessThan">
      <formula>0.8</formula>
    </cfRule>
  </conditionalFormatting>
  <conditionalFormatting sqref="O53">
    <cfRule type="cellIs" dxfId="1976" priority="29" operator="greaterThan">
      <formula>0</formula>
    </cfRule>
  </conditionalFormatting>
  <conditionalFormatting sqref="P53 AE53">
    <cfRule type="cellIs" dxfId="1975" priority="32" operator="lessThan">
      <formula>0</formula>
    </cfRule>
  </conditionalFormatting>
  <conditionalFormatting sqref="Q53 AF53">
    <cfRule type="cellIs" dxfId="1974" priority="30" operator="greaterThan">
      <formula>1</formula>
    </cfRule>
    <cfRule type="cellIs" dxfId="1973" priority="31" operator="lessThan">
      <formula>0.8</formula>
    </cfRule>
  </conditionalFormatting>
  <conditionalFormatting sqref="R53 AG53">
    <cfRule type="cellIs" dxfId="1972" priority="33" operator="lessThan">
      <formula>0.8</formula>
    </cfRule>
  </conditionalFormatting>
  <conditionalFormatting sqref="O63">
    <cfRule type="cellIs" dxfId="1971" priority="24" operator="greaterThan">
      <formula>0</formula>
    </cfRule>
  </conditionalFormatting>
  <conditionalFormatting sqref="P63">
    <cfRule type="cellIs" dxfId="1970" priority="27" operator="lessThan">
      <formula>0</formula>
    </cfRule>
  </conditionalFormatting>
  <conditionalFormatting sqref="Q63">
    <cfRule type="cellIs" dxfId="1969" priority="25" operator="greaterThan">
      <formula>1</formula>
    </cfRule>
    <cfRule type="cellIs" dxfId="1968" priority="26" operator="lessThan">
      <formula>0.8</formula>
    </cfRule>
  </conditionalFormatting>
  <conditionalFormatting sqref="R63">
    <cfRule type="cellIs" dxfId="1967" priority="28" operator="lessThan">
      <formula>0.8</formula>
    </cfRule>
  </conditionalFormatting>
  <conditionalFormatting sqref="O16:O17">
    <cfRule type="cellIs" dxfId="1966" priority="19" operator="greaterThan">
      <formula>0</formula>
    </cfRule>
  </conditionalFormatting>
  <conditionalFormatting sqref="P16:P17">
    <cfRule type="cellIs" dxfId="1965" priority="22" operator="lessThan">
      <formula>0</formula>
    </cfRule>
  </conditionalFormatting>
  <conditionalFormatting sqref="Q16:Q17">
    <cfRule type="cellIs" dxfId="1964" priority="20" operator="greaterThan">
      <formula>1</formula>
    </cfRule>
    <cfRule type="cellIs" dxfId="1963" priority="21" operator="lessThan">
      <formula>0.8</formula>
    </cfRule>
  </conditionalFormatting>
  <conditionalFormatting sqref="R16:R17 AG16:AG17">
    <cfRule type="cellIs" dxfId="1962" priority="23" operator="lessThan">
      <formula>0.8</formula>
    </cfRule>
  </conditionalFormatting>
  <conditionalFormatting sqref="O49">
    <cfRule type="cellIs" dxfId="1961" priority="14" operator="greaterThan">
      <formula>0</formula>
    </cfRule>
  </conditionalFormatting>
  <conditionalFormatting sqref="P49">
    <cfRule type="cellIs" dxfId="1960" priority="17" operator="lessThan">
      <formula>0</formula>
    </cfRule>
  </conditionalFormatting>
  <conditionalFormatting sqref="Q49">
    <cfRule type="cellIs" dxfId="1959" priority="15" operator="greaterThan">
      <formula>1</formula>
    </cfRule>
    <cfRule type="cellIs" dxfId="1958" priority="16" operator="lessThan">
      <formula>0.8</formula>
    </cfRule>
  </conditionalFormatting>
  <conditionalFormatting sqref="AG49 R49">
    <cfRule type="cellIs" dxfId="1957" priority="18" operator="lessThan">
      <formula>0.8</formula>
    </cfRule>
  </conditionalFormatting>
  <conditionalFormatting sqref="O52">
    <cfRule type="cellIs" dxfId="1956" priority="9" operator="greaterThan">
      <formula>0</formula>
    </cfRule>
  </conditionalFormatting>
  <conditionalFormatting sqref="P52 AE52">
    <cfRule type="cellIs" dxfId="1955" priority="12" operator="lessThan">
      <formula>0</formula>
    </cfRule>
  </conditionalFormatting>
  <conditionalFormatting sqref="Q52 AF52">
    <cfRule type="cellIs" dxfId="1954" priority="10" operator="greaterThan">
      <formula>1</formula>
    </cfRule>
    <cfRule type="cellIs" dxfId="1953" priority="11" operator="lessThan">
      <formula>0.8</formula>
    </cfRule>
  </conditionalFormatting>
  <conditionalFormatting sqref="R52 AG52">
    <cfRule type="cellIs" dxfId="1952" priority="13" operator="lessThan">
      <formula>0.8</formula>
    </cfRule>
  </conditionalFormatting>
  <conditionalFormatting sqref="P8">
    <cfRule type="cellIs" dxfId="1951" priority="8" operator="lessThan">
      <formula>0</formula>
    </cfRule>
  </conditionalFormatting>
  <conditionalFormatting sqref="P18">
    <cfRule type="cellIs" dxfId="1950" priority="7" operator="lessThan">
      <formula>0</formula>
    </cfRule>
  </conditionalFormatting>
  <conditionalFormatting sqref="P25">
    <cfRule type="cellIs" dxfId="1949" priority="6" operator="lessThan">
      <formula>0</formula>
    </cfRule>
  </conditionalFormatting>
  <conditionalFormatting sqref="P31">
    <cfRule type="cellIs" dxfId="1948" priority="5" operator="lessThan">
      <formula>0</formula>
    </cfRule>
  </conditionalFormatting>
  <conditionalFormatting sqref="P41">
    <cfRule type="cellIs" dxfId="1947" priority="4" operator="lessThan">
      <formula>0</formula>
    </cfRule>
  </conditionalFormatting>
  <conditionalFormatting sqref="P50">
    <cfRule type="cellIs" dxfId="1946" priority="3" operator="lessThan">
      <formula>0</formula>
    </cfRule>
  </conditionalFormatting>
  <conditionalFormatting sqref="P56">
    <cfRule type="cellIs" dxfId="1945" priority="2" operator="lessThan">
      <formula>0</formula>
    </cfRule>
  </conditionalFormatting>
  <conditionalFormatting sqref="P64">
    <cfRule type="cellIs" dxfId="1944" priority="1" operator="lessThan">
      <formula>0</formula>
    </cfRule>
  </conditionalFormatting>
  <dataValidations count="1">
    <dataValidation type="list" allowBlank="1" showInputMessage="1" showErrorMessage="1" sqref="AB8 AA5:AB7 AB55 AB10:AB51 AA8:AA55 AA56:AB6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2244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2245</v>
      </c>
      <c r="C3" s="596" t="str">
        <f>TEXT('0924 4度C'!A2,"yyyy.mm.ddaaaa")</f>
        <v>2026.09.24星期四</v>
      </c>
      <c r="D3" s="597"/>
      <c r="E3" s="39" t="s">
        <v>2246</v>
      </c>
      <c r="F3" s="598">
        <f>'0924 4度C'!D1</f>
        <v>120650</v>
      </c>
      <c r="G3" s="599"/>
      <c r="H3" s="39" t="s">
        <v>2247</v>
      </c>
      <c r="I3" s="600">
        <f>'0924 4度C'!F1</f>
        <v>4079492.55</v>
      </c>
      <c r="J3" s="601"/>
      <c r="K3" s="40"/>
      <c r="L3" s="41"/>
      <c r="M3" s="42"/>
      <c r="N3" s="42"/>
    </row>
    <row r="4" spans="2:17" ht="28.5" customHeight="1">
      <c r="B4" s="602" t="s">
        <v>2248</v>
      </c>
      <c r="C4" s="588" t="s">
        <v>2249</v>
      </c>
      <c r="D4" s="589"/>
      <c r="E4" s="605" t="s">
        <v>92</v>
      </c>
      <c r="F4" s="606"/>
      <c r="G4" s="605" t="s">
        <v>2250</v>
      </c>
      <c r="H4" s="606"/>
      <c r="I4" s="605" t="s">
        <v>2251</v>
      </c>
      <c r="J4" s="606"/>
      <c r="K4" s="586" t="s">
        <v>2252</v>
      </c>
      <c r="L4" s="587"/>
      <c r="M4" s="587" t="s">
        <v>96</v>
      </c>
      <c r="N4" s="587"/>
    </row>
    <row r="5" spans="2:17" ht="28.5" customHeight="1">
      <c r="B5" s="603"/>
      <c r="C5" s="588" t="s">
        <v>2253</v>
      </c>
      <c r="D5" s="589"/>
      <c r="E5" s="588" t="s">
        <v>2254</v>
      </c>
      <c r="F5" s="589"/>
      <c r="G5" s="590" t="s">
        <v>2255</v>
      </c>
      <c r="H5" s="591"/>
      <c r="I5" s="592" t="s">
        <v>100</v>
      </c>
      <c r="J5" s="593"/>
      <c r="K5" s="43" t="s">
        <v>2256</v>
      </c>
      <c r="L5" s="44" t="s">
        <v>2257</v>
      </c>
      <c r="M5" s="43" t="s">
        <v>2258</v>
      </c>
      <c r="N5" s="44" t="s">
        <v>2259</v>
      </c>
    </row>
    <row r="6" spans="2:17" ht="28.5" customHeight="1">
      <c r="B6" s="603"/>
      <c r="C6" s="588" t="s">
        <v>56</v>
      </c>
      <c r="D6" s="589"/>
      <c r="E6" s="580">
        <f>AVERAGE(D13:M13)</f>
        <v>151.16938866475886</v>
      </c>
      <c r="F6" s="581">
        <f>AVERAGE(D31:O31,D13:J13)</f>
        <v>155.88783371352423</v>
      </c>
      <c r="G6" s="582">
        <f>AVERAGE(D13:J13)</f>
        <v>155.88783371352423</v>
      </c>
      <c r="H6" s="583"/>
      <c r="I6" s="582">
        <f>AVERAGE(K13:M13)</f>
        <v>140.15968355097311</v>
      </c>
      <c r="J6" s="583"/>
      <c r="K6" s="584">
        <f>'0924 4度C'!Y2</f>
        <v>0</v>
      </c>
      <c r="L6" s="569">
        <f>'0924 4度C'!Z2</f>
        <v>0</v>
      </c>
      <c r="M6" s="585">
        <f>'0924 4度C'!AC2</f>
        <v>50</v>
      </c>
      <c r="N6" s="569">
        <f>'0924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145.21734399002383</v>
      </c>
      <c r="F7" s="573">
        <f>AVERAGE(D32:O32,D14:J14)</f>
        <v>150.16538694434581</v>
      </c>
      <c r="G7" s="574">
        <f>AVERAGE(D14:J14)</f>
        <v>150.16538694434581</v>
      </c>
      <c r="H7" s="575"/>
      <c r="I7" s="574">
        <f>AVERAGE(K14:M14)</f>
        <v>133.6719104299392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0.95992929573711971</v>
      </c>
      <c r="F8" s="577">
        <f>AVERAGE(D15:J15,D33:O33)</f>
        <v>0.96254309454130416</v>
      </c>
      <c r="G8" s="578">
        <f>AVERAGE(D15:J15)</f>
        <v>0.96254309454130416</v>
      </c>
      <c r="H8" s="579"/>
      <c r="I8" s="578">
        <f>AVERAGE(K15:M15)</f>
        <v>0.95383043186068939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2260</v>
      </c>
      <c r="N9" s="42"/>
      <c r="O9" s="42"/>
      <c r="P9" s="42"/>
      <c r="Q9" s="42"/>
    </row>
    <row r="10" spans="2:17" ht="30" customHeight="1">
      <c r="B10" s="552" t="s">
        <v>2261</v>
      </c>
      <c r="C10" s="553"/>
      <c r="D10" s="554" t="s">
        <v>2262</v>
      </c>
      <c r="E10" s="555"/>
      <c r="F10" s="555"/>
      <c r="G10" s="555"/>
      <c r="H10" s="555"/>
      <c r="I10" s="555"/>
      <c r="J10" s="556"/>
      <c r="K10" s="557" t="s">
        <v>2263</v>
      </c>
      <c r="L10" s="558"/>
      <c r="M10" s="559"/>
      <c r="P10" s="48"/>
      <c r="Q10" s="48"/>
    </row>
    <row r="11" spans="2:17" ht="17.25" customHeight="1">
      <c r="B11" s="560" t="s">
        <v>2264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110</v>
      </c>
      <c r="C13" s="55" t="s">
        <v>2265</v>
      </c>
      <c r="D13" s="56">
        <f>SUMIFS('0924 4度C'!$K:$K,'0924 4度C'!$A:$A,"新豐6線",'0924 4度C'!$B:$B,"平均")</f>
        <v>130.43478260869566</v>
      </c>
      <c r="E13" s="57">
        <f>SUMIFS('0924 4度C'!$K:$K,'0924 4度C'!$A:$A,"新豐2線",'0924 4度C'!$B:$B,"平均")</f>
        <v>83.333333333333329</v>
      </c>
      <c r="F13" s="58">
        <f>SUMIFS('0924 4度C'!$K:$K,'0924 4度C'!$A:$A,"新豐5線",'0924 4度C'!$B:$B,"平均")</f>
        <v>104.99999999999999</v>
      </c>
      <c r="G13" s="58">
        <f>SUMIFS('0924 4度C'!$K:$K,'0924 4度C'!$A:$A,"新豐7線",'0924 4度C'!$B:$B,"平均")</f>
        <v>126.31578947368421</v>
      </c>
      <c r="H13" s="58">
        <f>SUMIFS('0924 4度C'!$K:$K,'0924 4度C'!$A:$A,"新豐3線",'0924 4度C'!$B:$B,"平均")</f>
        <v>242.42424242424241</v>
      </c>
      <c r="I13" s="58">
        <f>SUMIFS('0924 4度C'!$K:$K,'0924 4度C'!$A:$A,"新豐1線",'0924 4度C'!$B:$B,"平均")</f>
        <v>109.58904109589041</v>
      </c>
      <c r="J13" s="59">
        <f>SUMIFS('0924 4度C'!$K:$K,'0924 4度C'!$A:$A,"新豐10線",'0924 4度C'!$B:$B,"平均")</f>
        <v>294.11764705882354</v>
      </c>
      <c r="K13" s="60">
        <f>SUMIFS('0924 4度C'!$K:$K,'0924 4度C'!$A:$A,"新豐8線",'0924 4度C'!$B:$B,"平均")</f>
        <v>146.34146341463415</v>
      </c>
      <c r="L13" s="61">
        <f>SUMIFS('0924 4度C'!$K:$K,'0924 4度C'!$A:$A,"新豐9線",'0924 4度C'!$B:$B,"平均")</f>
        <v>131.76470588235293</v>
      </c>
      <c r="M13" s="59">
        <f>SUMIFS('0924 4度C'!$K:$K,'0924 4度C'!$A:$A,"新豐4線",'0924 4度C'!$B:$B,"平均")</f>
        <v>142.37288135593221</v>
      </c>
    </row>
    <row r="14" spans="2:17" ht="39.6" customHeight="1">
      <c r="B14" s="565"/>
      <c r="C14" s="62" t="s">
        <v>2266</v>
      </c>
      <c r="D14" s="63">
        <f>SUMIFS('0924 4度C'!$N:$N,'0924 4度C'!$A:$A,"新豐6線",'0924 4度C'!$B:$B,"平均")</f>
        <v>125.97035040431261</v>
      </c>
      <c r="E14" s="64">
        <f>SUMIFS('0924 4度C'!$N:$N,'0924 4度C'!$A:$A,"新豐2線",'0924 4度C'!$B:$B,"平均")</f>
        <v>79.580964226486614</v>
      </c>
      <c r="F14" s="64">
        <f>SUMIFS('0924 4度C'!$N:$N,'0924 4度C'!$A:$A,"新豐5線",'0924 4度C'!$B:$B,"平均")</f>
        <v>101.06374209031812</v>
      </c>
      <c r="G14" s="64">
        <f>SUMIFS('0924 4度C'!$N:$N,'0924 4度C'!$A:$A,"新豐7線",'0924 4度C'!$B:$B,"平均")</f>
        <v>121.33653463408227</v>
      </c>
      <c r="H14" s="64">
        <f>SUMIFS('0924 4度C'!$N:$N,'0924 4度C'!$A:$A,"新豐3線",'0924 4度C'!$B:$B,"平均")</f>
        <v>232.52513801420983</v>
      </c>
      <c r="I14" s="64">
        <f>SUMIFS('0924 4度C'!$N:$N,'0924 4度C'!$A:$A,"新豐1線",'0924 4度C'!$B:$B,"平均")</f>
        <v>105.93592179774427</v>
      </c>
      <c r="J14" s="65">
        <f>SUMIFS('0924 4度C'!$N:$N,'0924 4度C'!$A:$A,"新豐10線",'0924 4度C'!$B:$B,"平均")</f>
        <v>284.74505744326711</v>
      </c>
      <c r="K14" s="66">
        <f>SUMIFS('0924 4度C'!$N:$N,'0924 4度C'!$A:$A,"新豐8線",'0924 4度C'!$B:$B,"平均")</f>
        <v>138.15889252447417</v>
      </c>
      <c r="L14" s="67">
        <f>SUMIFS('0924 4度C'!$N:$N,'0924 4度C'!$A:$A,"新豐9線",'0924 4度C'!$B:$B,"平均")</f>
        <v>125.82167680616601</v>
      </c>
      <c r="M14" s="65">
        <f>SUMIFS('0924 4度C'!$N:$N,'0924 4度C'!$A:$A,"新豐4線",'0924 4度C'!$B:$B,"平均")</f>
        <v>137.03516195917746</v>
      </c>
    </row>
    <row r="15" spans="2:17" ht="40.15" customHeight="1">
      <c r="B15" s="566"/>
      <c r="C15" s="68" t="s">
        <v>2267</v>
      </c>
      <c r="D15" s="69">
        <f t="shared" ref="D15:M15" si="0">D14/D13</f>
        <v>0.96577268643306335</v>
      </c>
      <c r="E15" s="70">
        <f t="shared" si="0"/>
        <v>0.95497157071783945</v>
      </c>
      <c r="F15" s="70">
        <f t="shared" si="0"/>
        <v>0.96251182943160118</v>
      </c>
      <c r="G15" s="70">
        <f t="shared" si="0"/>
        <v>0.9605808991864847</v>
      </c>
      <c r="H15" s="70">
        <f t="shared" si="0"/>
        <v>0.95916619430861561</v>
      </c>
      <c r="I15" s="70">
        <f t="shared" si="0"/>
        <v>0.96666528640441651</v>
      </c>
      <c r="J15" s="71">
        <f t="shared" si="0"/>
        <v>0.96813319530710817</v>
      </c>
      <c r="K15" s="69">
        <f t="shared" si="0"/>
        <v>0.94408576558390678</v>
      </c>
      <c r="L15" s="70">
        <f t="shared" si="0"/>
        <v>0.95489665433251003</v>
      </c>
      <c r="M15" s="71">
        <f t="shared" si="0"/>
        <v>0.96250887566565113</v>
      </c>
    </row>
    <row r="16" spans="2:17" ht="17.25" customHeight="1">
      <c r="B16" s="567" t="s">
        <v>2268</v>
      </c>
      <c r="C16" s="72" t="s">
        <v>2269</v>
      </c>
      <c r="D16" s="73">
        <f>VLOOKUP("新豐6線",'0924 4度C'!$A:$T,19,0)</f>
        <v>0.70833333333333337</v>
      </c>
      <c r="E16" s="74">
        <f>VLOOKUP("新豐2線",'0924 4度C'!$A:$T,19,0)</f>
        <v>8.3333333333333329E-2</v>
      </c>
      <c r="F16" s="74">
        <f>VLOOKUP("新豐5線",'0924 4度C'!$A:$T,19,0)</f>
        <v>0.20833333333333334</v>
      </c>
      <c r="G16" s="74">
        <f>VLOOKUP("新豐7線",'0924 4度C'!$A:$T,19,0)</f>
        <v>0.25</v>
      </c>
      <c r="H16" s="74">
        <f>VLOOKUP("新豐3線",'0924 4度C'!$A:$T,19,0)</f>
        <v>0.20833333333333334</v>
      </c>
      <c r="I16" s="74">
        <f>VLOOKUP("新豐1線",'0924 4度C'!$A:$T,19,0)</f>
        <v>0.20833333333333334</v>
      </c>
      <c r="J16" s="75">
        <f>VLOOKUP("新豐10線",'0924 4度C'!$A:$T,19,0)</f>
        <v>0.20833333333333334</v>
      </c>
      <c r="K16" s="76">
        <f>VLOOKUP("新豐8線",'0924 4度C'!$A:$T,19,0)</f>
        <v>8.3333333333333329E-2</v>
      </c>
      <c r="L16" s="77">
        <f>VLOOKUP("新豐9線",'0924 4度C'!$A:$T,19,0)</f>
        <v>8.3333333333333329E-2</v>
      </c>
      <c r="M16" s="78">
        <f>VLOOKUP("新豐4線",'0924 4度C'!$A:$T,19,0)</f>
        <v>8.3333333333333329E-2</v>
      </c>
    </row>
    <row r="17" spans="2:13" ht="17.25" customHeight="1">
      <c r="B17" s="568"/>
      <c r="C17" s="72" t="s">
        <v>2270</v>
      </c>
      <c r="D17" s="76">
        <f>LOOKUP(2,1/(('0924 4度C'!$A:$A="新豐6線")*('0924 4度C'!$T:$T&lt;&gt;"")),'0924 4度C'!$T:$T)</f>
        <v>0.80763888888888891</v>
      </c>
      <c r="E17" s="74">
        <f>LOOKUP(2,1/(('0924 4度C'!$A:$A="新豐2線")*('0924 4度C'!$T:$T&lt;&gt;"")),'0924 4度C'!$T:$T)</f>
        <v>0.33819444444444446</v>
      </c>
      <c r="F17" s="74">
        <f>LOOKUP(2,1/(('0924 4度C'!$A:$A="新豐5線")*('0924 4度C'!$T:$T&lt;&gt;"")),'0924 4度C'!$T:$T)</f>
        <v>0.79027777777777775</v>
      </c>
      <c r="G17" s="74">
        <f>LOOKUP(2,1/(('0924 4度C'!$A:$A="新豐7線")*('0924 4度C'!$T:$T&lt;&gt;"")),'0924 4度C'!$T:$T)</f>
        <v>0.82777777777777783</v>
      </c>
      <c r="H17" s="74">
        <f>LOOKUP(2,1/(('0924 4度C'!$A:$A="新豐3線")*('0924 4度C'!$T:$T&lt;&gt;"")),'0924 4度C'!$T:$T)</f>
        <v>0.40277777777777779</v>
      </c>
      <c r="I17" s="74">
        <f>LOOKUP(2,1/(('0924 4度C'!$A:$A="新豐1線")*('0924 4度C'!$T:$T&lt;&gt;"")),'0924 4度C'!$T:$T)</f>
        <v>0.79791666666666672</v>
      </c>
      <c r="J17" s="75">
        <f>LOOKUP(2,1/(('0924 4度C'!$A:$A="新豐10線")*('0924 4度C'!$T:$T&lt;&gt;"")),'0924 4度C'!$T:$T)</f>
        <v>0.39027777777777772</v>
      </c>
      <c r="K17" s="73">
        <f>LOOKUP(2,1/(('0924 4度C'!$A:$A="新豐8線")*('0924 4度C'!$T:$T&lt;&gt;"")),'0924 4度C'!$T:$T)</f>
        <v>0.49861111111111112</v>
      </c>
      <c r="L17" s="74">
        <f>LOOKUP(2,1/(('0924 4度C'!$A:$A="新豐9線")*('0924 4度C'!$T:$T&lt;&gt;"")),'0924 4度C'!$T:$T)</f>
        <v>0.48819444444444432</v>
      </c>
      <c r="M17" s="75">
        <f>LOOKUP(2,1/(('0924 4度C'!$A:$A="新豐4線")*('0924 4度C'!$T:$T&lt;&gt;"")),'0924 4度C'!$T:$T)</f>
        <v>0.4805555555555554</v>
      </c>
    </row>
    <row r="18" spans="2:13" ht="17.25" customHeight="1">
      <c r="B18" s="546" t="s">
        <v>2271</v>
      </c>
      <c r="C18" s="79" t="s">
        <v>2272</v>
      </c>
      <c r="D18" s="80">
        <f>SUMIFS('0924 4度C'!$Y:$Y,'0924 4度C'!$A:$A,"新豐6線",'0924 4度C'!$B:$B,"平均")</f>
        <v>0</v>
      </c>
      <c r="E18" s="81">
        <f>SUMIFS('0924 4度C'!$Y:$Y,'0924 4度C'!$A:$A,"新豐2線",'0924 4度C'!$B:$B,"平均")</f>
        <v>0</v>
      </c>
      <c r="F18" s="81">
        <f>SUMIFS('0924 4度C'!$Y:$Y,'0924 4度C'!$A:$A,"新豐5線",'0924 4度C'!$B:$B,"平均")</f>
        <v>0</v>
      </c>
      <c r="G18" s="81">
        <f>SUMIFS('0924 4度C'!$Y:$Y,'0924 4度C'!$A:$A,"新豐7線",'0924 4度C'!$B:$B,"平均")</f>
        <v>0</v>
      </c>
      <c r="H18" s="81">
        <f>SUMIFS('0924 4度C'!$Y:$Y,'0924 4度C'!$A:$A,"新豐3線",'0924 4度C'!$B:$B,"平均")</f>
        <v>0</v>
      </c>
      <c r="I18" s="81">
        <f>SUMIFS('0924 4度C'!$Y:$Y,'0924 4度C'!$A:$A,"新豐1線",'0924 4度C'!$B:$B,"平均")</f>
        <v>0</v>
      </c>
      <c r="J18" s="82">
        <f>SUMIFS('0924 4度C'!$Y:$Y,'0924 4度C'!$A:$A,"新豐10線",'0924 4度C'!$B:$B,"平均")</f>
        <v>0</v>
      </c>
      <c r="K18" s="83">
        <f>SUMIFS('0924 4度C'!$Y:$Y,'0924 4度C'!$A:$A,"新豐8線",'0924 4度C'!$B:$B,"平均")</f>
        <v>0</v>
      </c>
      <c r="L18" s="81">
        <f>SUMIFS('0924 4度C'!$Y:$Y,'0924 4度C'!$A:$A,"新豐9線",'0924 4度C'!$B:$B,"平均")</f>
        <v>0</v>
      </c>
      <c r="M18" s="82">
        <f>SUMIFS('0924 4度C'!$Y:$Y,'0924 4度C'!$A:$A,"新豐4線",'0924 4度C'!$B:$B,"平均")</f>
        <v>0</v>
      </c>
    </row>
    <row r="19" spans="2:13" ht="17.25" customHeight="1">
      <c r="B19" s="547"/>
      <c r="C19" s="79" t="s">
        <v>2273</v>
      </c>
      <c r="D19" s="80">
        <f>SUMIFS('0924 4度C'!$Z:$Z,'0924 4度C'!$A:$A,"新豐6線",'0924 4度C'!$B:$B,"平均")</f>
        <v>0</v>
      </c>
      <c r="E19" s="81">
        <f>SUMIFS('0924 4度C'!$Z:$Z,'0924 4度C'!$A:$A,"新豐2線",'0924 4度C'!$B:$B,"平均")</f>
        <v>0</v>
      </c>
      <c r="F19" s="81">
        <f>SUMIFS('0924 4度C'!$Z:$Z,'0924 4度C'!$A:$A,"新豐5線",'0924 4度C'!$B:$B,"平均")</f>
        <v>0</v>
      </c>
      <c r="G19" s="81">
        <f>SUMIFS('0924 4度C'!$Z:$Z,'0924 4度C'!$A:$A,"新豐7線",'0924 4度C'!$B:$B,"平均")</f>
        <v>0</v>
      </c>
      <c r="H19" s="81">
        <f>SUMIFS('0924 4度C'!$Z:$Z,'0924 4度C'!$A:$A,"新豐3線",'0924 4度C'!$B:$B,"平均")</f>
        <v>0</v>
      </c>
      <c r="I19" s="81">
        <f>SUMIFS('0924 4度C'!$Z:$Z,'0924 4度C'!$A:$A,"新豐1線",'0924 4度C'!$B:$B,"平均")</f>
        <v>0</v>
      </c>
      <c r="J19" s="82">
        <f>SUMIFS('0924 4度C'!$Z:$Z,'0924 4度C'!$A:$A,"新豐10線",'0924 4度C'!$B:$B,"平均")</f>
        <v>0</v>
      </c>
      <c r="K19" s="83">
        <f>SUMIFS('0924 4度C'!$Z:$Z,'0924 4度C'!$A:$A,"新豐8線",'0924 4度C'!$B:$B,"平均")</f>
        <v>0</v>
      </c>
      <c r="L19" s="81">
        <f>SUMIFS('0924 4度C'!$Z:$Z,'0924 4度C'!$A:$A,"新豐9線",'0924 4度C'!$B:$B,"平均")</f>
        <v>0</v>
      </c>
      <c r="M19" s="82">
        <f>SUMIFS('0924 4度C'!$Z:$Z,'0924 4度C'!$A:$A,"新豐4線",'0924 4度C'!$B:$B,"平均")</f>
        <v>0</v>
      </c>
    </row>
    <row r="20" spans="2:13" ht="17.25" customHeight="1">
      <c r="B20" s="546" t="s">
        <v>2274</v>
      </c>
      <c r="C20" s="79" t="s">
        <v>2272</v>
      </c>
      <c r="D20" s="80">
        <f>SUMIFS('0924 4度C'!$AC:$AC,'0924 4度C'!$A:$A,"新豐6線",'0924 4度C'!$B:$B,"平均")</f>
        <v>3</v>
      </c>
      <c r="E20" s="81">
        <f>SUMIFS('0924 4度C'!$AC:$AC,'0924 4度C'!$A:$A,"新豐2線",'0924 4度C'!$B:$B,"平均")</f>
        <v>2</v>
      </c>
      <c r="F20" s="81">
        <f>SUMIFS('0924 4度C'!$AC:$AC,'0924 4度C'!$A:$A,"新豐5線",'0924 4度C'!$B:$B,"平均")</f>
        <v>6</v>
      </c>
      <c r="G20" s="81">
        <f>SUMIFS('0924 4度C'!$AC:$AC,'0924 4度C'!$A:$A,"新豐7線",'0924 4度C'!$B:$B,"平均")</f>
        <v>6</v>
      </c>
      <c r="H20" s="81">
        <f>SUMIFS('0924 4度C'!$AC:$AC,'0924 4度C'!$A:$A,"新豐3線",'0924 4度C'!$B:$B,"平均")</f>
        <v>3</v>
      </c>
      <c r="I20" s="81">
        <f>SUMIFS('0924 4度C'!$AC:$AC,'0924 4度C'!$A:$A,"新豐1線",'0924 4度C'!$B:$B,"平均")</f>
        <v>8</v>
      </c>
      <c r="J20" s="82">
        <f>SUMIFS('0924 4度C'!$AC:$AC,'0924 4度C'!$A:$A,"新豐10線",'0924 4度C'!$B:$B,"平均")</f>
        <v>5</v>
      </c>
      <c r="K20" s="83">
        <f>SUMIFS('0924 4度C'!$AC:$AC,'0924 4度C'!$A:$A,"新豐8線",'0924 4度C'!$B:$B,"平均")</f>
        <v>5</v>
      </c>
      <c r="L20" s="81">
        <f>SUMIFS('0924 4度C'!$AC:$AC,'0924 4度C'!$A:$A,"新豐9線",'0924 4度C'!$B:$B,"平均")</f>
        <v>5</v>
      </c>
      <c r="M20" s="82">
        <f>SUMIFS('0924 4度C'!$AC:$AC,'0924 4度C'!$A:$A,"新豐4線",'0924 4度C'!$B:$B,"平均")</f>
        <v>7</v>
      </c>
    </row>
    <row r="21" spans="2:13" ht="17.25" customHeight="1">
      <c r="B21" s="547"/>
      <c r="C21" s="79" t="s">
        <v>2275</v>
      </c>
      <c r="D21" s="80">
        <f>SUMIFS('0924 4度C'!$AD:$AD,'0924 4度C'!$A:$A,"新豐6線",'0924 4度C'!$B:$B,"平均")</f>
        <v>0</v>
      </c>
      <c r="E21" s="81">
        <f>SUMIFS('0924 4度C'!$AD:$AD,'0924 4度C'!$A:$A,"新豐2線",'0924 4度C'!$B:$B,"平均")</f>
        <v>0</v>
      </c>
      <c r="F21" s="81">
        <f>SUMIFS('0924 4度C'!$AD:$AD,'0924 4度C'!$A:$A,"新豐5線",'0924 4度C'!$B:$B,"平均")</f>
        <v>0</v>
      </c>
      <c r="G21" s="81">
        <f>SUMIFS('0924 4度C'!$AD:$AD,'0924 4度C'!$A:$A,"新豐7線",'0924 4度C'!$B:$B,"平均")</f>
        <v>0</v>
      </c>
      <c r="H21" s="81">
        <f>SUMIFS('0924 4度C'!$AD:$AD,'0924 4度C'!$A:$A,"新豐3線",'0924 4度C'!$B:$B,"平均")</f>
        <v>0</v>
      </c>
      <c r="I21" s="81">
        <f>SUMIFS('0924 4度C'!$AD:$AD,'0924 4度C'!$A:$A,"新豐1線",'0924 4度C'!$B:$B,"平均")</f>
        <v>0</v>
      </c>
      <c r="J21" s="82">
        <f>SUMIFS('0924 4度C'!$AD:$AD,'0924 4度C'!$A:$A,"新豐10線",'0924 4度C'!$B:$B,"平均")</f>
        <v>0</v>
      </c>
      <c r="K21" s="83">
        <f>SUMIFS('0924 4度C'!$AD:$AD,'0924 4度C'!$A:$A,"新豐8線",'0924 4度C'!$B:$B,"平均")</f>
        <v>0</v>
      </c>
      <c r="L21" s="81">
        <f>SUMIFS('0924 4度C'!$AD:$AD,'0924 4度C'!$A:$A,"新豐9線",'0924 4度C'!$B:$B,"平均")</f>
        <v>0</v>
      </c>
      <c r="M21" s="82">
        <f>SUMIFS('0924 4度C'!$AD:$AD,'0924 4度C'!$A:$A,"新豐4線",'0924 4度C'!$B:$B,"平均")</f>
        <v>0</v>
      </c>
    </row>
    <row r="22" spans="2:13" ht="17.25" customHeight="1">
      <c r="B22" s="548" t="s">
        <v>2276</v>
      </c>
      <c r="C22" s="549"/>
      <c r="D22" s="84">
        <f>SUMIFS('0924 4度C'!$I:$I,'0924 4度C'!$A:$A,"新豐6線",'0924 4度C'!$B:$B,"平均")</f>
        <v>15.333333333333334</v>
      </c>
      <c r="E22" s="85">
        <f>SUMIFS('0924 4度C'!$I:$I,'0924 4度C'!$A:$A,"新豐2線",'0924 4度C'!$B:$B,"平均")</f>
        <v>18</v>
      </c>
      <c r="F22" s="85">
        <f>SUMIFS('0924 4度C'!$I:$I,'0924 4度C'!$A:$A,"新豐5線",'0924 4度C'!$B:$B,"平均")</f>
        <v>16.666666666666668</v>
      </c>
      <c r="G22" s="85">
        <f>SUMIFS('0924 4度C'!$I:$I,'0924 4度C'!$A:$A,"新豐7線",'0924 4度C'!$B:$B,"平均")</f>
        <v>15.833333333333334</v>
      </c>
      <c r="H22" s="85">
        <f>SUMIFS('0924 4度C'!$I:$I,'0924 4度C'!$A:$A,"新豐3線",'0924 4度C'!$B:$B,"平均")</f>
        <v>11</v>
      </c>
      <c r="I22" s="85">
        <f>SUMIFS('0924 4度C'!$I:$I,'0924 4度C'!$A:$A,"新豐1線",'0924 4度C'!$B:$B,"平均")</f>
        <v>18.25</v>
      </c>
      <c r="J22" s="86">
        <f>SUMIFS('0924 4度C'!$I:$I,'0924 4度C'!$A:$A,"新豐10線",'0924 4度C'!$B:$B,"平均")</f>
        <v>10.199999999999999</v>
      </c>
      <c r="K22" s="84">
        <f>SUMIFS('0924 4度C'!$I:$I,'0924 4度C'!$A:$A,"新豐8線",'0924 4度C'!$B:$B,"平均")</f>
        <v>16.399999999999999</v>
      </c>
      <c r="L22" s="85">
        <f>SUMIFS('0924 4度C'!$I:$I,'0924 4度C'!$A:$A,"新豐9線",'0924 4度C'!$B:$B,"平均")</f>
        <v>17</v>
      </c>
      <c r="M22" s="86">
        <f>SUMIFS('0924 4度C'!$I:$I,'0924 4度C'!$A:$A,"新豐4線",'0924 4度C'!$B:$B,"平均")</f>
        <v>16.857142857142858</v>
      </c>
    </row>
    <row r="23" spans="2:13" ht="17.25" customHeight="1">
      <c r="B23" s="548" t="s">
        <v>2277</v>
      </c>
      <c r="C23" s="549"/>
      <c r="D23" s="87" t="s">
        <v>69</v>
      </c>
      <c r="E23" s="88" t="s">
        <v>70</v>
      </c>
      <c r="F23" s="88" t="s">
        <v>2278</v>
      </c>
      <c r="G23" s="88" t="s">
        <v>2278</v>
      </c>
      <c r="H23" s="88" t="s">
        <v>71</v>
      </c>
      <c r="I23" s="88" t="s">
        <v>69</v>
      </c>
      <c r="J23" s="89" t="s">
        <v>71</v>
      </c>
      <c r="K23" s="87" t="s">
        <v>2279</v>
      </c>
      <c r="L23" s="88" t="s">
        <v>2279</v>
      </c>
      <c r="M23" s="89" t="s">
        <v>2279</v>
      </c>
    </row>
    <row r="24" spans="2:13" ht="17.25" customHeight="1">
      <c r="B24" s="548" t="s">
        <v>2280</v>
      </c>
      <c r="C24" s="549"/>
      <c r="D24" s="87"/>
      <c r="E24" s="88"/>
      <c r="F24" s="88" t="s">
        <v>2281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2282</v>
      </c>
      <c r="C25" s="551"/>
      <c r="D25" s="90"/>
      <c r="E25" s="91" t="s">
        <v>128</v>
      </c>
      <c r="F25" s="544" t="s">
        <v>2283</v>
      </c>
      <c r="G25" s="545"/>
      <c r="H25" s="91" t="s">
        <v>2284</v>
      </c>
      <c r="I25" s="91" t="s">
        <v>2285</v>
      </c>
      <c r="J25" s="92" t="s">
        <v>2284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94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2286</v>
      </c>
      <c r="D1" s="3">
        <f>SUM(F5:F64)</f>
        <v>120650</v>
      </c>
      <c r="E1" s="467" t="s">
        <v>134</v>
      </c>
      <c r="F1" s="1">
        <f>SUM(G5:G64)</f>
        <v>4079492.55</v>
      </c>
      <c r="G1" s="1" t="s">
        <v>250</v>
      </c>
      <c r="H1" s="4">
        <f>L8+L11+L41+L50+L18+L56+L31+L37+L25+L64</f>
        <v>155.5404761904762</v>
      </c>
      <c r="I1" s="660" t="s">
        <v>136</v>
      </c>
      <c r="J1" s="660"/>
      <c r="K1" s="660"/>
      <c r="L1" s="660" t="s">
        <v>137</v>
      </c>
      <c r="M1" s="660"/>
      <c r="N1" s="660"/>
      <c r="O1" s="660" t="s">
        <v>138</v>
      </c>
      <c r="P1" s="660"/>
      <c r="Q1" s="660"/>
      <c r="R1" s="660"/>
      <c r="S1" s="660" t="s">
        <v>139</v>
      </c>
      <c r="T1" s="660"/>
      <c r="U1" s="660"/>
      <c r="V1" s="660"/>
      <c r="W1" s="660"/>
      <c r="X1" s="660"/>
      <c r="Y1" s="5" t="s">
        <v>140</v>
      </c>
      <c r="Z1" s="6" t="s">
        <v>2287</v>
      </c>
      <c r="AA1" s="661" t="s">
        <v>353</v>
      </c>
      <c r="AB1" s="661"/>
      <c r="AC1" s="171" t="s">
        <v>140</v>
      </c>
      <c r="AD1" s="6" t="s">
        <v>2288</v>
      </c>
      <c r="AE1" s="660" t="s">
        <v>145</v>
      </c>
      <c r="AF1" s="662"/>
      <c r="AG1" s="662"/>
    </row>
    <row r="2" spans="1:33" ht="26.25" customHeight="1">
      <c r="A2" s="27">
        <v>46289</v>
      </c>
      <c r="B2" s="28" t="s">
        <v>356</v>
      </c>
      <c r="C2" s="2" t="s">
        <v>110</v>
      </c>
      <c r="D2" s="9">
        <f>AVERAGE(N8,N11,N41,N50,N18,N56,N25,N31,N37,N64)</f>
        <v>145.21734399002383</v>
      </c>
      <c r="E2" s="10" t="s">
        <v>0</v>
      </c>
      <c r="F2" s="11">
        <f>F1/D1</f>
        <v>33.812619560712804</v>
      </c>
      <c r="G2" s="1" t="s">
        <v>357</v>
      </c>
      <c r="H2" s="464">
        <f>COUNT(H5:H64)</f>
        <v>0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SUM(Y8+Y11+Y18+Y25+Y31+Y37+Y41+Y50+Y56+Y64)</f>
        <v>0</v>
      </c>
      <c r="Z2" s="12">
        <f>SUM(Z8+Z11+Z18+Z25+Z31+Z37+Z41+Z50+Z56+Z64)</f>
        <v>0</v>
      </c>
      <c r="AA2" s="661"/>
      <c r="AB2" s="661"/>
      <c r="AC2" s="172">
        <v>50</v>
      </c>
      <c r="AD2" s="12">
        <f>SUM(AD8+AD11+AD18+AD25+AD31+AD37+AD41+AD50+AD56+AD64)</f>
        <v>0</v>
      </c>
      <c r="AE2" s="662"/>
      <c r="AF2" s="662"/>
      <c r="AG2" s="662"/>
    </row>
    <row r="3" spans="1:33" ht="40.5" customHeight="1">
      <c r="A3" s="610" t="s">
        <v>2289</v>
      </c>
      <c r="B3" s="610" t="s">
        <v>150</v>
      </c>
      <c r="C3" s="610" t="s">
        <v>151</v>
      </c>
      <c r="D3" s="610"/>
      <c r="E3" s="658" t="s">
        <v>152</v>
      </c>
      <c r="F3" s="610" t="s">
        <v>267</v>
      </c>
      <c r="G3" s="658" t="s">
        <v>2290</v>
      </c>
      <c r="H3" s="651" t="s">
        <v>269</v>
      </c>
      <c r="I3" s="649" t="s">
        <v>2291</v>
      </c>
      <c r="J3" s="646" t="s">
        <v>2292</v>
      </c>
      <c r="K3" s="656" t="s">
        <v>2293</v>
      </c>
      <c r="L3" s="649" t="s">
        <v>2294</v>
      </c>
      <c r="M3" s="646" t="s">
        <v>157</v>
      </c>
      <c r="N3" s="656" t="s">
        <v>110</v>
      </c>
      <c r="O3" s="649" t="s">
        <v>270</v>
      </c>
      <c r="P3" s="656" t="s">
        <v>110</v>
      </c>
      <c r="Q3" s="647" t="s">
        <v>2295</v>
      </c>
      <c r="R3" s="623" t="s">
        <v>162</v>
      </c>
      <c r="S3" s="657" t="s">
        <v>1</v>
      </c>
      <c r="T3" s="657"/>
      <c r="U3" s="651" t="s">
        <v>2</v>
      </c>
      <c r="V3" s="651" t="s">
        <v>163</v>
      </c>
      <c r="W3" s="610" t="s">
        <v>2296</v>
      </c>
      <c r="X3" s="610"/>
      <c r="Y3" s="652" t="s">
        <v>2297</v>
      </c>
      <c r="Z3" s="609"/>
      <c r="AA3" s="653" t="s">
        <v>2298</v>
      </c>
      <c r="AB3" s="654"/>
      <c r="AC3" s="652" t="s">
        <v>2299</v>
      </c>
      <c r="AD3" s="609"/>
      <c r="AE3" s="646" t="s">
        <v>2300</v>
      </c>
      <c r="AF3" s="647" t="s">
        <v>2301</v>
      </c>
      <c r="AG3" s="623" t="s">
        <v>2302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472" t="s">
        <v>3</v>
      </c>
      <c r="T4" s="472" t="s">
        <v>4</v>
      </c>
      <c r="U4" s="651"/>
      <c r="V4" s="651"/>
      <c r="W4" s="467" t="s">
        <v>2303</v>
      </c>
      <c r="X4" s="467" t="s">
        <v>2304</v>
      </c>
      <c r="Y4" s="469" t="s">
        <v>2305</v>
      </c>
      <c r="Z4" s="469" t="s">
        <v>2306</v>
      </c>
      <c r="AA4" s="655"/>
      <c r="AB4" s="654"/>
      <c r="AC4" s="469" t="s">
        <v>175</v>
      </c>
      <c r="AD4" s="469" t="s">
        <v>2307</v>
      </c>
      <c r="AE4" s="646"/>
      <c r="AF4" s="647"/>
      <c r="AG4" s="623"/>
    </row>
    <row r="5" spans="1:33">
      <c r="A5" s="648" t="s">
        <v>2308</v>
      </c>
      <c r="B5" s="33" t="s">
        <v>6</v>
      </c>
      <c r="C5" s="650" t="s">
        <v>7</v>
      </c>
      <c r="D5" s="650"/>
      <c r="E5" s="33">
        <v>50.92</v>
      </c>
      <c r="F5" s="472">
        <v>1540</v>
      </c>
      <c r="G5" s="467">
        <f t="shared" ref="G5:G7" si="0">E5*F5</f>
        <v>78416.800000000003</v>
      </c>
      <c r="H5" s="479" t="s">
        <v>5</v>
      </c>
      <c r="I5" s="465">
        <v>15</v>
      </c>
      <c r="J5" s="30">
        <v>2000</v>
      </c>
      <c r="K5" s="13">
        <f t="shared" ref="K5:K64" si="1">J5/I5</f>
        <v>133.33333333333334</v>
      </c>
      <c r="L5" s="465">
        <v>15</v>
      </c>
      <c r="M5" s="14">
        <f t="shared" ref="M5:M7" si="2">F5/V5*60</f>
        <v>1925.0000000000005</v>
      </c>
      <c r="N5" s="13">
        <f t="shared" ref="N5:N64" si="3">M5/L5</f>
        <v>128.33333333333337</v>
      </c>
      <c r="O5" s="15">
        <f t="shared" ref="O5:O64" si="4">L5-I5</f>
        <v>0</v>
      </c>
      <c r="P5" s="16">
        <f t="shared" ref="P5:P64" si="5">N5-K5</f>
        <v>-4.9999999999999716</v>
      </c>
      <c r="Q5" s="466">
        <f t="shared" ref="Q5:Q64" si="6">N5/K5</f>
        <v>0.96250000000000024</v>
      </c>
      <c r="R5" s="619">
        <f>Q8</f>
        <v>0.96577268643306335</v>
      </c>
      <c r="S5" s="31">
        <v>0.70833333333333337</v>
      </c>
      <c r="T5" s="31">
        <v>0.7416666666666667</v>
      </c>
      <c r="U5" s="467"/>
      <c r="V5" s="468">
        <f t="shared" ref="V5:V7" si="7">(T5-S5)*24*60</f>
        <v>47.999999999999986</v>
      </c>
      <c r="W5" s="17"/>
      <c r="X5" s="17"/>
      <c r="Y5" s="18"/>
      <c r="Z5" s="18"/>
      <c r="AA5" s="610"/>
      <c r="AB5" s="610"/>
      <c r="AC5" s="155">
        <v>3</v>
      </c>
      <c r="AD5" s="19"/>
      <c r="AE5" s="15">
        <f t="shared" ref="AE5:AE49" si="8">M5-J5</f>
        <v>-74.999999999999545</v>
      </c>
      <c r="AF5" s="466">
        <f t="shared" ref="AF5:AF64" si="9">M5/J5</f>
        <v>0.96250000000000024</v>
      </c>
      <c r="AG5" s="619">
        <f>AF8</f>
        <v>0.96577268643306347</v>
      </c>
    </row>
    <row r="6" spans="1:33">
      <c r="A6" s="649" t="s">
        <v>2309</v>
      </c>
      <c r="B6" s="33" t="s">
        <v>6</v>
      </c>
      <c r="C6" s="650" t="s">
        <v>8</v>
      </c>
      <c r="D6" s="650"/>
      <c r="E6" s="33">
        <v>50.98</v>
      </c>
      <c r="F6" s="472">
        <v>1690</v>
      </c>
      <c r="G6" s="467">
        <f t="shared" si="0"/>
        <v>86156.2</v>
      </c>
      <c r="H6" s="479" t="s">
        <v>5</v>
      </c>
      <c r="I6" s="465">
        <v>16</v>
      </c>
      <c r="J6" s="30">
        <v>2000</v>
      </c>
      <c r="K6" s="13">
        <f t="shared" si="1"/>
        <v>125</v>
      </c>
      <c r="L6" s="465">
        <v>16</v>
      </c>
      <c r="M6" s="14">
        <f t="shared" si="2"/>
        <v>1913.2075471698124</v>
      </c>
      <c r="N6" s="13">
        <f t="shared" si="3"/>
        <v>119.57547169811328</v>
      </c>
      <c r="O6" s="15">
        <f t="shared" si="4"/>
        <v>0</v>
      </c>
      <c r="P6" s="16">
        <f t="shared" si="5"/>
        <v>-5.4245283018867241</v>
      </c>
      <c r="Q6" s="466">
        <f t="shared" si="6"/>
        <v>0.95660377358490623</v>
      </c>
      <c r="R6" s="619"/>
      <c r="S6" s="31">
        <v>0.74583333333333335</v>
      </c>
      <c r="T6" s="31">
        <v>0.78263888888888888</v>
      </c>
      <c r="U6" s="467">
        <f t="shared" ref="U6:U7" si="10">IF(S6=TIME(17,0,0),"",(S6-T5)*24*60)</f>
        <v>5.9999999999999787</v>
      </c>
      <c r="V6" s="468">
        <f t="shared" si="7"/>
        <v>52.999999999999972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-86.792452830187585</v>
      </c>
      <c r="AF6" s="466">
        <f t="shared" si="9"/>
        <v>0.95660377358490623</v>
      </c>
      <c r="AG6" s="619"/>
    </row>
    <row r="7" spans="1:33">
      <c r="A7" s="649" t="s">
        <v>178</v>
      </c>
      <c r="B7" s="33" t="s">
        <v>6</v>
      </c>
      <c r="C7" s="641" t="s">
        <v>9</v>
      </c>
      <c r="D7" s="642"/>
      <c r="E7" s="33">
        <v>50.67</v>
      </c>
      <c r="F7" s="472">
        <v>913</v>
      </c>
      <c r="G7" s="467">
        <f t="shared" si="0"/>
        <v>46261.71</v>
      </c>
      <c r="H7" s="479" t="s">
        <v>5</v>
      </c>
      <c r="I7" s="465">
        <v>15</v>
      </c>
      <c r="J7" s="30">
        <v>2000</v>
      </c>
      <c r="K7" s="13">
        <f t="shared" si="1"/>
        <v>133.33333333333334</v>
      </c>
      <c r="L7" s="465">
        <v>15</v>
      </c>
      <c r="M7" s="14">
        <f t="shared" si="2"/>
        <v>1956.4285714285675</v>
      </c>
      <c r="N7" s="13">
        <f t="shared" si="3"/>
        <v>130.42857142857116</v>
      </c>
      <c r="O7" s="15">
        <f t="shared" si="4"/>
        <v>0</v>
      </c>
      <c r="P7" s="16">
        <f t="shared" si="5"/>
        <v>-2.9047619047621822</v>
      </c>
      <c r="Q7" s="466">
        <f t="shared" si="6"/>
        <v>0.97821428571428359</v>
      </c>
      <c r="R7" s="619"/>
      <c r="S7" s="31">
        <v>0.78819444444444442</v>
      </c>
      <c r="T7" s="31">
        <v>0.80763888888888891</v>
      </c>
      <c r="U7" s="467">
        <f t="shared" si="10"/>
        <v>7.9999999999999716</v>
      </c>
      <c r="V7" s="468">
        <f t="shared" si="7"/>
        <v>28.00000000000006</v>
      </c>
      <c r="W7" s="17"/>
      <c r="X7" s="17"/>
      <c r="Y7" s="20"/>
      <c r="Z7" s="20"/>
      <c r="AA7" s="614"/>
      <c r="AB7" s="615"/>
      <c r="AC7" s="155"/>
      <c r="AD7" s="21"/>
      <c r="AE7" s="15">
        <f t="shared" si="8"/>
        <v>-43.571428571432534</v>
      </c>
      <c r="AF7" s="466">
        <f t="shared" si="9"/>
        <v>0.9782142857142837</v>
      </c>
      <c r="AG7" s="619"/>
    </row>
    <row r="8" spans="1:33">
      <c r="A8" s="649" t="s">
        <v>2309</v>
      </c>
      <c r="B8" s="33" t="s">
        <v>2310</v>
      </c>
      <c r="C8" s="620"/>
      <c r="D8" s="620"/>
      <c r="E8" s="473"/>
      <c r="F8" s="34"/>
      <c r="G8" s="13"/>
      <c r="H8" s="472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1931.5453728661269</v>
      </c>
      <c r="N8" s="13">
        <f t="shared" si="3"/>
        <v>125.97035040431261</v>
      </c>
      <c r="O8" s="15">
        <f t="shared" si="4"/>
        <v>0</v>
      </c>
      <c r="P8" s="16">
        <f t="shared" si="5"/>
        <v>-4.4644322043830442</v>
      </c>
      <c r="Q8" s="466">
        <f t="shared" si="6"/>
        <v>0.96577268643306335</v>
      </c>
      <c r="R8" s="619"/>
      <c r="S8" s="31"/>
      <c r="T8" s="31"/>
      <c r="U8" s="467"/>
      <c r="V8" s="468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-68.454627133873146</v>
      </c>
      <c r="AF8" s="466">
        <f t="shared" si="9"/>
        <v>0.96577268643306347</v>
      </c>
      <c r="AG8" s="619"/>
    </row>
    <row r="9" spans="1:33" ht="15.75" customHeight="1">
      <c r="A9" s="645" t="s">
        <v>2311</v>
      </c>
      <c r="B9" s="33" t="s">
        <v>10</v>
      </c>
      <c r="C9" s="641" t="s">
        <v>14</v>
      </c>
      <c r="D9" s="642"/>
      <c r="E9" s="33">
        <v>39.619999999999997</v>
      </c>
      <c r="F9" s="472">
        <v>3345</v>
      </c>
      <c r="G9" s="467">
        <f t="shared" ref="G9:G10" si="11">E9*F9</f>
        <v>132528.9</v>
      </c>
      <c r="H9" s="479" t="s">
        <v>5</v>
      </c>
      <c r="I9" s="465">
        <v>19</v>
      </c>
      <c r="J9" s="30">
        <v>1500</v>
      </c>
      <c r="K9" s="13">
        <f t="shared" si="1"/>
        <v>78.94736842105263</v>
      </c>
      <c r="L9" s="465">
        <v>19</v>
      </c>
      <c r="M9" s="14">
        <f t="shared" ref="M9:M10" si="12">F9/V9*60</f>
        <v>1433.5714285714284</v>
      </c>
      <c r="N9" s="13">
        <f t="shared" si="3"/>
        <v>75.451127819548859</v>
      </c>
      <c r="O9" s="15">
        <f t="shared" si="4"/>
        <v>0</v>
      </c>
      <c r="P9" s="16">
        <f t="shared" si="5"/>
        <v>-3.4962406015037715</v>
      </c>
      <c r="Q9" s="466">
        <f t="shared" si="6"/>
        <v>0.95571428571428552</v>
      </c>
      <c r="R9" s="619">
        <f>Q11</f>
        <v>0.95497157071783945</v>
      </c>
      <c r="S9" s="31">
        <v>8.3333333333333329E-2</v>
      </c>
      <c r="T9" s="31">
        <v>0.18055555555555555</v>
      </c>
      <c r="U9" s="467"/>
      <c r="V9" s="468">
        <f t="shared" ref="V9:V10" si="13">(T9-S9)*24*60</f>
        <v>140</v>
      </c>
      <c r="W9" s="17">
        <f>T9</f>
        <v>0.18055555555555555</v>
      </c>
      <c r="X9" s="17">
        <f>S10</f>
        <v>0.1986111111111111</v>
      </c>
      <c r="Y9" s="17"/>
      <c r="Z9" s="17"/>
      <c r="AA9" s="610"/>
      <c r="AB9" s="610"/>
      <c r="AC9" s="155">
        <v>2</v>
      </c>
      <c r="AD9" s="19"/>
      <c r="AE9" s="15">
        <f t="shared" si="8"/>
        <v>-66.428571428571558</v>
      </c>
      <c r="AF9" s="466">
        <f t="shared" si="9"/>
        <v>0.95571428571428563</v>
      </c>
      <c r="AG9" s="619">
        <f>AF11</f>
        <v>0.95497157071783934</v>
      </c>
    </row>
    <row r="10" spans="1:33" ht="15.75" customHeight="1">
      <c r="A10" s="645" t="s">
        <v>2311</v>
      </c>
      <c r="B10" s="33" t="s">
        <v>10</v>
      </c>
      <c r="C10" s="641" t="s">
        <v>11</v>
      </c>
      <c r="D10" s="642"/>
      <c r="E10" s="33">
        <v>39.799999999999997</v>
      </c>
      <c r="F10" s="472">
        <v>4795</v>
      </c>
      <c r="G10" s="467">
        <f t="shared" si="11"/>
        <v>190841</v>
      </c>
      <c r="H10" s="479" t="s">
        <v>5</v>
      </c>
      <c r="I10" s="465">
        <v>17</v>
      </c>
      <c r="J10" s="30">
        <v>1500</v>
      </c>
      <c r="K10" s="13">
        <f t="shared" si="1"/>
        <v>88.235294117647058</v>
      </c>
      <c r="L10" s="465">
        <v>17</v>
      </c>
      <c r="M10" s="14">
        <f t="shared" si="12"/>
        <v>1431.3432835820895</v>
      </c>
      <c r="N10" s="13">
        <f t="shared" si="3"/>
        <v>84.196663740122915</v>
      </c>
      <c r="O10" s="15">
        <f t="shared" si="4"/>
        <v>0</v>
      </c>
      <c r="P10" s="16">
        <f t="shared" si="5"/>
        <v>-4.038630377524143</v>
      </c>
      <c r="Q10" s="466">
        <f t="shared" si="6"/>
        <v>0.95422885572139304</v>
      </c>
      <c r="R10" s="619"/>
      <c r="S10" s="31">
        <v>0.1986111111111111</v>
      </c>
      <c r="T10" s="31">
        <v>0.33819444444444446</v>
      </c>
      <c r="U10" s="467">
        <f t="shared" ref="U10" si="14">IF(S10=TIME(17,0,0),"",(S10-T9)*24*60)</f>
        <v>25.999999999999986</v>
      </c>
      <c r="V10" s="468">
        <f t="shared" si="13"/>
        <v>201.00000000000003</v>
      </c>
      <c r="W10" s="17"/>
      <c r="X10" s="17"/>
      <c r="Y10" s="17"/>
      <c r="Z10" s="17"/>
      <c r="AA10" s="610"/>
      <c r="AB10" s="610"/>
      <c r="AC10" s="155"/>
      <c r="AD10" s="19"/>
      <c r="AE10" s="15">
        <f t="shared" si="8"/>
        <v>-68.656716417910502</v>
      </c>
      <c r="AF10" s="466">
        <f t="shared" si="9"/>
        <v>0.95422885572139304</v>
      </c>
      <c r="AG10" s="619"/>
    </row>
    <row r="11" spans="1:33" ht="16.5" customHeight="1">
      <c r="A11" s="645" t="s">
        <v>2311</v>
      </c>
      <c r="B11" s="33" t="s">
        <v>2310</v>
      </c>
      <c r="C11" s="620"/>
      <c r="D11" s="620"/>
      <c r="E11" s="473"/>
      <c r="F11" s="30"/>
      <c r="G11" s="14"/>
      <c r="H11" s="472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1432.457356076759</v>
      </c>
      <c r="N11" s="13">
        <f t="shared" si="3"/>
        <v>79.580964226486614</v>
      </c>
      <c r="O11" s="15">
        <f t="shared" si="4"/>
        <v>0</v>
      </c>
      <c r="P11" s="16">
        <f t="shared" si="5"/>
        <v>-3.7523691068467144</v>
      </c>
      <c r="Q11" s="466">
        <f t="shared" si="6"/>
        <v>0.95497157071783945</v>
      </c>
      <c r="R11" s="619"/>
      <c r="S11" s="31"/>
      <c r="T11" s="31"/>
      <c r="U11" s="13"/>
      <c r="V11" s="468"/>
      <c r="W11" s="13"/>
      <c r="X11" s="13"/>
      <c r="Y11" s="24">
        <f>SUM(Y9:Y10)</f>
        <v>0</v>
      </c>
      <c r="Z11" s="24">
        <f>SUM(Z9:Z10)</f>
        <v>0</v>
      </c>
      <c r="AA11" s="609"/>
      <c r="AB11" s="609"/>
      <c r="AC11" s="24">
        <v>2</v>
      </c>
      <c r="AD11" s="24">
        <f>SUM(AD9:AD10)</f>
        <v>0</v>
      </c>
      <c r="AE11" s="15">
        <f t="shared" si="8"/>
        <v>-67.54264392324103</v>
      </c>
      <c r="AF11" s="466">
        <f t="shared" si="9"/>
        <v>0.95497157071783934</v>
      </c>
      <c r="AG11" s="619"/>
    </row>
    <row r="12" spans="1:33" ht="16.5" customHeight="1">
      <c r="A12" s="643" t="s">
        <v>185</v>
      </c>
      <c r="B12" s="472" t="s">
        <v>15</v>
      </c>
      <c r="C12" s="635" t="s">
        <v>16</v>
      </c>
      <c r="D12" s="635"/>
      <c r="E12" s="33">
        <v>31.11</v>
      </c>
      <c r="F12" s="472">
        <v>1770</v>
      </c>
      <c r="G12" s="467">
        <f t="shared" ref="G12:G17" si="15">E12*F12</f>
        <v>55064.7</v>
      </c>
      <c r="H12" s="479" t="s">
        <v>5</v>
      </c>
      <c r="I12" s="465">
        <v>14</v>
      </c>
      <c r="J12" s="30">
        <v>2000</v>
      </c>
      <c r="K12" s="13">
        <f t="shared" si="1"/>
        <v>142.85714285714286</v>
      </c>
      <c r="L12" s="465">
        <v>14</v>
      </c>
      <c r="M12" s="14">
        <f t="shared" ref="M12:M17" si="16">F12/V12*60</f>
        <v>1930.9090909090908</v>
      </c>
      <c r="N12" s="13">
        <f t="shared" si="3"/>
        <v>137.9220779220779</v>
      </c>
      <c r="O12" s="15">
        <f t="shared" si="4"/>
        <v>0</v>
      </c>
      <c r="P12" s="16">
        <f t="shared" si="5"/>
        <v>-4.9350649350649576</v>
      </c>
      <c r="Q12" s="466">
        <f t="shared" si="6"/>
        <v>0.96545454545454534</v>
      </c>
      <c r="R12" s="619">
        <f>Q18</f>
        <v>0.96251182943160118</v>
      </c>
      <c r="S12" s="31">
        <v>0.20833333333333334</v>
      </c>
      <c r="T12" s="31">
        <v>0.24652777777777779</v>
      </c>
      <c r="U12" s="467"/>
      <c r="V12" s="468">
        <f t="shared" ref="V12:V17" si="17">(T12-S12)*24*60</f>
        <v>55.000000000000007</v>
      </c>
      <c r="W12" s="17"/>
      <c r="X12" s="17"/>
      <c r="Y12" s="22"/>
      <c r="Z12" s="22"/>
      <c r="AA12" s="610"/>
      <c r="AB12" s="610"/>
      <c r="AC12" s="155">
        <v>6</v>
      </c>
      <c r="AD12" s="19"/>
      <c r="AE12" s="15">
        <f t="shared" si="8"/>
        <v>-69.090909090909236</v>
      </c>
      <c r="AF12" s="466">
        <f t="shared" si="9"/>
        <v>0.96545454545454534</v>
      </c>
      <c r="AG12" s="619">
        <f>AF18</f>
        <v>0.96251182943160118</v>
      </c>
    </row>
    <row r="13" spans="1:33" ht="16.5" customHeight="1">
      <c r="A13" s="644" t="s">
        <v>185</v>
      </c>
      <c r="B13" s="472" t="s">
        <v>17</v>
      </c>
      <c r="C13" s="635" t="s">
        <v>18</v>
      </c>
      <c r="D13" s="635"/>
      <c r="E13" s="33">
        <v>41</v>
      </c>
      <c r="F13" s="472">
        <v>1269</v>
      </c>
      <c r="G13" s="467">
        <f t="shared" si="15"/>
        <v>52029</v>
      </c>
      <c r="H13" s="479" t="s">
        <v>5</v>
      </c>
      <c r="I13" s="465">
        <v>26</v>
      </c>
      <c r="J13" s="30">
        <v>1500</v>
      </c>
      <c r="K13" s="13">
        <f t="shared" si="1"/>
        <v>57.692307692307693</v>
      </c>
      <c r="L13" s="465">
        <v>26</v>
      </c>
      <c r="M13" s="14">
        <f t="shared" si="16"/>
        <v>1436.6037735849063</v>
      </c>
      <c r="N13" s="13">
        <f t="shared" si="3"/>
        <v>55.253991291727168</v>
      </c>
      <c r="O13" s="15">
        <f t="shared" si="4"/>
        <v>0</v>
      </c>
      <c r="P13" s="16">
        <f t="shared" si="5"/>
        <v>-2.4383164005805256</v>
      </c>
      <c r="Q13" s="466">
        <f t="shared" si="6"/>
        <v>0.95773584905660425</v>
      </c>
      <c r="R13" s="619"/>
      <c r="S13" s="31">
        <v>0.25069444444444444</v>
      </c>
      <c r="T13" s="31">
        <v>0.28749999999999998</v>
      </c>
      <c r="U13" s="467">
        <f t="shared" ref="U13:U17" si="18">IF(S13=TIME(17,0,0),"",(S13-T12)*24*60)</f>
        <v>5.9999999999999787</v>
      </c>
      <c r="V13" s="468">
        <f t="shared" si="17"/>
        <v>52.999999999999972</v>
      </c>
      <c r="W13" s="17"/>
      <c r="X13" s="17"/>
      <c r="Y13" s="17"/>
      <c r="Z13" s="17"/>
      <c r="AA13" s="610"/>
      <c r="AB13" s="610"/>
      <c r="AC13" s="155"/>
      <c r="AD13" s="19"/>
      <c r="AE13" s="15">
        <f t="shared" si="8"/>
        <v>-63.396226415093679</v>
      </c>
      <c r="AF13" s="466">
        <f t="shared" si="9"/>
        <v>0.95773584905660425</v>
      </c>
      <c r="AG13" s="619"/>
    </row>
    <row r="14" spans="1:33" ht="16.5" customHeight="1">
      <c r="A14" s="644" t="s">
        <v>185</v>
      </c>
      <c r="B14" s="472" t="s">
        <v>10</v>
      </c>
      <c r="C14" s="635" t="s">
        <v>12</v>
      </c>
      <c r="D14" s="635"/>
      <c r="E14" s="33">
        <v>39.46</v>
      </c>
      <c r="F14" s="472">
        <v>1635</v>
      </c>
      <c r="G14" s="467">
        <f t="shared" si="15"/>
        <v>64517.1</v>
      </c>
      <c r="H14" s="479" t="s">
        <v>5</v>
      </c>
      <c r="I14" s="465">
        <v>15</v>
      </c>
      <c r="J14" s="30">
        <v>1500</v>
      </c>
      <c r="K14" s="13">
        <f t="shared" si="1"/>
        <v>100</v>
      </c>
      <c r="L14" s="465">
        <v>15</v>
      </c>
      <c r="M14" s="14">
        <f t="shared" si="16"/>
        <v>1442.6470588235293</v>
      </c>
      <c r="N14" s="13">
        <f t="shared" si="3"/>
        <v>96.17647058823529</v>
      </c>
      <c r="O14" s="15">
        <f t="shared" si="4"/>
        <v>0</v>
      </c>
      <c r="P14" s="16">
        <f t="shared" si="5"/>
        <v>-3.8235294117647101</v>
      </c>
      <c r="Q14" s="466">
        <f t="shared" si="6"/>
        <v>0.96176470588235285</v>
      </c>
      <c r="R14" s="619"/>
      <c r="S14" s="31">
        <v>0.29097222222222219</v>
      </c>
      <c r="T14" s="31">
        <v>0.33819444444444441</v>
      </c>
      <c r="U14" s="467">
        <f t="shared" si="18"/>
        <v>4.9999999999999822</v>
      </c>
      <c r="V14" s="468">
        <f t="shared" si="17"/>
        <v>68</v>
      </c>
      <c r="W14" s="17"/>
      <c r="X14" s="17"/>
      <c r="Y14" s="17"/>
      <c r="Z14" s="17"/>
      <c r="AA14" s="610"/>
      <c r="AB14" s="610"/>
      <c r="AC14" s="155"/>
      <c r="AD14" s="19"/>
      <c r="AE14" s="15">
        <f t="shared" si="8"/>
        <v>-57.352941176470722</v>
      </c>
      <c r="AF14" s="466">
        <f t="shared" si="9"/>
        <v>0.96176470588235285</v>
      </c>
      <c r="AG14" s="619"/>
    </row>
    <row r="15" spans="1:33" ht="16.5" customHeight="1">
      <c r="A15" s="644" t="s">
        <v>185</v>
      </c>
      <c r="B15" s="472" t="s">
        <v>6</v>
      </c>
      <c r="C15" s="635" t="s">
        <v>45</v>
      </c>
      <c r="D15" s="635"/>
      <c r="E15" s="33">
        <v>51.06</v>
      </c>
      <c r="F15" s="472">
        <v>1908</v>
      </c>
      <c r="G15" s="467">
        <f t="shared" si="15"/>
        <v>97422.48000000001</v>
      </c>
      <c r="H15" s="479" t="s">
        <v>5</v>
      </c>
      <c r="I15" s="465">
        <v>13</v>
      </c>
      <c r="J15" s="30">
        <v>2000</v>
      </c>
      <c r="K15" s="13">
        <f t="shared" si="1"/>
        <v>153.84615384615384</v>
      </c>
      <c r="L15" s="465">
        <v>13</v>
      </c>
      <c r="M15" s="14">
        <f t="shared" si="16"/>
        <v>1908.0000000000018</v>
      </c>
      <c r="N15" s="13">
        <f t="shared" si="3"/>
        <v>146.76923076923092</v>
      </c>
      <c r="O15" s="15">
        <f t="shared" si="4"/>
        <v>0</v>
      </c>
      <c r="P15" s="16">
        <f t="shared" si="5"/>
        <v>-7.0769230769229239</v>
      </c>
      <c r="Q15" s="466">
        <f t="shared" si="6"/>
        <v>0.95400000000000096</v>
      </c>
      <c r="R15" s="619"/>
      <c r="S15" s="31">
        <v>0.70833333333333337</v>
      </c>
      <c r="T15" s="31">
        <v>0.75</v>
      </c>
      <c r="U15" s="467" t="str">
        <f t="shared" si="18"/>
        <v/>
      </c>
      <c r="V15" s="468">
        <f t="shared" si="17"/>
        <v>59.999999999999943</v>
      </c>
      <c r="W15" s="17"/>
      <c r="X15" s="17"/>
      <c r="Y15" s="17"/>
      <c r="Z15" s="17"/>
      <c r="AA15" s="610"/>
      <c r="AB15" s="610"/>
      <c r="AC15" s="155"/>
      <c r="AD15" s="19"/>
      <c r="AE15" s="15">
        <f t="shared" si="8"/>
        <v>-91.999999999998181</v>
      </c>
      <c r="AF15" s="466">
        <f t="shared" si="9"/>
        <v>0.95400000000000096</v>
      </c>
      <c r="AG15" s="619"/>
    </row>
    <row r="16" spans="1:33" ht="16.5" customHeight="1">
      <c r="A16" s="644" t="s">
        <v>2312</v>
      </c>
      <c r="B16" s="472" t="s">
        <v>6</v>
      </c>
      <c r="C16" s="635" t="s">
        <v>25</v>
      </c>
      <c r="D16" s="635"/>
      <c r="E16" s="33">
        <v>56.43</v>
      </c>
      <c r="F16" s="472">
        <v>777</v>
      </c>
      <c r="G16" s="467">
        <f t="shared" si="15"/>
        <v>43846.11</v>
      </c>
      <c r="H16" s="479" t="s">
        <v>5</v>
      </c>
      <c r="I16" s="465">
        <v>13</v>
      </c>
      <c r="J16" s="30">
        <v>2000</v>
      </c>
      <c r="K16" s="13">
        <f t="shared" si="1"/>
        <v>153.84615384615384</v>
      </c>
      <c r="L16" s="465">
        <v>13</v>
      </c>
      <c r="M16" s="14">
        <f t="shared" si="16"/>
        <v>1942.4999999999941</v>
      </c>
      <c r="N16" s="13">
        <f t="shared" si="3"/>
        <v>149.42307692307648</v>
      </c>
      <c r="O16" s="15">
        <f t="shared" si="4"/>
        <v>0</v>
      </c>
      <c r="P16" s="16">
        <f t="shared" si="5"/>
        <v>-4.4230769230773603</v>
      </c>
      <c r="Q16" s="466">
        <f t="shared" si="6"/>
        <v>0.97124999999999717</v>
      </c>
      <c r="R16" s="619"/>
      <c r="S16" s="31">
        <v>0.75416666666666665</v>
      </c>
      <c r="T16" s="31">
        <v>0.77083333333333337</v>
      </c>
      <c r="U16" s="467">
        <f t="shared" si="18"/>
        <v>5.9999999999999787</v>
      </c>
      <c r="V16" s="468">
        <f t="shared" si="17"/>
        <v>24.000000000000075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-57.500000000005912</v>
      </c>
      <c r="AF16" s="466">
        <f t="shared" si="9"/>
        <v>0.97124999999999706</v>
      </c>
      <c r="AG16" s="619"/>
    </row>
    <row r="17" spans="1:33" ht="16.5" customHeight="1">
      <c r="A17" s="644" t="s">
        <v>2312</v>
      </c>
      <c r="B17" s="472" t="s">
        <v>6</v>
      </c>
      <c r="C17" s="474" t="s">
        <v>20</v>
      </c>
      <c r="D17" s="475"/>
      <c r="E17" s="33">
        <v>54.5</v>
      </c>
      <c r="F17" s="472">
        <v>506</v>
      </c>
      <c r="G17" s="467">
        <f t="shared" si="15"/>
        <v>27577</v>
      </c>
      <c r="H17" s="479" t="s">
        <v>5</v>
      </c>
      <c r="I17" s="465">
        <v>19</v>
      </c>
      <c r="J17" s="30">
        <v>1500</v>
      </c>
      <c r="K17" s="13">
        <f t="shared" si="1"/>
        <v>78.94736842105263</v>
      </c>
      <c r="L17" s="465">
        <v>19</v>
      </c>
      <c r="M17" s="14">
        <f t="shared" si="16"/>
        <v>1445.7142857142908</v>
      </c>
      <c r="N17" s="13">
        <f t="shared" si="3"/>
        <v>76.090225563910039</v>
      </c>
      <c r="O17" s="15">
        <f t="shared" si="4"/>
        <v>0</v>
      </c>
      <c r="P17" s="16">
        <f t="shared" si="5"/>
        <v>-2.8571428571425912</v>
      </c>
      <c r="Q17" s="466">
        <f t="shared" si="6"/>
        <v>0.96380952380952722</v>
      </c>
      <c r="R17" s="619"/>
      <c r="S17" s="31">
        <v>0.77569444444444446</v>
      </c>
      <c r="T17" s="31">
        <v>0.79027777777777775</v>
      </c>
      <c r="U17" s="467">
        <f t="shared" si="18"/>
        <v>6.9999999999999751</v>
      </c>
      <c r="V17" s="468">
        <f t="shared" si="17"/>
        <v>20.999999999999925</v>
      </c>
      <c r="W17" s="17"/>
      <c r="X17" s="17"/>
      <c r="Y17" s="20"/>
      <c r="Z17" s="20"/>
      <c r="AA17" s="470"/>
      <c r="AB17" s="471"/>
      <c r="AC17" s="155"/>
      <c r="AD17" s="19"/>
      <c r="AE17" s="15">
        <f t="shared" si="8"/>
        <v>-54.285714285709219</v>
      </c>
      <c r="AF17" s="466">
        <f t="shared" si="9"/>
        <v>0.96380952380952722</v>
      </c>
      <c r="AG17" s="619"/>
    </row>
    <row r="18" spans="1:33" ht="16.5" customHeight="1">
      <c r="A18" s="644" t="s">
        <v>185</v>
      </c>
      <c r="B18" s="33" t="s">
        <v>2310</v>
      </c>
      <c r="C18" s="620"/>
      <c r="D18" s="620"/>
      <c r="E18" s="473"/>
      <c r="F18" s="34"/>
      <c r="G18" s="13"/>
      <c r="H18" s="472"/>
      <c r="I18" s="23">
        <v>16.666666666666668</v>
      </c>
      <c r="J18" s="30">
        <v>1750</v>
      </c>
      <c r="K18" s="13">
        <f t="shared" si="1"/>
        <v>104.99999999999999</v>
      </c>
      <c r="L18" s="23">
        <v>16.666666666666668</v>
      </c>
      <c r="M18" s="14">
        <f>AVERAGE(M12:M17)</f>
        <v>1684.395701505302</v>
      </c>
      <c r="N18" s="13">
        <f t="shared" si="3"/>
        <v>101.06374209031812</v>
      </c>
      <c r="O18" s="15">
        <f t="shared" si="4"/>
        <v>0</v>
      </c>
      <c r="P18" s="16">
        <f t="shared" si="5"/>
        <v>-3.9362579096818706</v>
      </c>
      <c r="Q18" s="466">
        <f t="shared" si="6"/>
        <v>0.96251182943160118</v>
      </c>
      <c r="R18" s="619"/>
      <c r="S18" s="31"/>
      <c r="T18" s="31"/>
      <c r="U18" s="467"/>
      <c r="V18" s="468"/>
      <c r="W18" s="13"/>
      <c r="X18" s="13"/>
      <c r="Y18" s="24">
        <f>SUM(Y12:Y17)</f>
        <v>0</v>
      </c>
      <c r="Z18" s="24">
        <f>SUM(Z12:Z17)</f>
        <v>0</v>
      </c>
      <c r="AA18" s="609"/>
      <c r="AB18" s="609"/>
      <c r="AC18" s="24">
        <v>6</v>
      </c>
      <c r="AD18" s="24">
        <f>SUM(AD12:AD17)</f>
        <v>0</v>
      </c>
      <c r="AE18" s="15">
        <f t="shared" si="8"/>
        <v>-65.604298494698014</v>
      </c>
      <c r="AF18" s="466">
        <f t="shared" si="9"/>
        <v>0.96251182943160118</v>
      </c>
      <c r="AG18" s="619"/>
    </row>
    <row r="19" spans="1:33" ht="15.75" customHeight="1">
      <c r="A19" s="637" t="s">
        <v>2313</v>
      </c>
      <c r="B19" s="33" t="s">
        <v>6</v>
      </c>
      <c r="C19" s="635" t="s">
        <v>22</v>
      </c>
      <c r="D19" s="635"/>
      <c r="E19" s="33">
        <v>50.67</v>
      </c>
      <c r="F19" s="472">
        <v>1333</v>
      </c>
      <c r="G19" s="467">
        <f t="shared" ref="G19:G24" si="19">E19*F19</f>
        <v>67543.11</v>
      </c>
      <c r="H19" s="479" t="s">
        <v>5</v>
      </c>
      <c r="I19" s="465">
        <v>17</v>
      </c>
      <c r="J19" s="30">
        <v>2000</v>
      </c>
      <c r="K19" s="13">
        <f t="shared" si="1"/>
        <v>117.64705882352941</v>
      </c>
      <c r="L19" s="465">
        <v>17</v>
      </c>
      <c r="M19" s="14">
        <f t="shared" ref="M19:M24" si="20">F19/V19*60</f>
        <v>1904.2857142857135</v>
      </c>
      <c r="N19" s="13">
        <f t="shared" si="3"/>
        <v>112.01680672268903</v>
      </c>
      <c r="O19" s="15">
        <f t="shared" si="4"/>
        <v>0</v>
      </c>
      <c r="P19" s="16">
        <f t="shared" si="5"/>
        <v>-5.6302521008403801</v>
      </c>
      <c r="Q19" s="466">
        <f t="shared" si="6"/>
        <v>0.95214285714285674</v>
      </c>
      <c r="R19" s="619">
        <f>Q25</f>
        <v>0.9605808991864847</v>
      </c>
      <c r="S19" s="31">
        <v>0.25</v>
      </c>
      <c r="T19" s="31">
        <v>0.27916666666666667</v>
      </c>
      <c r="U19" s="467"/>
      <c r="V19" s="468">
        <f t="shared" ref="V19:V24" si="21">(T19-S19)*24*60</f>
        <v>42.000000000000014</v>
      </c>
      <c r="W19" s="17"/>
      <c r="X19" s="17"/>
      <c r="Y19" s="22"/>
      <c r="Z19" s="22"/>
      <c r="AA19" s="610"/>
      <c r="AB19" s="610"/>
      <c r="AC19" s="155">
        <v>6</v>
      </c>
      <c r="AD19" s="19"/>
      <c r="AE19" s="15">
        <f t="shared" si="8"/>
        <v>-95.714285714286461</v>
      </c>
      <c r="AF19" s="466">
        <f t="shared" si="9"/>
        <v>0.95214285714285674</v>
      </c>
      <c r="AG19" s="619">
        <f>AF25</f>
        <v>0.9605808991864847</v>
      </c>
    </row>
    <row r="20" spans="1:33" ht="15.75" customHeight="1">
      <c r="A20" s="638" t="s">
        <v>2313</v>
      </c>
      <c r="B20" s="33" t="s">
        <v>6</v>
      </c>
      <c r="C20" s="635" t="s">
        <v>23</v>
      </c>
      <c r="D20" s="635"/>
      <c r="E20" s="33">
        <v>57.73</v>
      </c>
      <c r="F20" s="472">
        <v>1902</v>
      </c>
      <c r="G20" s="467">
        <f t="shared" si="19"/>
        <v>109802.45999999999</v>
      </c>
      <c r="H20" s="479" t="s">
        <v>5</v>
      </c>
      <c r="I20" s="465">
        <v>14</v>
      </c>
      <c r="J20" s="30">
        <v>2000</v>
      </c>
      <c r="K20" s="13">
        <f t="shared" si="1"/>
        <v>142.85714285714286</v>
      </c>
      <c r="L20" s="465">
        <v>14</v>
      </c>
      <c r="M20" s="14">
        <f t="shared" si="20"/>
        <v>1934.2372881355923</v>
      </c>
      <c r="N20" s="13">
        <f t="shared" si="3"/>
        <v>138.15980629539945</v>
      </c>
      <c r="O20" s="15">
        <f t="shared" si="4"/>
        <v>0</v>
      </c>
      <c r="P20" s="16">
        <f t="shared" si="5"/>
        <v>-4.6973365617434126</v>
      </c>
      <c r="Q20" s="466">
        <f t="shared" si="6"/>
        <v>0.96711864406779613</v>
      </c>
      <c r="R20" s="619"/>
      <c r="S20" s="31">
        <v>0.28472222222222221</v>
      </c>
      <c r="T20" s="31">
        <v>0.32569444444444445</v>
      </c>
      <c r="U20" s="467">
        <f t="shared" ref="U20:U24" si="22">IF(S20=TIME(17,0,0),"",(S20-T19)*24*60)</f>
        <v>7.9999999999999716</v>
      </c>
      <c r="V20" s="468">
        <f t="shared" si="21"/>
        <v>59.000000000000028</v>
      </c>
      <c r="W20" s="17"/>
      <c r="X20" s="467"/>
      <c r="Y20" s="467"/>
      <c r="Z20" s="467"/>
      <c r="AA20" s="610"/>
      <c r="AB20" s="610"/>
      <c r="AC20" s="155"/>
      <c r="AD20" s="19"/>
      <c r="AE20" s="15">
        <f t="shared" si="8"/>
        <v>-65.76271186440772</v>
      </c>
      <c r="AF20" s="466">
        <f t="shared" si="9"/>
        <v>0.96711864406779613</v>
      </c>
      <c r="AG20" s="619"/>
    </row>
    <row r="21" spans="1:33" ht="15.75" customHeight="1">
      <c r="A21" s="638" t="s">
        <v>2313</v>
      </c>
      <c r="B21" s="33" t="s">
        <v>6</v>
      </c>
      <c r="C21" s="635" t="s">
        <v>24</v>
      </c>
      <c r="D21" s="635"/>
      <c r="E21" s="33">
        <v>53.27</v>
      </c>
      <c r="F21" s="472">
        <v>1110</v>
      </c>
      <c r="G21" s="467">
        <f t="shared" si="19"/>
        <v>59129.700000000004</v>
      </c>
      <c r="H21" s="479" t="s">
        <v>5</v>
      </c>
      <c r="I21" s="465">
        <v>16</v>
      </c>
      <c r="J21" s="30">
        <v>2000</v>
      </c>
      <c r="K21" s="13">
        <f t="shared" si="1"/>
        <v>125</v>
      </c>
      <c r="L21" s="465">
        <v>16</v>
      </c>
      <c r="M21" s="14">
        <f t="shared" si="20"/>
        <v>1958.8235294117674</v>
      </c>
      <c r="N21" s="13">
        <f t="shared" si="3"/>
        <v>122.42647058823546</v>
      </c>
      <c r="O21" s="15">
        <f t="shared" si="4"/>
        <v>0</v>
      </c>
      <c r="P21" s="16">
        <f t="shared" si="5"/>
        <v>-2.5735294117645395</v>
      </c>
      <c r="Q21" s="466">
        <f t="shared" si="6"/>
        <v>0.97941176470588365</v>
      </c>
      <c r="R21" s="619"/>
      <c r="S21" s="31">
        <v>0.32916666666666666</v>
      </c>
      <c r="T21" s="31">
        <v>0.35277777777777775</v>
      </c>
      <c r="U21" s="467">
        <f t="shared" si="22"/>
        <v>4.9999999999999822</v>
      </c>
      <c r="V21" s="468">
        <f t="shared" si="21"/>
        <v>33.999999999999957</v>
      </c>
      <c r="W21" s="17"/>
      <c r="X21" s="467"/>
      <c r="Y21" s="467"/>
      <c r="Z21" s="467"/>
      <c r="AA21" s="610"/>
      <c r="AB21" s="610"/>
      <c r="AC21" s="155"/>
      <c r="AD21" s="19"/>
      <c r="AE21" s="15">
        <f t="shared" si="8"/>
        <v>-41.176470588232633</v>
      </c>
      <c r="AF21" s="466">
        <f t="shared" si="9"/>
        <v>0.97941176470588365</v>
      </c>
      <c r="AG21" s="619"/>
    </row>
    <row r="22" spans="1:33" ht="15.75" customHeight="1">
      <c r="A22" s="638" t="s">
        <v>189</v>
      </c>
      <c r="B22" s="33" t="s">
        <v>6</v>
      </c>
      <c r="C22" s="635" t="s">
        <v>21</v>
      </c>
      <c r="D22" s="635"/>
      <c r="E22" s="33">
        <v>50.49</v>
      </c>
      <c r="F22" s="472">
        <v>1301</v>
      </c>
      <c r="G22" s="467">
        <f t="shared" si="19"/>
        <v>65687.490000000005</v>
      </c>
      <c r="H22" s="479" t="s">
        <v>5</v>
      </c>
      <c r="I22" s="465">
        <v>15</v>
      </c>
      <c r="J22" s="30">
        <v>2000</v>
      </c>
      <c r="K22" s="13">
        <f t="shared" si="1"/>
        <v>133.33333333333334</v>
      </c>
      <c r="L22" s="465">
        <v>15</v>
      </c>
      <c r="M22" s="14">
        <f t="shared" si="20"/>
        <v>1903.9024390243894</v>
      </c>
      <c r="N22" s="13">
        <f t="shared" si="3"/>
        <v>126.92682926829262</v>
      </c>
      <c r="O22" s="15">
        <f t="shared" si="4"/>
        <v>0</v>
      </c>
      <c r="P22" s="16">
        <f t="shared" si="5"/>
        <v>-6.4065040650407212</v>
      </c>
      <c r="Q22" s="466">
        <f t="shared" si="6"/>
        <v>0.95195121951219464</v>
      </c>
      <c r="R22" s="619"/>
      <c r="S22" s="31">
        <v>0.70833333333333337</v>
      </c>
      <c r="T22" s="31">
        <v>0.7368055555555556</v>
      </c>
      <c r="U22" s="467" t="str">
        <f t="shared" si="22"/>
        <v/>
      </c>
      <c r="V22" s="468">
        <f t="shared" si="21"/>
        <v>41.000000000000014</v>
      </c>
      <c r="W22" s="17"/>
      <c r="X22" s="467"/>
      <c r="Y22" s="467"/>
      <c r="Z22" s="467"/>
      <c r="AA22" s="610"/>
      <c r="AB22" s="610"/>
      <c r="AC22" s="155"/>
      <c r="AD22" s="19"/>
      <c r="AE22" s="15">
        <f t="shared" si="8"/>
        <v>-96.097560975610577</v>
      </c>
      <c r="AF22" s="466">
        <f t="shared" si="9"/>
        <v>0.95195121951219475</v>
      </c>
      <c r="AG22" s="619"/>
    </row>
    <row r="23" spans="1:33" ht="15.75" customHeight="1">
      <c r="A23" s="638" t="s">
        <v>189</v>
      </c>
      <c r="B23" s="33" t="s">
        <v>6</v>
      </c>
      <c r="C23" s="635" t="s">
        <v>26</v>
      </c>
      <c r="D23" s="635"/>
      <c r="E23" s="33">
        <v>54.09</v>
      </c>
      <c r="F23" s="472">
        <v>1310</v>
      </c>
      <c r="G23" s="467">
        <f t="shared" si="19"/>
        <v>70857.900000000009</v>
      </c>
      <c r="H23" s="479" t="s">
        <v>5</v>
      </c>
      <c r="I23" s="465">
        <v>18</v>
      </c>
      <c r="J23" s="30">
        <v>2000</v>
      </c>
      <c r="K23" s="13">
        <f t="shared" si="1"/>
        <v>111.11111111111111</v>
      </c>
      <c r="L23" s="465">
        <v>18</v>
      </c>
      <c r="M23" s="14">
        <f t="shared" si="20"/>
        <v>1917.0731707317066</v>
      </c>
      <c r="N23" s="13">
        <f t="shared" si="3"/>
        <v>106.50406504065036</v>
      </c>
      <c r="O23" s="15">
        <f t="shared" si="4"/>
        <v>0</v>
      </c>
      <c r="P23" s="16">
        <f t="shared" si="5"/>
        <v>-4.6070460704607541</v>
      </c>
      <c r="Q23" s="466">
        <f t="shared" si="6"/>
        <v>0.95853658536585318</v>
      </c>
      <c r="R23" s="619"/>
      <c r="S23" s="31">
        <v>0.74236111111111114</v>
      </c>
      <c r="T23" s="31">
        <v>0.77083333333333337</v>
      </c>
      <c r="U23" s="467">
        <f t="shared" si="22"/>
        <v>7.9999999999999716</v>
      </c>
      <c r="V23" s="468">
        <f t="shared" si="21"/>
        <v>41.000000000000014</v>
      </c>
      <c r="W23" s="17"/>
      <c r="X23" s="17"/>
      <c r="Y23" s="467"/>
      <c r="Z23" s="467"/>
      <c r="AA23" s="610"/>
      <c r="AB23" s="610"/>
      <c r="AC23" s="155"/>
      <c r="AD23" s="19"/>
      <c r="AE23" s="15">
        <f t="shared" si="8"/>
        <v>-82.926829268293432</v>
      </c>
      <c r="AF23" s="466">
        <f t="shared" si="9"/>
        <v>0.95853658536585329</v>
      </c>
      <c r="AG23" s="619"/>
    </row>
    <row r="24" spans="1:33" ht="15.75" customHeight="1">
      <c r="A24" s="638" t="s">
        <v>2313</v>
      </c>
      <c r="B24" s="33" t="s">
        <v>6</v>
      </c>
      <c r="C24" s="635" t="s">
        <v>2057</v>
      </c>
      <c r="D24" s="635"/>
      <c r="E24" s="33">
        <v>50.67</v>
      </c>
      <c r="F24" s="472">
        <v>2354</v>
      </c>
      <c r="G24" s="467">
        <f t="shared" si="19"/>
        <v>119277.18000000001</v>
      </c>
      <c r="H24" s="479" t="s">
        <v>5</v>
      </c>
      <c r="I24" s="465">
        <v>15</v>
      </c>
      <c r="J24" s="30">
        <v>2000</v>
      </c>
      <c r="K24" s="13">
        <f t="shared" si="1"/>
        <v>133.33333333333334</v>
      </c>
      <c r="L24" s="465">
        <v>15</v>
      </c>
      <c r="M24" s="14">
        <f t="shared" si="20"/>
        <v>1908.6486486486472</v>
      </c>
      <c r="N24" s="13">
        <f t="shared" si="3"/>
        <v>127.24324324324314</v>
      </c>
      <c r="O24" s="15">
        <f t="shared" si="4"/>
        <v>0</v>
      </c>
      <c r="P24" s="16">
        <f t="shared" si="5"/>
        <v>-6.0900900900902002</v>
      </c>
      <c r="Q24" s="466">
        <f t="shared" si="6"/>
        <v>0.95432432432432346</v>
      </c>
      <c r="R24" s="619"/>
      <c r="S24" s="31">
        <v>0.77638888888888891</v>
      </c>
      <c r="T24" s="31">
        <v>0.82777777777777783</v>
      </c>
      <c r="U24" s="467">
        <f t="shared" si="22"/>
        <v>7.9999999999999716</v>
      </c>
      <c r="V24" s="468">
        <f t="shared" si="21"/>
        <v>74.000000000000057</v>
      </c>
      <c r="W24" s="17"/>
      <c r="X24" s="22"/>
      <c r="Y24" s="22"/>
      <c r="Z24" s="22"/>
      <c r="AA24" s="610"/>
      <c r="AB24" s="610"/>
      <c r="AC24" s="155"/>
      <c r="AD24" s="19"/>
      <c r="AE24" s="15">
        <f t="shared" si="8"/>
        <v>-91.351351351352832</v>
      </c>
      <c r="AF24" s="466">
        <f t="shared" si="9"/>
        <v>0.95432432432432357</v>
      </c>
      <c r="AG24" s="619"/>
    </row>
    <row r="25" spans="1:33" ht="15.75" customHeight="1">
      <c r="A25" s="638" t="s">
        <v>189</v>
      </c>
      <c r="B25" s="33" t="s">
        <v>2310</v>
      </c>
      <c r="C25" s="620"/>
      <c r="D25" s="620"/>
      <c r="E25" s="473"/>
      <c r="F25" s="472"/>
      <c r="G25" s="467"/>
      <c r="H25" s="472"/>
      <c r="I25" s="23">
        <v>15.833333333333334</v>
      </c>
      <c r="J25" s="30">
        <v>2000</v>
      </c>
      <c r="K25" s="13">
        <f t="shared" si="1"/>
        <v>126.31578947368421</v>
      </c>
      <c r="L25" s="23">
        <v>15.833333333333334</v>
      </c>
      <c r="M25" s="14">
        <f>AVERAGE(M19:M24)</f>
        <v>1921.1617983729693</v>
      </c>
      <c r="N25" s="13">
        <f t="shared" si="3"/>
        <v>121.33653463408227</v>
      </c>
      <c r="O25" s="15">
        <f t="shared" si="4"/>
        <v>0</v>
      </c>
      <c r="P25" s="16">
        <f t="shared" si="5"/>
        <v>-4.9792548396019356</v>
      </c>
      <c r="Q25" s="466">
        <f t="shared" si="6"/>
        <v>0.9605808991864847</v>
      </c>
      <c r="R25" s="619"/>
      <c r="S25" s="31"/>
      <c r="T25" s="31"/>
      <c r="U25" s="13"/>
      <c r="V25" s="468"/>
      <c r="W25" s="13"/>
      <c r="X25" s="13"/>
      <c r="Y25" s="24">
        <f>SUM(Y19:Y24)</f>
        <v>0</v>
      </c>
      <c r="Z25" s="24">
        <f>SUM(Z19:Z24)</f>
        <v>0</v>
      </c>
      <c r="AA25" s="609"/>
      <c r="AB25" s="609"/>
      <c r="AC25" s="24">
        <v>6</v>
      </c>
      <c r="AD25" s="24">
        <f>SUM(AD19:AD24)</f>
        <v>0</v>
      </c>
      <c r="AE25" s="15">
        <f t="shared" si="8"/>
        <v>-78.838201627030685</v>
      </c>
      <c r="AF25" s="466">
        <f t="shared" si="9"/>
        <v>0.9605808991864847</v>
      </c>
      <c r="AG25" s="619"/>
    </row>
    <row r="26" spans="1:33" ht="15.75" customHeight="1">
      <c r="A26" s="636" t="s">
        <v>2314</v>
      </c>
      <c r="B26" s="33" t="s">
        <v>27</v>
      </c>
      <c r="C26" s="635" t="s">
        <v>28</v>
      </c>
      <c r="D26" s="635"/>
      <c r="E26" s="33">
        <v>31.29</v>
      </c>
      <c r="F26" s="472">
        <v>6561</v>
      </c>
      <c r="G26" s="467">
        <f t="shared" ref="G26:G30" si="23">E26*F26</f>
        <v>205293.69</v>
      </c>
      <c r="H26" s="479" t="s">
        <v>5</v>
      </c>
      <c r="I26" s="465">
        <v>18</v>
      </c>
      <c r="J26" s="30">
        <v>2400</v>
      </c>
      <c r="K26" s="13">
        <f t="shared" si="1"/>
        <v>133.33333333333334</v>
      </c>
      <c r="L26" s="465">
        <v>18</v>
      </c>
      <c r="M26" s="14">
        <f t="shared" ref="M26:M30" si="24">F26/V26*60</f>
        <v>2288.7209302325582</v>
      </c>
      <c r="N26" s="13">
        <f t="shared" si="3"/>
        <v>127.15116279069768</v>
      </c>
      <c r="O26" s="15">
        <f t="shared" si="4"/>
        <v>0</v>
      </c>
      <c r="P26" s="16">
        <f t="shared" si="5"/>
        <v>-6.1821705426356601</v>
      </c>
      <c r="Q26" s="466">
        <f t="shared" si="6"/>
        <v>0.95363372093023258</v>
      </c>
      <c r="R26" s="619">
        <f>Q31</f>
        <v>0.94408576558390678</v>
      </c>
      <c r="S26" s="31">
        <v>8.3333333333333329E-2</v>
      </c>
      <c r="T26" s="31">
        <v>0.20277777777777778</v>
      </c>
      <c r="U26" s="467"/>
      <c r="V26" s="468">
        <f t="shared" ref="V26:V30" si="25">(T26-S26)*24*60</f>
        <v>172</v>
      </c>
      <c r="W26" s="17">
        <f>T26</f>
        <v>0.20277777777777778</v>
      </c>
      <c r="X26" s="17">
        <f>S27</f>
        <v>0.22291666666666668</v>
      </c>
      <c r="Y26" s="17"/>
      <c r="Z26" s="17"/>
      <c r="AA26" s="610"/>
      <c r="AB26" s="610"/>
      <c r="AC26" s="155">
        <v>5</v>
      </c>
      <c r="AD26" s="19"/>
      <c r="AE26" s="15">
        <f t="shared" si="8"/>
        <v>-111.2790697674418</v>
      </c>
      <c r="AF26" s="466">
        <f t="shared" si="9"/>
        <v>0.95363372093023258</v>
      </c>
      <c r="AG26" s="619">
        <f>AF31</f>
        <v>0.94408576558390678</v>
      </c>
    </row>
    <row r="27" spans="1:33" ht="15.75" customHeight="1">
      <c r="A27" s="636" t="s">
        <v>192</v>
      </c>
      <c r="B27" s="33" t="s">
        <v>27</v>
      </c>
      <c r="C27" s="635" t="s">
        <v>29</v>
      </c>
      <c r="D27" s="635"/>
      <c r="E27" s="33">
        <v>26.37</v>
      </c>
      <c r="F27" s="472">
        <v>4606</v>
      </c>
      <c r="G27" s="467">
        <f t="shared" si="23"/>
        <v>121460.22</v>
      </c>
      <c r="H27" s="479" t="s">
        <v>5</v>
      </c>
      <c r="I27" s="465">
        <v>18</v>
      </c>
      <c r="J27" s="30">
        <v>2400</v>
      </c>
      <c r="K27" s="13">
        <f t="shared" si="1"/>
        <v>133.33333333333334</v>
      </c>
      <c r="L27" s="465">
        <v>18</v>
      </c>
      <c r="M27" s="14">
        <f t="shared" si="24"/>
        <v>2283.9669421487602</v>
      </c>
      <c r="N27" s="13">
        <f t="shared" si="3"/>
        <v>126.88705234159778</v>
      </c>
      <c r="O27" s="15">
        <f t="shared" si="4"/>
        <v>0</v>
      </c>
      <c r="P27" s="16">
        <f t="shared" si="5"/>
        <v>-6.4462809917355628</v>
      </c>
      <c r="Q27" s="466">
        <f t="shared" si="6"/>
        <v>0.95165289256198327</v>
      </c>
      <c r="R27" s="619"/>
      <c r="S27" s="31">
        <v>0.22291666666666668</v>
      </c>
      <c r="T27" s="31">
        <v>0.30694444444444446</v>
      </c>
      <c r="U27" s="467">
        <f t="shared" ref="U27:U30" si="26">(S27-T26)*24*60</f>
        <v>29.000000000000018</v>
      </c>
      <c r="V27" s="468">
        <f t="shared" si="25"/>
        <v>121</v>
      </c>
      <c r="W27" s="17"/>
      <c r="X27" s="17"/>
      <c r="Y27" s="17"/>
      <c r="Z27" s="17"/>
      <c r="AA27" s="610"/>
      <c r="AB27" s="610"/>
      <c r="AC27" s="155"/>
      <c r="AD27" s="19"/>
      <c r="AE27" s="15">
        <f t="shared" si="8"/>
        <v>-116.03305785123985</v>
      </c>
      <c r="AF27" s="466">
        <f t="shared" si="9"/>
        <v>0.95165289256198338</v>
      </c>
      <c r="AG27" s="619"/>
    </row>
    <row r="28" spans="1:33" ht="15.75" customHeight="1">
      <c r="A28" s="636" t="s">
        <v>192</v>
      </c>
      <c r="B28" s="33" t="s">
        <v>27</v>
      </c>
      <c r="C28" s="635" t="s">
        <v>34</v>
      </c>
      <c r="D28" s="635"/>
      <c r="E28" s="33">
        <v>24.43</v>
      </c>
      <c r="F28" s="472">
        <v>6335</v>
      </c>
      <c r="G28" s="467">
        <f t="shared" si="23"/>
        <v>154764.04999999999</v>
      </c>
      <c r="H28" s="479" t="s">
        <v>5</v>
      </c>
      <c r="I28" s="465">
        <v>14</v>
      </c>
      <c r="J28" s="30">
        <v>2400</v>
      </c>
      <c r="K28" s="13">
        <f t="shared" si="1"/>
        <v>171.42857142857142</v>
      </c>
      <c r="L28" s="465">
        <v>14</v>
      </c>
      <c r="M28" s="14">
        <f t="shared" si="24"/>
        <v>2289.7590361445791</v>
      </c>
      <c r="N28" s="13">
        <f t="shared" si="3"/>
        <v>163.55421686746993</v>
      </c>
      <c r="O28" s="15">
        <f t="shared" si="4"/>
        <v>0</v>
      </c>
      <c r="P28" s="16">
        <f t="shared" si="5"/>
        <v>-7.8743545611014838</v>
      </c>
      <c r="Q28" s="466">
        <f t="shared" si="6"/>
        <v>0.95406626506024139</v>
      </c>
      <c r="R28" s="619"/>
      <c r="S28" s="31">
        <v>0.3125</v>
      </c>
      <c r="T28" s="31">
        <v>0.42777777777777776</v>
      </c>
      <c r="U28" s="467">
        <f t="shared" si="26"/>
        <v>7.9999999999999716</v>
      </c>
      <c r="V28" s="468">
        <f t="shared" si="25"/>
        <v>165.99999999999997</v>
      </c>
      <c r="W28" s="17"/>
      <c r="X28" s="17"/>
      <c r="Y28" s="17"/>
      <c r="Z28" s="17"/>
      <c r="AA28" s="610"/>
      <c r="AB28" s="610"/>
      <c r="AC28" s="155"/>
      <c r="AD28" s="19"/>
      <c r="AE28" s="15">
        <f t="shared" si="8"/>
        <v>-110.24096385542089</v>
      </c>
      <c r="AF28" s="466">
        <f t="shared" si="9"/>
        <v>0.95406626506024128</v>
      </c>
      <c r="AG28" s="619"/>
    </row>
    <row r="29" spans="1:33" ht="15.75" customHeight="1">
      <c r="A29" s="636" t="s">
        <v>192</v>
      </c>
      <c r="B29" s="33" t="s">
        <v>27</v>
      </c>
      <c r="C29" s="635" t="s">
        <v>75</v>
      </c>
      <c r="D29" s="635"/>
      <c r="E29" s="33">
        <v>25.98</v>
      </c>
      <c r="F29" s="472">
        <v>3037</v>
      </c>
      <c r="G29" s="467">
        <f t="shared" si="23"/>
        <v>78901.259999999995</v>
      </c>
      <c r="H29" s="479" t="s">
        <v>5</v>
      </c>
      <c r="I29" s="465">
        <v>19</v>
      </c>
      <c r="J29" s="30">
        <v>2400</v>
      </c>
      <c r="K29" s="13">
        <f t="shared" si="1"/>
        <v>126.31578947368421</v>
      </c>
      <c r="L29" s="465">
        <v>19</v>
      </c>
      <c r="M29" s="14">
        <f t="shared" si="24"/>
        <v>2306.5822784810139</v>
      </c>
      <c r="N29" s="13">
        <f t="shared" si="3"/>
        <v>121.39906728847441</v>
      </c>
      <c r="O29" s="15">
        <f t="shared" si="4"/>
        <v>0</v>
      </c>
      <c r="P29" s="16">
        <f t="shared" si="5"/>
        <v>-4.9167221852097924</v>
      </c>
      <c r="Q29" s="466">
        <f t="shared" si="6"/>
        <v>0.96107594936708918</v>
      </c>
      <c r="R29" s="619"/>
      <c r="S29" s="31">
        <v>0.43263888888888885</v>
      </c>
      <c r="T29" s="31">
        <v>0.48749999999999993</v>
      </c>
      <c r="U29" s="467">
        <f t="shared" si="26"/>
        <v>6.9999999999999751</v>
      </c>
      <c r="V29" s="468">
        <f t="shared" si="25"/>
        <v>78.999999999999957</v>
      </c>
      <c r="W29" s="17"/>
      <c r="X29" s="17"/>
      <c r="Y29" s="17"/>
      <c r="Z29" s="17"/>
      <c r="AA29" s="610"/>
      <c r="AB29" s="610"/>
      <c r="AC29" s="155"/>
      <c r="AD29" s="19"/>
      <c r="AE29" s="15">
        <f t="shared" si="8"/>
        <v>-93.417721518986127</v>
      </c>
      <c r="AF29" s="466">
        <f t="shared" si="9"/>
        <v>0.96107594936708907</v>
      </c>
      <c r="AG29" s="619"/>
    </row>
    <row r="30" spans="1:33" ht="15.75" customHeight="1">
      <c r="A30" s="636" t="s">
        <v>2314</v>
      </c>
      <c r="B30" s="33" t="s">
        <v>27</v>
      </c>
      <c r="C30" s="635" t="s">
        <v>55</v>
      </c>
      <c r="D30" s="635"/>
      <c r="E30" s="33">
        <v>23.89</v>
      </c>
      <c r="F30" s="472">
        <v>324</v>
      </c>
      <c r="G30" s="467">
        <f t="shared" si="23"/>
        <v>7740.3600000000006</v>
      </c>
      <c r="H30" s="479" t="s">
        <v>5</v>
      </c>
      <c r="I30" s="465">
        <v>13</v>
      </c>
      <c r="J30" s="30">
        <v>2400</v>
      </c>
      <c r="K30" s="13">
        <f t="shared" si="1"/>
        <v>184.61538461538461</v>
      </c>
      <c r="L30" s="465">
        <v>13</v>
      </c>
      <c r="M30" s="14">
        <f t="shared" si="24"/>
        <v>2159.9999999999691</v>
      </c>
      <c r="N30" s="13">
        <f t="shared" si="3"/>
        <v>166.15384615384377</v>
      </c>
      <c r="O30" s="15">
        <f t="shared" si="4"/>
        <v>0</v>
      </c>
      <c r="P30" s="16">
        <f t="shared" si="5"/>
        <v>-18.46153846154084</v>
      </c>
      <c r="Q30" s="466">
        <f t="shared" si="6"/>
        <v>0.89999999999998714</v>
      </c>
      <c r="R30" s="619"/>
      <c r="S30" s="31">
        <v>0.49236111111111103</v>
      </c>
      <c r="T30" s="31">
        <v>0.49861111111111112</v>
      </c>
      <c r="U30" s="467">
        <f t="shared" si="26"/>
        <v>6.9999999999999751</v>
      </c>
      <c r="V30" s="468">
        <f t="shared" si="25"/>
        <v>9.0000000000001279</v>
      </c>
      <c r="W30" s="17"/>
      <c r="X30" s="17"/>
      <c r="Y30" s="17"/>
      <c r="Z30" s="17"/>
      <c r="AA30" s="610"/>
      <c r="AB30" s="610"/>
      <c r="AC30" s="155"/>
      <c r="AD30" s="19"/>
      <c r="AE30" s="15">
        <f t="shared" si="8"/>
        <v>-240.00000000003092</v>
      </c>
      <c r="AF30" s="466">
        <f t="shared" si="9"/>
        <v>0.89999999999998714</v>
      </c>
      <c r="AG30" s="619"/>
    </row>
    <row r="31" spans="1:33" ht="15.75" customHeight="1">
      <c r="A31" s="636" t="s">
        <v>192</v>
      </c>
      <c r="B31" s="33" t="s">
        <v>80</v>
      </c>
      <c r="C31" s="620"/>
      <c r="D31" s="620"/>
      <c r="E31" s="473"/>
      <c r="F31" s="472"/>
      <c r="G31" s="467"/>
      <c r="H31" s="472"/>
      <c r="I31" s="23">
        <v>16.399999999999999</v>
      </c>
      <c r="J31" s="30">
        <v>2400</v>
      </c>
      <c r="K31" s="13">
        <f t="shared" si="1"/>
        <v>146.34146341463415</v>
      </c>
      <c r="L31" s="23">
        <v>16.399999999999999</v>
      </c>
      <c r="M31" s="14">
        <f>AVERAGE(M26:M30)</f>
        <v>2265.8058374013763</v>
      </c>
      <c r="N31" s="13">
        <f t="shared" si="3"/>
        <v>138.15889252447417</v>
      </c>
      <c r="O31" s="15">
        <f t="shared" si="4"/>
        <v>0</v>
      </c>
      <c r="P31" s="16">
        <f t="shared" si="5"/>
        <v>-8.1825708901599796</v>
      </c>
      <c r="Q31" s="466">
        <f t="shared" si="6"/>
        <v>0.94408576558390678</v>
      </c>
      <c r="R31" s="619"/>
      <c r="S31" s="31"/>
      <c r="T31" s="31"/>
      <c r="U31" s="467"/>
      <c r="V31" s="468"/>
      <c r="W31" s="467"/>
      <c r="X31" s="467"/>
      <c r="Y31" s="24">
        <f>SUM(Y26:Y30)</f>
        <v>0</v>
      </c>
      <c r="Z31" s="24">
        <f>SUM(Z26:Z30)</f>
        <v>0</v>
      </c>
      <c r="AA31" s="609"/>
      <c r="AB31" s="609"/>
      <c r="AC31" s="24">
        <v>5</v>
      </c>
      <c r="AD31" s="24">
        <f>SUM(AD26:AD30)</f>
        <v>0</v>
      </c>
      <c r="AE31" s="15">
        <f t="shared" si="8"/>
        <v>-134.19416259862373</v>
      </c>
      <c r="AF31" s="466">
        <f t="shared" si="9"/>
        <v>0.94408576558390678</v>
      </c>
      <c r="AG31" s="619"/>
    </row>
    <row r="32" spans="1:33" ht="15.75" customHeight="1">
      <c r="A32" s="633" t="s">
        <v>2315</v>
      </c>
      <c r="B32" s="33" t="s">
        <v>27</v>
      </c>
      <c r="C32" s="611" t="s">
        <v>33</v>
      </c>
      <c r="D32" s="611"/>
      <c r="E32" s="33">
        <v>26.18</v>
      </c>
      <c r="F32" s="472">
        <v>4342</v>
      </c>
      <c r="G32" s="467">
        <f t="shared" ref="G32:G36" si="27">E32*F32</f>
        <v>113673.56</v>
      </c>
      <c r="H32" s="479" t="s">
        <v>5</v>
      </c>
      <c r="I32" s="465">
        <v>20</v>
      </c>
      <c r="J32" s="30">
        <v>2400</v>
      </c>
      <c r="K32" s="13">
        <f t="shared" si="1"/>
        <v>120</v>
      </c>
      <c r="L32" s="465">
        <v>20</v>
      </c>
      <c r="M32" s="14">
        <f t="shared" ref="M32:M36" si="28">F32/V32*60</f>
        <v>2285.2631578947376</v>
      </c>
      <c r="N32" s="13">
        <f t="shared" si="3"/>
        <v>114.26315789473688</v>
      </c>
      <c r="O32" s="15">
        <f t="shared" si="4"/>
        <v>0</v>
      </c>
      <c r="P32" s="16">
        <f t="shared" si="5"/>
        <v>-5.736842105263122</v>
      </c>
      <c r="Q32" s="466">
        <f t="shared" si="6"/>
        <v>0.9521929824561407</v>
      </c>
      <c r="R32" s="619">
        <f>Q37</f>
        <v>0.95489665433251003</v>
      </c>
      <c r="S32" s="31">
        <v>8.3333333333333329E-2</v>
      </c>
      <c r="T32" s="31">
        <v>0.16249999999999998</v>
      </c>
      <c r="U32" s="467"/>
      <c r="V32" s="468">
        <f t="shared" ref="V32:V36" si="29">(T32-S32)*24*60</f>
        <v>113.99999999999997</v>
      </c>
      <c r="W32" s="22">
        <f>T32</f>
        <v>0.16249999999999998</v>
      </c>
      <c r="X32" s="22">
        <f>S33</f>
        <v>0.18055555555555552</v>
      </c>
      <c r="Y32" s="22"/>
      <c r="Z32" s="22"/>
      <c r="AA32" s="610"/>
      <c r="AB32" s="610"/>
      <c r="AC32" s="155">
        <v>5</v>
      </c>
      <c r="AD32" s="19"/>
      <c r="AE32" s="15">
        <f t="shared" si="8"/>
        <v>-114.73684210526244</v>
      </c>
      <c r="AF32" s="466">
        <f t="shared" si="9"/>
        <v>0.9521929824561407</v>
      </c>
      <c r="AG32" s="619">
        <f>AF37</f>
        <v>0.95489665433250992</v>
      </c>
    </row>
    <row r="33" spans="1:33" ht="15.75" customHeight="1">
      <c r="A33" s="633" t="s">
        <v>83</v>
      </c>
      <c r="B33" s="33" t="s">
        <v>27</v>
      </c>
      <c r="C33" s="611" t="s">
        <v>30</v>
      </c>
      <c r="D33" s="611"/>
      <c r="E33" s="33">
        <v>26.18</v>
      </c>
      <c r="F33" s="472">
        <v>5455</v>
      </c>
      <c r="G33" s="467">
        <f t="shared" si="27"/>
        <v>142811.9</v>
      </c>
      <c r="H33" s="479" t="s">
        <v>5</v>
      </c>
      <c r="I33" s="465">
        <v>18</v>
      </c>
      <c r="J33" s="30">
        <v>2400</v>
      </c>
      <c r="K33" s="13">
        <f t="shared" si="1"/>
        <v>133.33333333333334</v>
      </c>
      <c r="L33" s="465">
        <v>18</v>
      </c>
      <c r="M33" s="14">
        <f t="shared" si="28"/>
        <v>2288.8111888111894</v>
      </c>
      <c r="N33" s="13">
        <f t="shared" si="3"/>
        <v>127.15617715617719</v>
      </c>
      <c r="O33" s="15">
        <f t="shared" si="4"/>
        <v>0</v>
      </c>
      <c r="P33" s="16">
        <f t="shared" si="5"/>
        <v>-6.1771561771561494</v>
      </c>
      <c r="Q33" s="466">
        <f t="shared" si="6"/>
        <v>0.95367132867132887</v>
      </c>
      <c r="R33" s="619"/>
      <c r="S33" s="31">
        <v>0.18055555555555552</v>
      </c>
      <c r="T33" s="31">
        <v>0.27986111111111106</v>
      </c>
      <c r="U33" s="467">
        <f t="shared" ref="U33:U36" si="30">(S33-T32)*24*60</f>
        <v>25.999999999999986</v>
      </c>
      <c r="V33" s="468">
        <f t="shared" si="29"/>
        <v>142.99999999999997</v>
      </c>
      <c r="W33" s="467"/>
      <c r="X33" s="467"/>
      <c r="Y33" s="467"/>
      <c r="Z33" s="467"/>
      <c r="AA33" s="610"/>
      <c r="AB33" s="610"/>
      <c r="AC33" s="155"/>
      <c r="AD33" s="19"/>
      <c r="AE33" s="15">
        <f t="shared" si="8"/>
        <v>-111.18881118881063</v>
      </c>
      <c r="AF33" s="466">
        <f t="shared" si="9"/>
        <v>0.95367132867132887</v>
      </c>
      <c r="AG33" s="619"/>
    </row>
    <row r="34" spans="1:33">
      <c r="A34" s="634" t="s">
        <v>83</v>
      </c>
      <c r="B34" s="33" t="s">
        <v>27</v>
      </c>
      <c r="C34" s="611" t="s">
        <v>35</v>
      </c>
      <c r="D34" s="611"/>
      <c r="E34" s="33">
        <v>34.1</v>
      </c>
      <c r="F34" s="472">
        <v>4475</v>
      </c>
      <c r="G34" s="467">
        <f t="shared" si="27"/>
        <v>152597.5</v>
      </c>
      <c r="H34" s="479" t="s">
        <v>5</v>
      </c>
      <c r="I34" s="465">
        <v>17</v>
      </c>
      <c r="J34" s="30">
        <v>1600</v>
      </c>
      <c r="K34" s="13">
        <f t="shared" si="1"/>
        <v>94.117647058823536</v>
      </c>
      <c r="L34" s="465">
        <v>17</v>
      </c>
      <c r="M34" s="14">
        <f t="shared" si="28"/>
        <v>1525.5681818181818</v>
      </c>
      <c r="N34" s="13">
        <f t="shared" si="3"/>
        <v>89.73930481283422</v>
      </c>
      <c r="O34" s="15">
        <f t="shared" si="4"/>
        <v>0</v>
      </c>
      <c r="P34" s="16">
        <f t="shared" si="5"/>
        <v>-4.378342245989316</v>
      </c>
      <c r="Q34" s="466">
        <f t="shared" si="6"/>
        <v>0.95348011363636354</v>
      </c>
      <c r="R34" s="619"/>
      <c r="S34" s="31">
        <v>0.28402777777777771</v>
      </c>
      <c r="T34" s="31">
        <v>0.40624999999999994</v>
      </c>
      <c r="U34" s="467">
        <f t="shared" si="30"/>
        <v>5.9999999999999787</v>
      </c>
      <c r="V34" s="468">
        <f t="shared" si="29"/>
        <v>176</v>
      </c>
      <c r="W34" s="467"/>
      <c r="X34" s="467"/>
      <c r="Y34" s="467"/>
      <c r="Z34" s="467"/>
      <c r="AA34" s="610"/>
      <c r="AB34" s="610"/>
      <c r="AC34" s="155"/>
      <c r="AD34" s="19"/>
      <c r="AE34" s="15">
        <f t="shared" si="8"/>
        <v>-74.431818181818244</v>
      </c>
      <c r="AF34" s="466">
        <f t="shared" si="9"/>
        <v>0.95348011363636365</v>
      </c>
      <c r="AG34" s="619"/>
    </row>
    <row r="35" spans="1:33">
      <c r="A35" s="634" t="s">
        <v>83</v>
      </c>
      <c r="B35" s="33" t="s">
        <v>27</v>
      </c>
      <c r="C35" s="611" t="s">
        <v>54</v>
      </c>
      <c r="D35" s="611"/>
      <c r="E35" s="33">
        <v>24.25</v>
      </c>
      <c r="F35" s="472">
        <v>1142</v>
      </c>
      <c r="G35" s="467">
        <f t="shared" si="27"/>
        <v>27693.5</v>
      </c>
      <c r="H35" s="479" t="s">
        <v>5</v>
      </c>
      <c r="I35" s="465">
        <v>16</v>
      </c>
      <c r="J35" s="30">
        <v>2400</v>
      </c>
      <c r="K35" s="13">
        <f t="shared" si="1"/>
        <v>150</v>
      </c>
      <c r="L35" s="465">
        <v>16</v>
      </c>
      <c r="M35" s="14">
        <f t="shared" si="28"/>
        <v>2284.0000000000023</v>
      </c>
      <c r="N35" s="13">
        <f t="shared" si="3"/>
        <v>142.75000000000014</v>
      </c>
      <c r="O35" s="15">
        <f t="shared" si="4"/>
        <v>0</v>
      </c>
      <c r="P35" s="16">
        <f t="shared" si="5"/>
        <v>-7.2499999999998579</v>
      </c>
      <c r="Q35" s="466">
        <f t="shared" si="6"/>
        <v>0.95166666666666766</v>
      </c>
      <c r="R35" s="619"/>
      <c r="S35" s="31">
        <v>0.40972222222222215</v>
      </c>
      <c r="T35" s="31">
        <v>0.43055555555555547</v>
      </c>
      <c r="U35" s="467">
        <f t="shared" si="30"/>
        <v>4.9999999999999822</v>
      </c>
      <c r="V35" s="468">
        <f t="shared" si="29"/>
        <v>29.999999999999972</v>
      </c>
      <c r="W35" s="17"/>
      <c r="X35" s="17"/>
      <c r="Y35" s="17"/>
      <c r="Z35" s="17"/>
      <c r="AA35" s="610"/>
      <c r="AB35" s="610"/>
      <c r="AC35" s="155"/>
      <c r="AD35" s="19"/>
      <c r="AE35" s="15">
        <f t="shared" si="8"/>
        <v>-115.99999999999773</v>
      </c>
      <c r="AF35" s="466">
        <f t="shared" si="9"/>
        <v>0.95166666666666766</v>
      </c>
      <c r="AG35" s="619"/>
    </row>
    <row r="36" spans="1:33">
      <c r="A36" s="634" t="s">
        <v>2315</v>
      </c>
      <c r="B36" s="33" t="s">
        <v>27</v>
      </c>
      <c r="C36" s="611" t="s">
        <v>32</v>
      </c>
      <c r="D36" s="611"/>
      <c r="E36" s="33">
        <v>25.99</v>
      </c>
      <c r="F36" s="472">
        <v>2889</v>
      </c>
      <c r="G36" s="467">
        <f t="shared" si="27"/>
        <v>75085.11</v>
      </c>
      <c r="H36" s="479" t="s">
        <v>5</v>
      </c>
      <c r="I36" s="465">
        <v>14</v>
      </c>
      <c r="J36" s="30">
        <v>2400</v>
      </c>
      <c r="K36" s="13">
        <f t="shared" si="1"/>
        <v>171.42857142857142</v>
      </c>
      <c r="L36" s="465">
        <v>14</v>
      </c>
      <c r="M36" s="14">
        <f t="shared" si="28"/>
        <v>2311.2000000000012</v>
      </c>
      <c r="N36" s="13">
        <f t="shared" si="3"/>
        <v>165.08571428571437</v>
      </c>
      <c r="O36" s="15">
        <f t="shared" si="4"/>
        <v>0</v>
      </c>
      <c r="P36" s="16">
        <f t="shared" si="5"/>
        <v>-6.3428571428570422</v>
      </c>
      <c r="Q36" s="466">
        <f t="shared" si="6"/>
        <v>0.96300000000000063</v>
      </c>
      <c r="R36" s="619"/>
      <c r="S36" s="31">
        <v>0.43611111111111101</v>
      </c>
      <c r="T36" s="31">
        <v>0.48819444444444432</v>
      </c>
      <c r="U36" s="467">
        <f t="shared" si="30"/>
        <v>7.9999999999999716</v>
      </c>
      <c r="V36" s="468">
        <f t="shared" si="29"/>
        <v>74.999999999999972</v>
      </c>
      <c r="W36" s="17"/>
      <c r="X36" s="17"/>
      <c r="Y36" s="17"/>
      <c r="Z36" s="17"/>
      <c r="AA36" s="610"/>
      <c r="AB36" s="610"/>
      <c r="AC36" s="155"/>
      <c r="AD36" s="19"/>
      <c r="AE36" s="15">
        <f t="shared" si="8"/>
        <v>-88.799999999998818</v>
      </c>
      <c r="AF36" s="466">
        <f t="shared" si="9"/>
        <v>0.96300000000000052</v>
      </c>
      <c r="AG36" s="619"/>
    </row>
    <row r="37" spans="1:33">
      <c r="A37" s="634" t="s">
        <v>83</v>
      </c>
      <c r="B37" s="34" t="s">
        <v>80</v>
      </c>
      <c r="C37" s="620"/>
      <c r="D37" s="620"/>
      <c r="E37" s="473"/>
      <c r="F37" s="34"/>
      <c r="G37" s="13"/>
      <c r="H37" s="472"/>
      <c r="I37" s="23">
        <v>17</v>
      </c>
      <c r="J37" s="30">
        <v>2240</v>
      </c>
      <c r="K37" s="13">
        <f t="shared" si="1"/>
        <v>131.76470588235293</v>
      </c>
      <c r="L37" s="23">
        <v>17</v>
      </c>
      <c r="M37" s="14">
        <f>AVERAGE(M32:M36)</f>
        <v>2138.9685057048223</v>
      </c>
      <c r="N37" s="13">
        <f t="shared" si="3"/>
        <v>125.82167680616601</v>
      </c>
      <c r="O37" s="15">
        <f t="shared" si="4"/>
        <v>0</v>
      </c>
      <c r="P37" s="16">
        <f t="shared" si="5"/>
        <v>-5.9430290761869173</v>
      </c>
      <c r="Q37" s="466">
        <f t="shared" si="6"/>
        <v>0.95489665433251003</v>
      </c>
      <c r="R37" s="619"/>
      <c r="S37" s="31"/>
      <c r="T37" s="31"/>
      <c r="U37" s="13"/>
      <c r="V37" s="468"/>
      <c r="W37" s="13"/>
      <c r="X37" s="13"/>
      <c r="Y37" s="24">
        <f>SUM(Y32:Y36)</f>
        <v>0</v>
      </c>
      <c r="Z37" s="24">
        <f>SUM(Z32:Z36)</f>
        <v>0</v>
      </c>
      <c r="AA37" s="609"/>
      <c r="AB37" s="609"/>
      <c r="AC37" s="24">
        <v>5</v>
      </c>
      <c r="AD37" s="24">
        <f>SUM(AD32:AD36)</f>
        <v>0</v>
      </c>
      <c r="AE37" s="15">
        <f t="shared" si="8"/>
        <v>-101.03149429517771</v>
      </c>
      <c r="AF37" s="466">
        <f t="shared" si="9"/>
        <v>0.95489665433250992</v>
      </c>
      <c r="AG37" s="619"/>
    </row>
    <row r="38" spans="1:33" ht="15.75" customHeight="1">
      <c r="A38" s="630" t="s">
        <v>2316</v>
      </c>
      <c r="B38" s="33" t="s">
        <v>36</v>
      </c>
      <c r="C38" s="612" t="s">
        <v>37</v>
      </c>
      <c r="D38" s="613"/>
      <c r="E38" s="33">
        <v>21.13</v>
      </c>
      <c r="F38" s="472">
        <v>4262</v>
      </c>
      <c r="G38" s="467">
        <f t="shared" ref="G38:G40" si="31">E38*F38</f>
        <v>90056.06</v>
      </c>
      <c r="H38" s="479" t="s">
        <v>5</v>
      </c>
      <c r="I38" s="465">
        <v>10</v>
      </c>
      <c r="J38" s="30">
        <v>3000</v>
      </c>
      <c r="K38" s="13">
        <f t="shared" si="1"/>
        <v>300</v>
      </c>
      <c r="L38" s="465">
        <v>10</v>
      </c>
      <c r="M38" s="14">
        <f t="shared" ref="M38:M40" si="32">F38/V38*60</f>
        <v>2873.2584269662907</v>
      </c>
      <c r="N38" s="14">
        <f t="shared" si="3"/>
        <v>287.32584269662908</v>
      </c>
      <c r="O38" s="15">
        <f t="shared" si="4"/>
        <v>0</v>
      </c>
      <c r="P38" s="16">
        <f t="shared" si="5"/>
        <v>-12.674157303370919</v>
      </c>
      <c r="Q38" s="466">
        <f t="shared" si="6"/>
        <v>0.95775280898876358</v>
      </c>
      <c r="R38" s="625">
        <f>Q41</f>
        <v>0.95916619430861561</v>
      </c>
      <c r="S38" s="31">
        <v>0.20833333333333334</v>
      </c>
      <c r="T38" s="31">
        <v>0.27013888888888893</v>
      </c>
      <c r="U38" s="22"/>
      <c r="V38" s="468">
        <f t="shared" ref="V38:V40" si="33">(T38-S38)*24*60</f>
        <v>89.000000000000043</v>
      </c>
      <c r="W38" s="17"/>
      <c r="X38" s="17"/>
      <c r="Y38" s="20"/>
      <c r="Z38" s="20"/>
      <c r="AA38" s="614"/>
      <c r="AB38" s="615"/>
      <c r="AC38" s="155">
        <v>3</v>
      </c>
      <c r="AD38" s="19"/>
      <c r="AE38" s="15">
        <f t="shared" si="8"/>
        <v>-126.7415730337093</v>
      </c>
      <c r="AF38" s="466">
        <f t="shared" si="9"/>
        <v>0.95775280898876358</v>
      </c>
      <c r="AG38" s="625">
        <f>AF41</f>
        <v>0.95916619430861561</v>
      </c>
    </row>
    <row r="39" spans="1:33" ht="15.75" customHeight="1">
      <c r="A39" s="631" t="s">
        <v>2316</v>
      </c>
      <c r="B39" s="33" t="s">
        <v>36</v>
      </c>
      <c r="C39" s="612" t="s">
        <v>38</v>
      </c>
      <c r="D39" s="613"/>
      <c r="E39" s="33">
        <v>27.17</v>
      </c>
      <c r="F39" s="472">
        <v>4985</v>
      </c>
      <c r="G39" s="467">
        <f t="shared" si="31"/>
        <v>135442.45000000001</v>
      </c>
      <c r="H39" s="479" t="s">
        <v>5</v>
      </c>
      <c r="I39" s="465">
        <v>10</v>
      </c>
      <c r="J39" s="30">
        <v>3000</v>
      </c>
      <c r="K39" s="13">
        <f t="shared" si="1"/>
        <v>300</v>
      </c>
      <c r="L39" s="465">
        <v>10</v>
      </c>
      <c r="M39" s="14">
        <f t="shared" si="32"/>
        <v>2875.9615384615377</v>
      </c>
      <c r="N39" s="14">
        <f t="shared" si="3"/>
        <v>287.59615384615375</v>
      </c>
      <c r="O39" s="15">
        <f t="shared" si="4"/>
        <v>0</v>
      </c>
      <c r="P39" s="16">
        <f t="shared" si="5"/>
        <v>-12.403846153846246</v>
      </c>
      <c r="Q39" s="466">
        <f t="shared" si="6"/>
        <v>0.95865384615384586</v>
      </c>
      <c r="R39" s="626"/>
      <c r="S39" s="31">
        <v>0.27569444444444446</v>
      </c>
      <c r="T39" s="31">
        <v>0.34791666666666671</v>
      </c>
      <c r="U39" s="467">
        <f t="shared" ref="U39:U40" si="34">(S39-T38)*24*60</f>
        <v>7.9999999999999716</v>
      </c>
      <c r="V39" s="468">
        <f t="shared" si="33"/>
        <v>104.00000000000003</v>
      </c>
      <c r="W39" s="17"/>
      <c r="X39" s="17"/>
      <c r="Y39" s="20"/>
      <c r="Z39" s="20"/>
      <c r="AA39" s="614"/>
      <c r="AB39" s="615"/>
      <c r="AC39" s="155"/>
      <c r="AD39" s="19"/>
      <c r="AE39" s="15">
        <f t="shared" si="8"/>
        <v>-124.03846153846234</v>
      </c>
      <c r="AF39" s="466">
        <f t="shared" si="9"/>
        <v>0.95865384615384586</v>
      </c>
      <c r="AG39" s="626"/>
    </row>
    <row r="40" spans="1:33" ht="15.75" customHeight="1">
      <c r="A40" s="631" t="s">
        <v>2316</v>
      </c>
      <c r="B40" s="33" t="s">
        <v>36</v>
      </c>
      <c r="C40" s="612" t="s">
        <v>1511</v>
      </c>
      <c r="D40" s="613"/>
      <c r="E40" s="33">
        <v>37.880000000000003</v>
      </c>
      <c r="F40" s="472">
        <v>2341</v>
      </c>
      <c r="G40" s="467">
        <f t="shared" si="31"/>
        <v>88677.08</v>
      </c>
      <c r="H40" s="479" t="s">
        <v>5</v>
      </c>
      <c r="I40" s="465">
        <v>13</v>
      </c>
      <c r="J40" s="30">
        <v>2000</v>
      </c>
      <c r="K40" s="13">
        <f t="shared" si="1"/>
        <v>153.84615384615384</v>
      </c>
      <c r="L40" s="465">
        <v>13</v>
      </c>
      <c r="M40" s="14">
        <f t="shared" si="32"/>
        <v>1924.1095890410961</v>
      </c>
      <c r="N40" s="14">
        <f t="shared" si="3"/>
        <v>148.00842992623816</v>
      </c>
      <c r="O40" s="15">
        <f t="shared" si="4"/>
        <v>0</v>
      </c>
      <c r="P40" s="16">
        <f t="shared" si="5"/>
        <v>-5.8377239199156747</v>
      </c>
      <c r="Q40" s="466">
        <f t="shared" si="6"/>
        <v>0.9620547945205481</v>
      </c>
      <c r="R40" s="626"/>
      <c r="S40" s="31">
        <v>0.35208333333333336</v>
      </c>
      <c r="T40" s="31">
        <v>0.40277777777777779</v>
      </c>
      <c r="U40" s="467">
        <f t="shared" si="34"/>
        <v>5.9999999999999787</v>
      </c>
      <c r="V40" s="468">
        <f t="shared" si="33"/>
        <v>72.999999999999986</v>
      </c>
      <c r="W40" s="17"/>
      <c r="X40" s="17"/>
      <c r="Y40" s="20"/>
      <c r="Z40" s="20"/>
      <c r="AA40" s="614"/>
      <c r="AB40" s="615"/>
      <c r="AC40" s="155"/>
      <c r="AD40" s="19"/>
      <c r="AE40" s="15">
        <f t="shared" si="8"/>
        <v>-75.890410958903885</v>
      </c>
      <c r="AF40" s="466">
        <f t="shared" si="9"/>
        <v>0.9620547945205481</v>
      </c>
      <c r="AG40" s="626"/>
    </row>
    <row r="41" spans="1:33" ht="15.75" customHeight="1">
      <c r="A41" s="632" t="s">
        <v>2316</v>
      </c>
      <c r="B41" s="33" t="s">
        <v>2310</v>
      </c>
      <c r="C41" s="607"/>
      <c r="D41" s="608"/>
      <c r="E41" s="478"/>
      <c r="F41" s="472"/>
      <c r="G41" s="467"/>
      <c r="H41" s="472"/>
      <c r="I41" s="23">
        <v>11</v>
      </c>
      <c r="J41" s="30">
        <v>2666.6666666666665</v>
      </c>
      <c r="K41" s="13">
        <f t="shared" si="1"/>
        <v>242.42424242424241</v>
      </c>
      <c r="L41" s="23">
        <v>11</v>
      </c>
      <c r="M41" s="14">
        <f>AVERAGE(M38:M40)</f>
        <v>2557.7765181563082</v>
      </c>
      <c r="N41" s="13">
        <f t="shared" si="3"/>
        <v>232.52513801420983</v>
      </c>
      <c r="O41" s="15">
        <f t="shared" si="4"/>
        <v>0</v>
      </c>
      <c r="P41" s="16">
        <f t="shared" si="5"/>
        <v>-9.899104410032578</v>
      </c>
      <c r="Q41" s="466">
        <f t="shared" si="6"/>
        <v>0.95916619430861561</v>
      </c>
      <c r="R41" s="627"/>
      <c r="S41" s="31"/>
      <c r="T41" s="31"/>
      <c r="U41" s="467"/>
      <c r="V41" s="468"/>
      <c r="W41" s="17"/>
      <c r="X41" s="17"/>
      <c r="Y41" s="24">
        <f>SUM(Y38:Y40)</f>
        <v>0</v>
      </c>
      <c r="Z41" s="24">
        <f>SUM(Z38:Z40)</f>
        <v>0</v>
      </c>
      <c r="AA41" s="628"/>
      <c r="AB41" s="629"/>
      <c r="AC41" s="24">
        <v>3</v>
      </c>
      <c r="AD41" s="24">
        <f>SUM(AD38:AD40)</f>
        <v>0</v>
      </c>
      <c r="AE41" s="15">
        <f t="shared" si="8"/>
        <v>-108.89014851035836</v>
      </c>
      <c r="AF41" s="466">
        <f t="shared" si="9"/>
        <v>0.95916619430861561</v>
      </c>
      <c r="AG41" s="627"/>
    </row>
    <row r="42" spans="1:33" ht="15.75" customHeight="1">
      <c r="A42" s="623" t="s">
        <v>84</v>
      </c>
      <c r="B42" s="33" t="s">
        <v>10</v>
      </c>
      <c r="C42" s="611" t="s">
        <v>42</v>
      </c>
      <c r="D42" s="611"/>
      <c r="E42" s="33">
        <v>46</v>
      </c>
      <c r="F42" s="35">
        <v>722</v>
      </c>
      <c r="G42" s="467">
        <f t="shared" ref="G42:G49" si="35">E42*F42</f>
        <v>33212</v>
      </c>
      <c r="H42" s="479" t="s">
        <v>5</v>
      </c>
      <c r="I42" s="465">
        <v>16</v>
      </c>
      <c r="J42" s="30">
        <v>2000</v>
      </c>
      <c r="K42" s="13">
        <f t="shared" si="1"/>
        <v>125</v>
      </c>
      <c r="L42" s="465">
        <v>16</v>
      </c>
      <c r="M42" s="14">
        <f t="shared" ref="M42" si="36">F42/V42*60</f>
        <v>1969.0909090909092</v>
      </c>
      <c r="N42" s="14">
        <f t="shared" si="3"/>
        <v>123.06818181818183</v>
      </c>
      <c r="O42" s="15">
        <f t="shared" si="4"/>
        <v>0</v>
      </c>
      <c r="P42" s="16">
        <f t="shared" si="5"/>
        <v>-1.9318181818181728</v>
      </c>
      <c r="Q42" s="466">
        <f t="shared" si="6"/>
        <v>0.98454545454545461</v>
      </c>
      <c r="R42" s="619">
        <f>Q50</f>
        <v>0.96666528640441651</v>
      </c>
      <c r="S42" s="31">
        <v>0.20833333333333334</v>
      </c>
      <c r="T42" s="31">
        <v>0.22361111111111112</v>
      </c>
      <c r="U42" s="22"/>
      <c r="V42" s="468">
        <f t="shared" ref="V42:V49" si="37">(T42-S42)*24*60</f>
        <v>22</v>
      </c>
      <c r="W42" s="17"/>
      <c r="X42" s="17"/>
      <c r="Y42" s="22"/>
      <c r="Z42" s="22"/>
      <c r="AA42" s="610"/>
      <c r="AB42" s="610"/>
      <c r="AC42" s="155">
        <v>8</v>
      </c>
      <c r="AD42" s="19"/>
      <c r="AE42" s="15">
        <f t="shared" si="8"/>
        <v>-30.909090909090764</v>
      </c>
      <c r="AF42" s="466">
        <f t="shared" si="9"/>
        <v>0.98454545454545461</v>
      </c>
      <c r="AG42" s="619">
        <f>AF50</f>
        <v>0.96666528640441651</v>
      </c>
    </row>
    <row r="43" spans="1:33" ht="15.75" customHeight="1">
      <c r="A43" s="623" t="s">
        <v>2317</v>
      </c>
      <c r="B43" s="33" t="s">
        <v>10</v>
      </c>
      <c r="C43" s="611" t="s">
        <v>43</v>
      </c>
      <c r="D43" s="611"/>
      <c r="E43" s="33">
        <v>46</v>
      </c>
      <c r="F43" s="35">
        <v>959</v>
      </c>
      <c r="G43" s="467">
        <f t="shared" si="35"/>
        <v>44114</v>
      </c>
      <c r="H43" s="479" t="s">
        <v>5</v>
      </c>
      <c r="I43" s="465">
        <v>17</v>
      </c>
      <c r="J43" s="30">
        <v>2000</v>
      </c>
      <c r="K43" s="13">
        <f t="shared" si="1"/>
        <v>117.64705882352941</v>
      </c>
      <c r="L43" s="465">
        <v>17</v>
      </c>
      <c r="M43" s="14">
        <f>F43/V43*60</f>
        <v>1918.0000000000018</v>
      </c>
      <c r="N43" s="14">
        <f t="shared" si="3"/>
        <v>112.82352941176481</v>
      </c>
      <c r="O43" s="15">
        <f t="shared" si="4"/>
        <v>0</v>
      </c>
      <c r="P43" s="16">
        <f t="shared" si="5"/>
        <v>-4.8235294117645964</v>
      </c>
      <c r="Q43" s="466">
        <f t="shared" si="6"/>
        <v>0.95900000000000096</v>
      </c>
      <c r="R43" s="619"/>
      <c r="S43" s="31">
        <v>0.22916666666666669</v>
      </c>
      <c r="T43" s="31">
        <v>0.25</v>
      </c>
      <c r="U43" s="467">
        <f t="shared" ref="U43:U49" si="38">IF(S43=TIME(17,0,0),"",(S43-T42)*24*60)</f>
        <v>8.0000000000000107</v>
      </c>
      <c r="V43" s="468">
        <f t="shared" si="37"/>
        <v>29.999999999999972</v>
      </c>
      <c r="W43" s="17"/>
      <c r="X43" s="17"/>
      <c r="Y43" s="17"/>
      <c r="Z43" s="17"/>
      <c r="AA43" s="610"/>
      <c r="AB43" s="610"/>
      <c r="AC43" s="155"/>
      <c r="AD43" s="19"/>
      <c r="AE43" s="15">
        <f t="shared" si="8"/>
        <v>-81.999999999998181</v>
      </c>
      <c r="AF43" s="466">
        <f t="shared" si="9"/>
        <v>0.95900000000000096</v>
      </c>
      <c r="AG43" s="619"/>
    </row>
    <row r="44" spans="1:33" ht="15.75" customHeight="1">
      <c r="A44" s="623" t="s">
        <v>2317</v>
      </c>
      <c r="B44" s="33" t="s">
        <v>6</v>
      </c>
      <c r="C44" s="612" t="s">
        <v>41</v>
      </c>
      <c r="D44" s="613"/>
      <c r="E44" s="33">
        <v>51.44</v>
      </c>
      <c r="F44" s="35">
        <v>1058</v>
      </c>
      <c r="G44" s="467">
        <f t="shared" si="35"/>
        <v>54423.519999999997</v>
      </c>
      <c r="H44" s="479" t="s">
        <v>5</v>
      </c>
      <c r="I44" s="465">
        <v>25</v>
      </c>
      <c r="J44" s="30">
        <v>2000</v>
      </c>
      <c r="K44" s="13">
        <f t="shared" si="1"/>
        <v>80</v>
      </c>
      <c r="L44" s="465">
        <v>25</v>
      </c>
      <c r="M44" s="14">
        <f t="shared" ref="M44:M49" si="39">F44/V44*60</f>
        <v>1923.6363636363612</v>
      </c>
      <c r="N44" s="14">
        <f t="shared" si="3"/>
        <v>76.945454545454453</v>
      </c>
      <c r="O44" s="15">
        <f t="shared" si="4"/>
        <v>0</v>
      </c>
      <c r="P44" s="16">
        <f t="shared" si="5"/>
        <v>-3.054545454545547</v>
      </c>
      <c r="Q44" s="466">
        <f t="shared" si="6"/>
        <v>0.96181818181818068</v>
      </c>
      <c r="R44" s="619"/>
      <c r="S44" s="31">
        <v>0.25486111111111109</v>
      </c>
      <c r="T44" s="31">
        <v>0.27777777777777779</v>
      </c>
      <c r="U44" s="467">
        <f t="shared" si="38"/>
        <v>6.9999999999999751</v>
      </c>
      <c r="V44" s="468">
        <f t="shared" si="37"/>
        <v>33.000000000000043</v>
      </c>
      <c r="W44" s="17"/>
      <c r="X44" s="17"/>
      <c r="Y44" s="20"/>
      <c r="Z44" s="20"/>
      <c r="AA44" s="610"/>
      <c r="AB44" s="610"/>
      <c r="AC44" s="155"/>
      <c r="AD44" s="19"/>
      <c r="AE44" s="15">
        <f t="shared" si="8"/>
        <v>-76.363636363638761</v>
      </c>
      <c r="AF44" s="466">
        <f t="shared" si="9"/>
        <v>0.96181818181818057</v>
      </c>
      <c r="AG44" s="619"/>
    </row>
    <row r="45" spans="1:33" ht="15.75" customHeight="1">
      <c r="A45" s="623" t="s">
        <v>84</v>
      </c>
      <c r="B45" s="33" t="s">
        <v>6</v>
      </c>
      <c r="C45" s="476" t="s">
        <v>77</v>
      </c>
      <c r="D45" s="477"/>
      <c r="E45" s="33">
        <v>56.43</v>
      </c>
      <c r="F45" s="35">
        <v>755</v>
      </c>
      <c r="G45" s="467">
        <f t="shared" si="35"/>
        <v>42604.65</v>
      </c>
      <c r="H45" s="479" t="s">
        <v>5</v>
      </c>
      <c r="I45" s="465">
        <v>23</v>
      </c>
      <c r="J45" s="30">
        <v>2000</v>
      </c>
      <c r="K45" s="13">
        <f t="shared" si="1"/>
        <v>86.956521739130437</v>
      </c>
      <c r="L45" s="465">
        <v>23</v>
      </c>
      <c r="M45" s="14">
        <f t="shared" si="39"/>
        <v>1969.5652173913045</v>
      </c>
      <c r="N45" s="14">
        <f t="shared" si="3"/>
        <v>85.633270321361067</v>
      </c>
      <c r="O45" s="15">
        <f t="shared" si="4"/>
        <v>0</v>
      </c>
      <c r="P45" s="16">
        <f t="shared" si="5"/>
        <v>-1.3232514177693702</v>
      </c>
      <c r="Q45" s="466">
        <f t="shared" si="6"/>
        <v>0.98478260869565226</v>
      </c>
      <c r="R45" s="619"/>
      <c r="S45" s="31">
        <v>0.28263888888888888</v>
      </c>
      <c r="T45" s="31">
        <v>0.2986111111111111</v>
      </c>
      <c r="U45" s="467">
        <f t="shared" si="38"/>
        <v>6.9999999999999751</v>
      </c>
      <c r="V45" s="468">
        <f t="shared" si="37"/>
        <v>23</v>
      </c>
      <c r="W45" s="17"/>
      <c r="X45" s="17"/>
      <c r="Y45" s="20"/>
      <c r="Z45" s="20"/>
      <c r="AA45" s="610"/>
      <c r="AB45" s="610"/>
      <c r="AC45" s="155"/>
      <c r="AD45" s="19"/>
      <c r="AE45" s="15">
        <f t="shared" si="8"/>
        <v>-30.434782608695514</v>
      </c>
      <c r="AF45" s="466">
        <f t="shared" si="9"/>
        <v>0.98478260869565226</v>
      </c>
      <c r="AG45" s="619"/>
    </row>
    <row r="46" spans="1:33" ht="15.75" customHeight="1">
      <c r="A46" s="623" t="s">
        <v>84</v>
      </c>
      <c r="B46" s="33" t="s">
        <v>6</v>
      </c>
      <c r="C46" s="476" t="s">
        <v>1513</v>
      </c>
      <c r="D46" s="477"/>
      <c r="E46" s="33">
        <v>56.43</v>
      </c>
      <c r="F46" s="35">
        <v>2109</v>
      </c>
      <c r="G46" s="467">
        <f t="shared" si="35"/>
        <v>119010.87</v>
      </c>
      <c r="H46" s="479" t="s">
        <v>5</v>
      </c>
      <c r="I46" s="465">
        <v>21</v>
      </c>
      <c r="J46" s="30">
        <v>2000</v>
      </c>
      <c r="K46" s="13">
        <f t="shared" si="1"/>
        <v>95.238095238095241</v>
      </c>
      <c r="L46" s="465">
        <v>21</v>
      </c>
      <c r="M46" s="14">
        <f t="shared" si="39"/>
        <v>1917.2727272727273</v>
      </c>
      <c r="N46" s="14">
        <f t="shared" si="3"/>
        <v>91.298701298701303</v>
      </c>
      <c r="O46" s="15">
        <f t="shared" si="4"/>
        <v>0</v>
      </c>
      <c r="P46" s="16">
        <f t="shared" si="5"/>
        <v>-3.9393939393939377</v>
      </c>
      <c r="Q46" s="466">
        <f t="shared" si="6"/>
        <v>0.95863636363636362</v>
      </c>
      <c r="R46" s="619"/>
      <c r="S46" s="31">
        <v>0.30208333333333331</v>
      </c>
      <c r="T46" s="31">
        <v>0.34791666666666665</v>
      </c>
      <c r="U46" s="467">
        <f t="shared" si="38"/>
        <v>4.9999999999999822</v>
      </c>
      <c r="V46" s="468">
        <f t="shared" si="37"/>
        <v>66</v>
      </c>
      <c r="W46" s="17"/>
      <c r="X46" s="17"/>
      <c r="Y46" s="20"/>
      <c r="Z46" s="20"/>
      <c r="AA46" s="610"/>
      <c r="AB46" s="610"/>
      <c r="AC46" s="155"/>
      <c r="AD46" s="19"/>
      <c r="AE46" s="15">
        <f t="shared" si="8"/>
        <v>-82.727272727272748</v>
      </c>
      <c r="AF46" s="466">
        <f t="shared" si="9"/>
        <v>0.95863636363636362</v>
      </c>
      <c r="AG46" s="619"/>
    </row>
    <row r="47" spans="1:33" ht="15.75" customHeight="1">
      <c r="A47" s="623" t="s">
        <v>84</v>
      </c>
      <c r="B47" s="33" t="s">
        <v>6</v>
      </c>
      <c r="C47" s="612" t="s">
        <v>44</v>
      </c>
      <c r="D47" s="613"/>
      <c r="E47" s="33">
        <v>55.56</v>
      </c>
      <c r="F47" s="35">
        <v>1730</v>
      </c>
      <c r="G47" s="467">
        <f t="shared" si="35"/>
        <v>96118.8</v>
      </c>
      <c r="H47" s="479" t="s">
        <v>5</v>
      </c>
      <c r="I47" s="465">
        <v>17</v>
      </c>
      <c r="J47" s="30">
        <v>2000</v>
      </c>
      <c r="K47" s="13">
        <f t="shared" si="1"/>
        <v>117.64705882352941</v>
      </c>
      <c r="L47" s="465">
        <v>17</v>
      </c>
      <c r="M47" s="14">
        <f t="shared" si="39"/>
        <v>1922.2222222222231</v>
      </c>
      <c r="N47" s="14">
        <f t="shared" si="3"/>
        <v>113.07189542483665</v>
      </c>
      <c r="O47" s="15">
        <f t="shared" si="4"/>
        <v>0</v>
      </c>
      <c r="P47" s="16">
        <f t="shared" si="5"/>
        <v>-4.5751633986927516</v>
      </c>
      <c r="Q47" s="466">
        <f t="shared" si="6"/>
        <v>0.96111111111111158</v>
      </c>
      <c r="R47" s="619"/>
      <c r="S47" s="31">
        <v>0.70833333333333337</v>
      </c>
      <c r="T47" s="31">
        <v>0.74583333333333335</v>
      </c>
      <c r="U47" s="467" t="str">
        <f t="shared" si="38"/>
        <v/>
      </c>
      <c r="V47" s="468">
        <f t="shared" si="37"/>
        <v>53.999999999999972</v>
      </c>
      <c r="W47" s="17"/>
      <c r="X47" s="17"/>
      <c r="Y47" s="20"/>
      <c r="Z47" s="20"/>
      <c r="AA47" s="614"/>
      <c r="AB47" s="615"/>
      <c r="AC47" s="155"/>
      <c r="AD47" s="19"/>
      <c r="AE47" s="15">
        <f t="shared" si="8"/>
        <v>-77.777777777776919</v>
      </c>
      <c r="AF47" s="466">
        <f t="shared" si="9"/>
        <v>0.96111111111111158</v>
      </c>
      <c r="AG47" s="619"/>
    </row>
    <row r="48" spans="1:33" ht="15.75" customHeight="1">
      <c r="A48" s="623" t="s">
        <v>2317</v>
      </c>
      <c r="B48" s="33" t="s">
        <v>6</v>
      </c>
      <c r="C48" s="612" t="s">
        <v>72</v>
      </c>
      <c r="D48" s="613"/>
      <c r="E48" s="33">
        <v>58.17</v>
      </c>
      <c r="F48" s="35">
        <v>1124</v>
      </c>
      <c r="G48" s="467">
        <f t="shared" si="35"/>
        <v>65383.08</v>
      </c>
      <c r="H48" s="479" t="s">
        <v>5</v>
      </c>
      <c r="I48" s="465">
        <v>13</v>
      </c>
      <c r="J48" s="30">
        <v>2000</v>
      </c>
      <c r="K48" s="13">
        <f t="shared" si="1"/>
        <v>153.84615384615384</v>
      </c>
      <c r="L48" s="465">
        <v>13</v>
      </c>
      <c r="M48" s="14">
        <f t="shared" si="39"/>
        <v>1926.8571428571406</v>
      </c>
      <c r="N48" s="14">
        <f t="shared" si="3"/>
        <v>148.21978021978003</v>
      </c>
      <c r="O48" s="15">
        <f t="shared" si="4"/>
        <v>0</v>
      </c>
      <c r="P48" s="16">
        <f t="shared" si="5"/>
        <v>-5.6263736263738053</v>
      </c>
      <c r="Q48" s="466">
        <f t="shared" si="6"/>
        <v>0.9634285714285703</v>
      </c>
      <c r="R48" s="619"/>
      <c r="S48" s="31">
        <v>0.75069444444444444</v>
      </c>
      <c r="T48" s="31">
        <v>0.77500000000000002</v>
      </c>
      <c r="U48" s="467">
        <f t="shared" si="38"/>
        <v>6.9999999999999751</v>
      </c>
      <c r="V48" s="468">
        <f t="shared" si="37"/>
        <v>35.000000000000036</v>
      </c>
      <c r="W48" s="17"/>
      <c r="X48" s="17"/>
      <c r="Y48" s="20"/>
      <c r="Z48" s="20"/>
      <c r="AA48" s="614"/>
      <c r="AB48" s="615"/>
      <c r="AC48" s="155"/>
      <c r="AD48" s="19"/>
      <c r="AE48" s="15">
        <f t="shared" si="8"/>
        <v>-73.142857142859384</v>
      </c>
      <c r="AF48" s="466">
        <f t="shared" si="9"/>
        <v>0.9634285714285703</v>
      </c>
      <c r="AG48" s="619"/>
    </row>
    <row r="49" spans="1:33" ht="15.75" customHeight="1">
      <c r="A49" s="623" t="s">
        <v>84</v>
      </c>
      <c r="B49" s="33" t="s">
        <v>6</v>
      </c>
      <c r="C49" s="612" t="s">
        <v>82</v>
      </c>
      <c r="D49" s="613"/>
      <c r="E49" s="33">
        <v>54.09</v>
      </c>
      <c r="F49" s="35">
        <v>864</v>
      </c>
      <c r="G49" s="467">
        <f t="shared" si="35"/>
        <v>46733.760000000002</v>
      </c>
      <c r="H49" s="479" t="s">
        <v>5</v>
      </c>
      <c r="I49" s="465">
        <v>14</v>
      </c>
      <c r="J49" s="30">
        <v>2000</v>
      </c>
      <c r="K49" s="13">
        <f t="shared" si="1"/>
        <v>142.85714285714286</v>
      </c>
      <c r="L49" s="465">
        <v>14</v>
      </c>
      <c r="M49" s="14">
        <f t="shared" si="39"/>
        <v>1919.9999999999955</v>
      </c>
      <c r="N49" s="14">
        <f t="shared" si="3"/>
        <v>137.14285714285683</v>
      </c>
      <c r="O49" s="15">
        <f t="shared" si="4"/>
        <v>0</v>
      </c>
      <c r="P49" s="16">
        <f t="shared" si="5"/>
        <v>-5.714285714286035</v>
      </c>
      <c r="Q49" s="466">
        <f t="shared" si="6"/>
        <v>0.95999999999999774</v>
      </c>
      <c r="R49" s="619"/>
      <c r="S49" s="31">
        <v>0.77916666666666667</v>
      </c>
      <c r="T49" s="31">
        <v>0.79791666666666672</v>
      </c>
      <c r="U49" s="467">
        <f t="shared" si="38"/>
        <v>5.9999999999999787</v>
      </c>
      <c r="V49" s="468">
        <f t="shared" si="37"/>
        <v>27.000000000000064</v>
      </c>
      <c r="W49" s="17"/>
      <c r="X49" s="17"/>
      <c r="Y49" s="20"/>
      <c r="Z49" s="20"/>
      <c r="AA49" s="614"/>
      <c r="AB49" s="615"/>
      <c r="AC49" s="155"/>
      <c r="AD49" s="19"/>
      <c r="AE49" s="15">
        <f t="shared" si="8"/>
        <v>-80.000000000004547</v>
      </c>
      <c r="AF49" s="466">
        <f t="shared" si="9"/>
        <v>0.95999999999999774</v>
      </c>
      <c r="AG49" s="619"/>
    </row>
    <row r="50" spans="1:33">
      <c r="A50" s="624" t="s">
        <v>84</v>
      </c>
      <c r="B50" s="33" t="s">
        <v>80</v>
      </c>
      <c r="C50" s="620"/>
      <c r="D50" s="620"/>
      <c r="E50" s="473"/>
      <c r="F50" s="34"/>
      <c r="G50" s="13"/>
      <c r="H50" s="472"/>
      <c r="I50" s="23">
        <v>18.25</v>
      </c>
      <c r="J50" s="30">
        <v>2000</v>
      </c>
      <c r="K50" s="13">
        <f t="shared" si="1"/>
        <v>109.58904109589041</v>
      </c>
      <c r="L50" s="23">
        <v>18.25</v>
      </c>
      <c r="M50" s="14">
        <f>AVERAGE(M42:M49)</f>
        <v>1933.330572808833</v>
      </c>
      <c r="N50" s="13">
        <f t="shared" si="3"/>
        <v>105.93592179774427</v>
      </c>
      <c r="O50" s="15">
        <f t="shared" si="4"/>
        <v>0</v>
      </c>
      <c r="P50" s="16">
        <f t="shared" si="5"/>
        <v>-3.6531192981461373</v>
      </c>
      <c r="Q50" s="466">
        <f t="shared" si="6"/>
        <v>0.96666528640441651</v>
      </c>
      <c r="R50" s="619"/>
      <c r="S50" s="31"/>
      <c r="T50" s="31"/>
      <c r="U50" s="467"/>
      <c r="V50" s="468"/>
      <c r="W50" s="13"/>
      <c r="X50" s="13"/>
      <c r="Y50" s="24">
        <f>SUM(Y42:Y49)</f>
        <v>0</v>
      </c>
      <c r="Z50" s="24">
        <f>SUM(Z42:Z49)</f>
        <v>0</v>
      </c>
      <c r="AA50" s="609"/>
      <c r="AB50" s="609"/>
      <c r="AC50" s="24">
        <v>8</v>
      </c>
      <c r="AD50" s="24">
        <f>SUM(AD42:AD49)</f>
        <v>0</v>
      </c>
      <c r="AE50" s="15">
        <f>M50-J50</f>
        <v>-66.66942719116696</v>
      </c>
      <c r="AF50" s="466">
        <f t="shared" si="9"/>
        <v>0.96666528640441651</v>
      </c>
      <c r="AG50" s="619"/>
    </row>
    <row r="51" spans="1:33" ht="15.75" customHeight="1">
      <c r="A51" s="621" t="s">
        <v>85</v>
      </c>
      <c r="B51" s="472" t="s">
        <v>36</v>
      </c>
      <c r="C51" s="611" t="s">
        <v>46</v>
      </c>
      <c r="D51" s="611"/>
      <c r="E51" s="33">
        <v>35.119999999999997</v>
      </c>
      <c r="F51" s="35">
        <v>4001</v>
      </c>
      <c r="G51" s="467">
        <f t="shared" ref="G51:G55" si="40">E51*F51</f>
        <v>140515.12</v>
      </c>
      <c r="H51" s="479" t="s">
        <v>5</v>
      </c>
      <c r="I51" s="465">
        <v>10</v>
      </c>
      <c r="J51" s="30">
        <v>3000</v>
      </c>
      <c r="K51" s="13">
        <f t="shared" si="1"/>
        <v>300</v>
      </c>
      <c r="L51" s="465">
        <v>10</v>
      </c>
      <c r="M51" s="14">
        <f t="shared" ref="M51:M55" si="41">F51/V51*60</f>
        <v>2857.8571428571431</v>
      </c>
      <c r="N51" s="13">
        <f t="shared" si="3"/>
        <v>285.78571428571433</v>
      </c>
      <c r="O51" s="15">
        <f t="shared" si="4"/>
        <v>0</v>
      </c>
      <c r="P51" s="16">
        <f t="shared" si="5"/>
        <v>-14.214285714285666</v>
      </c>
      <c r="Q51" s="466">
        <f t="shared" si="6"/>
        <v>0.95261904761904781</v>
      </c>
      <c r="R51" s="619">
        <f>Q56</f>
        <v>0.96813319530710817</v>
      </c>
      <c r="S51" s="31">
        <v>0.20833333333333334</v>
      </c>
      <c r="T51" s="31">
        <v>0.26666666666666666</v>
      </c>
      <c r="U51" s="467"/>
      <c r="V51" s="468">
        <f t="shared" ref="V51:V55" si="42">(T51-S51)*24*60</f>
        <v>83.999999999999986</v>
      </c>
      <c r="W51" s="17"/>
      <c r="X51" s="17"/>
      <c r="Y51" s="22"/>
      <c r="Z51" s="22"/>
      <c r="AA51" s="610"/>
      <c r="AB51" s="610"/>
      <c r="AC51" s="155">
        <v>5</v>
      </c>
      <c r="AD51" s="19"/>
      <c r="AE51" s="15">
        <f t="shared" ref="AE51:AE64" si="43">M51-J51</f>
        <v>-142.14285714285688</v>
      </c>
      <c r="AF51" s="466">
        <f t="shared" si="9"/>
        <v>0.9526190476190477</v>
      </c>
      <c r="AG51" s="619">
        <f>AF56</f>
        <v>0.96813319530710817</v>
      </c>
    </row>
    <row r="52" spans="1:33" ht="15.75" customHeight="1">
      <c r="A52" s="621" t="s">
        <v>2318</v>
      </c>
      <c r="B52" s="472" t="s">
        <v>36</v>
      </c>
      <c r="C52" s="611" t="s">
        <v>47</v>
      </c>
      <c r="D52" s="611"/>
      <c r="E52" s="33">
        <v>26.78</v>
      </c>
      <c r="F52" s="35">
        <v>2043</v>
      </c>
      <c r="G52" s="467">
        <f t="shared" si="40"/>
        <v>54711.54</v>
      </c>
      <c r="H52" s="479" t="s">
        <v>5</v>
      </c>
      <c r="I52" s="465">
        <v>10</v>
      </c>
      <c r="J52" s="30">
        <v>3000</v>
      </c>
      <c r="K52" s="13">
        <f t="shared" si="1"/>
        <v>300</v>
      </c>
      <c r="L52" s="465">
        <v>10</v>
      </c>
      <c r="M52" s="14">
        <f t="shared" si="41"/>
        <v>2918.5714285714275</v>
      </c>
      <c r="N52" s="13">
        <f t="shared" si="3"/>
        <v>291.85714285714278</v>
      </c>
      <c r="O52" s="15">
        <f t="shared" si="4"/>
        <v>0</v>
      </c>
      <c r="P52" s="16">
        <f t="shared" si="5"/>
        <v>-8.1428571428572241</v>
      </c>
      <c r="Q52" s="466">
        <f t="shared" si="6"/>
        <v>0.97285714285714253</v>
      </c>
      <c r="R52" s="619"/>
      <c r="S52" s="31">
        <v>0.27083333333333331</v>
      </c>
      <c r="T52" s="31">
        <v>0.3</v>
      </c>
      <c r="U52" s="467">
        <f t="shared" ref="U52:U55" si="44">(S52-T51)*24*60</f>
        <v>5.9999999999999787</v>
      </c>
      <c r="V52" s="468">
        <f t="shared" si="42"/>
        <v>42.000000000000014</v>
      </c>
      <c r="W52" s="467"/>
      <c r="X52" s="467"/>
      <c r="Y52" s="467"/>
      <c r="Z52" s="467"/>
      <c r="AA52" s="610"/>
      <c r="AB52" s="610"/>
      <c r="AC52" s="155"/>
      <c r="AD52" s="19"/>
      <c r="AE52" s="15">
        <f t="shared" si="43"/>
        <v>-81.428571428572468</v>
      </c>
      <c r="AF52" s="466">
        <f t="shared" si="9"/>
        <v>0.97285714285714253</v>
      </c>
      <c r="AG52" s="619"/>
    </row>
    <row r="53" spans="1:33" ht="15.75" customHeight="1">
      <c r="A53" s="621" t="s">
        <v>85</v>
      </c>
      <c r="B53" s="472" t="s">
        <v>36</v>
      </c>
      <c r="C53" s="611" t="s">
        <v>49</v>
      </c>
      <c r="D53" s="611"/>
      <c r="E53" s="33">
        <v>35.869999999999997</v>
      </c>
      <c r="F53" s="35">
        <v>2373</v>
      </c>
      <c r="G53" s="467">
        <f t="shared" si="40"/>
        <v>85119.51</v>
      </c>
      <c r="H53" s="479" t="s">
        <v>5</v>
      </c>
      <c r="I53" s="465">
        <v>10</v>
      </c>
      <c r="J53" s="30">
        <v>3000</v>
      </c>
      <c r="K53" s="13">
        <f t="shared" si="1"/>
        <v>300</v>
      </c>
      <c r="L53" s="465">
        <v>10</v>
      </c>
      <c r="M53" s="14">
        <f t="shared" si="41"/>
        <v>2905.7142857142867</v>
      </c>
      <c r="N53" s="13">
        <f t="shared" si="3"/>
        <v>290.57142857142867</v>
      </c>
      <c r="O53" s="15">
        <f t="shared" si="4"/>
        <v>0</v>
      </c>
      <c r="P53" s="16">
        <f t="shared" si="5"/>
        <v>-9.4285714285713311</v>
      </c>
      <c r="Q53" s="466">
        <f t="shared" si="6"/>
        <v>0.96857142857142886</v>
      </c>
      <c r="R53" s="619"/>
      <c r="S53" s="31">
        <v>0.30416666666666664</v>
      </c>
      <c r="T53" s="31">
        <v>0.33819444444444441</v>
      </c>
      <c r="U53" s="467">
        <f t="shared" si="44"/>
        <v>5.9999999999999787</v>
      </c>
      <c r="V53" s="468">
        <f t="shared" si="42"/>
        <v>48.999999999999986</v>
      </c>
      <c r="W53" s="467"/>
      <c r="X53" s="467"/>
      <c r="Y53" s="467"/>
      <c r="Z53" s="467"/>
      <c r="AA53" s="610"/>
      <c r="AB53" s="610"/>
      <c r="AC53" s="155"/>
      <c r="AD53" s="19"/>
      <c r="AE53" s="15">
        <f t="shared" si="43"/>
        <v>-94.285714285713311</v>
      </c>
      <c r="AF53" s="466">
        <f t="shared" si="9"/>
        <v>0.96857142857142886</v>
      </c>
      <c r="AG53" s="619"/>
    </row>
    <row r="54" spans="1:33" ht="15.75" customHeight="1">
      <c r="A54" s="621" t="s">
        <v>2318</v>
      </c>
      <c r="B54" s="472" t="s">
        <v>36</v>
      </c>
      <c r="C54" s="611" t="s">
        <v>39</v>
      </c>
      <c r="D54" s="611"/>
      <c r="E54" s="33">
        <v>35.869999999999997</v>
      </c>
      <c r="F54" s="35">
        <v>886</v>
      </c>
      <c r="G54" s="467">
        <f t="shared" si="40"/>
        <v>31780.819999999996</v>
      </c>
      <c r="H54" s="479" t="s">
        <v>5</v>
      </c>
      <c r="I54" s="465">
        <v>9</v>
      </c>
      <c r="J54" s="30">
        <v>3000</v>
      </c>
      <c r="K54" s="13">
        <f t="shared" si="1"/>
        <v>333.33333333333331</v>
      </c>
      <c r="L54" s="465">
        <v>9</v>
      </c>
      <c r="M54" s="14">
        <f t="shared" si="41"/>
        <v>2953.3333333333312</v>
      </c>
      <c r="N54" s="13">
        <f t="shared" si="3"/>
        <v>328.14814814814792</v>
      </c>
      <c r="O54" s="15">
        <f t="shared" si="4"/>
        <v>0</v>
      </c>
      <c r="P54" s="16">
        <f t="shared" si="5"/>
        <v>-5.1851851851853894</v>
      </c>
      <c r="Q54" s="466">
        <f t="shared" si="6"/>
        <v>0.98444444444444379</v>
      </c>
      <c r="R54" s="619"/>
      <c r="S54" s="31">
        <v>0.34236111111111106</v>
      </c>
      <c r="T54" s="31">
        <v>0.35486111111111107</v>
      </c>
      <c r="U54" s="467">
        <f t="shared" si="44"/>
        <v>5.9999999999999787</v>
      </c>
      <c r="V54" s="468">
        <f t="shared" si="42"/>
        <v>18.000000000000014</v>
      </c>
      <c r="W54" s="467"/>
      <c r="X54" s="467"/>
      <c r="Y54" s="467"/>
      <c r="Z54" s="467"/>
      <c r="AA54" s="610"/>
      <c r="AB54" s="610"/>
      <c r="AC54" s="155"/>
      <c r="AD54" s="19"/>
      <c r="AE54" s="15">
        <f t="shared" si="43"/>
        <v>-46.666666666668789</v>
      </c>
      <c r="AF54" s="466">
        <f t="shared" si="9"/>
        <v>0.98444444444444379</v>
      </c>
      <c r="AG54" s="619"/>
    </row>
    <row r="55" spans="1:33">
      <c r="A55" s="622" t="s">
        <v>85</v>
      </c>
      <c r="B55" s="472" t="s">
        <v>36</v>
      </c>
      <c r="C55" s="611" t="s">
        <v>74</v>
      </c>
      <c r="D55" s="611"/>
      <c r="E55" s="33">
        <v>33.770000000000003</v>
      </c>
      <c r="F55" s="35">
        <v>2213</v>
      </c>
      <c r="G55" s="467">
        <f t="shared" si="40"/>
        <v>74733.010000000009</v>
      </c>
      <c r="H55" s="479" t="s">
        <v>5</v>
      </c>
      <c r="I55" s="465">
        <v>12</v>
      </c>
      <c r="J55" s="30">
        <v>3000</v>
      </c>
      <c r="K55" s="13">
        <f t="shared" si="1"/>
        <v>250</v>
      </c>
      <c r="L55" s="465">
        <v>12</v>
      </c>
      <c r="M55" s="14">
        <f t="shared" si="41"/>
        <v>2886.521739130435</v>
      </c>
      <c r="N55" s="13">
        <f t="shared" si="3"/>
        <v>240.54347826086959</v>
      </c>
      <c r="O55" s="15">
        <f t="shared" si="4"/>
        <v>0</v>
      </c>
      <c r="P55" s="16">
        <f t="shared" si="5"/>
        <v>-9.4565217391304088</v>
      </c>
      <c r="Q55" s="466">
        <f t="shared" si="6"/>
        <v>0.96217391304347832</v>
      </c>
      <c r="R55" s="619"/>
      <c r="S55" s="31">
        <v>0.35833333333333328</v>
      </c>
      <c r="T55" s="31">
        <v>0.39027777777777772</v>
      </c>
      <c r="U55" s="467">
        <f t="shared" si="44"/>
        <v>4.9999999999999822</v>
      </c>
      <c r="V55" s="468">
        <f t="shared" si="42"/>
        <v>46</v>
      </c>
      <c r="W55" s="17"/>
      <c r="X55" s="17"/>
      <c r="Y55" s="17"/>
      <c r="Z55" s="17"/>
      <c r="AA55" s="610"/>
      <c r="AB55" s="610"/>
      <c r="AC55" s="155"/>
      <c r="AD55" s="19"/>
      <c r="AE55" s="15">
        <f t="shared" si="43"/>
        <v>-113.47826086956502</v>
      </c>
      <c r="AF55" s="466">
        <f t="shared" si="9"/>
        <v>0.96217391304347832</v>
      </c>
      <c r="AG55" s="619"/>
    </row>
    <row r="56" spans="1:33">
      <c r="A56" s="622" t="s">
        <v>2318</v>
      </c>
      <c r="B56" s="33" t="s">
        <v>80</v>
      </c>
      <c r="C56" s="620"/>
      <c r="D56" s="620"/>
      <c r="E56" s="473"/>
      <c r="F56" s="34"/>
      <c r="G56" s="13"/>
      <c r="H56" s="472"/>
      <c r="I56" s="23">
        <v>10.199999999999999</v>
      </c>
      <c r="J56" s="30">
        <v>3000</v>
      </c>
      <c r="K56" s="13">
        <f t="shared" si="1"/>
        <v>294.11764705882354</v>
      </c>
      <c r="L56" s="23">
        <v>10.199999999999999</v>
      </c>
      <c r="M56" s="14">
        <f>AVERAGE(M51:M55)</f>
        <v>2904.3995859213246</v>
      </c>
      <c r="N56" s="13">
        <f t="shared" si="3"/>
        <v>284.74505744326711</v>
      </c>
      <c r="O56" s="15">
        <f t="shared" si="4"/>
        <v>0</v>
      </c>
      <c r="P56" s="16">
        <f t="shared" si="5"/>
        <v>-9.3725896155564214</v>
      </c>
      <c r="Q56" s="466">
        <f t="shared" si="6"/>
        <v>0.96813319530710817</v>
      </c>
      <c r="R56" s="619"/>
      <c r="S56" s="31"/>
      <c r="T56" s="31"/>
      <c r="U56" s="13"/>
      <c r="V56" s="468"/>
      <c r="W56" s="13"/>
      <c r="X56" s="13"/>
      <c r="Y56" s="24">
        <f>SUM(Y51:Y55)</f>
        <v>0</v>
      </c>
      <c r="Z56" s="24">
        <f>SUM(Z51:Z55)</f>
        <v>0</v>
      </c>
      <c r="AA56" s="609"/>
      <c r="AB56" s="609"/>
      <c r="AC56" s="24">
        <v>5</v>
      </c>
      <c r="AD56" s="24">
        <f>SUM(AD51:AD55)</f>
        <v>0</v>
      </c>
      <c r="AE56" s="15">
        <f t="shared" si="43"/>
        <v>-95.600414078675385</v>
      </c>
      <c r="AF56" s="466">
        <f t="shared" si="9"/>
        <v>0.96813319530710817</v>
      </c>
      <c r="AG56" s="619"/>
    </row>
    <row r="57" spans="1:33" ht="15.75" customHeight="1">
      <c r="A57" s="616" t="s">
        <v>200</v>
      </c>
      <c r="B57" s="472" t="s">
        <v>27</v>
      </c>
      <c r="C57" s="611" t="s">
        <v>50</v>
      </c>
      <c r="D57" s="611"/>
      <c r="E57" s="33">
        <v>19.02</v>
      </c>
      <c r="F57" s="472">
        <v>8448</v>
      </c>
      <c r="G57" s="467">
        <f t="shared" ref="G57:G63" si="45">E57*F57</f>
        <v>160680.95999999999</v>
      </c>
      <c r="H57" s="479" t="s">
        <v>5</v>
      </c>
      <c r="I57" s="465">
        <v>14</v>
      </c>
      <c r="J57" s="30">
        <v>2400</v>
      </c>
      <c r="K57" s="13">
        <f t="shared" si="1"/>
        <v>171.42857142857142</v>
      </c>
      <c r="L57" s="465">
        <v>14</v>
      </c>
      <c r="M57" s="14">
        <f t="shared" ref="M57:M63" si="46">F57/V57*60</f>
        <v>2293.5746606334842</v>
      </c>
      <c r="N57" s="13">
        <f t="shared" si="3"/>
        <v>163.82676147382031</v>
      </c>
      <c r="O57" s="15">
        <f t="shared" si="4"/>
        <v>0</v>
      </c>
      <c r="P57" s="16">
        <f t="shared" si="5"/>
        <v>-7.6018099547511042</v>
      </c>
      <c r="Q57" s="466">
        <f t="shared" si="6"/>
        <v>0.95565610859728523</v>
      </c>
      <c r="R57" s="619">
        <f>Q64</f>
        <v>0.96250887566565113</v>
      </c>
      <c r="S57" s="31">
        <v>8.3333333333333329E-2</v>
      </c>
      <c r="T57" s="31">
        <v>0.23680555555555555</v>
      </c>
      <c r="U57" s="22"/>
      <c r="V57" s="468">
        <f t="shared" ref="V57:V63" si="47">(T57-S57)*24*60</f>
        <v>221</v>
      </c>
      <c r="W57" s="17">
        <f>T57</f>
        <v>0.23680555555555555</v>
      </c>
      <c r="X57" s="17">
        <f>S58</f>
        <v>0.25624999999999998</v>
      </c>
      <c r="Y57" s="17"/>
      <c r="Z57" s="17"/>
      <c r="AA57" s="610"/>
      <c r="AB57" s="610"/>
      <c r="AC57" s="155">
        <v>7</v>
      </c>
      <c r="AD57" s="19"/>
      <c r="AE57" s="15">
        <f t="shared" si="43"/>
        <v>-106.4253393665158</v>
      </c>
      <c r="AF57" s="466">
        <f t="shared" si="9"/>
        <v>0.95565610859728511</v>
      </c>
      <c r="AG57" s="619">
        <f>AF64</f>
        <v>0.96250887566565113</v>
      </c>
    </row>
    <row r="58" spans="1:33" ht="15.75" customHeight="1">
      <c r="A58" s="617" t="s">
        <v>2319</v>
      </c>
      <c r="B58" s="472" t="s">
        <v>27</v>
      </c>
      <c r="C58" s="611" t="s">
        <v>51</v>
      </c>
      <c r="D58" s="611"/>
      <c r="E58" s="33">
        <v>20.36</v>
      </c>
      <c r="F58" s="472">
        <v>2888</v>
      </c>
      <c r="G58" s="467">
        <f t="shared" si="45"/>
        <v>58799.68</v>
      </c>
      <c r="H58" s="479" t="s">
        <v>5</v>
      </c>
      <c r="I58" s="465">
        <v>17</v>
      </c>
      <c r="J58" s="30">
        <v>2400</v>
      </c>
      <c r="K58" s="13">
        <f t="shared" si="1"/>
        <v>141.1764705882353</v>
      </c>
      <c r="L58" s="465">
        <v>17</v>
      </c>
      <c r="M58" s="14">
        <f t="shared" si="46"/>
        <v>2310.400000000001</v>
      </c>
      <c r="N58" s="13">
        <f t="shared" si="3"/>
        <v>135.90588235294123</v>
      </c>
      <c r="O58" s="15">
        <f t="shared" si="4"/>
        <v>0</v>
      </c>
      <c r="P58" s="16">
        <f t="shared" si="5"/>
        <v>-5.2705882352940705</v>
      </c>
      <c r="Q58" s="466">
        <f t="shared" si="6"/>
        <v>0.962666666666667</v>
      </c>
      <c r="R58" s="619"/>
      <c r="S58" s="31">
        <v>0.25624999999999998</v>
      </c>
      <c r="T58" s="31">
        <v>0.30833333333333329</v>
      </c>
      <c r="U58" s="467">
        <f t="shared" ref="U58:U63" si="48">(S58-T57)*24*60</f>
        <v>27.999999999999979</v>
      </c>
      <c r="V58" s="468">
        <f t="shared" si="47"/>
        <v>74.999999999999972</v>
      </c>
      <c r="W58" s="17"/>
      <c r="X58" s="17"/>
      <c r="Y58" s="17"/>
      <c r="Z58" s="17"/>
      <c r="AA58" s="610"/>
      <c r="AB58" s="610"/>
      <c r="AC58" s="155"/>
      <c r="AD58" s="19"/>
      <c r="AE58" s="15">
        <f t="shared" si="43"/>
        <v>-89.599999999999</v>
      </c>
      <c r="AF58" s="466">
        <f t="shared" si="9"/>
        <v>0.96266666666666711</v>
      </c>
      <c r="AG58" s="619"/>
    </row>
    <row r="59" spans="1:33" ht="15.75" customHeight="1">
      <c r="A59" s="617" t="s">
        <v>2319</v>
      </c>
      <c r="B59" s="472" t="s">
        <v>27</v>
      </c>
      <c r="C59" s="611" t="s">
        <v>876</v>
      </c>
      <c r="D59" s="611"/>
      <c r="E59" s="33">
        <v>23.8</v>
      </c>
      <c r="F59" s="472">
        <v>2061</v>
      </c>
      <c r="G59" s="467">
        <f t="shared" si="45"/>
        <v>49051.8</v>
      </c>
      <c r="H59" s="479" t="s">
        <v>5</v>
      </c>
      <c r="I59" s="465">
        <v>16</v>
      </c>
      <c r="J59" s="30">
        <v>2400</v>
      </c>
      <c r="K59" s="13">
        <f t="shared" si="1"/>
        <v>150</v>
      </c>
      <c r="L59" s="465">
        <v>16</v>
      </c>
      <c r="M59" s="14">
        <f t="shared" si="46"/>
        <v>2290.0000000000009</v>
      </c>
      <c r="N59" s="13">
        <f t="shared" si="3"/>
        <v>143.12500000000006</v>
      </c>
      <c r="O59" s="15">
        <f t="shared" si="4"/>
        <v>0</v>
      </c>
      <c r="P59" s="16">
        <f t="shared" si="5"/>
        <v>-6.8749999999999432</v>
      </c>
      <c r="Q59" s="466">
        <f t="shared" si="6"/>
        <v>0.95416666666666705</v>
      </c>
      <c r="R59" s="619"/>
      <c r="S59" s="31">
        <v>0.3118055555555555</v>
      </c>
      <c r="T59" s="31">
        <v>0.34930555555555548</v>
      </c>
      <c r="U59" s="467">
        <f t="shared" si="48"/>
        <v>4.9999999999999822</v>
      </c>
      <c r="V59" s="468">
        <f t="shared" si="47"/>
        <v>53.999999999999972</v>
      </c>
      <c r="W59" s="17"/>
      <c r="X59" s="17"/>
      <c r="Y59" s="17"/>
      <c r="Z59" s="17"/>
      <c r="AA59" s="610"/>
      <c r="AB59" s="610"/>
      <c r="AC59" s="155"/>
      <c r="AD59" s="19"/>
      <c r="AE59" s="15">
        <f t="shared" si="43"/>
        <v>-109.99999999999909</v>
      </c>
      <c r="AF59" s="466">
        <f t="shared" si="9"/>
        <v>0.95416666666666705</v>
      </c>
      <c r="AG59" s="619"/>
    </row>
    <row r="60" spans="1:33" ht="15.75" customHeight="1">
      <c r="A60" s="617" t="s">
        <v>2320</v>
      </c>
      <c r="B60" s="472" t="s">
        <v>27</v>
      </c>
      <c r="C60" s="611" t="s">
        <v>31</v>
      </c>
      <c r="D60" s="611"/>
      <c r="E60" s="33">
        <v>25.99</v>
      </c>
      <c r="F60" s="472">
        <v>817</v>
      </c>
      <c r="G60" s="467">
        <f t="shared" si="45"/>
        <v>21233.829999999998</v>
      </c>
      <c r="H60" s="479" t="s">
        <v>5</v>
      </c>
      <c r="I60" s="465">
        <v>18</v>
      </c>
      <c r="J60" s="30">
        <v>2400</v>
      </c>
      <c r="K60" s="13">
        <f t="shared" si="1"/>
        <v>133.33333333333334</v>
      </c>
      <c r="L60" s="465">
        <v>18</v>
      </c>
      <c r="M60" s="14">
        <f t="shared" si="46"/>
        <v>2334.2857142857133</v>
      </c>
      <c r="N60" s="13">
        <f t="shared" si="3"/>
        <v>129.68253968253964</v>
      </c>
      <c r="O60" s="15">
        <f t="shared" si="4"/>
        <v>0</v>
      </c>
      <c r="P60" s="16">
        <f t="shared" si="5"/>
        <v>-3.6507936507937018</v>
      </c>
      <c r="Q60" s="466">
        <f t="shared" si="6"/>
        <v>0.97261904761904727</v>
      </c>
      <c r="R60" s="619"/>
      <c r="S60" s="31">
        <v>0.35486111111111102</v>
      </c>
      <c r="T60" s="31">
        <v>0.36944444444444435</v>
      </c>
      <c r="U60" s="467">
        <f t="shared" si="48"/>
        <v>7.9999999999999716</v>
      </c>
      <c r="V60" s="468">
        <f t="shared" si="47"/>
        <v>21.000000000000007</v>
      </c>
      <c r="W60" s="17"/>
      <c r="X60" s="17"/>
      <c r="Y60" s="17"/>
      <c r="Z60" s="17"/>
      <c r="AA60" s="610"/>
      <c r="AB60" s="610"/>
      <c r="AC60" s="155"/>
      <c r="AD60" s="19"/>
      <c r="AE60" s="15">
        <f t="shared" si="43"/>
        <v>-65.714285714286689</v>
      </c>
      <c r="AF60" s="466">
        <f t="shared" si="9"/>
        <v>0.97261904761904716</v>
      </c>
      <c r="AG60" s="619"/>
    </row>
    <row r="61" spans="1:33" ht="15.75" customHeight="1">
      <c r="A61" s="617" t="s">
        <v>200</v>
      </c>
      <c r="B61" s="472" t="s">
        <v>27</v>
      </c>
      <c r="C61" s="611" t="s">
        <v>53</v>
      </c>
      <c r="D61" s="611"/>
      <c r="E61" s="33">
        <v>28.29</v>
      </c>
      <c r="F61" s="472">
        <v>2000</v>
      </c>
      <c r="G61" s="467">
        <f t="shared" si="45"/>
        <v>56580</v>
      </c>
      <c r="H61" s="479" t="s">
        <v>5</v>
      </c>
      <c r="I61" s="465">
        <v>19</v>
      </c>
      <c r="J61" s="30">
        <v>2400</v>
      </c>
      <c r="K61" s="13">
        <f t="shared" si="1"/>
        <v>126.31578947368421</v>
      </c>
      <c r="L61" s="465">
        <v>19</v>
      </c>
      <c r="M61" s="14">
        <f t="shared" si="46"/>
        <v>2307.692307692309</v>
      </c>
      <c r="N61" s="13">
        <f t="shared" si="3"/>
        <v>121.45748987854257</v>
      </c>
      <c r="O61" s="15">
        <f t="shared" si="4"/>
        <v>0</v>
      </c>
      <c r="P61" s="16">
        <f t="shared" si="5"/>
        <v>-4.8582995951416308</v>
      </c>
      <c r="Q61" s="466">
        <f t="shared" si="6"/>
        <v>0.96153846153846212</v>
      </c>
      <c r="R61" s="619"/>
      <c r="S61" s="31">
        <v>0.37361111111111101</v>
      </c>
      <c r="T61" s="31">
        <v>0.4097222222222221</v>
      </c>
      <c r="U61" s="467">
        <f t="shared" si="48"/>
        <v>5.9999999999999787</v>
      </c>
      <c r="V61" s="468">
        <f t="shared" si="47"/>
        <v>51.999999999999972</v>
      </c>
      <c r="W61" s="17"/>
      <c r="X61" s="17"/>
      <c r="Y61" s="17"/>
      <c r="Z61" s="17"/>
      <c r="AA61" s="610"/>
      <c r="AB61" s="610"/>
      <c r="AC61" s="155"/>
      <c r="AD61" s="19"/>
      <c r="AE61" s="15">
        <f t="shared" si="43"/>
        <v>-92.307692307691013</v>
      </c>
      <c r="AF61" s="466">
        <f t="shared" si="9"/>
        <v>0.96153846153846212</v>
      </c>
      <c r="AG61" s="619"/>
    </row>
    <row r="62" spans="1:33" ht="15.75" customHeight="1">
      <c r="A62" s="617" t="s">
        <v>2320</v>
      </c>
      <c r="B62" s="472" t="s">
        <v>27</v>
      </c>
      <c r="C62" s="611" t="s">
        <v>52</v>
      </c>
      <c r="D62" s="611"/>
      <c r="E62" s="33">
        <v>25.98</v>
      </c>
      <c r="F62" s="472">
        <v>1251</v>
      </c>
      <c r="G62" s="467">
        <f t="shared" si="45"/>
        <v>32500.98</v>
      </c>
      <c r="H62" s="479" t="s">
        <v>5</v>
      </c>
      <c r="I62" s="465">
        <v>17</v>
      </c>
      <c r="J62" s="30">
        <v>2400</v>
      </c>
      <c r="K62" s="13">
        <f t="shared" si="1"/>
        <v>141.1764705882353</v>
      </c>
      <c r="L62" s="465">
        <v>17</v>
      </c>
      <c r="M62" s="14">
        <f t="shared" si="46"/>
        <v>2345.6250000000027</v>
      </c>
      <c r="N62" s="13">
        <f t="shared" si="3"/>
        <v>137.97794117647075</v>
      </c>
      <c r="O62" s="15">
        <f t="shared" si="4"/>
        <v>0</v>
      </c>
      <c r="P62" s="16">
        <f t="shared" si="5"/>
        <v>-3.1985294117645537</v>
      </c>
      <c r="Q62" s="466">
        <f t="shared" si="6"/>
        <v>0.97734375000000107</v>
      </c>
      <c r="R62" s="619"/>
      <c r="S62" s="31">
        <v>0.41388888888888875</v>
      </c>
      <c r="T62" s="31">
        <v>0.43611111111111095</v>
      </c>
      <c r="U62" s="467">
        <f t="shared" si="48"/>
        <v>5.9999999999999787</v>
      </c>
      <c r="V62" s="468">
        <f t="shared" si="47"/>
        <v>31.999999999999964</v>
      </c>
      <c r="W62" s="17"/>
      <c r="X62" s="17"/>
      <c r="Y62" s="17"/>
      <c r="Z62" s="17"/>
      <c r="AA62" s="610"/>
      <c r="AB62" s="610"/>
      <c r="AC62" s="155"/>
      <c r="AD62" s="19"/>
      <c r="AE62" s="15">
        <f t="shared" si="43"/>
        <v>-54.374999999997272</v>
      </c>
      <c r="AF62" s="466">
        <f t="shared" si="9"/>
        <v>0.97734375000000118</v>
      </c>
      <c r="AG62" s="619"/>
    </row>
    <row r="63" spans="1:33" ht="15.75" customHeight="1">
      <c r="A63" s="617" t="s">
        <v>2319</v>
      </c>
      <c r="B63" s="472" t="s">
        <v>27</v>
      </c>
      <c r="C63" s="612" t="s">
        <v>197</v>
      </c>
      <c r="D63" s="613"/>
      <c r="E63" s="33">
        <v>23.89</v>
      </c>
      <c r="F63" s="472">
        <v>2136</v>
      </c>
      <c r="G63" s="467">
        <f t="shared" si="45"/>
        <v>51029.04</v>
      </c>
      <c r="H63" s="479" t="s">
        <v>5</v>
      </c>
      <c r="I63" s="465">
        <v>17</v>
      </c>
      <c r="J63" s="30">
        <v>2400</v>
      </c>
      <c r="K63" s="13">
        <f t="shared" si="1"/>
        <v>141.1764705882353</v>
      </c>
      <c r="L63" s="465">
        <v>17</v>
      </c>
      <c r="M63" s="14">
        <f t="shared" si="46"/>
        <v>2288.5714285714266</v>
      </c>
      <c r="N63" s="13">
        <f t="shared" si="3"/>
        <v>134.62184873949568</v>
      </c>
      <c r="O63" s="15">
        <f t="shared" si="4"/>
        <v>0</v>
      </c>
      <c r="P63" s="16">
        <f t="shared" si="5"/>
        <v>-6.5546218487396288</v>
      </c>
      <c r="Q63" s="466">
        <f t="shared" si="6"/>
        <v>0.95357142857142763</v>
      </c>
      <c r="R63" s="619"/>
      <c r="S63" s="31">
        <v>0.44166666666666649</v>
      </c>
      <c r="T63" s="31">
        <v>0.4805555555555554</v>
      </c>
      <c r="U63" s="467">
        <f t="shared" si="48"/>
        <v>7.9999999999999716</v>
      </c>
      <c r="V63" s="468">
        <f t="shared" si="47"/>
        <v>56.000000000000043</v>
      </c>
      <c r="W63" s="17"/>
      <c r="X63" s="17"/>
      <c r="Y63" s="20"/>
      <c r="Z63" s="20"/>
      <c r="AA63" s="614"/>
      <c r="AB63" s="615"/>
      <c r="AC63" s="155"/>
      <c r="AD63" s="19"/>
      <c r="AE63" s="15">
        <f t="shared" si="43"/>
        <v>-111.42857142857338</v>
      </c>
      <c r="AF63" s="466">
        <f t="shared" si="9"/>
        <v>0.95357142857142774</v>
      </c>
      <c r="AG63" s="619"/>
    </row>
    <row r="64" spans="1:33" ht="16.5" customHeight="1">
      <c r="A64" s="618" t="s">
        <v>2319</v>
      </c>
      <c r="B64" s="33" t="s">
        <v>80</v>
      </c>
      <c r="C64" s="607"/>
      <c r="D64" s="608"/>
      <c r="E64" s="473"/>
      <c r="F64" s="34"/>
      <c r="G64" s="13"/>
      <c r="H64" s="472"/>
      <c r="I64" s="23">
        <v>16.857142857142858</v>
      </c>
      <c r="J64" s="30">
        <v>2400</v>
      </c>
      <c r="K64" s="13">
        <f t="shared" si="1"/>
        <v>142.37288135593221</v>
      </c>
      <c r="L64" s="23">
        <v>16.857142857142858</v>
      </c>
      <c r="M64" s="14">
        <f>AVERAGE(M57:M63)</f>
        <v>2310.0213015975628</v>
      </c>
      <c r="N64" s="13">
        <f t="shared" si="3"/>
        <v>137.03516195917746</v>
      </c>
      <c r="O64" s="15">
        <f t="shared" si="4"/>
        <v>0</v>
      </c>
      <c r="P64" s="16">
        <f t="shared" si="5"/>
        <v>-5.3377193967547498</v>
      </c>
      <c r="Q64" s="466">
        <f t="shared" si="6"/>
        <v>0.96250887566565113</v>
      </c>
      <c r="R64" s="619"/>
      <c r="S64" s="31"/>
      <c r="T64" s="31"/>
      <c r="U64" s="13"/>
      <c r="V64" s="468"/>
      <c r="W64" s="13"/>
      <c r="X64" s="13"/>
      <c r="Y64" s="24">
        <f>SUM(Y57:Y63)</f>
        <v>0</v>
      </c>
      <c r="Z64" s="24">
        <f>SUM(Z57:Z63)</f>
        <v>0</v>
      </c>
      <c r="AA64" s="609"/>
      <c r="AB64" s="609"/>
      <c r="AC64" s="24">
        <v>7</v>
      </c>
      <c r="AD64" s="24">
        <f>SUM(AD57:AD63)</f>
        <v>0</v>
      </c>
      <c r="AE64" s="15">
        <f t="shared" si="43"/>
        <v>-89.978698402437203</v>
      </c>
      <c r="AF64" s="466">
        <f t="shared" si="9"/>
        <v>0.96250887566565113</v>
      </c>
      <c r="AG64" s="619"/>
    </row>
    <row r="65" spans="4:5">
      <c r="D65" s="25"/>
      <c r="E65" s="25"/>
    </row>
  </sheetData>
  <mergeCells count="179">
    <mergeCell ref="A57:A64"/>
    <mergeCell ref="C57:D57"/>
    <mergeCell ref="R57:R64"/>
    <mergeCell ref="AA57:AB57"/>
    <mergeCell ref="AG57:AG64"/>
    <mergeCell ref="C58:D58"/>
    <mergeCell ref="AA58:AB58"/>
    <mergeCell ref="C59:D59"/>
    <mergeCell ref="AA59:AB59"/>
    <mergeCell ref="C60:D60"/>
    <mergeCell ref="C64:D64"/>
    <mergeCell ref="AA64:AB64"/>
    <mergeCell ref="AA60:AB60"/>
    <mergeCell ref="C61:D61"/>
    <mergeCell ref="AA61:AB61"/>
    <mergeCell ref="C62:D62"/>
    <mergeCell ref="AA62:AB62"/>
    <mergeCell ref="C63:D63"/>
    <mergeCell ref="AA63:AB63"/>
    <mergeCell ref="AG51:AG56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51:A56"/>
    <mergeCell ref="C51:D51"/>
    <mergeCell ref="R51:R56"/>
    <mergeCell ref="AA51:AB51"/>
    <mergeCell ref="AA56:AB56"/>
    <mergeCell ref="AA46:AB46"/>
    <mergeCell ref="C47:D47"/>
    <mergeCell ref="AA47:AB47"/>
    <mergeCell ref="C48:D48"/>
    <mergeCell ref="AA48:AB48"/>
    <mergeCell ref="C49:D49"/>
    <mergeCell ref="AA49:AB49"/>
    <mergeCell ref="A42:A50"/>
    <mergeCell ref="C42:D42"/>
    <mergeCell ref="R42:R50"/>
    <mergeCell ref="AA42:AB42"/>
    <mergeCell ref="A38:A41"/>
    <mergeCell ref="C38:D38"/>
    <mergeCell ref="R38:R41"/>
    <mergeCell ref="AA38:AB38"/>
    <mergeCell ref="A32:A37"/>
    <mergeCell ref="C32:D32"/>
    <mergeCell ref="R32:R37"/>
    <mergeCell ref="AA32:AB32"/>
    <mergeCell ref="AG42:AG50"/>
    <mergeCell ref="C43:D43"/>
    <mergeCell ref="AA43:AB43"/>
    <mergeCell ref="C44:D44"/>
    <mergeCell ref="AA44:AB44"/>
    <mergeCell ref="AA45:AB45"/>
    <mergeCell ref="AG38:AG41"/>
    <mergeCell ref="C39:D39"/>
    <mergeCell ref="AA39:AB39"/>
    <mergeCell ref="C40:D40"/>
    <mergeCell ref="AA40:AB40"/>
    <mergeCell ref="C41:D41"/>
    <mergeCell ref="AA41:AB41"/>
    <mergeCell ref="C50:D50"/>
    <mergeCell ref="AA50:AB50"/>
    <mergeCell ref="AG32:AG37"/>
    <mergeCell ref="C36:D36"/>
    <mergeCell ref="AA36:AB36"/>
    <mergeCell ref="C37:D37"/>
    <mergeCell ref="AA37:AB37"/>
    <mergeCell ref="AG26:AG31"/>
    <mergeCell ref="C27:D27"/>
    <mergeCell ref="AA27:AB27"/>
    <mergeCell ref="C28:D28"/>
    <mergeCell ref="AA28:AB28"/>
    <mergeCell ref="C33:D33"/>
    <mergeCell ref="AA33:AB33"/>
    <mergeCell ref="C34:D34"/>
    <mergeCell ref="AA34:AB34"/>
    <mergeCell ref="C35:D35"/>
    <mergeCell ref="C29:D29"/>
    <mergeCell ref="AA29:AB29"/>
    <mergeCell ref="C30:D30"/>
    <mergeCell ref="AA30:AB30"/>
    <mergeCell ref="C31:D31"/>
    <mergeCell ref="AA31:AB31"/>
    <mergeCell ref="AA35:AB35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19:A25"/>
    <mergeCell ref="C19:D19"/>
    <mergeCell ref="R19:R25"/>
    <mergeCell ref="AA19:AB19"/>
    <mergeCell ref="AA24:AB24"/>
    <mergeCell ref="C25:D25"/>
    <mergeCell ref="A12:A18"/>
    <mergeCell ref="AA25:AB25"/>
    <mergeCell ref="A26:A31"/>
    <mergeCell ref="C26:D26"/>
    <mergeCell ref="R26:R31"/>
    <mergeCell ref="AA26:AB26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4:O62 O50:O51 O64 O5:O9 O11:O13 O18:O47">
    <cfRule type="cellIs" dxfId="1942" priority="51" operator="greaterThan">
      <formula>0</formula>
    </cfRule>
  </conditionalFormatting>
  <conditionalFormatting sqref="P5:P7 P54:P55 AE54:AE55 P57:P62 P26:P30 P51 P9 P11:P13 P19:P24 P42:P47 P32:P40 AE5:AE51 AE57:AE64">
    <cfRule type="cellIs" dxfId="1941" priority="55" operator="lessThan">
      <formula>0</formula>
    </cfRule>
  </conditionalFormatting>
  <conditionalFormatting sqref="AF54:AF55 Q54:Q62 Q50:Q51 Q64 Q5:Q9 Q11:Q13 Q18:Q47 AF5:AF51 AF57:AF64">
    <cfRule type="cellIs" dxfId="1940" priority="52" operator="greaterThan">
      <formula>1</formula>
    </cfRule>
    <cfRule type="cellIs" dxfId="1939" priority="53" operator="lessThan">
      <formula>0.8</formula>
    </cfRule>
  </conditionalFormatting>
  <conditionalFormatting sqref="AG12:AG13 R12:R13 AG54 R54:R62 AG50:AG51 R50:R51 R64 AG5:AG9 R5:R9 AG18:AG47 R18:R47">
    <cfRule type="cellIs" dxfId="1938" priority="57" operator="lessThan">
      <formula>0.8</formula>
    </cfRule>
  </conditionalFormatting>
  <conditionalFormatting sqref="AG38">
    <cfRule type="cellIs" dxfId="1937" priority="59" operator="lessThan">
      <formula>0.8</formula>
    </cfRule>
  </conditionalFormatting>
  <conditionalFormatting sqref="AG19:AG24">
    <cfRule type="cellIs" dxfId="1936" priority="56" operator="lessThan">
      <formula>0.8</formula>
    </cfRule>
  </conditionalFormatting>
  <conditionalFormatting sqref="AG26">
    <cfRule type="cellIs" dxfId="1935" priority="58" operator="lessThan">
      <formula>0.8</formula>
    </cfRule>
  </conditionalFormatting>
  <conditionalFormatting sqref="AG32:AG36">
    <cfRule type="cellIs" dxfId="1934" priority="54" operator="lessThan">
      <formula>0.8</formula>
    </cfRule>
  </conditionalFormatting>
  <conditionalFormatting sqref="AE56">
    <cfRule type="cellIs" dxfId="1933" priority="50" operator="lessThan">
      <formula>0</formula>
    </cfRule>
  </conditionalFormatting>
  <conditionalFormatting sqref="AF56">
    <cfRule type="cellIs" dxfId="1932" priority="48" operator="greaterThan">
      <formula>1</formula>
    </cfRule>
    <cfRule type="cellIs" dxfId="1931" priority="49" operator="lessThan">
      <formula>0.8</formula>
    </cfRule>
  </conditionalFormatting>
  <conditionalFormatting sqref="O14:O15">
    <cfRule type="cellIs" dxfId="1930" priority="43" operator="greaterThan">
      <formula>0</formula>
    </cfRule>
  </conditionalFormatting>
  <conditionalFormatting sqref="P14:P15">
    <cfRule type="cellIs" dxfId="1929" priority="46" operator="lessThan">
      <formula>0</formula>
    </cfRule>
  </conditionalFormatting>
  <conditionalFormatting sqref="Q14:Q15">
    <cfRule type="cellIs" dxfId="1928" priority="44" operator="greaterThan">
      <formula>1</formula>
    </cfRule>
    <cfRule type="cellIs" dxfId="1927" priority="45" operator="lessThan">
      <formula>0.8</formula>
    </cfRule>
  </conditionalFormatting>
  <conditionalFormatting sqref="R14:R15 AG14:AG15">
    <cfRule type="cellIs" dxfId="1926" priority="47" operator="lessThan">
      <formula>0.8</formula>
    </cfRule>
  </conditionalFormatting>
  <conditionalFormatting sqref="O10">
    <cfRule type="cellIs" dxfId="1925" priority="39" operator="greaterThan">
      <formula>0</formula>
    </cfRule>
  </conditionalFormatting>
  <conditionalFormatting sqref="P10">
    <cfRule type="cellIs" dxfId="1924" priority="42" operator="lessThan">
      <formula>0</formula>
    </cfRule>
  </conditionalFormatting>
  <conditionalFormatting sqref="Q10">
    <cfRule type="cellIs" dxfId="1923" priority="40" operator="greaterThan">
      <formula>1</formula>
    </cfRule>
    <cfRule type="cellIs" dxfId="1922" priority="41" operator="lessThan">
      <formula>0.8</formula>
    </cfRule>
  </conditionalFormatting>
  <conditionalFormatting sqref="O48">
    <cfRule type="cellIs" dxfId="1921" priority="34" operator="greaterThan">
      <formula>0</formula>
    </cfRule>
  </conditionalFormatting>
  <conditionalFormatting sqref="P48">
    <cfRule type="cellIs" dxfId="1920" priority="37" operator="lessThan">
      <formula>0</formula>
    </cfRule>
  </conditionalFormatting>
  <conditionalFormatting sqref="Q48">
    <cfRule type="cellIs" dxfId="1919" priority="35" operator="greaterThan">
      <formula>1</formula>
    </cfRule>
    <cfRule type="cellIs" dxfId="1918" priority="36" operator="lessThan">
      <formula>0.8</formula>
    </cfRule>
  </conditionalFormatting>
  <conditionalFormatting sqref="R48 AG48">
    <cfRule type="cellIs" dxfId="1917" priority="38" operator="lessThan">
      <formula>0.8</formula>
    </cfRule>
  </conditionalFormatting>
  <conditionalFormatting sqref="O53">
    <cfRule type="cellIs" dxfId="1916" priority="29" operator="greaterThan">
      <formula>0</formula>
    </cfRule>
  </conditionalFormatting>
  <conditionalFormatting sqref="P53 AE53">
    <cfRule type="cellIs" dxfId="1915" priority="32" operator="lessThan">
      <formula>0</formula>
    </cfRule>
  </conditionalFormatting>
  <conditionalFormatting sqref="Q53 AF53">
    <cfRule type="cellIs" dxfId="1914" priority="30" operator="greaterThan">
      <formula>1</formula>
    </cfRule>
    <cfRule type="cellIs" dxfId="1913" priority="31" operator="lessThan">
      <formula>0.8</formula>
    </cfRule>
  </conditionalFormatting>
  <conditionalFormatting sqref="R53 AG53">
    <cfRule type="cellIs" dxfId="1912" priority="33" operator="lessThan">
      <formula>0.8</formula>
    </cfRule>
  </conditionalFormatting>
  <conditionalFormatting sqref="O63">
    <cfRule type="cellIs" dxfId="1911" priority="24" operator="greaterThan">
      <formula>0</formula>
    </cfRule>
  </conditionalFormatting>
  <conditionalFormatting sqref="P63">
    <cfRule type="cellIs" dxfId="1910" priority="27" operator="lessThan">
      <formula>0</formula>
    </cfRule>
  </conditionalFormatting>
  <conditionalFormatting sqref="Q63">
    <cfRule type="cellIs" dxfId="1909" priority="25" operator="greaterThan">
      <formula>1</formula>
    </cfRule>
    <cfRule type="cellIs" dxfId="1908" priority="26" operator="lessThan">
      <formula>0.8</formula>
    </cfRule>
  </conditionalFormatting>
  <conditionalFormatting sqref="R63">
    <cfRule type="cellIs" dxfId="1907" priority="28" operator="lessThan">
      <formula>0.8</formula>
    </cfRule>
  </conditionalFormatting>
  <conditionalFormatting sqref="O16:O17">
    <cfRule type="cellIs" dxfId="1906" priority="19" operator="greaterThan">
      <formula>0</formula>
    </cfRule>
  </conditionalFormatting>
  <conditionalFormatting sqref="P16:P17">
    <cfRule type="cellIs" dxfId="1905" priority="22" operator="lessThan">
      <formula>0</formula>
    </cfRule>
  </conditionalFormatting>
  <conditionalFormatting sqref="Q16:Q17">
    <cfRule type="cellIs" dxfId="1904" priority="20" operator="greaterThan">
      <formula>1</formula>
    </cfRule>
    <cfRule type="cellIs" dxfId="1903" priority="21" operator="lessThan">
      <formula>0.8</formula>
    </cfRule>
  </conditionalFormatting>
  <conditionalFormatting sqref="R16:R17 AG16:AG17">
    <cfRule type="cellIs" dxfId="1902" priority="23" operator="lessThan">
      <formula>0.8</formula>
    </cfRule>
  </conditionalFormatting>
  <conditionalFormatting sqref="O49">
    <cfRule type="cellIs" dxfId="1901" priority="14" operator="greaterThan">
      <formula>0</formula>
    </cfRule>
  </conditionalFormatting>
  <conditionalFormatting sqref="P49">
    <cfRule type="cellIs" dxfId="1900" priority="17" operator="lessThan">
      <formula>0</formula>
    </cfRule>
  </conditionalFormatting>
  <conditionalFormatting sqref="Q49">
    <cfRule type="cellIs" dxfId="1899" priority="15" operator="greaterThan">
      <formula>1</formula>
    </cfRule>
    <cfRule type="cellIs" dxfId="1898" priority="16" operator="lessThan">
      <formula>0.8</formula>
    </cfRule>
  </conditionalFormatting>
  <conditionalFormatting sqref="AG49 R49">
    <cfRule type="cellIs" dxfId="1897" priority="18" operator="lessThan">
      <formula>0.8</formula>
    </cfRule>
  </conditionalFormatting>
  <conditionalFormatting sqref="O52">
    <cfRule type="cellIs" dxfId="1896" priority="9" operator="greaterThan">
      <formula>0</formula>
    </cfRule>
  </conditionalFormatting>
  <conditionalFormatting sqref="P52 AE52">
    <cfRule type="cellIs" dxfId="1895" priority="12" operator="lessThan">
      <formula>0</formula>
    </cfRule>
  </conditionalFormatting>
  <conditionalFormatting sqref="Q52 AF52">
    <cfRule type="cellIs" dxfId="1894" priority="10" operator="greaterThan">
      <formula>1</formula>
    </cfRule>
    <cfRule type="cellIs" dxfId="1893" priority="11" operator="lessThan">
      <formula>0.8</formula>
    </cfRule>
  </conditionalFormatting>
  <conditionalFormatting sqref="R52 AG52">
    <cfRule type="cellIs" dxfId="1892" priority="13" operator="lessThan">
      <formula>0.8</formula>
    </cfRule>
  </conditionalFormatting>
  <conditionalFormatting sqref="P8">
    <cfRule type="cellIs" dxfId="1891" priority="8" operator="lessThan">
      <formula>0</formula>
    </cfRule>
  </conditionalFormatting>
  <conditionalFormatting sqref="P18">
    <cfRule type="cellIs" dxfId="1890" priority="7" operator="lessThan">
      <formula>0</formula>
    </cfRule>
  </conditionalFormatting>
  <conditionalFormatting sqref="P25">
    <cfRule type="cellIs" dxfId="1889" priority="6" operator="lessThan">
      <formula>0</formula>
    </cfRule>
  </conditionalFormatting>
  <conditionalFormatting sqref="P31">
    <cfRule type="cellIs" dxfId="1888" priority="5" operator="lessThan">
      <formula>0</formula>
    </cfRule>
  </conditionalFormatting>
  <conditionalFormatting sqref="P41">
    <cfRule type="cellIs" dxfId="1887" priority="4" operator="lessThan">
      <formula>0</formula>
    </cfRule>
  </conditionalFormatting>
  <conditionalFormatting sqref="P50">
    <cfRule type="cellIs" dxfId="1886" priority="3" operator="lessThan">
      <formula>0</formula>
    </cfRule>
  </conditionalFormatting>
  <conditionalFormatting sqref="P56">
    <cfRule type="cellIs" dxfId="1885" priority="2" operator="lessThan">
      <formula>0</formula>
    </cfRule>
  </conditionalFormatting>
  <conditionalFormatting sqref="P64">
    <cfRule type="cellIs" dxfId="1884" priority="1" operator="lessThan">
      <formula>0</formula>
    </cfRule>
  </conditionalFormatting>
  <dataValidations count="1">
    <dataValidation type="list" allowBlank="1" showInputMessage="1" showErrorMessage="1" sqref="AB8 AA5:AB7 AB55 AA8:AA55 AB10:AB51 AA56:AB6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U8" sqref="U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2162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2163</v>
      </c>
      <c r="C3" s="596" t="str">
        <f>TEXT('0923 4度C'!A2,"yyyy.mm.ddaaaa")</f>
        <v>2026.09.23星期三</v>
      </c>
      <c r="D3" s="597"/>
      <c r="E3" s="39" t="s">
        <v>2164</v>
      </c>
      <c r="F3" s="598">
        <f>'0923 4度C'!D1</f>
        <v>155107</v>
      </c>
      <c r="G3" s="599"/>
      <c r="H3" s="39" t="s">
        <v>2165</v>
      </c>
      <c r="I3" s="600">
        <f>'0923 4度C'!F1</f>
        <v>5202468.9300000006</v>
      </c>
      <c r="J3" s="601"/>
      <c r="K3" s="40"/>
      <c r="L3" s="41"/>
      <c r="M3" s="42"/>
      <c r="N3" s="42"/>
    </row>
    <row r="4" spans="2:17" ht="28.5" customHeight="1">
      <c r="B4" s="602" t="s">
        <v>1092</v>
      </c>
      <c r="C4" s="588" t="s">
        <v>2166</v>
      </c>
      <c r="D4" s="589"/>
      <c r="E4" s="605" t="s">
        <v>2167</v>
      </c>
      <c r="F4" s="606"/>
      <c r="G4" s="605" t="s">
        <v>2168</v>
      </c>
      <c r="H4" s="606"/>
      <c r="I4" s="605" t="s">
        <v>2169</v>
      </c>
      <c r="J4" s="606"/>
      <c r="K4" s="586" t="s">
        <v>2170</v>
      </c>
      <c r="L4" s="587"/>
      <c r="M4" s="587" t="s">
        <v>2171</v>
      </c>
      <c r="N4" s="587"/>
    </row>
    <row r="5" spans="2:17" ht="28.5" customHeight="1">
      <c r="B5" s="603"/>
      <c r="C5" s="588" t="s">
        <v>2172</v>
      </c>
      <c r="D5" s="589"/>
      <c r="E5" s="588" t="s">
        <v>2173</v>
      </c>
      <c r="F5" s="589"/>
      <c r="G5" s="590" t="s">
        <v>99</v>
      </c>
      <c r="H5" s="591"/>
      <c r="I5" s="592" t="s">
        <v>2174</v>
      </c>
      <c r="J5" s="593"/>
      <c r="K5" s="43" t="s">
        <v>2175</v>
      </c>
      <c r="L5" s="44" t="s">
        <v>2176</v>
      </c>
      <c r="M5" s="43" t="s">
        <v>2177</v>
      </c>
      <c r="N5" s="44" t="s">
        <v>2178</v>
      </c>
    </row>
    <row r="6" spans="2:17" ht="28.5" customHeight="1">
      <c r="B6" s="603"/>
      <c r="C6" s="588" t="s">
        <v>56</v>
      </c>
      <c r="D6" s="589"/>
      <c r="E6" s="580">
        <f>AVERAGE(D13:M13)</f>
        <v>150.70136406004849</v>
      </c>
      <c r="F6" s="581">
        <f>AVERAGE(D31:O31,D13:J13)</f>
        <v>155.43030141830948</v>
      </c>
      <c r="G6" s="582">
        <f>AVERAGE(D13:J13)</f>
        <v>155.43030141830948</v>
      </c>
      <c r="H6" s="583"/>
      <c r="I6" s="582">
        <f>AVERAGE(K13:M13)</f>
        <v>139.66717689077279</v>
      </c>
      <c r="J6" s="583"/>
      <c r="K6" s="584">
        <f>'0923 4度C'!Y2</f>
        <v>0</v>
      </c>
      <c r="L6" s="569">
        <f>'0923 4度C'!Z2</f>
        <v>0</v>
      </c>
      <c r="M6" s="585">
        <f>'0923 4度C'!AC2</f>
        <v>58</v>
      </c>
      <c r="N6" s="569">
        <f>'0923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144.58475368957056</v>
      </c>
      <c r="F7" s="573">
        <f>AVERAGE(D32:O32,D14:J14)</f>
        <v>149.19276348048382</v>
      </c>
      <c r="G7" s="574">
        <f>AVERAGE(D14:J14)</f>
        <v>149.19276348048382</v>
      </c>
      <c r="H7" s="575"/>
      <c r="I7" s="574">
        <f>AVERAGE(K14:M14)</f>
        <v>133.83273084410632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0.95957475555834915</v>
      </c>
      <c r="F8" s="577">
        <f>AVERAGE(D15:J15,D33:O33)</f>
        <v>0.96014441316766364</v>
      </c>
      <c r="G8" s="578">
        <f>AVERAGE(D15:J15)</f>
        <v>0.96014441316766364</v>
      </c>
      <c r="H8" s="579"/>
      <c r="I8" s="578">
        <f>AVERAGE(K15:M15)</f>
        <v>0.9582455544699483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2179</v>
      </c>
      <c r="N9" s="42"/>
      <c r="O9" s="42"/>
      <c r="P9" s="42"/>
      <c r="Q9" s="42"/>
    </row>
    <row r="10" spans="2:17" ht="30" customHeight="1">
      <c r="B10" s="552" t="s">
        <v>2180</v>
      </c>
      <c r="C10" s="553"/>
      <c r="D10" s="554" t="s">
        <v>2181</v>
      </c>
      <c r="E10" s="555"/>
      <c r="F10" s="555"/>
      <c r="G10" s="555"/>
      <c r="H10" s="555"/>
      <c r="I10" s="555"/>
      <c r="J10" s="556"/>
      <c r="K10" s="557" t="s">
        <v>2182</v>
      </c>
      <c r="L10" s="558"/>
      <c r="M10" s="559"/>
      <c r="P10" s="48"/>
      <c r="Q10" s="48"/>
    </row>
    <row r="11" spans="2:17" ht="17.25" customHeight="1">
      <c r="B11" s="560" t="s">
        <v>2183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2184</v>
      </c>
      <c r="C13" s="55" t="s">
        <v>2185</v>
      </c>
      <c r="D13" s="56">
        <f>SUMIFS('0923 4度C'!$K:$K,'0923 4度C'!$A:$A,"新豐6線",'0923 4度C'!$B:$B,"平均")</f>
        <v>130.43478260869566</v>
      </c>
      <c r="E13" s="57">
        <f>SUMIFS('0923 4度C'!$K:$K,'0923 4度C'!$A:$A,"新豐2線",'0923 4度C'!$B:$B,"平均")</f>
        <v>83.333333333333329</v>
      </c>
      <c r="F13" s="58">
        <f>SUMIFS('0923 4度C'!$K:$K,'0923 4度C'!$A:$A,"新豐5線",'0923 4度C'!$B:$B,"平均")</f>
        <v>100.84033613445378</v>
      </c>
      <c r="G13" s="58">
        <f>SUMIFS('0923 4度C'!$K:$K,'0923 4度C'!$A:$A,"新豐7線",'0923 4度C'!$B:$B,"平均")</f>
        <v>127.27272727272728</v>
      </c>
      <c r="H13" s="58">
        <f>SUMIFS('0923 4度C'!$K:$K,'0923 4度C'!$A:$A,"新豐3線",'0923 4度C'!$B:$B,"平均")</f>
        <v>242.42424242424241</v>
      </c>
      <c r="I13" s="58">
        <f>SUMIFS('0923 4度C'!$K:$K,'0923 4度C'!$A:$A,"新豐1線",'0923 4度C'!$B:$B,"平均")</f>
        <v>109.58904109589041</v>
      </c>
      <c r="J13" s="59">
        <f>SUMIFS('0923 4度C'!$K:$K,'0923 4度C'!$A:$A,"新豐10線",'0923 4度C'!$B:$B,"平均")</f>
        <v>294.11764705882354</v>
      </c>
      <c r="K13" s="60">
        <f>SUMIFS('0923 4度C'!$K:$K,'0923 4度C'!$A:$A,"新豐8線",'0923 4度C'!$B:$B,"平均")</f>
        <v>147.36842105263159</v>
      </c>
      <c r="L13" s="61">
        <f>SUMIFS('0923 4度C'!$K:$K,'0923 4度C'!$A:$A,"新豐9線",'0923 4度C'!$B:$B,"平均")</f>
        <v>126.66666666666667</v>
      </c>
      <c r="M13" s="59">
        <f>SUMIFS('0923 4度C'!$K:$K,'0923 4度C'!$A:$A,"新豐4線",'0923 4度C'!$B:$B,"平均")</f>
        <v>144.96644295302013</v>
      </c>
    </row>
    <row r="14" spans="2:17" ht="39.6" customHeight="1">
      <c r="B14" s="565"/>
      <c r="C14" s="62" t="s">
        <v>2186</v>
      </c>
      <c r="D14" s="63">
        <f>SUMIFS('0923 4度C'!$N:$N,'0923 4度C'!$A:$A,"新豐6線",'0923 4度C'!$B:$B,"平均")</f>
        <v>126.15861852862841</v>
      </c>
      <c r="E14" s="64">
        <f>SUMIFS('0923 4度C'!$N:$N,'0923 4度C'!$A:$A,"新豐2線",'0923 4度C'!$B:$B,"平均")</f>
        <v>79.530663780663801</v>
      </c>
      <c r="F14" s="64">
        <f>SUMIFS('0923 4度C'!$N:$N,'0923 4度C'!$A:$A,"新豐5線",'0923 4度C'!$B:$B,"平均")</f>
        <v>96.810281066705826</v>
      </c>
      <c r="G14" s="64">
        <f>SUMIFS('0923 4度C'!$N:$N,'0923 4度C'!$A:$A,"新豐7線",'0923 4度C'!$B:$B,"平均")</f>
        <v>122.52562739979793</v>
      </c>
      <c r="H14" s="64">
        <f>SUMIFS('0923 4度C'!$N:$N,'0923 4度C'!$A:$A,"新豐3線",'0923 4度C'!$B:$B,"平均")</f>
        <v>231.85611963793784</v>
      </c>
      <c r="I14" s="64">
        <f>SUMIFS('0923 4度C'!$N:$N,'0923 4度C'!$A:$A,"新豐1線",'0923 4度C'!$B:$B,"平均")</f>
        <v>105.30871565032527</v>
      </c>
      <c r="J14" s="65">
        <f>SUMIFS('0923 4度C'!$N:$N,'0923 4度C'!$A:$A,"新豐10線",'0923 4度C'!$B:$B,"平均")</f>
        <v>282.15931829932771</v>
      </c>
      <c r="K14" s="66">
        <f>SUMIFS('0923 4度C'!$N:$N,'0923 4度C'!$A:$A,"新豐8線",'0923 4度C'!$B:$B,"平均")</f>
        <v>141.18688212541633</v>
      </c>
      <c r="L14" s="67">
        <f>SUMIFS('0923 4度C'!$N:$N,'0923 4度C'!$A:$A,"新豐9線",'0923 4度C'!$B:$B,"平均")</f>
        <v>121.43107515101224</v>
      </c>
      <c r="M14" s="65">
        <f>SUMIFS('0923 4度C'!$N:$N,'0923 4度C'!$A:$A,"新豐4線",'0923 4度C'!$B:$B,"平均")</f>
        <v>138.88023525589037</v>
      </c>
    </row>
    <row r="15" spans="2:17" ht="40.15" customHeight="1">
      <c r="B15" s="566"/>
      <c r="C15" s="68" t="s">
        <v>2187</v>
      </c>
      <c r="D15" s="69">
        <f t="shared" ref="D15:M15" si="0">D14/D13</f>
        <v>0.96721607538615106</v>
      </c>
      <c r="E15" s="70">
        <f t="shared" si="0"/>
        <v>0.95436796536796564</v>
      </c>
      <c r="F15" s="70">
        <f t="shared" si="0"/>
        <v>0.96003528724483278</v>
      </c>
      <c r="G15" s="70">
        <f t="shared" si="0"/>
        <v>0.96270135814126934</v>
      </c>
      <c r="H15" s="70">
        <f t="shared" si="0"/>
        <v>0.95640649350649365</v>
      </c>
      <c r="I15" s="70">
        <f t="shared" si="0"/>
        <v>0.9609420303092181</v>
      </c>
      <c r="J15" s="71">
        <f t="shared" si="0"/>
        <v>0.95934168221771421</v>
      </c>
      <c r="K15" s="69">
        <f t="shared" si="0"/>
        <v>0.95805384299389651</v>
      </c>
      <c r="L15" s="70">
        <f t="shared" si="0"/>
        <v>0.95866638277114924</v>
      </c>
      <c r="M15" s="71">
        <f t="shared" si="0"/>
        <v>0.95801643764479927</v>
      </c>
    </row>
    <row r="16" spans="2:17" ht="17.25" customHeight="1">
      <c r="B16" s="567" t="s">
        <v>2188</v>
      </c>
      <c r="C16" s="72" t="s">
        <v>2189</v>
      </c>
      <c r="D16" s="73">
        <f>VLOOKUP("新豐6線",'0923 4度C'!$A:$T,19,0)</f>
        <v>0.70833333333333337</v>
      </c>
      <c r="E16" s="74">
        <f>VLOOKUP("新豐2線",'0923 4度C'!$A:$T,19,0)</f>
        <v>8.3333333333333329E-2</v>
      </c>
      <c r="F16" s="74">
        <f>VLOOKUP("新豐5線",'0923 4度C'!$A:$T,19,0)</f>
        <v>0.20833333333333334</v>
      </c>
      <c r="G16" s="74">
        <f>VLOOKUP("新豐7線",'0923 4度C'!$A:$T,19,0)</f>
        <v>0.25</v>
      </c>
      <c r="H16" s="74">
        <f>VLOOKUP("新豐3線",'0923 4度C'!$A:$T,19,0)</f>
        <v>0.20833333333333334</v>
      </c>
      <c r="I16" s="74">
        <f>VLOOKUP("新豐1線",'0923 4度C'!$A:$T,19,0)</f>
        <v>0.20833333333333334</v>
      </c>
      <c r="J16" s="75">
        <f>VLOOKUP("新豐10線",'0923 4度C'!$A:$T,19,0)</f>
        <v>0.20833333333333334</v>
      </c>
      <c r="K16" s="76">
        <f>VLOOKUP("新豐8線",'0923 4度C'!$A:$T,19,0)</f>
        <v>8.3333333333333329E-2</v>
      </c>
      <c r="L16" s="77">
        <f>VLOOKUP("新豐9線",'0923 4度C'!$A:$T,19,0)</f>
        <v>8.3333333333333329E-2</v>
      </c>
      <c r="M16" s="78">
        <f>VLOOKUP("新豐4線",'0923 4度C'!$A:$T,19,0)</f>
        <v>8.3333333333333329E-2</v>
      </c>
    </row>
    <row r="17" spans="2:13" ht="17.25" customHeight="1">
      <c r="B17" s="568"/>
      <c r="C17" s="72" t="s">
        <v>2190</v>
      </c>
      <c r="D17" s="76">
        <f>LOOKUP(2,1/(('0923 4度C'!$A:$A="新豐6線")*('0923 4度C'!$T:$T&lt;&gt;"")),'0923 4度C'!$T:$T)</f>
        <v>0.82430555555555551</v>
      </c>
      <c r="E17" s="74">
        <f>LOOKUP(2,1/(('0923 4度C'!$A:$A="新豐2線")*('0923 4度C'!$T:$T&lt;&gt;"")),'0923 4度C'!$T:$T)</f>
        <v>0.3923611111111111</v>
      </c>
      <c r="F17" s="74">
        <f>LOOKUP(2,1/(('0923 4度C'!$A:$A="新豐5線")*('0923 4度C'!$T:$T&lt;&gt;"")),'0923 4度C'!$T:$T)</f>
        <v>0.8090277777777779</v>
      </c>
      <c r="G17" s="74">
        <f>LOOKUP(2,1/(('0923 4度C'!$A:$A="新豐7線")*('0923 4度C'!$T:$T&lt;&gt;"")),'0923 4度C'!$T:$T)</f>
        <v>0.91597222222222219</v>
      </c>
      <c r="H17" s="74">
        <f>LOOKUP(2,1/(('0923 4度C'!$A:$A="新豐3線")*('0923 4度C'!$T:$T&lt;&gt;"")),'0923 4度C'!$T:$T)</f>
        <v>0.43472222222222218</v>
      </c>
      <c r="I17" s="74">
        <f>LOOKUP(2,1/(('0923 4度C'!$A:$A="新豐1線")*('0923 4度C'!$T:$T&lt;&gt;"")),'0923 4度C'!$T:$T)</f>
        <v>0.81458333333333333</v>
      </c>
      <c r="J17" s="75">
        <f>LOOKUP(2,1/(('0923 4度C'!$A:$A="新豐10線")*('0923 4度C'!$T:$T&lt;&gt;"")),'0923 4度C'!$T:$T)</f>
        <v>0.42361111111111105</v>
      </c>
      <c r="K17" s="73">
        <f>LOOKUP(2,1/(('0923 4度C'!$A:$A="新豐8線")*('0923 4度C'!$T:$T&lt;&gt;"")),'0923 4度C'!$T:$T)</f>
        <v>0.65694444444444433</v>
      </c>
      <c r="L17" s="74">
        <f>LOOKUP(2,1/(('0923 4度C'!$A:$A="新豐9線")*('0923 4度C'!$T:$T&lt;&gt;"")),'0923 4度C'!$T:$T)</f>
        <v>0.66527777777777775</v>
      </c>
      <c r="M17" s="75">
        <f>LOOKUP(2,1/(('0923 4度C'!$A:$A="新豐4線")*('0923 4度C'!$T:$T&lt;&gt;"")),'0923 4度C'!$T:$T)</f>
        <v>0.65277777777777768</v>
      </c>
    </row>
    <row r="18" spans="2:13" ht="17.25" customHeight="1">
      <c r="B18" s="546" t="s">
        <v>1067</v>
      </c>
      <c r="C18" s="79" t="s">
        <v>2191</v>
      </c>
      <c r="D18" s="80">
        <f>SUMIFS('0923 4度C'!$Y:$Y,'0923 4度C'!$A:$A,"新豐6線",'0923 4度C'!$B:$B,"平均")</f>
        <v>0</v>
      </c>
      <c r="E18" s="81">
        <f>SUMIFS('0923 4度C'!$Y:$Y,'0923 4度C'!$A:$A,"新豐2線",'0923 4度C'!$B:$B,"平均")</f>
        <v>0</v>
      </c>
      <c r="F18" s="81">
        <f>SUMIFS('0923 4度C'!$Y:$Y,'0923 4度C'!$A:$A,"新豐5線",'0923 4度C'!$B:$B,"平均")</f>
        <v>0</v>
      </c>
      <c r="G18" s="81">
        <f>SUMIFS('0923 4度C'!$Y:$Y,'0923 4度C'!$A:$A,"新豐7線",'0923 4度C'!$B:$B,"平均")</f>
        <v>0</v>
      </c>
      <c r="H18" s="81">
        <f>SUMIFS('0923 4度C'!$Y:$Y,'0923 4度C'!$A:$A,"新豐3線",'0923 4度C'!$B:$B,"平均")</f>
        <v>0</v>
      </c>
      <c r="I18" s="81">
        <f>SUMIFS('0923 4度C'!$Y:$Y,'0923 4度C'!$A:$A,"新豐1線",'0923 4度C'!$B:$B,"平均")</f>
        <v>0</v>
      </c>
      <c r="J18" s="82">
        <f>SUMIFS('0923 4度C'!$Y:$Y,'0923 4度C'!$A:$A,"新豐10線",'0923 4度C'!$B:$B,"平均")</f>
        <v>0</v>
      </c>
      <c r="K18" s="83">
        <f>SUMIFS('0923 4度C'!$Y:$Y,'0923 4度C'!$A:$A,"新豐8線",'0923 4度C'!$B:$B,"平均")</f>
        <v>0</v>
      </c>
      <c r="L18" s="81">
        <f>SUMIFS('0923 4度C'!$Y:$Y,'0923 4度C'!$A:$A,"新豐9線",'0923 4度C'!$B:$B,"平均")</f>
        <v>0</v>
      </c>
      <c r="M18" s="82">
        <f>SUMIFS('0923 4度C'!$Y:$Y,'0923 4度C'!$A:$A,"新豐4線",'0923 4度C'!$B:$B,"平均")</f>
        <v>0</v>
      </c>
    </row>
    <row r="19" spans="2:13" ht="17.25" customHeight="1">
      <c r="B19" s="547"/>
      <c r="C19" s="79" t="s">
        <v>2192</v>
      </c>
      <c r="D19" s="80">
        <f>SUMIFS('0923 4度C'!$Z:$Z,'0923 4度C'!$A:$A,"新豐6線",'0923 4度C'!$B:$B,"平均")</f>
        <v>0</v>
      </c>
      <c r="E19" s="81">
        <f>SUMIFS('0923 4度C'!$Z:$Z,'0923 4度C'!$A:$A,"新豐2線",'0923 4度C'!$B:$B,"平均")</f>
        <v>0</v>
      </c>
      <c r="F19" s="81">
        <f>SUMIFS('0923 4度C'!$Z:$Z,'0923 4度C'!$A:$A,"新豐5線",'0923 4度C'!$B:$B,"平均")</f>
        <v>0</v>
      </c>
      <c r="G19" s="81">
        <f>SUMIFS('0923 4度C'!$Z:$Z,'0923 4度C'!$A:$A,"新豐7線",'0923 4度C'!$B:$B,"平均")</f>
        <v>0</v>
      </c>
      <c r="H19" s="81">
        <f>SUMIFS('0923 4度C'!$Z:$Z,'0923 4度C'!$A:$A,"新豐3線",'0923 4度C'!$B:$B,"平均")</f>
        <v>0</v>
      </c>
      <c r="I19" s="81">
        <f>SUMIFS('0923 4度C'!$Z:$Z,'0923 4度C'!$A:$A,"新豐1線",'0923 4度C'!$B:$B,"平均")</f>
        <v>0</v>
      </c>
      <c r="J19" s="82">
        <f>SUMIFS('0923 4度C'!$Z:$Z,'0923 4度C'!$A:$A,"新豐10線",'0923 4度C'!$B:$B,"平均")</f>
        <v>0</v>
      </c>
      <c r="K19" s="83">
        <f>SUMIFS('0923 4度C'!$Z:$Z,'0923 4度C'!$A:$A,"新豐8線",'0923 4度C'!$B:$B,"平均")</f>
        <v>0</v>
      </c>
      <c r="L19" s="81">
        <f>SUMIFS('0923 4度C'!$Z:$Z,'0923 4度C'!$A:$A,"新豐9線",'0923 4度C'!$B:$B,"平均")</f>
        <v>0</v>
      </c>
      <c r="M19" s="82">
        <f>SUMIFS('0923 4度C'!$Z:$Z,'0923 4度C'!$A:$A,"新豐4線",'0923 4度C'!$B:$B,"平均")</f>
        <v>0</v>
      </c>
    </row>
    <row r="20" spans="2:13" ht="17.25" customHeight="1">
      <c r="B20" s="546" t="s">
        <v>2193</v>
      </c>
      <c r="C20" s="79" t="s">
        <v>2191</v>
      </c>
      <c r="D20" s="80">
        <f>SUMIFS('0923 4度C'!$AC:$AC,'0923 4度C'!$A:$A,"新豐6線",'0923 4度C'!$B:$B,"平均")</f>
        <v>3</v>
      </c>
      <c r="E20" s="81">
        <f>SUMIFS('0923 4度C'!$AC:$AC,'0923 4度C'!$A:$A,"新豐2線",'0923 4度C'!$B:$B,"平均")</f>
        <v>2</v>
      </c>
      <c r="F20" s="81">
        <f>SUMIFS('0923 4度C'!$AC:$AC,'0923 4度C'!$A:$A,"新豐5線",'0923 4度C'!$B:$B,"平均")</f>
        <v>7</v>
      </c>
      <c r="G20" s="81">
        <f>SUMIFS('0923 4度C'!$AC:$AC,'0923 4度C'!$A:$A,"新豐7線",'0923 4度C'!$B:$B,"平均")</f>
        <v>7</v>
      </c>
      <c r="H20" s="81">
        <f>SUMIFS('0923 4度C'!$AC:$AC,'0923 4度C'!$A:$A,"新豐3線",'0923 4度C'!$B:$B,"平均")</f>
        <v>3</v>
      </c>
      <c r="I20" s="81">
        <f>SUMIFS('0923 4度C'!$AC:$AC,'0923 4度C'!$A:$A,"新豐1線",'0923 4度C'!$B:$B,"平均")</f>
        <v>8</v>
      </c>
      <c r="J20" s="82">
        <f>SUMIFS('0923 4度C'!$AC:$AC,'0923 4度C'!$A:$A,"新豐10線",'0923 4度C'!$B:$B,"平均")</f>
        <v>5</v>
      </c>
      <c r="K20" s="83">
        <f>SUMIFS('0923 4度C'!$AC:$AC,'0923 4度C'!$A:$A,"新豐8線",'0923 4度C'!$B:$B,"平均")</f>
        <v>7</v>
      </c>
      <c r="L20" s="81">
        <f>SUMIFS('0923 4度C'!$AC:$AC,'0923 4度C'!$A:$A,"新豐9線",'0923 4度C'!$B:$B,"平均")</f>
        <v>7</v>
      </c>
      <c r="M20" s="82">
        <f>SUMIFS('0923 4度C'!$AC:$AC,'0923 4度C'!$A:$A,"新豐4線",'0923 4度C'!$B:$B,"平均")</f>
        <v>9</v>
      </c>
    </row>
    <row r="21" spans="2:13" ht="17.25" customHeight="1">
      <c r="B21" s="547"/>
      <c r="C21" s="79" t="s">
        <v>2194</v>
      </c>
      <c r="D21" s="80">
        <f>SUMIFS('0923 4度C'!$AD:$AD,'0923 4度C'!$A:$A,"新豐6線",'0923 4度C'!$B:$B,"平均")</f>
        <v>0</v>
      </c>
      <c r="E21" s="81">
        <f>SUMIFS('0923 4度C'!$AD:$AD,'0923 4度C'!$A:$A,"新豐2線",'0923 4度C'!$B:$B,"平均")</f>
        <v>0</v>
      </c>
      <c r="F21" s="81">
        <f>SUMIFS('0923 4度C'!$AD:$AD,'0923 4度C'!$A:$A,"新豐5線",'0923 4度C'!$B:$B,"平均")</f>
        <v>0</v>
      </c>
      <c r="G21" s="81">
        <f>SUMIFS('0923 4度C'!$AD:$AD,'0923 4度C'!$A:$A,"新豐7線",'0923 4度C'!$B:$B,"平均")</f>
        <v>0</v>
      </c>
      <c r="H21" s="81">
        <f>SUMIFS('0923 4度C'!$AD:$AD,'0923 4度C'!$A:$A,"新豐3線",'0923 4度C'!$B:$B,"平均")</f>
        <v>0</v>
      </c>
      <c r="I21" s="81">
        <f>SUMIFS('0923 4度C'!$AD:$AD,'0923 4度C'!$A:$A,"新豐1線",'0923 4度C'!$B:$B,"平均")</f>
        <v>0</v>
      </c>
      <c r="J21" s="82">
        <f>SUMIFS('0923 4度C'!$AD:$AD,'0923 4度C'!$A:$A,"新豐10線",'0923 4度C'!$B:$B,"平均")</f>
        <v>0</v>
      </c>
      <c r="K21" s="83">
        <f>SUMIFS('0923 4度C'!$AD:$AD,'0923 4度C'!$A:$A,"新豐8線",'0923 4度C'!$B:$B,"平均")</f>
        <v>0</v>
      </c>
      <c r="L21" s="81">
        <f>SUMIFS('0923 4度C'!$AD:$AD,'0923 4度C'!$A:$A,"新豐9線",'0923 4度C'!$B:$B,"平均")</f>
        <v>0</v>
      </c>
      <c r="M21" s="82">
        <f>SUMIFS('0923 4度C'!$AD:$AD,'0923 4度C'!$A:$A,"新豐4線",'0923 4度C'!$B:$B,"平均")</f>
        <v>0</v>
      </c>
    </row>
    <row r="22" spans="2:13" ht="17.25" customHeight="1">
      <c r="B22" s="548" t="s">
        <v>2195</v>
      </c>
      <c r="C22" s="549"/>
      <c r="D22" s="84">
        <f>SUMIFS('0923 4度C'!$I:$I,'0923 4度C'!$A:$A,"新豐6線",'0923 4度C'!$B:$B,"平均")</f>
        <v>15.333333333333334</v>
      </c>
      <c r="E22" s="85">
        <f>SUMIFS('0923 4度C'!$I:$I,'0923 4度C'!$A:$A,"新豐2線",'0923 4度C'!$B:$B,"平均")</f>
        <v>18</v>
      </c>
      <c r="F22" s="85">
        <f>SUMIFS('0923 4度C'!$I:$I,'0923 4度C'!$A:$A,"新豐5線",'0923 4度C'!$B:$B,"平均")</f>
        <v>17</v>
      </c>
      <c r="G22" s="85">
        <f>SUMIFS('0923 4度C'!$I:$I,'0923 4度C'!$A:$A,"新豐7線",'0923 4度C'!$B:$B,"平均")</f>
        <v>15.714285714285714</v>
      </c>
      <c r="H22" s="85">
        <f>SUMIFS('0923 4度C'!$I:$I,'0923 4度C'!$A:$A,"新豐3線",'0923 4度C'!$B:$B,"平均")</f>
        <v>11</v>
      </c>
      <c r="I22" s="85">
        <f>SUMIFS('0923 4度C'!$I:$I,'0923 4度C'!$A:$A,"新豐1線",'0923 4度C'!$B:$B,"平均")</f>
        <v>18.25</v>
      </c>
      <c r="J22" s="86">
        <f>SUMIFS('0923 4度C'!$I:$I,'0923 4度C'!$A:$A,"新豐10線",'0923 4度C'!$B:$B,"平均")</f>
        <v>10.199999999999999</v>
      </c>
      <c r="K22" s="84">
        <f>SUMIFS('0923 4度C'!$I:$I,'0923 4度C'!$A:$A,"新豐8線",'0923 4度C'!$B:$B,"平均")</f>
        <v>16.285714285714285</v>
      </c>
      <c r="L22" s="85">
        <f>SUMIFS('0923 4度C'!$I:$I,'0923 4度C'!$A:$A,"新豐9線",'0923 4度C'!$B:$B,"平均")</f>
        <v>17.142857142857142</v>
      </c>
      <c r="M22" s="86">
        <f>SUMIFS('0923 4度C'!$I:$I,'0923 4度C'!$A:$A,"新豐4線",'0923 4度C'!$B:$B,"平均")</f>
        <v>16.555555555555557</v>
      </c>
    </row>
    <row r="23" spans="2:13" ht="17.25" customHeight="1">
      <c r="B23" s="548" t="s">
        <v>2196</v>
      </c>
      <c r="C23" s="549"/>
      <c r="D23" s="87" t="s">
        <v>69</v>
      </c>
      <c r="E23" s="88" t="s">
        <v>70</v>
      </c>
      <c r="F23" s="88" t="s">
        <v>2197</v>
      </c>
      <c r="G23" s="88" t="s">
        <v>2197</v>
      </c>
      <c r="H23" s="88" t="s">
        <v>71</v>
      </c>
      <c r="I23" s="88" t="s">
        <v>69</v>
      </c>
      <c r="J23" s="89" t="s">
        <v>71</v>
      </c>
      <c r="K23" s="87" t="s">
        <v>2198</v>
      </c>
      <c r="L23" s="88" t="s">
        <v>2198</v>
      </c>
      <c r="M23" s="89" t="s">
        <v>2198</v>
      </c>
    </row>
    <row r="24" spans="2:13" ht="17.25" customHeight="1">
      <c r="B24" s="548" t="s">
        <v>2199</v>
      </c>
      <c r="C24" s="549"/>
      <c r="D24" s="87"/>
      <c r="E24" s="88"/>
      <c r="F24" s="88" t="s">
        <v>2200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2201</v>
      </c>
      <c r="C25" s="551"/>
      <c r="D25" s="90"/>
      <c r="E25" s="91" t="s">
        <v>2202</v>
      </c>
      <c r="F25" s="544" t="s">
        <v>2203</v>
      </c>
      <c r="G25" s="545"/>
      <c r="H25" s="91" t="s">
        <v>2204</v>
      </c>
      <c r="I25" s="91" t="s">
        <v>2205</v>
      </c>
      <c r="J25" s="92" t="s">
        <v>2204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88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35" activePane="bottomLeft" state="frozen"/>
      <selection activeCell="U8" sqref="U8"/>
      <selection pane="bottomLeft" activeCell="U70" sqref="U70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921</v>
      </c>
      <c r="B1" s="1"/>
      <c r="C1" s="2" t="s">
        <v>922</v>
      </c>
      <c r="D1" s="3">
        <f>SUM(F5:F72)</f>
        <v>155107</v>
      </c>
      <c r="E1" s="451" t="s">
        <v>923</v>
      </c>
      <c r="F1" s="1">
        <f>SUM(G5:G72)</f>
        <v>5202468.9300000006</v>
      </c>
      <c r="G1" s="1" t="s">
        <v>924</v>
      </c>
      <c r="H1" s="4">
        <f>L8+L11+L47+L56+L19+L62+L35+L43+L27+L72</f>
        <v>155.48174603174607</v>
      </c>
      <c r="I1" s="660" t="s">
        <v>628</v>
      </c>
      <c r="J1" s="660"/>
      <c r="K1" s="660"/>
      <c r="L1" s="660" t="s">
        <v>926</v>
      </c>
      <c r="M1" s="660"/>
      <c r="N1" s="660"/>
      <c r="O1" s="660" t="s">
        <v>927</v>
      </c>
      <c r="P1" s="660"/>
      <c r="Q1" s="660"/>
      <c r="R1" s="660"/>
      <c r="S1" s="660" t="s">
        <v>928</v>
      </c>
      <c r="T1" s="660"/>
      <c r="U1" s="660"/>
      <c r="V1" s="660"/>
      <c r="W1" s="660"/>
      <c r="X1" s="660"/>
      <c r="Y1" s="5" t="s">
        <v>929</v>
      </c>
      <c r="Z1" s="6" t="s">
        <v>930</v>
      </c>
      <c r="AA1" s="661" t="s">
        <v>1215</v>
      </c>
      <c r="AB1" s="661"/>
      <c r="AC1" s="7" t="s">
        <v>929</v>
      </c>
      <c r="AD1" s="6" t="s">
        <v>932</v>
      </c>
      <c r="AE1" s="660" t="s">
        <v>933</v>
      </c>
      <c r="AF1" s="662"/>
      <c r="AG1" s="662"/>
    </row>
    <row r="2" spans="1:33" ht="26.25" customHeight="1">
      <c r="A2" s="27">
        <v>46288</v>
      </c>
      <c r="B2" s="28" t="s">
        <v>260</v>
      </c>
      <c r="C2" s="2" t="s">
        <v>110</v>
      </c>
      <c r="D2" s="9">
        <f>AVERAGE(N8,N11,N47,N56,N19,N62,N27,N35,N43,N72)</f>
        <v>144.58475368957056</v>
      </c>
      <c r="E2" s="10" t="s">
        <v>0</v>
      </c>
      <c r="F2" s="11">
        <f>F1/D1</f>
        <v>33.541161456285018</v>
      </c>
      <c r="G2" s="1" t="s">
        <v>935</v>
      </c>
      <c r="H2" s="455">
        <f>COUNT(H5:H72)</f>
        <v>7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SUM(Y8+Y11+Y19+Y27+Y35+Y43+Y47+Y56+Y62+Y72)</f>
        <v>0</v>
      </c>
      <c r="Z2" s="12">
        <f>SUM(Z8+Z11+Z19+Z27+Z35+Z43+Z47+Z56+Z62+Z72)</f>
        <v>0</v>
      </c>
      <c r="AA2" s="661"/>
      <c r="AB2" s="661"/>
      <c r="AC2" s="12">
        <v>58</v>
      </c>
      <c r="AD2" s="12">
        <f>SUM(AD8+AD11+AD19+AD27+AD35+AD43+AD47+AD56+AD62+AD72)</f>
        <v>0</v>
      </c>
      <c r="AE2" s="662"/>
      <c r="AF2" s="662"/>
      <c r="AG2" s="662"/>
    </row>
    <row r="3" spans="1:33" ht="40.5" customHeight="1">
      <c r="A3" s="610" t="s">
        <v>936</v>
      </c>
      <c r="B3" s="610" t="s">
        <v>2206</v>
      </c>
      <c r="C3" s="610" t="s">
        <v>2207</v>
      </c>
      <c r="D3" s="610"/>
      <c r="E3" s="658" t="s">
        <v>939</v>
      </c>
      <c r="F3" s="610" t="s">
        <v>2208</v>
      </c>
      <c r="G3" s="658" t="s">
        <v>2209</v>
      </c>
      <c r="H3" s="651" t="s">
        <v>942</v>
      </c>
      <c r="I3" s="649" t="s">
        <v>2210</v>
      </c>
      <c r="J3" s="646" t="s">
        <v>1937</v>
      </c>
      <c r="K3" s="656" t="s">
        <v>2211</v>
      </c>
      <c r="L3" s="649" t="s">
        <v>2210</v>
      </c>
      <c r="M3" s="646" t="s">
        <v>944</v>
      </c>
      <c r="N3" s="656" t="s">
        <v>2212</v>
      </c>
      <c r="O3" s="649" t="s">
        <v>2210</v>
      </c>
      <c r="P3" s="656" t="s">
        <v>2213</v>
      </c>
      <c r="Q3" s="647" t="s">
        <v>948</v>
      </c>
      <c r="R3" s="623" t="s">
        <v>1019</v>
      </c>
      <c r="S3" s="657" t="s">
        <v>1</v>
      </c>
      <c r="T3" s="657"/>
      <c r="U3" s="651" t="s">
        <v>2</v>
      </c>
      <c r="V3" s="651" t="s">
        <v>1026</v>
      </c>
      <c r="W3" s="610" t="s">
        <v>2214</v>
      </c>
      <c r="X3" s="610"/>
      <c r="Y3" s="652" t="s">
        <v>2215</v>
      </c>
      <c r="Z3" s="609"/>
      <c r="AA3" s="653" t="s">
        <v>953</v>
      </c>
      <c r="AB3" s="654"/>
      <c r="AC3" s="652" t="s">
        <v>1302</v>
      </c>
      <c r="AD3" s="609"/>
      <c r="AE3" s="646" t="s">
        <v>944</v>
      </c>
      <c r="AF3" s="647" t="s">
        <v>2216</v>
      </c>
      <c r="AG3" s="623" t="s">
        <v>2217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462" t="s">
        <v>3</v>
      </c>
      <c r="T4" s="462" t="s">
        <v>4</v>
      </c>
      <c r="U4" s="651"/>
      <c r="V4" s="651"/>
      <c r="W4" s="451" t="s">
        <v>957</v>
      </c>
      <c r="X4" s="451" t="s">
        <v>958</v>
      </c>
      <c r="Y4" s="448" t="s">
        <v>118</v>
      </c>
      <c r="Z4" s="448" t="s">
        <v>2218</v>
      </c>
      <c r="AA4" s="655"/>
      <c r="AB4" s="654"/>
      <c r="AC4" s="448" t="s">
        <v>2219</v>
      </c>
      <c r="AD4" s="448" t="s">
        <v>2220</v>
      </c>
      <c r="AE4" s="646"/>
      <c r="AF4" s="647"/>
      <c r="AG4" s="623"/>
    </row>
    <row r="5" spans="1:33">
      <c r="A5" s="648" t="s">
        <v>963</v>
      </c>
      <c r="B5" s="33" t="s">
        <v>6</v>
      </c>
      <c r="C5" s="650" t="s">
        <v>7</v>
      </c>
      <c r="D5" s="650"/>
      <c r="E5" s="33">
        <v>50.92</v>
      </c>
      <c r="F5" s="462">
        <v>1823</v>
      </c>
      <c r="G5" s="451">
        <f t="shared" ref="G5:G7" si="0">E5*F5</f>
        <v>92827.16</v>
      </c>
      <c r="H5" s="463" t="s">
        <v>5</v>
      </c>
      <c r="I5" s="453">
        <v>15</v>
      </c>
      <c r="J5" s="30">
        <v>2000</v>
      </c>
      <c r="K5" s="13">
        <f t="shared" ref="K5:K68" si="1">J5/I5</f>
        <v>133.33333333333334</v>
      </c>
      <c r="L5" s="453">
        <v>15</v>
      </c>
      <c r="M5" s="14">
        <f t="shared" ref="M5:M7" si="2">F5/V5*60</f>
        <v>1918.9473684210541</v>
      </c>
      <c r="N5" s="13">
        <f t="shared" ref="N5:N68" si="3">M5/L5</f>
        <v>127.92982456140361</v>
      </c>
      <c r="O5" s="15">
        <f t="shared" ref="O5:O68" si="4">L5-I5</f>
        <v>0</v>
      </c>
      <c r="P5" s="16">
        <f t="shared" ref="P5:P68" si="5">N5-K5</f>
        <v>-5.4035087719297366</v>
      </c>
      <c r="Q5" s="452">
        <f t="shared" ref="Q5:Q68" si="6">N5/K5</f>
        <v>0.95947368421052703</v>
      </c>
      <c r="R5" s="619">
        <f>Q8</f>
        <v>0.96721607538615106</v>
      </c>
      <c r="S5" s="31">
        <v>0.70833333333333337</v>
      </c>
      <c r="T5" s="31">
        <v>0.74791666666666667</v>
      </c>
      <c r="U5" s="451"/>
      <c r="V5" s="454">
        <f t="shared" ref="V5:V7" si="7">(T5-S5)*24*60</f>
        <v>56.999999999999957</v>
      </c>
      <c r="W5" s="17"/>
      <c r="X5" s="17"/>
      <c r="Y5" s="18"/>
      <c r="Z5" s="18"/>
      <c r="AA5" s="610"/>
      <c r="AB5" s="610"/>
      <c r="AC5" s="19">
        <v>3</v>
      </c>
      <c r="AD5" s="19"/>
      <c r="AE5" s="15">
        <f t="shared" ref="AE5:AE55" si="8">M5-J5</f>
        <v>-81.05263157894592</v>
      </c>
      <c r="AF5" s="452">
        <f t="shared" ref="AF5:AF68" si="9">M5/J5</f>
        <v>0.95947368421052703</v>
      </c>
      <c r="AG5" s="619">
        <f>AF8</f>
        <v>0.96721607538615118</v>
      </c>
    </row>
    <row r="6" spans="1:33">
      <c r="A6" s="649" t="s">
        <v>2221</v>
      </c>
      <c r="B6" s="33" t="s">
        <v>6</v>
      </c>
      <c r="C6" s="650" t="s">
        <v>8</v>
      </c>
      <c r="D6" s="650"/>
      <c r="E6" s="33">
        <v>50.98</v>
      </c>
      <c r="F6" s="462">
        <v>1963</v>
      </c>
      <c r="G6" s="451">
        <f t="shared" si="0"/>
        <v>100073.73999999999</v>
      </c>
      <c r="H6" s="463" t="s">
        <v>5</v>
      </c>
      <c r="I6" s="453">
        <v>16</v>
      </c>
      <c r="J6" s="30">
        <v>2000</v>
      </c>
      <c r="K6" s="13">
        <f t="shared" si="1"/>
        <v>125</v>
      </c>
      <c r="L6" s="453">
        <v>16</v>
      </c>
      <c r="M6" s="14">
        <f t="shared" si="2"/>
        <v>1930.8196721311492</v>
      </c>
      <c r="N6" s="13">
        <f t="shared" si="3"/>
        <v>120.67622950819683</v>
      </c>
      <c r="O6" s="15">
        <f t="shared" si="4"/>
        <v>0</v>
      </c>
      <c r="P6" s="16">
        <f t="shared" si="5"/>
        <v>-4.3237704918031739</v>
      </c>
      <c r="Q6" s="452">
        <f t="shared" si="6"/>
        <v>0.96540983606557462</v>
      </c>
      <c r="R6" s="619"/>
      <c r="S6" s="31">
        <v>0.75277777777777777</v>
      </c>
      <c r="T6" s="31">
        <v>0.79513888888888884</v>
      </c>
      <c r="U6" s="451">
        <f t="shared" ref="U6:U7" si="10">IF(S6=TIME(17,0,0),"",(S6-T5)*24*60)</f>
        <v>6.9999999999999751</v>
      </c>
      <c r="V6" s="454">
        <f t="shared" si="7"/>
        <v>60.999999999999943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-69.180327868850782</v>
      </c>
      <c r="AF6" s="452">
        <f t="shared" si="9"/>
        <v>0.96540983606557462</v>
      </c>
      <c r="AG6" s="619"/>
    </row>
    <row r="7" spans="1:33">
      <c r="A7" s="649" t="s">
        <v>2222</v>
      </c>
      <c r="B7" s="33" t="s">
        <v>6</v>
      </c>
      <c r="C7" s="641" t="s">
        <v>9</v>
      </c>
      <c r="D7" s="642"/>
      <c r="E7" s="33">
        <v>50.67</v>
      </c>
      <c r="F7" s="462">
        <v>1107</v>
      </c>
      <c r="G7" s="451">
        <f t="shared" si="0"/>
        <v>56091.69</v>
      </c>
      <c r="H7" s="463" t="s">
        <v>5</v>
      </c>
      <c r="I7" s="453">
        <v>15</v>
      </c>
      <c r="J7" s="30">
        <v>2000</v>
      </c>
      <c r="K7" s="13">
        <f t="shared" si="1"/>
        <v>133.33333333333334</v>
      </c>
      <c r="L7" s="453">
        <v>15</v>
      </c>
      <c r="M7" s="14">
        <f t="shared" si="2"/>
        <v>1953.5294117647036</v>
      </c>
      <c r="N7" s="13">
        <f t="shared" si="3"/>
        <v>130.2352941176469</v>
      </c>
      <c r="O7" s="15">
        <f t="shared" si="4"/>
        <v>0</v>
      </c>
      <c r="P7" s="16">
        <f t="shared" si="5"/>
        <v>-3.0980392156864411</v>
      </c>
      <c r="Q7" s="452">
        <f t="shared" si="6"/>
        <v>0.97676470588235165</v>
      </c>
      <c r="R7" s="619"/>
      <c r="S7" s="31">
        <v>0.80069444444444438</v>
      </c>
      <c r="T7" s="31">
        <v>0.82430555555555551</v>
      </c>
      <c r="U7" s="451">
        <f t="shared" si="10"/>
        <v>7.9999999999999716</v>
      </c>
      <c r="V7" s="454">
        <f t="shared" si="7"/>
        <v>34.000000000000043</v>
      </c>
      <c r="W7" s="17"/>
      <c r="X7" s="17"/>
      <c r="Y7" s="20"/>
      <c r="Z7" s="20"/>
      <c r="AA7" s="614"/>
      <c r="AB7" s="615"/>
      <c r="AC7" s="21"/>
      <c r="AD7" s="21"/>
      <c r="AE7" s="15">
        <f t="shared" si="8"/>
        <v>-46.470588235296418</v>
      </c>
      <c r="AF7" s="452">
        <f t="shared" si="9"/>
        <v>0.97676470588235176</v>
      </c>
      <c r="AG7" s="619"/>
    </row>
    <row r="8" spans="1:33">
      <c r="A8" s="649" t="s">
        <v>963</v>
      </c>
      <c r="B8" s="33" t="s">
        <v>969</v>
      </c>
      <c r="C8" s="620"/>
      <c r="D8" s="620"/>
      <c r="E8" s="459"/>
      <c r="F8" s="34"/>
      <c r="G8" s="13"/>
      <c r="H8" s="462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1934.4321507723023</v>
      </c>
      <c r="N8" s="13">
        <f t="shared" si="3"/>
        <v>126.15861852862841</v>
      </c>
      <c r="O8" s="15">
        <f t="shared" si="4"/>
        <v>0</v>
      </c>
      <c r="P8" s="16">
        <f t="shared" si="5"/>
        <v>-4.2761640800672467</v>
      </c>
      <c r="Q8" s="452">
        <f t="shared" si="6"/>
        <v>0.96721607538615106</v>
      </c>
      <c r="R8" s="619"/>
      <c r="S8" s="31"/>
      <c r="T8" s="31"/>
      <c r="U8" s="451"/>
      <c r="V8" s="454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-65.567849227697707</v>
      </c>
      <c r="AF8" s="452">
        <f t="shared" si="9"/>
        <v>0.96721607538615118</v>
      </c>
      <c r="AG8" s="619"/>
    </row>
    <row r="9" spans="1:33" ht="15.75" customHeight="1">
      <c r="A9" s="645" t="s">
        <v>1726</v>
      </c>
      <c r="B9" s="33" t="s">
        <v>10</v>
      </c>
      <c r="C9" s="641" t="s">
        <v>14</v>
      </c>
      <c r="D9" s="642"/>
      <c r="E9" s="33">
        <v>39.619999999999997</v>
      </c>
      <c r="F9" s="462">
        <v>3943</v>
      </c>
      <c r="G9" s="451">
        <f t="shared" ref="G9:G10" si="11">E9*F9</f>
        <v>156221.66</v>
      </c>
      <c r="H9" s="463" t="s">
        <v>5</v>
      </c>
      <c r="I9" s="453">
        <v>19</v>
      </c>
      <c r="J9" s="30">
        <v>1500</v>
      </c>
      <c r="K9" s="13">
        <f t="shared" si="1"/>
        <v>78.94736842105263</v>
      </c>
      <c r="L9" s="453">
        <v>19</v>
      </c>
      <c r="M9" s="14">
        <f t="shared" ref="M9:M10" si="12">F9/V9*60</f>
        <v>1433.818181818182</v>
      </c>
      <c r="N9" s="13">
        <f t="shared" si="3"/>
        <v>75.464114832535898</v>
      </c>
      <c r="O9" s="15">
        <f t="shared" si="4"/>
        <v>0</v>
      </c>
      <c r="P9" s="16">
        <f t="shared" si="5"/>
        <v>-3.4832535885167317</v>
      </c>
      <c r="Q9" s="452">
        <f t="shared" si="6"/>
        <v>0.95587878787878811</v>
      </c>
      <c r="R9" s="619">
        <f>Q11</f>
        <v>0.95436796536796564</v>
      </c>
      <c r="S9" s="31">
        <v>8.3333333333333329E-2</v>
      </c>
      <c r="T9" s="31">
        <v>0.19791666666666666</v>
      </c>
      <c r="U9" s="451"/>
      <c r="V9" s="454">
        <f t="shared" ref="V9:V10" si="13">(T9-S9)*24*60</f>
        <v>165</v>
      </c>
      <c r="W9" s="17">
        <f>T9</f>
        <v>0.19791666666666666</v>
      </c>
      <c r="X9" s="17">
        <f>S10</f>
        <v>0.21736111111111109</v>
      </c>
      <c r="Y9" s="17"/>
      <c r="Z9" s="17"/>
      <c r="AA9" s="610"/>
      <c r="AB9" s="610"/>
      <c r="AC9" s="19">
        <v>2</v>
      </c>
      <c r="AD9" s="19"/>
      <c r="AE9" s="15">
        <f t="shared" si="8"/>
        <v>-66.181818181818016</v>
      </c>
      <c r="AF9" s="452">
        <f t="shared" si="9"/>
        <v>0.95587878787878799</v>
      </c>
      <c r="AG9" s="619">
        <f>AF11</f>
        <v>0.95436796536796553</v>
      </c>
    </row>
    <row r="10" spans="1:33" ht="15.75" customHeight="1">
      <c r="A10" s="645" t="s">
        <v>81</v>
      </c>
      <c r="B10" s="33" t="s">
        <v>10</v>
      </c>
      <c r="C10" s="641" t="s">
        <v>11</v>
      </c>
      <c r="D10" s="642"/>
      <c r="E10" s="33">
        <v>39.799999999999997</v>
      </c>
      <c r="F10" s="462">
        <v>6003</v>
      </c>
      <c r="G10" s="451">
        <f t="shared" si="11"/>
        <v>238919.4</v>
      </c>
      <c r="H10" s="463" t="s">
        <v>5</v>
      </c>
      <c r="I10" s="453">
        <v>17</v>
      </c>
      <c r="J10" s="30">
        <v>1500</v>
      </c>
      <c r="K10" s="13">
        <f t="shared" si="1"/>
        <v>88.235294117647058</v>
      </c>
      <c r="L10" s="453">
        <v>17</v>
      </c>
      <c r="M10" s="14">
        <f t="shared" si="12"/>
        <v>1429.2857142857144</v>
      </c>
      <c r="N10" s="13">
        <f t="shared" si="3"/>
        <v>84.075630252100851</v>
      </c>
      <c r="O10" s="15">
        <f t="shared" si="4"/>
        <v>0</v>
      </c>
      <c r="P10" s="16">
        <f t="shared" si="5"/>
        <v>-4.1596638655462073</v>
      </c>
      <c r="Q10" s="452">
        <f t="shared" si="6"/>
        <v>0.95285714285714296</v>
      </c>
      <c r="R10" s="619"/>
      <c r="S10" s="31">
        <v>0.21736111111111109</v>
      </c>
      <c r="T10" s="31">
        <v>0.3923611111111111</v>
      </c>
      <c r="U10" s="451">
        <f t="shared" ref="U10" si="14">IF(S10=TIME(17,0,0),"",(S10-T9)*24*60)</f>
        <v>27.999999999999979</v>
      </c>
      <c r="V10" s="454">
        <f t="shared" si="13"/>
        <v>252</v>
      </c>
      <c r="W10" s="17"/>
      <c r="X10" s="17"/>
      <c r="Y10" s="17"/>
      <c r="Z10" s="17"/>
      <c r="AA10" s="610"/>
      <c r="AB10" s="610"/>
      <c r="AC10" s="19"/>
      <c r="AD10" s="19"/>
      <c r="AE10" s="15">
        <f t="shared" si="8"/>
        <v>-70.714285714285552</v>
      </c>
      <c r="AF10" s="452">
        <f t="shared" si="9"/>
        <v>0.95285714285714296</v>
      </c>
      <c r="AG10" s="619"/>
    </row>
    <row r="11" spans="1:33" ht="16.5" customHeight="1">
      <c r="A11" s="645" t="s">
        <v>81</v>
      </c>
      <c r="B11" s="33" t="s">
        <v>2223</v>
      </c>
      <c r="C11" s="620"/>
      <c r="D11" s="620"/>
      <c r="E11" s="459"/>
      <c r="F11" s="30"/>
      <c r="G11" s="14"/>
      <c r="H11" s="462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1431.5519480519483</v>
      </c>
      <c r="N11" s="13">
        <f t="shared" si="3"/>
        <v>79.530663780663801</v>
      </c>
      <c r="O11" s="15">
        <f t="shared" si="4"/>
        <v>0</v>
      </c>
      <c r="P11" s="16">
        <f t="shared" si="5"/>
        <v>-3.8026695526695278</v>
      </c>
      <c r="Q11" s="452">
        <f t="shared" si="6"/>
        <v>0.95436796536796564</v>
      </c>
      <c r="R11" s="619"/>
      <c r="S11" s="31"/>
      <c r="T11" s="31"/>
      <c r="U11" s="13"/>
      <c r="V11" s="454"/>
      <c r="W11" s="13"/>
      <c r="X11" s="13"/>
      <c r="Y11" s="24">
        <f>SUM(Y9:Y10)</f>
        <v>0</v>
      </c>
      <c r="Z11" s="24">
        <f>SUM(Z9:Z10)</f>
        <v>0</v>
      </c>
      <c r="AA11" s="609"/>
      <c r="AB11" s="609"/>
      <c r="AC11" s="24">
        <v>2</v>
      </c>
      <c r="AD11" s="24">
        <f>SUM(AD9:AD10)</f>
        <v>0</v>
      </c>
      <c r="AE11" s="15">
        <f t="shared" si="8"/>
        <v>-68.44805194805167</v>
      </c>
      <c r="AF11" s="452">
        <f t="shared" si="9"/>
        <v>0.95436796536796553</v>
      </c>
      <c r="AG11" s="619"/>
    </row>
    <row r="12" spans="1:33" ht="16.5" customHeight="1">
      <c r="A12" s="643" t="s">
        <v>1316</v>
      </c>
      <c r="B12" s="462" t="s">
        <v>15</v>
      </c>
      <c r="C12" s="635" t="s">
        <v>16</v>
      </c>
      <c r="D12" s="635"/>
      <c r="E12" s="33">
        <v>31.11</v>
      </c>
      <c r="F12" s="462">
        <v>1780</v>
      </c>
      <c r="G12" s="451">
        <f t="shared" ref="G12:G18" si="15">E12*F12</f>
        <v>55375.799999999996</v>
      </c>
      <c r="H12" s="463" t="s">
        <v>5</v>
      </c>
      <c r="I12" s="453">
        <v>14</v>
      </c>
      <c r="J12" s="30">
        <v>2000</v>
      </c>
      <c r="K12" s="13">
        <f t="shared" si="1"/>
        <v>142.85714285714286</v>
      </c>
      <c r="L12" s="453">
        <v>14</v>
      </c>
      <c r="M12" s="14">
        <f t="shared" ref="M12:M18" si="16">F12/V12*60</f>
        <v>1907.1428571428571</v>
      </c>
      <c r="N12" s="13">
        <f t="shared" si="3"/>
        <v>136.22448979591837</v>
      </c>
      <c r="O12" s="15">
        <f t="shared" si="4"/>
        <v>0</v>
      </c>
      <c r="P12" s="16">
        <f t="shared" si="5"/>
        <v>-6.6326530612244881</v>
      </c>
      <c r="Q12" s="452">
        <f t="shared" si="6"/>
        <v>0.95357142857142863</v>
      </c>
      <c r="R12" s="619">
        <f>Q19</f>
        <v>0.96003528724483278</v>
      </c>
      <c r="S12" s="31">
        <v>0.20833333333333334</v>
      </c>
      <c r="T12" s="31">
        <v>0.24722222222222223</v>
      </c>
      <c r="U12" s="451"/>
      <c r="V12" s="454">
        <f t="shared" ref="V12:V18" si="17">(T12-S12)*24*60</f>
        <v>56</v>
      </c>
      <c r="W12" s="17"/>
      <c r="X12" s="17"/>
      <c r="Y12" s="22"/>
      <c r="Z12" s="22"/>
      <c r="AA12" s="610"/>
      <c r="AB12" s="610"/>
      <c r="AC12" s="19">
        <v>7</v>
      </c>
      <c r="AD12" s="19"/>
      <c r="AE12" s="15">
        <f t="shared" si="8"/>
        <v>-92.85714285714289</v>
      </c>
      <c r="AF12" s="452">
        <f t="shared" si="9"/>
        <v>0.95357142857142851</v>
      </c>
      <c r="AG12" s="619">
        <f>AF19</f>
        <v>0.96003528724483278</v>
      </c>
    </row>
    <row r="13" spans="1:33" ht="16.5" customHeight="1">
      <c r="A13" s="644" t="s">
        <v>1009</v>
      </c>
      <c r="B13" s="462" t="s">
        <v>17</v>
      </c>
      <c r="C13" s="635" t="s">
        <v>18</v>
      </c>
      <c r="D13" s="635"/>
      <c r="E13" s="33">
        <v>41</v>
      </c>
      <c r="F13" s="462">
        <v>1493</v>
      </c>
      <c r="G13" s="451">
        <f t="shared" si="15"/>
        <v>61213</v>
      </c>
      <c r="H13" s="463" t="s">
        <v>5</v>
      </c>
      <c r="I13" s="453">
        <v>26</v>
      </c>
      <c r="J13" s="30">
        <v>1500</v>
      </c>
      <c r="K13" s="13">
        <f t="shared" si="1"/>
        <v>57.692307692307693</v>
      </c>
      <c r="L13" s="453">
        <v>26</v>
      </c>
      <c r="M13" s="14">
        <f t="shared" si="16"/>
        <v>1444.8387096774188</v>
      </c>
      <c r="N13" s="13">
        <f t="shared" si="3"/>
        <v>55.570719602977647</v>
      </c>
      <c r="O13" s="15">
        <f t="shared" si="4"/>
        <v>0</v>
      </c>
      <c r="P13" s="16">
        <f t="shared" si="5"/>
        <v>-2.1215880893300465</v>
      </c>
      <c r="Q13" s="452">
        <f t="shared" si="6"/>
        <v>0.96322580645161249</v>
      </c>
      <c r="R13" s="619"/>
      <c r="S13" s="31">
        <v>0.25069444444444444</v>
      </c>
      <c r="T13" s="31">
        <v>0.29375000000000001</v>
      </c>
      <c r="U13" s="451">
        <f t="shared" ref="U13:U18" si="18">IF(S13=TIME(17,0,0),"",(S13-T12)*24*60)</f>
        <v>4.9999999999999822</v>
      </c>
      <c r="V13" s="454">
        <f t="shared" si="17"/>
        <v>62.000000000000021</v>
      </c>
      <c r="W13" s="17"/>
      <c r="X13" s="17"/>
      <c r="Y13" s="17"/>
      <c r="Z13" s="17"/>
      <c r="AA13" s="610"/>
      <c r="AB13" s="610"/>
      <c r="AC13" s="19"/>
      <c r="AD13" s="19"/>
      <c r="AE13" s="15">
        <f t="shared" si="8"/>
        <v>-55.161290322581181</v>
      </c>
      <c r="AF13" s="452">
        <f t="shared" si="9"/>
        <v>0.9632258064516126</v>
      </c>
      <c r="AG13" s="619"/>
    </row>
    <row r="14" spans="1:33" ht="16.5" customHeight="1">
      <c r="A14" s="644" t="s">
        <v>2224</v>
      </c>
      <c r="B14" s="462" t="s">
        <v>10</v>
      </c>
      <c r="C14" s="635" t="s">
        <v>12</v>
      </c>
      <c r="D14" s="635"/>
      <c r="E14" s="33">
        <v>39.46</v>
      </c>
      <c r="F14" s="462">
        <v>1946</v>
      </c>
      <c r="G14" s="451">
        <f t="shared" si="15"/>
        <v>76789.16</v>
      </c>
      <c r="H14" s="463" t="s">
        <v>5</v>
      </c>
      <c r="I14" s="453">
        <v>15</v>
      </c>
      <c r="J14" s="30">
        <v>1500</v>
      </c>
      <c r="K14" s="13">
        <f t="shared" si="1"/>
        <v>100</v>
      </c>
      <c r="L14" s="453">
        <v>15</v>
      </c>
      <c r="M14" s="14">
        <f t="shared" si="16"/>
        <v>1441.4814814814808</v>
      </c>
      <c r="N14" s="13">
        <f t="shared" si="3"/>
        <v>96.098765432098716</v>
      </c>
      <c r="O14" s="15">
        <f t="shared" si="4"/>
        <v>0</v>
      </c>
      <c r="P14" s="16">
        <f t="shared" si="5"/>
        <v>-3.9012345679012839</v>
      </c>
      <c r="Q14" s="452">
        <f t="shared" si="6"/>
        <v>0.96098765432098721</v>
      </c>
      <c r="R14" s="619"/>
      <c r="S14" s="31">
        <v>0.29930555555555555</v>
      </c>
      <c r="T14" s="31">
        <v>0.35555555555555557</v>
      </c>
      <c r="U14" s="451">
        <f t="shared" si="18"/>
        <v>7.9999999999999716</v>
      </c>
      <c r="V14" s="454">
        <f t="shared" si="17"/>
        <v>81.000000000000028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-58.518518518519159</v>
      </c>
      <c r="AF14" s="452">
        <f t="shared" si="9"/>
        <v>0.96098765432098721</v>
      </c>
      <c r="AG14" s="619"/>
    </row>
    <row r="15" spans="1:33" ht="16.5" customHeight="1">
      <c r="A15" s="644" t="s">
        <v>2225</v>
      </c>
      <c r="B15" s="462" t="s">
        <v>10</v>
      </c>
      <c r="C15" s="635" t="s">
        <v>13</v>
      </c>
      <c r="D15" s="635"/>
      <c r="E15" s="33">
        <v>39.520000000000003</v>
      </c>
      <c r="F15" s="462">
        <v>1954</v>
      </c>
      <c r="G15" s="451">
        <f t="shared" si="15"/>
        <v>77222.080000000002</v>
      </c>
      <c r="H15" s="463" t="s">
        <v>5</v>
      </c>
      <c r="I15" s="453">
        <v>19</v>
      </c>
      <c r="J15" s="30">
        <v>1500</v>
      </c>
      <c r="K15" s="13">
        <f t="shared" si="1"/>
        <v>78.94736842105263</v>
      </c>
      <c r="L15" s="453">
        <v>19</v>
      </c>
      <c r="M15" s="14">
        <f t="shared" si="16"/>
        <v>1429.7560975609751</v>
      </c>
      <c r="N15" s="13">
        <f t="shared" si="3"/>
        <v>75.250320924261857</v>
      </c>
      <c r="O15" s="15">
        <f t="shared" si="4"/>
        <v>0</v>
      </c>
      <c r="P15" s="16">
        <f t="shared" si="5"/>
        <v>-3.6970474967907734</v>
      </c>
      <c r="Q15" s="452">
        <f t="shared" si="6"/>
        <v>0.95317073170731692</v>
      </c>
      <c r="R15" s="619"/>
      <c r="S15" s="31">
        <v>0.35902777777777778</v>
      </c>
      <c r="T15" s="31">
        <v>0.41597222222222224</v>
      </c>
      <c r="U15" s="451">
        <f t="shared" si="18"/>
        <v>4.9999999999999822</v>
      </c>
      <c r="V15" s="454">
        <f t="shared" si="17"/>
        <v>82.000000000000028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-70.243902439024851</v>
      </c>
      <c r="AF15" s="452">
        <f t="shared" si="9"/>
        <v>0.95317073170731681</v>
      </c>
      <c r="AG15" s="619"/>
    </row>
    <row r="16" spans="1:33" ht="16.5" customHeight="1">
      <c r="A16" s="644" t="s">
        <v>1009</v>
      </c>
      <c r="B16" s="462" t="s">
        <v>6</v>
      </c>
      <c r="C16" s="635" t="s">
        <v>45</v>
      </c>
      <c r="D16" s="635"/>
      <c r="E16" s="33">
        <v>51.06</v>
      </c>
      <c r="F16" s="462">
        <v>2284</v>
      </c>
      <c r="G16" s="451">
        <f t="shared" si="15"/>
        <v>116621.04000000001</v>
      </c>
      <c r="H16" s="463" t="s">
        <v>5</v>
      </c>
      <c r="I16" s="453">
        <v>13</v>
      </c>
      <c r="J16" s="30">
        <v>2000</v>
      </c>
      <c r="K16" s="13">
        <f t="shared" si="1"/>
        <v>153.84615384615384</v>
      </c>
      <c r="L16" s="453">
        <v>13</v>
      </c>
      <c r="M16" s="14">
        <f t="shared" si="16"/>
        <v>1903.3333333333319</v>
      </c>
      <c r="N16" s="13">
        <f t="shared" si="3"/>
        <v>146.4102564102563</v>
      </c>
      <c r="O16" s="15">
        <f t="shared" si="4"/>
        <v>0</v>
      </c>
      <c r="P16" s="16">
        <f t="shared" si="5"/>
        <v>-7.4358974358975445</v>
      </c>
      <c r="Q16" s="452">
        <f t="shared" si="6"/>
        <v>0.95166666666666599</v>
      </c>
      <c r="R16" s="619"/>
      <c r="S16" s="31">
        <v>0.70833333333333337</v>
      </c>
      <c r="T16" s="31">
        <v>0.75833333333333341</v>
      </c>
      <c r="U16" s="451" t="str">
        <f t="shared" si="18"/>
        <v/>
      </c>
      <c r="V16" s="454">
        <f t="shared" si="17"/>
        <v>72.000000000000057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-96.666666666668107</v>
      </c>
      <c r="AF16" s="452">
        <f t="shared" si="9"/>
        <v>0.95166666666666599</v>
      </c>
      <c r="AG16" s="619"/>
    </row>
    <row r="17" spans="1:33" ht="16.5" customHeight="1">
      <c r="A17" s="644" t="s">
        <v>2226</v>
      </c>
      <c r="B17" s="462" t="s">
        <v>6</v>
      </c>
      <c r="C17" s="460" t="s">
        <v>25</v>
      </c>
      <c r="D17" s="461"/>
      <c r="E17" s="33">
        <v>56.43</v>
      </c>
      <c r="F17" s="462">
        <v>994</v>
      </c>
      <c r="G17" s="451">
        <f t="shared" si="15"/>
        <v>56091.42</v>
      </c>
      <c r="H17" s="463" t="s">
        <v>5</v>
      </c>
      <c r="I17" s="453">
        <v>13</v>
      </c>
      <c r="J17" s="30">
        <v>2000</v>
      </c>
      <c r="K17" s="13">
        <f t="shared" si="1"/>
        <v>153.84615384615384</v>
      </c>
      <c r="L17" s="453">
        <v>13</v>
      </c>
      <c r="M17" s="14">
        <f t="shared" si="16"/>
        <v>1923.8709677419324</v>
      </c>
      <c r="N17" s="13">
        <f t="shared" si="3"/>
        <v>147.99007444168711</v>
      </c>
      <c r="O17" s="15">
        <f t="shared" si="4"/>
        <v>0</v>
      </c>
      <c r="P17" s="16">
        <f t="shared" si="5"/>
        <v>-5.8560794044667261</v>
      </c>
      <c r="Q17" s="452">
        <f t="shared" si="6"/>
        <v>0.96193548387096628</v>
      </c>
      <c r="R17" s="619"/>
      <c r="S17" s="31">
        <v>0.76250000000000007</v>
      </c>
      <c r="T17" s="31">
        <v>0.78402777777777788</v>
      </c>
      <c r="U17" s="451">
        <f t="shared" si="18"/>
        <v>5.9999999999999787</v>
      </c>
      <c r="V17" s="454">
        <f t="shared" si="17"/>
        <v>31.00000000000005</v>
      </c>
      <c r="W17" s="17"/>
      <c r="X17" s="17"/>
      <c r="Y17" s="20"/>
      <c r="Z17" s="20"/>
      <c r="AA17" s="449"/>
      <c r="AB17" s="450"/>
      <c r="AC17" s="19"/>
      <c r="AD17" s="19"/>
      <c r="AE17" s="15">
        <f t="shared" si="8"/>
        <v>-76.129032258067582</v>
      </c>
      <c r="AF17" s="452">
        <f t="shared" si="9"/>
        <v>0.96193548387096617</v>
      </c>
      <c r="AG17" s="619"/>
    </row>
    <row r="18" spans="1:33" ht="16.5" customHeight="1">
      <c r="A18" s="644" t="s">
        <v>2224</v>
      </c>
      <c r="B18" s="462" t="s">
        <v>6</v>
      </c>
      <c r="C18" s="460" t="s">
        <v>20</v>
      </c>
      <c r="D18" s="461"/>
      <c r="E18" s="33">
        <v>54.5</v>
      </c>
      <c r="F18" s="462">
        <v>686</v>
      </c>
      <c r="G18" s="451">
        <f t="shared" si="15"/>
        <v>37387</v>
      </c>
      <c r="H18" s="463" t="s">
        <v>5</v>
      </c>
      <c r="I18" s="453">
        <v>19</v>
      </c>
      <c r="J18" s="30">
        <v>1500</v>
      </c>
      <c r="K18" s="13">
        <f t="shared" si="1"/>
        <v>78.94736842105263</v>
      </c>
      <c r="L18" s="453">
        <v>19</v>
      </c>
      <c r="M18" s="14">
        <f t="shared" si="16"/>
        <v>1469.9999999999968</v>
      </c>
      <c r="N18" s="13">
        <f t="shared" si="3"/>
        <v>77.368421052631405</v>
      </c>
      <c r="O18" s="15">
        <f t="shared" si="4"/>
        <v>0</v>
      </c>
      <c r="P18" s="16">
        <f t="shared" si="5"/>
        <v>-1.5789473684212254</v>
      </c>
      <c r="Q18" s="452">
        <f t="shared" si="6"/>
        <v>0.97999999999999776</v>
      </c>
      <c r="R18" s="619"/>
      <c r="S18" s="31">
        <v>0.78958333333333341</v>
      </c>
      <c r="T18" s="31">
        <v>0.8090277777777779</v>
      </c>
      <c r="U18" s="451">
        <f t="shared" si="18"/>
        <v>7.9999999999999716</v>
      </c>
      <c r="V18" s="454">
        <f t="shared" si="17"/>
        <v>28.00000000000006</v>
      </c>
      <c r="W18" s="17"/>
      <c r="X18" s="17"/>
      <c r="Y18" s="20"/>
      <c r="Z18" s="20"/>
      <c r="AA18" s="449"/>
      <c r="AB18" s="450"/>
      <c r="AC18" s="19"/>
      <c r="AD18" s="19"/>
      <c r="AE18" s="15">
        <f t="shared" si="8"/>
        <v>-30.000000000003183</v>
      </c>
      <c r="AF18" s="452">
        <f t="shared" si="9"/>
        <v>0.97999999999999787</v>
      </c>
      <c r="AG18" s="619"/>
    </row>
    <row r="19" spans="1:33" ht="16.5" customHeight="1">
      <c r="A19" s="644" t="s">
        <v>2227</v>
      </c>
      <c r="B19" s="33" t="s">
        <v>969</v>
      </c>
      <c r="C19" s="620"/>
      <c r="D19" s="620"/>
      <c r="E19" s="459"/>
      <c r="F19" s="34"/>
      <c r="G19" s="13"/>
      <c r="H19" s="462"/>
      <c r="I19" s="23">
        <v>17</v>
      </c>
      <c r="J19" s="30">
        <v>1714.2857142857142</v>
      </c>
      <c r="K19" s="13">
        <f t="shared" si="1"/>
        <v>100.84033613445378</v>
      </c>
      <c r="L19" s="23">
        <v>17</v>
      </c>
      <c r="M19" s="14">
        <f>AVERAGE(M12:M18)</f>
        <v>1645.774778133999</v>
      </c>
      <c r="N19" s="13">
        <f t="shared" si="3"/>
        <v>96.810281066705826</v>
      </c>
      <c r="O19" s="15">
        <f t="shared" si="4"/>
        <v>0</v>
      </c>
      <c r="P19" s="16">
        <f t="shared" si="5"/>
        <v>-4.0300550677479521</v>
      </c>
      <c r="Q19" s="452">
        <f t="shared" si="6"/>
        <v>0.96003528724483278</v>
      </c>
      <c r="R19" s="619"/>
      <c r="S19" s="31"/>
      <c r="T19" s="31"/>
      <c r="U19" s="451"/>
      <c r="V19" s="454"/>
      <c r="W19" s="13"/>
      <c r="X19" s="13"/>
      <c r="Y19" s="24">
        <f>SUM(Y12:Y18)</f>
        <v>0</v>
      </c>
      <c r="Z19" s="24">
        <f>SUM(Z12:Z18)</f>
        <v>0</v>
      </c>
      <c r="AA19" s="609"/>
      <c r="AB19" s="609"/>
      <c r="AC19" s="24">
        <v>7</v>
      </c>
      <c r="AD19" s="24">
        <f>SUM(AD12:AD18)</f>
        <v>0</v>
      </c>
      <c r="AE19" s="15">
        <f t="shared" si="8"/>
        <v>-68.510936151715214</v>
      </c>
      <c r="AF19" s="452">
        <f t="shared" si="9"/>
        <v>0.96003528724483278</v>
      </c>
      <c r="AG19" s="619"/>
    </row>
    <row r="20" spans="1:33" ht="15.75" customHeight="1">
      <c r="A20" s="637" t="s">
        <v>2228</v>
      </c>
      <c r="B20" s="33" t="s">
        <v>6</v>
      </c>
      <c r="C20" s="635" t="s">
        <v>22</v>
      </c>
      <c r="D20" s="635"/>
      <c r="E20" s="33">
        <v>50.67</v>
      </c>
      <c r="F20" s="462">
        <v>1519</v>
      </c>
      <c r="G20" s="451">
        <f t="shared" ref="G20:G26" si="19">E20*F20</f>
        <v>76967.73</v>
      </c>
      <c r="H20" s="463" t="s">
        <v>5</v>
      </c>
      <c r="I20" s="453">
        <v>17</v>
      </c>
      <c r="J20" s="30">
        <v>2000</v>
      </c>
      <c r="K20" s="13">
        <f t="shared" si="1"/>
        <v>117.64705882352941</v>
      </c>
      <c r="L20" s="453">
        <v>17</v>
      </c>
      <c r="M20" s="14">
        <f t="shared" ref="M20:M26" si="20">F20/V20*60</f>
        <v>1939.1489361702129</v>
      </c>
      <c r="N20" s="13">
        <f t="shared" si="3"/>
        <v>114.06758448060076</v>
      </c>
      <c r="O20" s="15">
        <f t="shared" si="4"/>
        <v>0</v>
      </c>
      <c r="P20" s="16">
        <f t="shared" si="5"/>
        <v>-3.5794743429286484</v>
      </c>
      <c r="Q20" s="452">
        <f t="shared" si="6"/>
        <v>0.9695744680851065</v>
      </c>
      <c r="R20" s="619">
        <f>Q27</f>
        <v>0.96270135814126934</v>
      </c>
      <c r="S20" s="31">
        <v>0.25</v>
      </c>
      <c r="T20" s="31">
        <v>0.28263888888888888</v>
      </c>
      <c r="U20" s="451"/>
      <c r="V20" s="454">
        <f t="shared" ref="V20:V26" si="21">(T20-S20)*24*60</f>
        <v>46.999999999999993</v>
      </c>
      <c r="W20" s="17"/>
      <c r="X20" s="17"/>
      <c r="Y20" s="22"/>
      <c r="Z20" s="22"/>
      <c r="AA20" s="610"/>
      <c r="AB20" s="610"/>
      <c r="AC20" s="19">
        <v>7</v>
      </c>
      <c r="AD20" s="19"/>
      <c r="AE20" s="15">
        <f t="shared" si="8"/>
        <v>-60.851063829787108</v>
      </c>
      <c r="AF20" s="452">
        <f t="shared" si="9"/>
        <v>0.9695744680851065</v>
      </c>
      <c r="AG20" s="619">
        <f>AF27</f>
        <v>0.96270135814126934</v>
      </c>
    </row>
    <row r="21" spans="1:33" ht="15.75" customHeight="1">
      <c r="A21" s="638" t="s">
        <v>973</v>
      </c>
      <c r="B21" s="33" t="s">
        <v>6</v>
      </c>
      <c r="C21" s="635" t="s">
        <v>23</v>
      </c>
      <c r="D21" s="635"/>
      <c r="E21" s="33">
        <v>57.73</v>
      </c>
      <c r="F21" s="462">
        <v>2277</v>
      </c>
      <c r="G21" s="451">
        <f t="shared" si="19"/>
        <v>131451.21</v>
      </c>
      <c r="H21" s="463" t="s">
        <v>5</v>
      </c>
      <c r="I21" s="453">
        <v>14</v>
      </c>
      <c r="J21" s="30">
        <v>2000</v>
      </c>
      <c r="K21" s="13">
        <f t="shared" si="1"/>
        <v>142.85714285714286</v>
      </c>
      <c r="L21" s="453">
        <v>14</v>
      </c>
      <c r="M21" s="14">
        <f t="shared" si="20"/>
        <v>1924.2253521126763</v>
      </c>
      <c r="N21" s="13">
        <f t="shared" si="3"/>
        <v>137.4446680080483</v>
      </c>
      <c r="O21" s="15">
        <f t="shared" si="4"/>
        <v>0</v>
      </c>
      <c r="P21" s="16">
        <f t="shared" si="5"/>
        <v>-5.4124748490945649</v>
      </c>
      <c r="Q21" s="452">
        <f t="shared" si="6"/>
        <v>0.9621126760563381</v>
      </c>
      <c r="R21" s="619"/>
      <c r="S21" s="31">
        <v>0.28611111111111109</v>
      </c>
      <c r="T21" s="31">
        <v>0.33541666666666664</v>
      </c>
      <c r="U21" s="451">
        <f t="shared" ref="U21:U26" si="22">IF(S21=TIME(17,0,0),"",(S21-T20)*24*60)</f>
        <v>4.9999999999999822</v>
      </c>
      <c r="V21" s="454">
        <f t="shared" si="21"/>
        <v>70.999999999999986</v>
      </c>
      <c r="W21" s="17"/>
      <c r="X21" s="451"/>
      <c r="Y21" s="451"/>
      <c r="Z21" s="451"/>
      <c r="AA21" s="610"/>
      <c r="AB21" s="610"/>
      <c r="AC21" s="19"/>
      <c r="AD21" s="19"/>
      <c r="AE21" s="15">
        <f t="shared" si="8"/>
        <v>-75.774647887323681</v>
      </c>
      <c r="AF21" s="452">
        <f t="shared" si="9"/>
        <v>0.96211267605633821</v>
      </c>
      <c r="AG21" s="619"/>
    </row>
    <row r="22" spans="1:33" ht="15.75" customHeight="1">
      <c r="A22" s="638" t="s">
        <v>973</v>
      </c>
      <c r="B22" s="33" t="s">
        <v>6</v>
      </c>
      <c r="C22" s="635" t="s">
        <v>24</v>
      </c>
      <c r="D22" s="635"/>
      <c r="E22" s="33">
        <v>53.27</v>
      </c>
      <c r="F22" s="462">
        <v>1351</v>
      </c>
      <c r="G22" s="451">
        <f t="shared" si="19"/>
        <v>71967.77</v>
      </c>
      <c r="H22" s="463" t="s">
        <v>5</v>
      </c>
      <c r="I22" s="453">
        <v>16</v>
      </c>
      <c r="J22" s="30">
        <v>2000</v>
      </c>
      <c r="K22" s="13">
        <f t="shared" si="1"/>
        <v>125</v>
      </c>
      <c r="L22" s="453">
        <v>16</v>
      </c>
      <c r="M22" s="14">
        <f t="shared" si="20"/>
        <v>1929.9999999999995</v>
      </c>
      <c r="N22" s="13">
        <f t="shared" si="3"/>
        <v>120.62499999999997</v>
      </c>
      <c r="O22" s="15">
        <f t="shared" si="4"/>
        <v>0</v>
      </c>
      <c r="P22" s="16">
        <f t="shared" si="5"/>
        <v>-4.3750000000000284</v>
      </c>
      <c r="Q22" s="452">
        <f t="shared" si="6"/>
        <v>0.96499999999999975</v>
      </c>
      <c r="R22" s="619"/>
      <c r="S22" s="31">
        <v>0.33888888888888885</v>
      </c>
      <c r="T22" s="31">
        <v>0.36805555555555552</v>
      </c>
      <c r="U22" s="451">
        <f t="shared" si="22"/>
        <v>4.9999999999999822</v>
      </c>
      <c r="V22" s="454">
        <f t="shared" si="21"/>
        <v>42.000000000000014</v>
      </c>
      <c r="W22" s="17"/>
      <c r="X22" s="451"/>
      <c r="Y22" s="451"/>
      <c r="Z22" s="451"/>
      <c r="AA22" s="610"/>
      <c r="AB22" s="610"/>
      <c r="AC22" s="19"/>
      <c r="AD22" s="19"/>
      <c r="AE22" s="15">
        <f t="shared" si="8"/>
        <v>-70.000000000000455</v>
      </c>
      <c r="AF22" s="452">
        <f t="shared" si="9"/>
        <v>0.96499999999999975</v>
      </c>
      <c r="AG22" s="619"/>
    </row>
    <row r="23" spans="1:33" ht="15.75" customHeight="1">
      <c r="A23" s="638" t="s">
        <v>973</v>
      </c>
      <c r="B23" s="33" t="s">
        <v>6</v>
      </c>
      <c r="C23" s="635" t="s">
        <v>21</v>
      </c>
      <c r="D23" s="635"/>
      <c r="E23" s="33">
        <v>50.49</v>
      </c>
      <c r="F23" s="462">
        <v>1714</v>
      </c>
      <c r="G23" s="451">
        <f t="shared" si="19"/>
        <v>86539.86</v>
      </c>
      <c r="H23" s="463" t="s">
        <v>5</v>
      </c>
      <c r="I23" s="453">
        <v>15</v>
      </c>
      <c r="J23" s="30">
        <v>2000</v>
      </c>
      <c r="K23" s="13">
        <f t="shared" si="1"/>
        <v>133.33333333333334</v>
      </c>
      <c r="L23" s="453">
        <v>15</v>
      </c>
      <c r="M23" s="14">
        <f t="shared" si="20"/>
        <v>1904.4444444444455</v>
      </c>
      <c r="N23" s="13">
        <f t="shared" si="3"/>
        <v>126.96296296296303</v>
      </c>
      <c r="O23" s="15">
        <f t="shared" si="4"/>
        <v>0</v>
      </c>
      <c r="P23" s="16">
        <f t="shared" si="5"/>
        <v>-6.3703703703703098</v>
      </c>
      <c r="Q23" s="452">
        <f t="shared" si="6"/>
        <v>0.95222222222222264</v>
      </c>
      <c r="R23" s="619"/>
      <c r="S23" s="31">
        <v>0.70833333333333337</v>
      </c>
      <c r="T23" s="31">
        <v>0.74583333333333335</v>
      </c>
      <c r="U23" s="451" t="str">
        <f t="shared" si="22"/>
        <v/>
      </c>
      <c r="V23" s="454">
        <f t="shared" si="21"/>
        <v>53.999999999999972</v>
      </c>
      <c r="W23" s="17"/>
      <c r="X23" s="451"/>
      <c r="Y23" s="451"/>
      <c r="Z23" s="451"/>
      <c r="AA23" s="610"/>
      <c r="AB23" s="610"/>
      <c r="AC23" s="19"/>
      <c r="AD23" s="19"/>
      <c r="AE23" s="15">
        <f t="shared" si="8"/>
        <v>-95.55555555555452</v>
      </c>
      <c r="AF23" s="452">
        <f t="shared" si="9"/>
        <v>0.95222222222222275</v>
      </c>
      <c r="AG23" s="619"/>
    </row>
    <row r="24" spans="1:33" ht="15.75" customHeight="1">
      <c r="A24" s="638" t="s">
        <v>1007</v>
      </c>
      <c r="B24" s="33" t="s">
        <v>6</v>
      </c>
      <c r="C24" s="635" t="s">
        <v>26</v>
      </c>
      <c r="D24" s="635"/>
      <c r="E24" s="33">
        <v>54.09</v>
      </c>
      <c r="F24" s="462">
        <v>1511</v>
      </c>
      <c r="G24" s="451">
        <f t="shared" si="19"/>
        <v>81729.990000000005</v>
      </c>
      <c r="H24" s="463" t="s">
        <v>5</v>
      </c>
      <c r="I24" s="453">
        <v>18</v>
      </c>
      <c r="J24" s="30">
        <v>2000</v>
      </c>
      <c r="K24" s="13">
        <f t="shared" si="1"/>
        <v>111.11111111111111</v>
      </c>
      <c r="L24" s="453">
        <v>18</v>
      </c>
      <c r="M24" s="14">
        <f t="shared" si="20"/>
        <v>1928.9361702127662</v>
      </c>
      <c r="N24" s="13">
        <f t="shared" si="3"/>
        <v>107.1631205673759</v>
      </c>
      <c r="O24" s="15">
        <f t="shared" si="4"/>
        <v>0</v>
      </c>
      <c r="P24" s="16">
        <f t="shared" si="5"/>
        <v>-3.9479905437352159</v>
      </c>
      <c r="Q24" s="452">
        <f t="shared" si="6"/>
        <v>0.96446808510638304</v>
      </c>
      <c r="R24" s="619"/>
      <c r="S24" s="31">
        <v>0.75138888888888888</v>
      </c>
      <c r="T24" s="31">
        <v>0.78402777777777777</v>
      </c>
      <c r="U24" s="451">
        <f t="shared" si="22"/>
        <v>7.9999999999999716</v>
      </c>
      <c r="V24" s="454">
        <f t="shared" si="21"/>
        <v>46.999999999999993</v>
      </c>
      <c r="W24" s="17"/>
      <c r="X24" s="17"/>
      <c r="Y24" s="451"/>
      <c r="Z24" s="451"/>
      <c r="AA24" s="610"/>
      <c r="AB24" s="610"/>
      <c r="AC24" s="19"/>
      <c r="AD24" s="19"/>
      <c r="AE24" s="15">
        <f t="shared" si="8"/>
        <v>-71.063829787233772</v>
      </c>
      <c r="AF24" s="452">
        <f t="shared" si="9"/>
        <v>0.96446808510638316</v>
      </c>
      <c r="AG24" s="619"/>
    </row>
    <row r="25" spans="1:33" ht="15.75" customHeight="1">
      <c r="A25" s="638" t="s">
        <v>973</v>
      </c>
      <c r="B25" s="33" t="s">
        <v>6</v>
      </c>
      <c r="C25" s="635" t="s">
        <v>2057</v>
      </c>
      <c r="D25" s="635"/>
      <c r="E25" s="33">
        <v>50.67</v>
      </c>
      <c r="F25" s="462">
        <v>1100</v>
      </c>
      <c r="G25" s="451">
        <f t="shared" si="19"/>
        <v>55737</v>
      </c>
      <c r="H25" s="463">
        <v>2</v>
      </c>
      <c r="I25" s="453">
        <v>15</v>
      </c>
      <c r="J25" s="30">
        <v>2000</v>
      </c>
      <c r="K25" s="13">
        <f t="shared" si="1"/>
        <v>133.33333333333334</v>
      </c>
      <c r="L25" s="453">
        <v>15</v>
      </c>
      <c r="M25" s="14">
        <f t="shared" si="20"/>
        <v>1941.1764705882326</v>
      </c>
      <c r="N25" s="13">
        <f t="shared" si="3"/>
        <v>129.41176470588218</v>
      </c>
      <c r="O25" s="15">
        <f t="shared" si="4"/>
        <v>0</v>
      </c>
      <c r="P25" s="16">
        <f t="shared" si="5"/>
        <v>-3.9215686274511654</v>
      </c>
      <c r="Q25" s="452">
        <f t="shared" si="6"/>
        <v>0.97058823529411631</v>
      </c>
      <c r="R25" s="619"/>
      <c r="S25" s="31">
        <v>0.78819444444444442</v>
      </c>
      <c r="T25" s="31">
        <v>0.81180555555555556</v>
      </c>
      <c r="U25" s="451">
        <f t="shared" si="22"/>
        <v>5.9999999999999787</v>
      </c>
      <c r="V25" s="454">
        <f t="shared" si="21"/>
        <v>34.000000000000043</v>
      </c>
      <c r="W25" s="17">
        <f>T25</f>
        <v>0.81180555555555556</v>
      </c>
      <c r="X25" s="17">
        <f>S26</f>
        <v>0.85416666666666663</v>
      </c>
      <c r="Y25" s="22"/>
      <c r="Z25" s="22"/>
      <c r="AA25" s="610"/>
      <c r="AB25" s="610"/>
      <c r="AC25" s="19"/>
      <c r="AD25" s="19"/>
      <c r="AE25" s="15">
        <f t="shared" si="8"/>
        <v>-58.823529411767367</v>
      </c>
      <c r="AF25" s="452">
        <f t="shared" si="9"/>
        <v>0.97058823529411631</v>
      </c>
      <c r="AG25" s="619"/>
    </row>
    <row r="26" spans="1:33" ht="15.75" customHeight="1">
      <c r="A26" s="638" t="s">
        <v>973</v>
      </c>
      <c r="B26" s="33" t="s">
        <v>6</v>
      </c>
      <c r="C26" s="639" t="s">
        <v>2057</v>
      </c>
      <c r="D26" s="640"/>
      <c r="E26" s="33">
        <v>50.67</v>
      </c>
      <c r="F26" s="462">
        <v>2833</v>
      </c>
      <c r="G26" s="451">
        <f t="shared" si="19"/>
        <v>143548.11000000002</v>
      </c>
      <c r="H26" s="463" t="s">
        <v>5</v>
      </c>
      <c r="I26" s="453">
        <v>15</v>
      </c>
      <c r="J26" s="30">
        <v>2000</v>
      </c>
      <c r="K26" s="13">
        <f t="shared" si="1"/>
        <v>133.33333333333334</v>
      </c>
      <c r="L26" s="453">
        <v>15</v>
      </c>
      <c r="M26" s="14">
        <f t="shared" si="20"/>
        <v>1909.8876404494381</v>
      </c>
      <c r="N26" s="13">
        <f t="shared" si="3"/>
        <v>127.32584269662921</v>
      </c>
      <c r="O26" s="15">
        <f t="shared" si="4"/>
        <v>0</v>
      </c>
      <c r="P26" s="16">
        <f t="shared" si="5"/>
        <v>-6.0074906367041336</v>
      </c>
      <c r="Q26" s="452">
        <f t="shared" si="6"/>
        <v>0.95494382022471902</v>
      </c>
      <c r="R26" s="619"/>
      <c r="S26" s="31">
        <v>0.85416666666666663</v>
      </c>
      <c r="T26" s="31">
        <v>0.91597222222222219</v>
      </c>
      <c r="U26" s="451">
        <f t="shared" si="22"/>
        <v>60.999999999999943</v>
      </c>
      <c r="V26" s="454">
        <f t="shared" si="21"/>
        <v>89</v>
      </c>
      <c r="W26" s="17"/>
      <c r="X26" s="22"/>
      <c r="Y26" s="94"/>
      <c r="Z26" s="94"/>
      <c r="AA26" s="614"/>
      <c r="AB26" s="615"/>
      <c r="AC26" s="19"/>
      <c r="AD26" s="19"/>
      <c r="AE26" s="15">
        <f t="shared" si="8"/>
        <v>-90.112359550561905</v>
      </c>
      <c r="AF26" s="452">
        <f t="shared" si="9"/>
        <v>0.95494382022471902</v>
      </c>
      <c r="AG26" s="619"/>
    </row>
    <row r="27" spans="1:33" ht="15.75" customHeight="1">
      <c r="A27" s="638" t="s">
        <v>2228</v>
      </c>
      <c r="B27" s="33" t="s">
        <v>2229</v>
      </c>
      <c r="C27" s="620"/>
      <c r="D27" s="620"/>
      <c r="E27" s="459"/>
      <c r="F27" s="462"/>
      <c r="G27" s="451"/>
      <c r="H27" s="462"/>
      <c r="I27" s="23">
        <v>15.714285714285714</v>
      </c>
      <c r="J27" s="30">
        <v>2000</v>
      </c>
      <c r="K27" s="13">
        <f t="shared" si="1"/>
        <v>127.27272727272728</v>
      </c>
      <c r="L27" s="23">
        <v>15.714285714285714</v>
      </c>
      <c r="M27" s="14">
        <f>AVERAGE(M20:M26)</f>
        <v>1925.4027162825387</v>
      </c>
      <c r="N27" s="13">
        <f t="shared" si="3"/>
        <v>122.52562739979793</v>
      </c>
      <c r="O27" s="15">
        <f t="shared" si="4"/>
        <v>0</v>
      </c>
      <c r="P27" s="16">
        <f t="shared" si="5"/>
        <v>-4.7470998729293541</v>
      </c>
      <c r="Q27" s="452">
        <f t="shared" si="6"/>
        <v>0.96270135814126934</v>
      </c>
      <c r="R27" s="619"/>
      <c r="S27" s="31"/>
      <c r="T27" s="31"/>
      <c r="U27" s="13"/>
      <c r="V27" s="454"/>
      <c r="W27" s="13"/>
      <c r="X27" s="13"/>
      <c r="Y27" s="24">
        <f>SUM(Y20:Y26)</f>
        <v>0</v>
      </c>
      <c r="Z27" s="24">
        <f>SUM(Z20:Z26)</f>
        <v>0</v>
      </c>
      <c r="AA27" s="609"/>
      <c r="AB27" s="609"/>
      <c r="AC27" s="24">
        <v>7</v>
      </c>
      <c r="AD27" s="24">
        <f>SUM(AD20:AD26)</f>
        <v>0</v>
      </c>
      <c r="AE27" s="15">
        <f t="shared" si="8"/>
        <v>-74.597283717461323</v>
      </c>
      <c r="AF27" s="452">
        <f t="shared" si="9"/>
        <v>0.96270135814126934</v>
      </c>
      <c r="AG27" s="619"/>
    </row>
    <row r="28" spans="1:33" ht="15.75" customHeight="1">
      <c r="A28" s="636" t="s">
        <v>974</v>
      </c>
      <c r="B28" s="33" t="s">
        <v>27</v>
      </c>
      <c r="C28" s="635" t="s">
        <v>28</v>
      </c>
      <c r="D28" s="635"/>
      <c r="E28" s="33">
        <v>31.29</v>
      </c>
      <c r="F28" s="462">
        <v>5300</v>
      </c>
      <c r="G28" s="451">
        <f t="shared" ref="G28:G34" si="23">E28*F28</f>
        <v>165837</v>
      </c>
      <c r="H28" s="463">
        <v>2</v>
      </c>
      <c r="I28" s="453">
        <v>18</v>
      </c>
      <c r="J28" s="30">
        <v>2400</v>
      </c>
      <c r="K28" s="13">
        <f t="shared" si="1"/>
        <v>133.33333333333334</v>
      </c>
      <c r="L28" s="453">
        <v>18</v>
      </c>
      <c r="M28" s="14">
        <f t="shared" ref="M28:M34" si="24">F28/V28*60</f>
        <v>2287.7697841726617</v>
      </c>
      <c r="N28" s="13">
        <f t="shared" si="3"/>
        <v>127.09832134292566</v>
      </c>
      <c r="O28" s="15">
        <f t="shared" si="4"/>
        <v>0</v>
      </c>
      <c r="P28" s="16">
        <f t="shared" si="5"/>
        <v>-6.2350119904076848</v>
      </c>
      <c r="Q28" s="452">
        <f t="shared" si="6"/>
        <v>0.9532374100719424</v>
      </c>
      <c r="R28" s="619">
        <f>Q35</f>
        <v>0.95805384299389651</v>
      </c>
      <c r="S28" s="31">
        <v>8.3333333333333329E-2</v>
      </c>
      <c r="T28" s="31">
        <v>0.17986111111111111</v>
      </c>
      <c r="U28" s="451"/>
      <c r="V28" s="454">
        <f t="shared" ref="V28:V34" si="25">(T28-S28)*24*60</f>
        <v>139</v>
      </c>
      <c r="W28" s="17">
        <f>T28</f>
        <v>0.17986111111111111</v>
      </c>
      <c r="X28" s="17">
        <f>S29</f>
        <v>0.2</v>
      </c>
      <c r="Y28" s="17"/>
      <c r="Z28" s="17"/>
      <c r="AA28" s="610"/>
      <c r="AB28" s="610"/>
      <c r="AC28" s="19">
        <v>7</v>
      </c>
      <c r="AD28" s="19"/>
      <c r="AE28" s="15">
        <f t="shared" si="8"/>
        <v>-112.23021582733827</v>
      </c>
      <c r="AF28" s="452">
        <f t="shared" si="9"/>
        <v>0.9532374100719424</v>
      </c>
      <c r="AG28" s="619">
        <f>AF35</f>
        <v>0.95805384299389651</v>
      </c>
    </row>
    <row r="29" spans="1:33" ht="15.75" customHeight="1">
      <c r="A29" s="636" t="s">
        <v>2230</v>
      </c>
      <c r="B29" s="33" t="s">
        <v>27</v>
      </c>
      <c r="C29" s="635" t="s">
        <v>29</v>
      </c>
      <c r="D29" s="635"/>
      <c r="E29" s="33">
        <v>26.37</v>
      </c>
      <c r="F29" s="462">
        <v>6352</v>
      </c>
      <c r="G29" s="451">
        <f t="shared" si="23"/>
        <v>167502.24000000002</v>
      </c>
      <c r="H29" s="463" t="s">
        <v>5</v>
      </c>
      <c r="I29" s="453">
        <v>18</v>
      </c>
      <c r="J29" s="30">
        <v>2400</v>
      </c>
      <c r="K29" s="13">
        <f t="shared" si="1"/>
        <v>133.33333333333334</v>
      </c>
      <c r="L29" s="453">
        <v>18</v>
      </c>
      <c r="M29" s="14">
        <f t="shared" si="24"/>
        <v>2295.9036144578317</v>
      </c>
      <c r="N29" s="13">
        <f t="shared" si="3"/>
        <v>127.55020080321287</v>
      </c>
      <c r="O29" s="15">
        <f t="shared" si="4"/>
        <v>0</v>
      </c>
      <c r="P29" s="16">
        <f t="shared" si="5"/>
        <v>-5.7831325301204686</v>
      </c>
      <c r="Q29" s="452">
        <f t="shared" si="6"/>
        <v>0.95662650602409649</v>
      </c>
      <c r="R29" s="619"/>
      <c r="S29" s="31">
        <v>0.2</v>
      </c>
      <c r="T29" s="31">
        <v>0.31527777777777777</v>
      </c>
      <c r="U29" s="451">
        <f t="shared" ref="U29:U34" si="26">(S29-T28)*24*60</f>
        <v>29.000000000000018</v>
      </c>
      <c r="V29" s="454">
        <f t="shared" si="25"/>
        <v>165.99999999999997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-104.09638554216826</v>
      </c>
      <c r="AF29" s="452">
        <f t="shared" si="9"/>
        <v>0.9566265060240966</v>
      </c>
      <c r="AG29" s="619"/>
    </row>
    <row r="30" spans="1:33" ht="15.75" customHeight="1">
      <c r="A30" s="636" t="s">
        <v>974</v>
      </c>
      <c r="B30" s="33" t="s">
        <v>27</v>
      </c>
      <c r="C30" s="635" t="s">
        <v>34</v>
      </c>
      <c r="D30" s="635"/>
      <c r="E30" s="33">
        <v>24.43</v>
      </c>
      <c r="F30" s="462">
        <v>4100</v>
      </c>
      <c r="G30" s="451">
        <f t="shared" si="23"/>
        <v>100163</v>
      </c>
      <c r="H30" s="463">
        <v>2</v>
      </c>
      <c r="I30" s="453">
        <v>14</v>
      </c>
      <c r="J30" s="30">
        <v>2400</v>
      </c>
      <c r="K30" s="13">
        <f t="shared" si="1"/>
        <v>171.42857142857142</v>
      </c>
      <c r="L30" s="453">
        <v>14</v>
      </c>
      <c r="M30" s="14">
        <f t="shared" si="24"/>
        <v>2299.0654205607475</v>
      </c>
      <c r="N30" s="13">
        <f t="shared" si="3"/>
        <v>164.21895861148195</v>
      </c>
      <c r="O30" s="15">
        <f t="shared" si="4"/>
        <v>0</v>
      </c>
      <c r="P30" s="16">
        <f t="shared" si="5"/>
        <v>-7.2096128170894644</v>
      </c>
      <c r="Q30" s="452">
        <f t="shared" si="6"/>
        <v>0.9579439252336448</v>
      </c>
      <c r="R30" s="619"/>
      <c r="S30" s="31">
        <v>0.31944444444444442</v>
      </c>
      <c r="T30" s="31">
        <v>0.39374999999999999</v>
      </c>
      <c r="U30" s="451">
        <f t="shared" si="26"/>
        <v>5.9999999999999787</v>
      </c>
      <c r="V30" s="454">
        <f t="shared" si="25"/>
        <v>107.00000000000001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-100.9345794392525</v>
      </c>
      <c r="AF30" s="452">
        <f t="shared" si="9"/>
        <v>0.9579439252336448</v>
      </c>
      <c r="AG30" s="619"/>
    </row>
    <row r="31" spans="1:33" ht="15.75" customHeight="1">
      <c r="A31" s="636" t="s">
        <v>2230</v>
      </c>
      <c r="B31" s="33" t="s">
        <v>27</v>
      </c>
      <c r="C31" s="635" t="s">
        <v>75</v>
      </c>
      <c r="D31" s="635"/>
      <c r="E31" s="33">
        <v>25.98</v>
      </c>
      <c r="F31" s="462">
        <v>3894</v>
      </c>
      <c r="G31" s="451">
        <f t="shared" si="23"/>
        <v>101166.12</v>
      </c>
      <c r="H31" s="463" t="s">
        <v>5</v>
      </c>
      <c r="I31" s="453">
        <v>19</v>
      </c>
      <c r="J31" s="30">
        <v>2400</v>
      </c>
      <c r="K31" s="13">
        <f t="shared" si="1"/>
        <v>126.31578947368421</v>
      </c>
      <c r="L31" s="453">
        <v>19</v>
      </c>
      <c r="M31" s="14">
        <f t="shared" si="24"/>
        <v>2290.5882352941167</v>
      </c>
      <c r="N31" s="13">
        <f t="shared" si="3"/>
        <v>120.55727554179562</v>
      </c>
      <c r="O31" s="15">
        <f t="shared" si="4"/>
        <v>0</v>
      </c>
      <c r="P31" s="16">
        <f t="shared" si="5"/>
        <v>-5.7585139318885865</v>
      </c>
      <c r="Q31" s="452">
        <f t="shared" si="6"/>
        <v>0.95441176470588207</v>
      </c>
      <c r="R31" s="619"/>
      <c r="S31" s="31">
        <v>0.39791666666666664</v>
      </c>
      <c r="T31" s="31">
        <v>0.46875</v>
      </c>
      <c r="U31" s="451">
        <f t="shared" si="26"/>
        <v>5.9999999999999787</v>
      </c>
      <c r="V31" s="454">
        <f t="shared" si="25"/>
        <v>102.00000000000004</v>
      </c>
      <c r="W31" s="17"/>
      <c r="X31" s="17"/>
      <c r="Y31" s="17"/>
      <c r="Z31" s="17"/>
      <c r="AA31" s="610"/>
      <c r="AB31" s="610"/>
      <c r="AC31" s="19"/>
      <c r="AD31" s="19"/>
      <c r="AE31" s="15">
        <f t="shared" si="8"/>
        <v>-109.41176470588334</v>
      </c>
      <c r="AF31" s="452">
        <f t="shared" si="9"/>
        <v>0.95441176470588196</v>
      </c>
      <c r="AG31" s="619"/>
    </row>
    <row r="32" spans="1:33" ht="15.75" customHeight="1">
      <c r="A32" s="636" t="s">
        <v>974</v>
      </c>
      <c r="B32" s="33" t="s">
        <v>27</v>
      </c>
      <c r="C32" s="635" t="s">
        <v>55</v>
      </c>
      <c r="D32" s="635"/>
      <c r="E32" s="33">
        <v>23.89</v>
      </c>
      <c r="F32" s="462">
        <v>542</v>
      </c>
      <c r="G32" s="451">
        <f t="shared" si="23"/>
        <v>12948.380000000001</v>
      </c>
      <c r="H32" s="463" t="s">
        <v>5</v>
      </c>
      <c r="I32" s="453">
        <v>13</v>
      </c>
      <c r="J32" s="30">
        <v>2400</v>
      </c>
      <c r="K32" s="13">
        <f t="shared" si="1"/>
        <v>184.61538461538461</v>
      </c>
      <c r="L32" s="453">
        <v>13</v>
      </c>
      <c r="M32" s="14">
        <f t="shared" si="24"/>
        <v>2322.8571428571377</v>
      </c>
      <c r="N32" s="13">
        <f t="shared" si="3"/>
        <v>178.68131868131829</v>
      </c>
      <c r="O32" s="15">
        <f t="shared" si="4"/>
        <v>0</v>
      </c>
      <c r="P32" s="16">
        <f t="shared" si="5"/>
        <v>-5.9340659340663251</v>
      </c>
      <c r="Q32" s="452">
        <f t="shared" si="6"/>
        <v>0.96785714285714075</v>
      </c>
      <c r="R32" s="619"/>
      <c r="S32" s="31">
        <v>0.47291666666666665</v>
      </c>
      <c r="T32" s="31">
        <v>0.4826388888888889</v>
      </c>
      <c r="U32" s="451">
        <f t="shared" si="26"/>
        <v>5.9999999999999787</v>
      </c>
      <c r="V32" s="454">
        <f t="shared" si="25"/>
        <v>14.00000000000003</v>
      </c>
      <c r="W32" s="17">
        <f>T32</f>
        <v>0.4826388888888889</v>
      </c>
      <c r="X32" s="17">
        <f>S33</f>
        <v>0.52430555555555547</v>
      </c>
      <c r="Y32" s="17"/>
      <c r="Z32" s="17"/>
      <c r="AA32" s="610"/>
      <c r="AB32" s="610"/>
      <c r="AC32" s="19"/>
      <c r="AD32" s="19"/>
      <c r="AE32" s="15">
        <f t="shared" si="8"/>
        <v>-77.14285714286234</v>
      </c>
      <c r="AF32" s="452">
        <f t="shared" si="9"/>
        <v>0.96785714285714064</v>
      </c>
      <c r="AG32" s="619"/>
    </row>
    <row r="33" spans="1:33" ht="15.75" customHeight="1">
      <c r="A33" s="636" t="s">
        <v>974</v>
      </c>
      <c r="B33" s="33" t="s">
        <v>27</v>
      </c>
      <c r="C33" s="635" t="s">
        <v>28</v>
      </c>
      <c r="D33" s="635"/>
      <c r="E33" s="33">
        <v>31.29</v>
      </c>
      <c r="F33" s="462">
        <v>3934</v>
      </c>
      <c r="G33" s="451">
        <f t="shared" si="23"/>
        <v>123094.86</v>
      </c>
      <c r="H33" s="463" t="s">
        <v>5</v>
      </c>
      <c r="I33" s="453">
        <v>18</v>
      </c>
      <c r="J33" s="30">
        <v>2400</v>
      </c>
      <c r="K33" s="13">
        <f t="shared" si="1"/>
        <v>133.33333333333334</v>
      </c>
      <c r="L33" s="453">
        <v>18</v>
      </c>
      <c r="M33" s="14">
        <f t="shared" si="24"/>
        <v>2291.6504854368941</v>
      </c>
      <c r="N33" s="13">
        <f t="shared" si="3"/>
        <v>127.31391585760522</v>
      </c>
      <c r="O33" s="15">
        <f t="shared" si="4"/>
        <v>0</v>
      </c>
      <c r="P33" s="16">
        <f t="shared" si="5"/>
        <v>-6.0194174757281189</v>
      </c>
      <c r="Q33" s="452">
        <f t="shared" si="6"/>
        <v>0.95485436893203912</v>
      </c>
      <c r="R33" s="619"/>
      <c r="S33" s="31">
        <v>0.52430555555555547</v>
      </c>
      <c r="T33" s="31">
        <v>0.59583333333333321</v>
      </c>
      <c r="U33" s="451">
        <f t="shared" si="26"/>
        <v>59.999999999999865</v>
      </c>
      <c r="V33" s="454">
        <f t="shared" si="25"/>
        <v>102.99999999999996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-108.34951456310591</v>
      </c>
      <c r="AF33" s="452">
        <f t="shared" si="9"/>
        <v>0.95485436893203923</v>
      </c>
      <c r="AG33" s="619"/>
    </row>
    <row r="34" spans="1:33" ht="15.75" customHeight="1">
      <c r="A34" s="636" t="s">
        <v>974</v>
      </c>
      <c r="B34" s="33" t="s">
        <v>27</v>
      </c>
      <c r="C34" s="635" t="s">
        <v>34</v>
      </c>
      <c r="D34" s="635"/>
      <c r="E34" s="33">
        <v>24.43</v>
      </c>
      <c r="F34" s="462">
        <v>3192</v>
      </c>
      <c r="G34" s="451">
        <f t="shared" si="23"/>
        <v>77980.56</v>
      </c>
      <c r="H34" s="463" t="s">
        <v>5</v>
      </c>
      <c r="I34" s="453">
        <v>14</v>
      </c>
      <c r="J34" s="30">
        <v>2400</v>
      </c>
      <c r="K34" s="13">
        <f t="shared" si="1"/>
        <v>171.42857142857142</v>
      </c>
      <c r="L34" s="453">
        <v>14</v>
      </c>
      <c r="M34" s="14">
        <f t="shared" si="24"/>
        <v>2307.4698795180716</v>
      </c>
      <c r="N34" s="13">
        <f t="shared" si="3"/>
        <v>164.81927710843368</v>
      </c>
      <c r="O34" s="15">
        <f t="shared" si="4"/>
        <v>0</v>
      </c>
      <c r="P34" s="16">
        <f t="shared" si="5"/>
        <v>-6.6092943201377352</v>
      </c>
      <c r="Q34" s="452">
        <f t="shared" si="6"/>
        <v>0.96144578313252993</v>
      </c>
      <c r="R34" s="619"/>
      <c r="S34" s="31">
        <v>0.59930555555555542</v>
      </c>
      <c r="T34" s="31">
        <v>0.65694444444444433</v>
      </c>
      <c r="U34" s="451">
        <f t="shared" si="26"/>
        <v>4.9999999999999822</v>
      </c>
      <c r="V34" s="454">
        <f t="shared" si="25"/>
        <v>83.000000000000028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-92.530120481928407</v>
      </c>
      <c r="AF34" s="452">
        <f t="shared" si="9"/>
        <v>0.96144578313252982</v>
      </c>
      <c r="AG34" s="619"/>
    </row>
    <row r="35" spans="1:33" ht="15.75" customHeight="1">
      <c r="A35" s="636" t="s">
        <v>974</v>
      </c>
      <c r="B35" s="33" t="s">
        <v>80</v>
      </c>
      <c r="C35" s="620"/>
      <c r="D35" s="620"/>
      <c r="E35" s="459"/>
      <c r="F35" s="462"/>
      <c r="G35" s="451"/>
      <c r="H35" s="462"/>
      <c r="I35" s="23">
        <v>16.285714285714285</v>
      </c>
      <c r="J35" s="30">
        <v>2400</v>
      </c>
      <c r="K35" s="13">
        <f t="shared" si="1"/>
        <v>147.36842105263159</v>
      </c>
      <c r="L35" s="23">
        <v>16.285714285714285</v>
      </c>
      <c r="M35" s="14">
        <f>AVERAGE(M28:M34)</f>
        <v>2299.3292231853516</v>
      </c>
      <c r="N35" s="13">
        <f t="shared" si="3"/>
        <v>141.18688212541633</v>
      </c>
      <c r="O35" s="15">
        <f t="shared" si="4"/>
        <v>0</v>
      </c>
      <c r="P35" s="16">
        <f t="shared" si="5"/>
        <v>-6.1815389272152572</v>
      </c>
      <c r="Q35" s="452">
        <f t="shared" si="6"/>
        <v>0.95805384299389651</v>
      </c>
      <c r="R35" s="619"/>
      <c r="S35" s="31"/>
      <c r="T35" s="31"/>
      <c r="U35" s="451"/>
      <c r="V35" s="454"/>
      <c r="W35" s="451"/>
      <c r="X35" s="451"/>
      <c r="Y35" s="24">
        <f>SUM(Y28:Y34)</f>
        <v>0</v>
      </c>
      <c r="Z35" s="24">
        <f>SUM(Z28:Z34)</f>
        <v>0</v>
      </c>
      <c r="AA35" s="609"/>
      <c r="AB35" s="609"/>
      <c r="AC35" s="24">
        <v>7</v>
      </c>
      <c r="AD35" s="24">
        <f>SUM(AD28:AD34)</f>
        <v>0</v>
      </c>
      <c r="AE35" s="15">
        <f t="shared" si="8"/>
        <v>-100.67077681464843</v>
      </c>
      <c r="AF35" s="452">
        <f t="shared" si="9"/>
        <v>0.95805384299389651</v>
      </c>
      <c r="AG35" s="619"/>
    </row>
    <row r="36" spans="1:33" ht="15.75" customHeight="1">
      <c r="A36" s="633" t="s">
        <v>2231</v>
      </c>
      <c r="B36" s="33" t="s">
        <v>27</v>
      </c>
      <c r="C36" s="611" t="s">
        <v>33</v>
      </c>
      <c r="D36" s="611"/>
      <c r="E36" s="33">
        <v>26.18</v>
      </c>
      <c r="F36" s="462">
        <v>5939</v>
      </c>
      <c r="G36" s="451">
        <f t="shared" ref="G36:G42" si="27">E36*F36</f>
        <v>155483.01999999999</v>
      </c>
      <c r="H36" s="463" t="s">
        <v>5</v>
      </c>
      <c r="I36" s="453">
        <v>20</v>
      </c>
      <c r="J36" s="30">
        <v>2400</v>
      </c>
      <c r="K36" s="13">
        <f t="shared" si="1"/>
        <v>120</v>
      </c>
      <c r="L36" s="453">
        <v>20</v>
      </c>
      <c r="M36" s="14">
        <f t="shared" ref="M36:M42" si="28">F36/V36*60</f>
        <v>2284.2307692307695</v>
      </c>
      <c r="N36" s="13">
        <f t="shared" si="3"/>
        <v>114.21153846153848</v>
      </c>
      <c r="O36" s="15">
        <f t="shared" si="4"/>
        <v>0</v>
      </c>
      <c r="P36" s="16">
        <f t="shared" si="5"/>
        <v>-5.7884615384615188</v>
      </c>
      <c r="Q36" s="452">
        <f t="shared" si="6"/>
        <v>0.95176282051282068</v>
      </c>
      <c r="R36" s="619">
        <f>Q43</f>
        <v>0.95866638277114924</v>
      </c>
      <c r="S36" s="31">
        <v>8.3333333333333329E-2</v>
      </c>
      <c r="T36" s="31">
        <v>0.19166666666666665</v>
      </c>
      <c r="U36" s="451"/>
      <c r="V36" s="454">
        <f t="shared" ref="V36:V42" si="29">(T36-S36)*24*60</f>
        <v>155.99999999999997</v>
      </c>
      <c r="W36" s="22">
        <f>T36</f>
        <v>0.19166666666666665</v>
      </c>
      <c r="X36" s="22">
        <f>S37</f>
        <v>0.21041666666666667</v>
      </c>
      <c r="Y36" s="22"/>
      <c r="Z36" s="22"/>
      <c r="AA36" s="610"/>
      <c r="AB36" s="610"/>
      <c r="AC36" s="19">
        <v>7</v>
      </c>
      <c r="AD36" s="19"/>
      <c r="AE36" s="15">
        <f t="shared" si="8"/>
        <v>-115.76923076923049</v>
      </c>
      <c r="AF36" s="452">
        <f t="shared" si="9"/>
        <v>0.95176282051282068</v>
      </c>
      <c r="AG36" s="619">
        <f>AF43</f>
        <v>0.95866638277114913</v>
      </c>
    </row>
    <row r="37" spans="1:33" ht="15.75" customHeight="1">
      <c r="A37" s="633" t="s">
        <v>2231</v>
      </c>
      <c r="B37" s="33" t="s">
        <v>27</v>
      </c>
      <c r="C37" s="611" t="s">
        <v>30</v>
      </c>
      <c r="D37" s="611"/>
      <c r="E37" s="33">
        <v>26.18</v>
      </c>
      <c r="F37" s="462">
        <v>4400</v>
      </c>
      <c r="G37" s="451">
        <f t="shared" si="27"/>
        <v>115192</v>
      </c>
      <c r="H37" s="463">
        <v>2</v>
      </c>
      <c r="I37" s="453">
        <v>18</v>
      </c>
      <c r="J37" s="30">
        <v>2400</v>
      </c>
      <c r="K37" s="13">
        <f t="shared" si="1"/>
        <v>133.33333333333334</v>
      </c>
      <c r="L37" s="453">
        <v>18</v>
      </c>
      <c r="M37" s="14">
        <f t="shared" si="28"/>
        <v>2295.652173913043</v>
      </c>
      <c r="N37" s="13">
        <f t="shared" si="3"/>
        <v>127.53623188405794</v>
      </c>
      <c r="O37" s="15">
        <f t="shared" si="4"/>
        <v>0</v>
      </c>
      <c r="P37" s="16">
        <f t="shared" si="5"/>
        <v>-5.7971014492754023</v>
      </c>
      <c r="Q37" s="452">
        <f t="shared" si="6"/>
        <v>0.95652173913043448</v>
      </c>
      <c r="R37" s="619"/>
      <c r="S37" s="31">
        <v>0.21041666666666667</v>
      </c>
      <c r="T37" s="31">
        <v>0.2902777777777778</v>
      </c>
      <c r="U37" s="451">
        <f t="shared" ref="U37:U42" si="30">(S37-T36)*24*60</f>
        <v>27.000000000000025</v>
      </c>
      <c r="V37" s="454">
        <f t="shared" si="29"/>
        <v>115.00000000000003</v>
      </c>
      <c r="W37" s="451"/>
      <c r="X37" s="451"/>
      <c r="Y37" s="451"/>
      <c r="Z37" s="451"/>
      <c r="AA37" s="610"/>
      <c r="AB37" s="610"/>
      <c r="AC37" s="19"/>
      <c r="AD37" s="19"/>
      <c r="AE37" s="15">
        <f t="shared" si="8"/>
        <v>-104.34782608695696</v>
      </c>
      <c r="AF37" s="452">
        <f t="shared" si="9"/>
        <v>0.95652173913043459</v>
      </c>
      <c r="AG37" s="619"/>
    </row>
    <row r="38" spans="1:33">
      <c r="A38" s="634" t="s">
        <v>83</v>
      </c>
      <c r="B38" s="33" t="s">
        <v>27</v>
      </c>
      <c r="C38" s="611" t="s">
        <v>35</v>
      </c>
      <c r="D38" s="611"/>
      <c r="E38" s="33">
        <v>34.1</v>
      </c>
      <c r="F38" s="462">
        <v>3400</v>
      </c>
      <c r="G38" s="451">
        <f t="shared" si="27"/>
        <v>115940</v>
      </c>
      <c r="H38" s="463">
        <v>2</v>
      </c>
      <c r="I38" s="453">
        <v>17</v>
      </c>
      <c r="J38" s="30">
        <v>1600</v>
      </c>
      <c r="K38" s="13">
        <f t="shared" si="1"/>
        <v>94.117647058823536</v>
      </c>
      <c r="L38" s="453">
        <v>17</v>
      </c>
      <c r="M38" s="14">
        <f t="shared" si="28"/>
        <v>1533.8345864661655</v>
      </c>
      <c r="N38" s="13">
        <f t="shared" si="3"/>
        <v>90.225563909774451</v>
      </c>
      <c r="O38" s="15">
        <f t="shared" si="4"/>
        <v>0</v>
      </c>
      <c r="P38" s="16">
        <f t="shared" si="5"/>
        <v>-3.8920831490490855</v>
      </c>
      <c r="Q38" s="452">
        <f t="shared" si="6"/>
        <v>0.95864661654135352</v>
      </c>
      <c r="R38" s="619"/>
      <c r="S38" s="31">
        <v>0.2951388888888889</v>
      </c>
      <c r="T38" s="31">
        <v>0.38750000000000001</v>
      </c>
      <c r="U38" s="451">
        <f t="shared" si="30"/>
        <v>6.9999999999999751</v>
      </c>
      <c r="V38" s="454">
        <f t="shared" si="29"/>
        <v>133</v>
      </c>
      <c r="W38" s="451"/>
      <c r="X38" s="451"/>
      <c r="Y38" s="451"/>
      <c r="Z38" s="451"/>
      <c r="AA38" s="610"/>
      <c r="AB38" s="610"/>
      <c r="AC38" s="19"/>
      <c r="AD38" s="19"/>
      <c r="AE38" s="15">
        <f t="shared" si="8"/>
        <v>-66.165413533834453</v>
      </c>
      <c r="AF38" s="452">
        <f t="shared" si="9"/>
        <v>0.95864661654135341</v>
      </c>
      <c r="AG38" s="619"/>
    </row>
    <row r="39" spans="1:33">
      <c r="A39" s="634" t="s">
        <v>2232</v>
      </c>
      <c r="B39" s="33" t="s">
        <v>27</v>
      </c>
      <c r="C39" s="611" t="s">
        <v>54</v>
      </c>
      <c r="D39" s="611"/>
      <c r="E39" s="33">
        <v>24.25</v>
      </c>
      <c r="F39" s="462">
        <v>1548</v>
      </c>
      <c r="G39" s="451">
        <f t="shared" si="27"/>
        <v>37539</v>
      </c>
      <c r="H39" s="463" t="s">
        <v>5</v>
      </c>
      <c r="I39" s="453">
        <v>16</v>
      </c>
      <c r="J39" s="30">
        <v>2400</v>
      </c>
      <c r="K39" s="13">
        <f t="shared" si="1"/>
        <v>150</v>
      </c>
      <c r="L39" s="453">
        <v>16</v>
      </c>
      <c r="M39" s="14">
        <f t="shared" si="28"/>
        <v>2321.9999999999991</v>
      </c>
      <c r="N39" s="13">
        <f t="shared" si="3"/>
        <v>145.12499999999994</v>
      </c>
      <c r="O39" s="15">
        <f t="shared" si="4"/>
        <v>0</v>
      </c>
      <c r="P39" s="16">
        <f t="shared" si="5"/>
        <v>-4.8750000000000568</v>
      </c>
      <c r="Q39" s="452">
        <f t="shared" si="6"/>
        <v>0.96749999999999958</v>
      </c>
      <c r="R39" s="619"/>
      <c r="S39" s="31">
        <v>0.39097222222222222</v>
      </c>
      <c r="T39" s="31">
        <v>0.41875000000000001</v>
      </c>
      <c r="U39" s="451">
        <f t="shared" si="30"/>
        <v>4.9999999999999822</v>
      </c>
      <c r="V39" s="454">
        <f t="shared" si="29"/>
        <v>40.000000000000014</v>
      </c>
      <c r="W39" s="17"/>
      <c r="X39" s="17"/>
      <c r="Y39" s="17"/>
      <c r="Z39" s="17"/>
      <c r="AA39" s="610"/>
      <c r="AB39" s="610"/>
      <c r="AC39" s="19"/>
      <c r="AD39" s="19"/>
      <c r="AE39" s="15">
        <f t="shared" si="8"/>
        <v>-78.000000000000909</v>
      </c>
      <c r="AF39" s="452">
        <f t="shared" si="9"/>
        <v>0.96749999999999958</v>
      </c>
      <c r="AG39" s="619"/>
    </row>
    <row r="40" spans="1:33">
      <c r="A40" s="634" t="s">
        <v>2232</v>
      </c>
      <c r="B40" s="33" t="s">
        <v>27</v>
      </c>
      <c r="C40" s="611" t="s">
        <v>32</v>
      </c>
      <c r="D40" s="611"/>
      <c r="E40" s="33">
        <v>25.99</v>
      </c>
      <c r="F40" s="462">
        <v>3497</v>
      </c>
      <c r="G40" s="451">
        <f t="shared" si="27"/>
        <v>90887.03</v>
      </c>
      <c r="H40" s="463" t="s">
        <v>5</v>
      </c>
      <c r="I40" s="453">
        <v>14</v>
      </c>
      <c r="J40" s="30">
        <v>2400</v>
      </c>
      <c r="K40" s="13">
        <f t="shared" si="1"/>
        <v>171.42857142857142</v>
      </c>
      <c r="L40" s="453">
        <v>14</v>
      </c>
      <c r="M40" s="14">
        <f t="shared" si="28"/>
        <v>2305.7142857142858</v>
      </c>
      <c r="N40" s="13">
        <f t="shared" si="3"/>
        <v>164.69387755102042</v>
      </c>
      <c r="O40" s="15">
        <f t="shared" si="4"/>
        <v>0</v>
      </c>
      <c r="P40" s="16">
        <f t="shared" si="5"/>
        <v>-6.7346938775509955</v>
      </c>
      <c r="Q40" s="452">
        <f t="shared" si="6"/>
        <v>0.96071428571428585</v>
      </c>
      <c r="R40" s="619"/>
      <c r="S40" s="31">
        <v>0.42430555555555555</v>
      </c>
      <c r="T40" s="31">
        <v>0.48749999999999999</v>
      </c>
      <c r="U40" s="451">
        <f t="shared" si="30"/>
        <v>7.9999999999999716</v>
      </c>
      <c r="V40" s="454">
        <f t="shared" si="29"/>
        <v>91</v>
      </c>
      <c r="W40" s="17">
        <f>T40</f>
        <v>0.48749999999999999</v>
      </c>
      <c r="X40" s="17">
        <f>S41</f>
        <v>0.52638888888888891</v>
      </c>
      <c r="Y40" s="17"/>
      <c r="Z40" s="17"/>
      <c r="AA40" s="610"/>
      <c r="AB40" s="610"/>
      <c r="AC40" s="19"/>
      <c r="AD40" s="19"/>
      <c r="AE40" s="15">
        <f t="shared" si="8"/>
        <v>-94.285714285714221</v>
      </c>
      <c r="AF40" s="452">
        <f t="shared" si="9"/>
        <v>0.96071428571428574</v>
      </c>
      <c r="AG40" s="619"/>
    </row>
    <row r="41" spans="1:33">
      <c r="A41" s="634" t="s">
        <v>83</v>
      </c>
      <c r="B41" s="33" t="s">
        <v>27</v>
      </c>
      <c r="C41" s="611" t="s">
        <v>30</v>
      </c>
      <c r="D41" s="611"/>
      <c r="E41" s="33">
        <v>26.18</v>
      </c>
      <c r="F41" s="462">
        <v>3378</v>
      </c>
      <c r="G41" s="451">
        <f t="shared" si="27"/>
        <v>88436.04</v>
      </c>
      <c r="H41" s="463" t="s">
        <v>5</v>
      </c>
      <c r="I41" s="453">
        <v>18</v>
      </c>
      <c r="J41" s="30">
        <v>2400</v>
      </c>
      <c r="K41" s="13">
        <f t="shared" si="1"/>
        <v>133.33333333333334</v>
      </c>
      <c r="L41" s="453">
        <v>18</v>
      </c>
      <c r="M41" s="14">
        <f t="shared" si="28"/>
        <v>2303.181818181818</v>
      </c>
      <c r="N41" s="13">
        <f t="shared" si="3"/>
        <v>127.95454545454544</v>
      </c>
      <c r="O41" s="15">
        <f t="shared" si="4"/>
        <v>0</v>
      </c>
      <c r="P41" s="16">
        <f t="shared" si="5"/>
        <v>-5.3787878787879038</v>
      </c>
      <c r="Q41" s="452">
        <f t="shared" si="6"/>
        <v>0.95965909090909074</v>
      </c>
      <c r="R41" s="619"/>
      <c r="S41" s="31">
        <v>0.52638888888888891</v>
      </c>
      <c r="T41" s="31">
        <v>0.58750000000000002</v>
      </c>
      <c r="U41" s="451">
        <f t="shared" si="30"/>
        <v>56.000000000000043</v>
      </c>
      <c r="V41" s="454">
        <f t="shared" si="29"/>
        <v>88</v>
      </c>
      <c r="W41" s="17"/>
      <c r="X41" s="17"/>
      <c r="Y41" s="17"/>
      <c r="Z41" s="17"/>
      <c r="AA41" s="610"/>
      <c r="AB41" s="610"/>
      <c r="AC41" s="19"/>
      <c r="AD41" s="19"/>
      <c r="AE41" s="15">
        <f t="shared" si="8"/>
        <v>-96.818181818181984</v>
      </c>
      <c r="AF41" s="452">
        <f t="shared" si="9"/>
        <v>0.95965909090909085</v>
      </c>
      <c r="AG41" s="619"/>
    </row>
    <row r="42" spans="1:33">
      <c r="A42" s="634" t="s">
        <v>83</v>
      </c>
      <c r="B42" s="33" t="s">
        <v>27</v>
      </c>
      <c r="C42" s="611" t="s">
        <v>35</v>
      </c>
      <c r="D42" s="611"/>
      <c r="E42" s="33">
        <v>34.1</v>
      </c>
      <c r="F42" s="462">
        <v>2647</v>
      </c>
      <c r="G42" s="451">
        <f t="shared" si="27"/>
        <v>90262.7</v>
      </c>
      <c r="H42" s="463" t="s">
        <v>5</v>
      </c>
      <c r="I42" s="453">
        <v>17</v>
      </c>
      <c r="J42" s="30">
        <v>1600</v>
      </c>
      <c r="K42" s="13">
        <f t="shared" si="1"/>
        <v>94.117647058823536</v>
      </c>
      <c r="L42" s="453">
        <v>17</v>
      </c>
      <c r="M42" s="14">
        <f t="shared" si="28"/>
        <v>1527.1153846153854</v>
      </c>
      <c r="N42" s="13">
        <f t="shared" si="3"/>
        <v>89.830316742081493</v>
      </c>
      <c r="O42" s="15">
        <f t="shared" si="4"/>
        <v>0</v>
      </c>
      <c r="P42" s="16">
        <f t="shared" si="5"/>
        <v>-4.2873303167420431</v>
      </c>
      <c r="Q42" s="452">
        <f t="shared" si="6"/>
        <v>0.9544471153846158</v>
      </c>
      <c r="R42" s="619"/>
      <c r="S42" s="31">
        <v>0.59305555555555556</v>
      </c>
      <c r="T42" s="31">
        <v>0.66527777777777775</v>
      </c>
      <c r="U42" s="451">
        <f t="shared" si="30"/>
        <v>7.9999999999999716</v>
      </c>
      <c r="V42" s="454">
        <f t="shared" si="29"/>
        <v>103.99999999999994</v>
      </c>
      <c r="W42" s="17"/>
      <c r="X42" s="17"/>
      <c r="Y42" s="20"/>
      <c r="Z42" s="20"/>
      <c r="AA42" s="614"/>
      <c r="AB42" s="615"/>
      <c r="AC42" s="19"/>
      <c r="AD42" s="19"/>
      <c r="AE42" s="15">
        <f t="shared" si="8"/>
        <v>-72.884615384614563</v>
      </c>
      <c r="AF42" s="452">
        <f t="shared" si="9"/>
        <v>0.95444711538461591</v>
      </c>
      <c r="AG42" s="619"/>
    </row>
    <row r="43" spans="1:33">
      <c r="A43" s="634" t="s">
        <v>83</v>
      </c>
      <c r="B43" s="34" t="s">
        <v>80</v>
      </c>
      <c r="C43" s="620"/>
      <c r="D43" s="620"/>
      <c r="E43" s="459"/>
      <c r="F43" s="34"/>
      <c r="G43" s="13"/>
      <c r="H43" s="462"/>
      <c r="I43" s="23">
        <v>17.142857142857142</v>
      </c>
      <c r="J43" s="30">
        <v>2171.4285714285716</v>
      </c>
      <c r="K43" s="13">
        <f t="shared" si="1"/>
        <v>126.66666666666667</v>
      </c>
      <c r="L43" s="23">
        <v>17.142857142857142</v>
      </c>
      <c r="M43" s="14">
        <f>AVERAGE(M36:M42)</f>
        <v>2081.6755740173526</v>
      </c>
      <c r="N43" s="13">
        <f t="shared" si="3"/>
        <v>121.43107515101224</v>
      </c>
      <c r="O43" s="15">
        <f t="shared" si="4"/>
        <v>0</v>
      </c>
      <c r="P43" s="16">
        <f t="shared" si="5"/>
        <v>-5.2355915156544341</v>
      </c>
      <c r="Q43" s="452">
        <f t="shared" si="6"/>
        <v>0.95866638277114924</v>
      </c>
      <c r="R43" s="619"/>
      <c r="S43" s="31"/>
      <c r="T43" s="31"/>
      <c r="U43" s="13"/>
      <c r="V43" s="454"/>
      <c r="W43" s="13"/>
      <c r="X43" s="13"/>
      <c r="Y43" s="24">
        <f>SUM(Y36:Y42)</f>
        <v>0</v>
      </c>
      <c r="Z43" s="24">
        <f>SUM(Z36:Z42)</f>
        <v>0</v>
      </c>
      <c r="AA43" s="609"/>
      <c r="AB43" s="609"/>
      <c r="AC43" s="24">
        <v>7</v>
      </c>
      <c r="AD43" s="24">
        <f>SUM(AD36:AD42)</f>
        <v>0</v>
      </c>
      <c r="AE43" s="15">
        <f t="shared" si="8"/>
        <v>-89.752997411218985</v>
      </c>
      <c r="AF43" s="452">
        <f t="shared" si="9"/>
        <v>0.95866638277114913</v>
      </c>
      <c r="AG43" s="619"/>
    </row>
    <row r="44" spans="1:33" ht="15.75" customHeight="1">
      <c r="A44" s="630" t="s">
        <v>2233</v>
      </c>
      <c r="B44" s="33" t="s">
        <v>36</v>
      </c>
      <c r="C44" s="612" t="s">
        <v>37</v>
      </c>
      <c r="D44" s="613"/>
      <c r="E44" s="33">
        <v>21.13</v>
      </c>
      <c r="F44" s="462">
        <v>5245</v>
      </c>
      <c r="G44" s="451">
        <f t="shared" ref="G44:G46" si="31">E44*F44</f>
        <v>110826.84999999999</v>
      </c>
      <c r="H44" s="463" t="s">
        <v>5</v>
      </c>
      <c r="I44" s="453">
        <v>10</v>
      </c>
      <c r="J44" s="30">
        <v>3000</v>
      </c>
      <c r="K44" s="13">
        <f t="shared" si="1"/>
        <v>300</v>
      </c>
      <c r="L44" s="453">
        <v>10</v>
      </c>
      <c r="M44" s="14">
        <f t="shared" ref="M44:M46" si="32">F44/V44*60</f>
        <v>2860.9090909090914</v>
      </c>
      <c r="N44" s="14">
        <f t="shared" si="3"/>
        <v>286.09090909090912</v>
      </c>
      <c r="O44" s="15">
        <f t="shared" si="4"/>
        <v>0</v>
      </c>
      <c r="P44" s="16">
        <f t="shared" si="5"/>
        <v>-13.909090909090878</v>
      </c>
      <c r="Q44" s="452">
        <f t="shared" si="6"/>
        <v>0.95363636363636373</v>
      </c>
      <c r="R44" s="625">
        <f>Q47</f>
        <v>0.95640649350649365</v>
      </c>
      <c r="S44" s="31">
        <v>0.20833333333333334</v>
      </c>
      <c r="T44" s="31">
        <v>0.28472222222222221</v>
      </c>
      <c r="U44" s="22"/>
      <c r="V44" s="454">
        <f t="shared" ref="V44:V46" si="33">(T44-S44)*24*60</f>
        <v>109.99999999999997</v>
      </c>
      <c r="W44" s="17"/>
      <c r="X44" s="17"/>
      <c r="Y44" s="20"/>
      <c r="Z44" s="20"/>
      <c r="AA44" s="614"/>
      <c r="AB44" s="615"/>
      <c r="AC44" s="19">
        <v>3</v>
      </c>
      <c r="AD44" s="19"/>
      <c r="AE44" s="15">
        <f t="shared" si="8"/>
        <v>-139.09090909090855</v>
      </c>
      <c r="AF44" s="452">
        <f t="shared" si="9"/>
        <v>0.95363636363636384</v>
      </c>
      <c r="AG44" s="625">
        <f>AF47</f>
        <v>0.95640649350649365</v>
      </c>
    </row>
    <row r="45" spans="1:33" ht="15.75" customHeight="1">
      <c r="A45" s="631" t="s">
        <v>2234</v>
      </c>
      <c r="B45" s="33" t="s">
        <v>36</v>
      </c>
      <c r="C45" s="612" t="s">
        <v>38</v>
      </c>
      <c r="D45" s="613"/>
      <c r="E45" s="33">
        <v>27.17</v>
      </c>
      <c r="F45" s="462">
        <v>6021</v>
      </c>
      <c r="G45" s="451">
        <f t="shared" si="31"/>
        <v>163590.57</v>
      </c>
      <c r="H45" s="463" t="s">
        <v>5</v>
      </c>
      <c r="I45" s="453">
        <v>10</v>
      </c>
      <c r="J45" s="30">
        <v>3000</v>
      </c>
      <c r="K45" s="13">
        <f t="shared" si="1"/>
        <v>300</v>
      </c>
      <c r="L45" s="453">
        <v>10</v>
      </c>
      <c r="M45" s="14">
        <f t="shared" si="32"/>
        <v>2867.1428571428569</v>
      </c>
      <c r="N45" s="14">
        <f t="shared" si="3"/>
        <v>286.71428571428567</v>
      </c>
      <c r="O45" s="15">
        <f t="shared" si="4"/>
        <v>0</v>
      </c>
      <c r="P45" s="16">
        <f t="shared" si="5"/>
        <v>-13.285714285714334</v>
      </c>
      <c r="Q45" s="452">
        <f t="shared" si="6"/>
        <v>0.95571428571428552</v>
      </c>
      <c r="R45" s="626"/>
      <c r="S45" s="31">
        <v>0.29027777777777775</v>
      </c>
      <c r="T45" s="31">
        <v>0.37777777777777777</v>
      </c>
      <c r="U45" s="451">
        <f t="shared" ref="U45:U46" si="34">(S45-T44)*24*60</f>
        <v>7.9999999999999716</v>
      </c>
      <c r="V45" s="454">
        <f t="shared" si="33"/>
        <v>126.00000000000003</v>
      </c>
      <c r="W45" s="17"/>
      <c r="X45" s="17"/>
      <c r="Y45" s="20"/>
      <c r="Z45" s="20"/>
      <c r="AA45" s="614"/>
      <c r="AB45" s="615"/>
      <c r="AC45" s="19"/>
      <c r="AD45" s="19"/>
      <c r="AE45" s="15">
        <f t="shared" si="8"/>
        <v>-132.85714285714312</v>
      </c>
      <c r="AF45" s="452">
        <f t="shared" si="9"/>
        <v>0.95571428571428563</v>
      </c>
      <c r="AG45" s="626"/>
    </row>
    <row r="46" spans="1:33" ht="15.75" customHeight="1">
      <c r="A46" s="631" t="s">
        <v>868</v>
      </c>
      <c r="B46" s="33" t="s">
        <v>36</v>
      </c>
      <c r="C46" s="612" t="s">
        <v>1511</v>
      </c>
      <c r="D46" s="613"/>
      <c r="E46" s="33">
        <v>37.880000000000003</v>
      </c>
      <c r="F46" s="462">
        <v>2404</v>
      </c>
      <c r="G46" s="451">
        <f t="shared" si="31"/>
        <v>91063.52</v>
      </c>
      <c r="H46" s="463" t="s">
        <v>5</v>
      </c>
      <c r="I46" s="453">
        <v>13</v>
      </c>
      <c r="J46" s="30">
        <v>2000</v>
      </c>
      <c r="K46" s="13">
        <f t="shared" si="1"/>
        <v>153.84615384615384</v>
      </c>
      <c r="L46" s="453">
        <v>13</v>
      </c>
      <c r="M46" s="14">
        <f t="shared" si="32"/>
        <v>1923.200000000001</v>
      </c>
      <c r="N46" s="14">
        <f t="shared" si="3"/>
        <v>147.93846153846161</v>
      </c>
      <c r="O46" s="15">
        <f t="shared" si="4"/>
        <v>0</v>
      </c>
      <c r="P46" s="16">
        <f t="shared" si="5"/>
        <v>-5.9076923076922299</v>
      </c>
      <c r="Q46" s="452">
        <f t="shared" si="6"/>
        <v>0.96160000000000045</v>
      </c>
      <c r="R46" s="626"/>
      <c r="S46" s="31">
        <v>0.38263888888888886</v>
      </c>
      <c r="T46" s="31">
        <v>0.43472222222222218</v>
      </c>
      <c r="U46" s="451">
        <f t="shared" si="34"/>
        <v>6.9999999999999751</v>
      </c>
      <c r="V46" s="454">
        <f t="shared" si="33"/>
        <v>74.999999999999972</v>
      </c>
      <c r="W46" s="17"/>
      <c r="X46" s="17"/>
      <c r="Y46" s="20"/>
      <c r="Z46" s="20"/>
      <c r="AA46" s="614"/>
      <c r="AB46" s="615"/>
      <c r="AC46" s="19"/>
      <c r="AD46" s="19"/>
      <c r="AE46" s="15">
        <f t="shared" si="8"/>
        <v>-76.799999999999045</v>
      </c>
      <c r="AF46" s="452">
        <f t="shared" si="9"/>
        <v>0.96160000000000045</v>
      </c>
      <c r="AG46" s="626"/>
    </row>
    <row r="47" spans="1:33" ht="15.75" customHeight="1">
      <c r="A47" s="632" t="s">
        <v>1328</v>
      </c>
      <c r="B47" s="33" t="s">
        <v>2235</v>
      </c>
      <c r="C47" s="607"/>
      <c r="D47" s="608"/>
      <c r="E47" s="458"/>
      <c r="F47" s="462"/>
      <c r="G47" s="451"/>
      <c r="H47" s="462"/>
      <c r="I47" s="23">
        <v>11</v>
      </c>
      <c r="J47" s="30">
        <v>2666.6666666666665</v>
      </c>
      <c r="K47" s="13">
        <f t="shared" si="1"/>
        <v>242.42424242424241</v>
      </c>
      <c r="L47" s="23">
        <v>11</v>
      </c>
      <c r="M47" s="14">
        <f>AVERAGE(M44:M46)</f>
        <v>2550.4173160173164</v>
      </c>
      <c r="N47" s="13">
        <f t="shared" si="3"/>
        <v>231.85611963793784</v>
      </c>
      <c r="O47" s="15">
        <f t="shared" si="4"/>
        <v>0</v>
      </c>
      <c r="P47" s="16">
        <f t="shared" si="5"/>
        <v>-10.568122786304571</v>
      </c>
      <c r="Q47" s="452">
        <f t="shared" si="6"/>
        <v>0.95640649350649365</v>
      </c>
      <c r="R47" s="627"/>
      <c r="S47" s="31"/>
      <c r="T47" s="31"/>
      <c r="U47" s="451"/>
      <c r="V47" s="454"/>
      <c r="W47" s="17"/>
      <c r="X47" s="17"/>
      <c r="Y47" s="24">
        <f>SUM(Y44:Y46)</f>
        <v>0</v>
      </c>
      <c r="Z47" s="24">
        <f>SUM(Z44:Z46)</f>
        <v>0</v>
      </c>
      <c r="AA47" s="628"/>
      <c r="AB47" s="629"/>
      <c r="AC47" s="24">
        <v>3</v>
      </c>
      <c r="AD47" s="24">
        <f>SUM(AD44:AD46)</f>
        <v>0</v>
      </c>
      <c r="AE47" s="15">
        <f t="shared" si="8"/>
        <v>-116.24935064935016</v>
      </c>
      <c r="AF47" s="452">
        <f t="shared" si="9"/>
        <v>0.95640649350649365</v>
      </c>
      <c r="AG47" s="627"/>
    </row>
    <row r="48" spans="1:33" ht="15.75" customHeight="1">
      <c r="A48" s="623" t="s">
        <v>84</v>
      </c>
      <c r="B48" s="33" t="s">
        <v>10</v>
      </c>
      <c r="C48" s="611" t="s">
        <v>42</v>
      </c>
      <c r="D48" s="611"/>
      <c r="E48" s="33">
        <v>46</v>
      </c>
      <c r="F48" s="35">
        <v>1054</v>
      </c>
      <c r="G48" s="451">
        <f t="shared" ref="G48:G55" si="35">E48*F48</f>
        <v>48484</v>
      </c>
      <c r="H48" s="463" t="s">
        <v>5</v>
      </c>
      <c r="I48" s="453">
        <v>16</v>
      </c>
      <c r="J48" s="30">
        <v>2000</v>
      </c>
      <c r="K48" s="13">
        <f t="shared" si="1"/>
        <v>125</v>
      </c>
      <c r="L48" s="453">
        <v>16</v>
      </c>
      <c r="M48" s="14">
        <f t="shared" ref="M48" si="36">F48/V48*60</f>
        <v>1916.3636363636363</v>
      </c>
      <c r="N48" s="14">
        <f t="shared" si="3"/>
        <v>119.77272727272727</v>
      </c>
      <c r="O48" s="15">
        <f t="shared" si="4"/>
        <v>0</v>
      </c>
      <c r="P48" s="16">
        <f t="shared" si="5"/>
        <v>-5.2272727272727337</v>
      </c>
      <c r="Q48" s="452">
        <f t="shared" si="6"/>
        <v>0.95818181818181813</v>
      </c>
      <c r="R48" s="619">
        <f>Q56</f>
        <v>0.9609420303092181</v>
      </c>
      <c r="S48" s="31">
        <v>0.20833333333333334</v>
      </c>
      <c r="T48" s="31">
        <v>0.23125000000000001</v>
      </c>
      <c r="U48" s="22"/>
      <c r="V48" s="454">
        <f t="shared" ref="V48:V55" si="37">(T48-S48)*24*60</f>
        <v>33</v>
      </c>
      <c r="W48" s="17"/>
      <c r="X48" s="17"/>
      <c r="Y48" s="22"/>
      <c r="Z48" s="22"/>
      <c r="AA48" s="610"/>
      <c r="AB48" s="610"/>
      <c r="AC48" s="19">
        <v>8</v>
      </c>
      <c r="AD48" s="19"/>
      <c r="AE48" s="15">
        <f t="shared" si="8"/>
        <v>-83.63636363636374</v>
      </c>
      <c r="AF48" s="452">
        <f t="shared" si="9"/>
        <v>0.95818181818181813</v>
      </c>
      <c r="AG48" s="619">
        <f>AF56</f>
        <v>0.96094203030921799</v>
      </c>
    </row>
    <row r="49" spans="1:33" ht="15.75" customHeight="1">
      <c r="A49" s="623" t="s">
        <v>84</v>
      </c>
      <c r="B49" s="33" t="s">
        <v>10</v>
      </c>
      <c r="C49" s="611" t="s">
        <v>43</v>
      </c>
      <c r="D49" s="611"/>
      <c r="E49" s="33">
        <v>46</v>
      </c>
      <c r="F49" s="35">
        <v>1194</v>
      </c>
      <c r="G49" s="451">
        <f t="shared" si="35"/>
        <v>54924</v>
      </c>
      <c r="H49" s="463" t="s">
        <v>5</v>
      </c>
      <c r="I49" s="453">
        <v>17</v>
      </c>
      <c r="J49" s="30">
        <v>2000</v>
      </c>
      <c r="K49" s="13">
        <f t="shared" si="1"/>
        <v>117.64705882352941</v>
      </c>
      <c r="L49" s="453">
        <v>17</v>
      </c>
      <c r="M49" s="14">
        <f>F49/V49*60</f>
        <v>1936.2162162162169</v>
      </c>
      <c r="N49" s="14">
        <f t="shared" si="3"/>
        <v>113.89507154213041</v>
      </c>
      <c r="O49" s="15">
        <f t="shared" si="4"/>
        <v>0</v>
      </c>
      <c r="P49" s="16">
        <f t="shared" si="5"/>
        <v>-3.7519872813989963</v>
      </c>
      <c r="Q49" s="452">
        <f t="shared" si="6"/>
        <v>0.96810810810810854</v>
      </c>
      <c r="R49" s="619"/>
      <c r="S49" s="31">
        <v>0.23611111111111113</v>
      </c>
      <c r="T49" s="31">
        <v>0.26180555555555557</v>
      </c>
      <c r="U49" s="451">
        <f t="shared" ref="U49:U55" si="38">IF(S49=TIME(17,0,0),"",(S49-T48)*24*60)</f>
        <v>7.0000000000000151</v>
      </c>
      <c r="V49" s="454">
        <f t="shared" si="37"/>
        <v>36.999999999999986</v>
      </c>
      <c r="W49" s="17"/>
      <c r="X49" s="17"/>
      <c r="Y49" s="17"/>
      <c r="Z49" s="17"/>
      <c r="AA49" s="610"/>
      <c r="AB49" s="610"/>
      <c r="AC49" s="19"/>
      <c r="AD49" s="19"/>
      <c r="AE49" s="15">
        <f t="shared" si="8"/>
        <v>-63.783783783783065</v>
      </c>
      <c r="AF49" s="452">
        <f t="shared" si="9"/>
        <v>0.96810810810810843</v>
      </c>
      <c r="AG49" s="619"/>
    </row>
    <row r="50" spans="1:33" ht="15.75" customHeight="1">
      <c r="A50" s="623" t="s">
        <v>84</v>
      </c>
      <c r="B50" s="33" t="s">
        <v>6</v>
      </c>
      <c r="C50" s="612" t="s">
        <v>41</v>
      </c>
      <c r="D50" s="613"/>
      <c r="E50" s="33">
        <v>51.44</v>
      </c>
      <c r="F50" s="35">
        <v>1276</v>
      </c>
      <c r="G50" s="451">
        <f t="shared" si="35"/>
        <v>65637.440000000002</v>
      </c>
      <c r="H50" s="463" t="s">
        <v>5</v>
      </c>
      <c r="I50" s="453">
        <v>25</v>
      </c>
      <c r="J50" s="30">
        <v>2000</v>
      </c>
      <c r="K50" s="13">
        <f t="shared" si="1"/>
        <v>80</v>
      </c>
      <c r="L50" s="453">
        <v>25</v>
      </c>
      <c r="M50" s="14">
        <f t="shared" ref="M50:M55" si="39">F50/V50*60</f>
        <v>1913.9999999999993</v>
      </c>
      <c r="N50" s="14">
        <f t="shared" si="3"/>
        <v>76.559999999999974</v>
      </c>
      <c r="O50" s="15">
        <f t="shared" si="4"/>
        <v>0</v>
      </c>
      <c r="P50" s="16">
        <f t="shared" si="5"/>
        <v>-3.4400000000000261</v>
      </c>
      <c r="Q50" s="452">
        <f t="shared" si="6"/>
        <v>0.95699999999999963</v>
      </c>
      <c r="R50" s="619"/>
      <c r="S50" s="31">
        <v>0.26666666666666666</v>
      </c>
      <c r="T50" s="31">
        <v>0.29444444444444445</v>
      </c>
      <c r="U50" s="451">
        <f t="shared" si="38"/>
        <v>6.9999999999999751</v>
      </c>
      <c r="V50" s="454">
        <f t="shared" si="37"/>
        <v>40.000000000000014</v>
      </c>
      <c r="W50" s="17"/>
      <c r="X50" s="17"/>
      <c r="Y50" s="20"/>
      <c r="Z50" s="20"/>
      <c r="AA50" s="610"/>
      <c r="AB50" s="610"/>
      <c r="AC50" s="19"/>
      <c r="AD50" s="19"/>
      <c r="AE50" s="15">
        <f t="shared" si="8"/>
        <v>-86.000000000000682</v>
      </c>
      <c r="AF50" s="452">
        <f t="shared" si="9"/>
        <v>0.95699999999999963</v>
      </c>
      <c r="AG50" s="619"/>
    </row>
    <row r="51" spans="1:33" ht="15.75" customHeight="1">
      <c r="A51" s="623" t="s">
        <v>84</v>
      </c>
      <c r="B51" s="33" t="s">
        <v>6</v>
      </c>
      <c r="C51" s="456" t="s">
        <v>77</v>
      </c>
      <c r="D51" s="457"/>
      <c r="E51" s="33">
        <v>56.43</v>
      </c>
      <c r="F51" s="35">
        <v>1023</v>
      </c>
      <c r="G51" s="451">
        <f t="shared" si="35"/>
        <v>57727.89</v>
      </c>
      <c r="H51" s="463" t="s">
        <v>5</v>
      </c>
      <c r="I51" s="453">
        <v>23</v>
      </c>
      <c r="J51" s="30">
        <v>2000</v>
      </c>
      <c r="K51" s="13">
        <f t="shared" si="1"/>
        <v>86.956521739130437</v>
      </c>
      <c r="L51" s="453">
        <v>23</v>
      </c>
      <c r="M51" s="14">
        <f t="shared" si="39"/>
        <v>1918.125000000002</v>
      </c>
      <c r="N51" s="14">
        <f t="shared" si="3"/>
        <v>83.396739130434867</v>
      </c>
      <c r="O51" s="15">
        <f t="shared" si="4"/>
        <v>0</v>
      </c>
      <c r="P51" s="16">
        <f t="shared" si="5"/>
        <v>-3.5597826086955706</v>
      </c>
      <c r="Q51" s="452">
        <f t="shared" si="6"/>
        <v>0.95906250000000093</v>
      </c>
      <c r="R51" s="619"/>
      <c r="S51" s="31">
        <v>0.3</v>
      </c>
      <c r="T51" s="31">
        <v>0.32222222222222219</v>
      </c>
      <c r="U51" s="451">
        <f t="shared" si="38"/>
        <v>7.9999999999999716</v>
      </c>
      <c r="V51" s="454">
        <f t="shared" si="37"/>
        <v>31.999999999999964</v>
      </c>
      <c r="W51" s="17"/>
      <c r="X51" s="17"/>
      <c r="Y51" s="20"/>
      <c r="Z51" s="20"/>
      <c r="AA51" s="610"/>
      <c r="AB51" s="610"/>
      <c r="AC51" s="19"/>
      <c r="AD51" s="19"/>
      <c r="AE51" s="15">
        <f t="shared" si="8"/>
        <v>-81.874999999997954</v>
      </c>
      <c r="AF51" s="452">
        <f t="shared" si="9"/>
        <v>0.95906250000000104</v>
      </c>
      <c r="AG51" s="619"/>
    </row>
    <row r="52" spans="1:33" ht="15.75" customHeight="1">
      <c r="A52" s="623" t="s">
        <v>84</v>
      </c>
      <c r="B52" s="33" t="s">
        <v>6</v>
      </c>
      <c r="C52" s="456" t="s">
        <v>1513</v>
      </c>
      <c r="D52" s="457"/>
      <c r="E52" s="33">
        <v>56.43</v>
      </c>
      <c r="F52" s="35">
        <v>1756</v>
      </c>
      <c r="G52" s="451">
        <f t="shared" si="35"/>
        <v>99091.08</v>
      </c>
      <c r="H52" s="463" t="s">
        <v>5</v>
      </c>
      <c r="I52" s="453">
        <v>21</v>
      </c>
      <c r="J52" s="30">
        <v>2000</v>
      </c>
      <c r="K52" s="13">
        <f t="shared" si="1"/>
        <v>95.238095238095241</v>
      </c>
      <c r="L52" s="453">
        <v>21</v>
      </c>
      <c r="M52" s="14">
        <f t="shared" si="39"/>
        <v>1915.6363636363649</v>
      </c>
      <c r="N52" s="14">
        <f t="shared" si="3"/>
        <v>91.220779220779278</v>
      </c>
      <c r="O52" s="15">
        <f t="shared" si="4"/>
        <v>0</v>
      </c>
      <c r="P52" s="16">
        <f t="shared" si="5"/>
        <v>-4.017316017315963</v>
      </c>
      <c r="Q52" s="452">
        <f t="shared" si="6"/>
        <v>0.95781818181818235</v>
      </c>
      <c r="R52" s="619"/>
      <c r="S52" s="31">
        <v>0.32777777777777772</v>
      </c>
      <c r="T52" s="31">
        <v>0.36597222222222214</v>
      </c>
      <c r="U52" s="451">
        <f t="shared" si="38"/>
        <v>7.9999999999999716</v>
      </c>
      <c r="V52" s="454">
        <f t="shared" si="37"/>
        <v>54.999999999999964</v>
      </c>
      <c r="W52" s="17"/>
      <c r="X52" s="17"/>
      <c r="Y52" s="20"/>
      <c r="Z52" s="20"/>
      <c r="AA52" s="610"/>
      <c r="AB52" s="610"/>
      <c r="AC52" s="19"/>
      <c r="AD52" s="19"/>
      <c r="AE52" s="15">
        <f t="shared" si="8"/>
        <v>-84.363636363635123</v>
      </c>
      <c r="AF52" s="452">
        <f t="shared" si="9"/>
        <v>0.95781818181818246</v>
      </c>
      <c r="AG52" s="619"/>
    </row>
    <row r="53" spans="1:33" ht="15.75" customHeight="1">
      <c r="A53" s="623" t="s">
        <v>84</v>
      </c>
      <c r="B53" s="33" t="s">
        <v>6</v>
      </c>
      <c r="C53" s="612" t="s">
        <v>44</v>
      </c>
      <c r="D53" s="613"/>
      <c r="E53" s="33">
        <v>55.56</v>
      </c>
      <c r="F53" s="35">
        <v>2084</v>
      </c>
      <c r="G53" s="451">
        <f t="shared" si="35"/>
        <v>115787.04000000001</v>
      </c>
      <c r="H53" s="463" t="s">
        <v>5</v>
      </c>
      <c r="I53" s="453">
        <v>17</v>
      </c>
      <c r="J53" s="30">
        <v>2000</v>
      </c>
      <c r="K53" s="13">
        <f t="shared" si="1"/>
        <v>117.64705882352941</v>
      </c>
      <c r="L53" s="453">
        <v>17</v>
      </c>
      <c r="M53" s="14">
        <f t="shared" si="39"/>
        <v>1923.6923076923099</v>
      </c>
      <c r="N53" s="14">
        <f t="shared" si="3"/>
        <v>113.15837104072411</v>
      </c>
      <c r="O53" s="15">
        <f t="shared" si="4"/>
        <v>0</v>
      </c>
      <c r="P53" s="16">
        <f t="shared" si="5"/>
        <v>-4.4886877828053002</v>
      </c>
      <c r="Q53" s="452">
        <f t="shared" si="6"/>
        <v>0.96184615384615491</v>
      </c>
      <c r="R53" s="619"/>
      <c r="S53" s="31">
        <v>0.70833333333333337</v>
      </c>
      <c r="T53" s="31">
        <v>0.75347222222222221</v>
      </c>
      <c r="U53" s="451" t="str">
        <f t="shared" si="38"/>
        <v/>
      </c>
      <c r="V53" s="454">
        <f t="shared" si="37"/>
        <v>64.999999999999929</v>
      </c>
      <c r="W53" s="17"/>
      <c r="X53" s="17"/>
      <c r="Y53" s="20"/>
      <c r="Z53" s="20"/>
      <c r="AA53" s="614"/>
      <c r="AB53" s="615"/>
      <c r="AC53" s="19"/>
      <c r="AD53" s="19"/>
      <c r="AE53" s="15">
        <f t="shared" si="8"/>
        <v>-76.307692307690104</v>
      </c>
      <c r="AF53" s="452">
        <f t="shared" si="9"/>
        <v>0.96184615384615491</v>
      </c>
      <c r="AG53" s="619"/>
    </row>
    <row r="54" spans="1:33" ht="15.75" customHeight="1">
      <c r="A54" s="623" t="s">
        <v>2236</v>
      </c>
      <c r="B54" s="33" t="s">
        <v>6</v>
      </c>
      <c r="C54" s="612" t="s">
        <v>72</v>
      </c>
      <c r="D54" s="613"/>
      <c r="E54" s="33">
        <v>58.17</v>
      </c>
      <c r="F54" s="35">
        <v>1353</v>
      </c>
      <c r="G54" s="451">
        <f t="shared" si="35"/>
        <v>78704.010000000009</v>
      </c>
      <c r="H54" s="463" t="s">
        <v>5</v>
      </c>
      <c r="I54" s="453">
        <v>13</v>
      </c>
      <c r="J54" s="30">
        <v>2000</v>
      </c>
      <c r="K54" s="13">
        <f t="shared" si="1"/>
        <v>153.84615384615384</v>
      </c>
      <c r="L54" s="453">
        <v>13</v>
      </c>
      <c r="M54" s="14">
        <f t="shared" si="39"/>
        <v>1932.857142857142</v>
      </c>
      <c r="N54" s="14">
        <f t="shared" si="3"/>
        <v>148.6813186813186</v>
      </c>
      <c r="O54" s="15">
        <f t="shared" si="4"/>
        <v>0</v>
      </c>
      <c r="P54" s="16">
        <f t="shared" si="5"/>
        <v>-5.1648351648352389</v>
      </c>
      <c r="Q54" s="452">
        <f t="shared" si="6"/>
        <v>0.96642857142857097</v>
      </c>
      <c r="R54" s="619"/>
      <c r="S54" s="31">
        <v>0.75763888888888886</v>
      </c>
      <c r="T54" s="31">
        <v>0.78680555555555554</v>
      </c>
      <c r="U54" s="451">
        <f t="shared" si="38"/>
        <v>5.9999999999999787</v>
      </c>
      <c r="V54" s="454">
        <f t="shared" si="37"/>
        <v>42.000000000000014</v>
      </c>
      <c r="W54" s="17"/>
      <c r="X54" s="17"/>
      <c r="Y54" s="20"/>
      <c r="Z54" s="20"/>
      <c r="AA54" s="614"/>
      <c r="AB54" s="615"/>
      <c r="AC54" s="19"/>
      <c r="AD54" s="19"/>
      <c r="AE54" s="15">
        <f t="shared" si="8"/>
        <v>-67.14285714285802</v>
      </c>
      <c r="AF54" s="452">
        <f t="shared" si="9"/>
        <v>0.96642857142857097</v>
      </c>
      <c r="AG54" s="619"/>
    </row>
    <row r="55" spans="1:33" ht="15.75" customHeight="1">
      <c r="A55" s="623" t="s">
        <v>1416</v>
      </c>
      <c r="B55" s="33" t="s">
        <v>6</v>
      </c>
      <c r="C55" s="612" t="s">
        <v>82</v>
      </c>
      <c r="D55" s="613"/>
      <c r="E55" s="33">
        <v>54.09</v>
      </c>
      <c r="F55" s="35">
        <v>1055</v>
      </c>
      <c r="G55" s="451">
        <f t="shared" si="35"/>
        <v>57064.950000000004</v>
      </c>
      <c r="H55" s="463" t="s">
        <v>5</v>
      </c>
      <c r="I55" s="453">
        <v>14</v>
      </c>
      <c r="J55" s="30">
        <v>2000</v>
      </c>
      <c r="K55" s="13">
        <f t="shared" si="1"/>
        <v>142.85714285714286</v>
      </c>
      <c r="L55" s="453">
        <v>14</v>
      </c>
      <c r="M55" s="14">
        <f t="shared" si="39"/>
        <v>1918.1818181818157</v>
      </c>
      <c r="N55" s="14">
        <f t="shared" si="3"/>
        <v>137.01298701298683</v>
      </c>
      <c r="O55" s="15">
        <f t="shared" si="4"/>
        <v>0</v>
      </c>
      <c r="P55" s="16">
        <f t="shared" si="5"/>
        <v>-5.8441558441560346</v>
      </c>
      <c r="Q55" s="452">
        <f t="shared" si="6"/>
        <v>0.95909090909090777</v>
      </c>
      <c r="R55" s="619"/>
      <c r="S55" s="31">
        <v>0.79166666666666663</v>
      </c>
      <c r="T55" s="31">
        <v>0.81458333333333333</v>
      </c>
      <c r="U55" s="451">
        <f t="shared" si="38"/>
        <v>6.9999999999999751</v>
      </c>
      <c r="V55" s="454">
        <f t="shared" si="37"/>
        <v>33.000000000000043</v>
      </c>
      <c r="W55" s="17"/>
      <c r="X55" s="17"/>
      <c r="Y55" s="20"/>
      <c r="Z55" s="20"/>
      <c r="AA55" s="614"/>
      <c r="AB55" s="615"/>
      <c r="AC55" s="19"/>
      <c r="AD55" s="19"/>
      <c r="AE55" s="15">
        <f t="shared" si="8"/>
        <v>-81.818181818184257</v>
      </c>
      <c r="AF55" s="452">
        <f t="shared" si="9"/>
        <v>0.95909090909090788</v>
      </c>
      <c r="AG55" s="619"/>
    </row>
    <row r="56" spans="1:33">
      <c r="A56" s="624" t="s">
        <v>84</v>
      </c>
      <c r="B56" s="33" t="s">
        <v>2237</v>
      </c>
      <c r="C56" s="620"/>
      <c r="D56" s="620"/>
      <c r="E56" s="459"/>
      <c r="F56" s="34"/>
      <c r="G56" s="13"/>
      <c r="H56" s="462"/>
      <c r="I56" s="23">
        <v>18.25</v>
      </c>
      <c r="J56" s="30">
        <v>2000</v>
      </c>
      <c r="K56" s="13">
        <f t="shared" si="1"/>
        <v>109.58904109589041</v>
      </c>
      <c r="L56" s="23">
        <v>18.25</v>
      </c>
      <c r="M56" s="14">
        <f>AVERAGE(M48:M55)</f>
        <v>1921.884060618436</v>
      </c>
      <c r="N56" s="13">
        <f t="shared" si="3"/>
        <v>105.30871565032527</v>
      </c>
      <c r="O56" s="15">
        <f t="shared" si="4"/>
        <v>0</v>
      </c>
      <c r="P56" s="16">
        <f t="shared" si="5"/>
        <v>-4.2803254455651398</v>
      </c>
      <c r="Q56" s="452">
        <f t="shared" si="6"/>
        <v>0.9609420303092181</v>
      </c>
      <c r="R56" s="619"/>
      <c r="S56" s="31"/>
      <c r="T56" s="31"/>
      <c r="U56" s="451"/>
      <c r="V56" s="454"/>
      <c r="W56" s="13"/>
      <c r="X56" s="13"/>
      <c r="Y56" s="24">
        <f>SUM(Y48:Y55)</f>
        <v>0</v>
      </c>
      <c r="Z56" s="24">
        <f>SUM(Z48:Z55)</f>
        <v>0</v>
      </c>
      <c r="AA56" s="609"/>
      <c r="AB56" s="609"/>
      <c r="AC56" s="24">
        <v>8</v>
      </c>
      <c r="AD56" s="24">
        <f>SUM(AD48:AD55)</f>
        <v>0</v>
      </c>
      <c r="AE56" s="15">
        <f>M56-J56</f>
        <v>-78.115939381563976</v>
      </c>
      <c r="AF56" s="452">
        <f t="shared" si="9"/>
        <v>0.96094203030921799</v>
      </c>
      <c r="AG56" s="619"/>
    </row>
    <row r="57" spans="1:33" ht="15.75" customHeight="1">
      <c r="A57" s="621" t="s">
        <v>85</v>
      </c>
      <c r="B57" s="462" t="s">
        <v>36</v>
      </c>
      <c r="C57" s="611" t="s">
        <v>46</v>
      </c>
      <c r="D57" s="611"/>
      <c r="E57" s="33">
        <v>35.119999999999997</v>
      </c>
      <c r="F57" s="35">
        <v>4832</v>
      </c>
      <c r="G57" s="451">
        <f t="shared" ref="G57:G61" si="40">E57*F57</f>
        <v>169699.84</v>
      </c>
      <c r="H57" s="463" t="s">
        <v>5</v>
      </c>
      <c r="I57" s="453">
        <v>10</v>
      </c>
      <c r="J57" s="30">
        <v>3000</v>
      </c>
      <c r="K57" s="13">
        <f t="shared" si="1"/>
        <v>300</v>
      </c>
      <c r="L57" s="453">
        <v>10</v>
      </c>
      <c r="M57" s="14">
        <f t="shared" ref="M57:M61" si="41">F57/V57*60</f>
        <v>2870.4950495049507</v>
      </c>
      <c r="N57" s="13">
        <f t="shared" si="3"/>
        <v>287.04950495049508</v>
      </c>
      <c r="O57" s="15">
        <f t="shared" si="4"/>
        <v>0</v>
      </c>
      <c r="P57" s="16">
        <f t="shared" si="5"/>
        <v>-12.950495049504923</v>
      </c>
      <c r="Q57" s="452">
        <f t="shared" si="6"/>
        <v>0.9568316831683169</v>
      </c>
      <c r="R57" s="619">
        <f>Q62</f>
        <v>0.95934168221771421</v>
      </c>
      <c r="S57" s="31">
        <v>0.20833333333333334</v>
      </c>
      <c r="T57" s="31">
        <v>0.27847222222222223</v>
      </c>
      <c r="U57" s="451"/>
      <c r="V57" s="454">
        <f t="shared" ref="V57:V61" si="42">(T57-S57)*24*60</f>
        <v>101</v>
      </c>
      <c r="W57" s="17"/>
      <c r="X57" s="17"/>
      <c r="Y57" s="22"/>
      <c r="Z57" s="22"/>
      <c r="AA57" s="610"/>
      <c r="AB57" s="610"/>
      <c r="AC57" s="19">
        <v>5</v>
      </c>
      <c r="AD57" s="19"/>
      <c r="AE57" s="15">
        <f t="shared" ref="AE57:AE72" si="43">M57-J57</f>
        <v>-129.50495049504934</v>
      </c>
      <c r="AF57" s="452">
        <f t="shared" si="9"/>
        <v>0.9568316831683169</v>
      </c>
      <c r="AG57" s="619">
        <f>AF62</f>
        <v>0.9593416822177141</v>
      </c>
    </row>
    <row r="58" spans="1:33" ht="15.75" customHeight="1">
      <c r="A58" s="621" t="s">
        <v>85</v>
      </c>
      <c r="B58" s="462" t="s">
        <v>36</v>
      </c>
      <c r="C58" s="611" t="s">
        <v>47</v>
      </c>
      <c r="D58" s="611"/>
      <c r="E58" s="33">
        <v>26.78</v>
      </c>
      <c r="F58" s="35">
        <v>2241</v>
      </c>
      <c r="G58" s="451">
        <f t="shared" si="40"/>
        <v>60013.98</v>
      </c>
      <c r="H58" s="463" t="s">
        <v>5</v>
      </c>
      <c r="I58" s="453">
        <v>10</v>
      </c>
      <c r="J58" s="30">
        <v>3000</v>
      </c>
      <c r="K58" s="13">
        <f t="shared" si="1"/>
        <v>300</v>
      </c>
      <c r="L58" s="453">
        <v>10</v>
      </c>
      <c r="M58" s="14">
        <f t="shared" si="41"/>
        <v>2860.8510638297876</v>
      </c>
      <c r="N58" s="13">
        <f t="shared" si="3"/>
        <v>286.08510638297878</v>
      </c>
      <c r="O58" s="15">
        <f t="shared" si="4"/>
        <v>0</v>
      </c>
      <c r="P58" s="16">
        <f t="shared" si="5"/>
        <v>-13.914893617021221</v>
      </c>
      <c r="Q58" s="452">
        <f t="shared" si="6"/>
        <v>0.95361702127659598</v>
      </c>
      <c r="R58" s="619"/>
      <c r="S58" s="31">
        <v>0.28402777777777777</v>
      </c>
      <c r="T58" s="31">
        <v>0.31666666666666665</v>
      </c>
      <c r="U58" s="451">
        <f t="shared" ref="U58:U61" si="44">(S58-T57)*24*60</f>
        <v>7.9999999999999716</v>
      </c>
      <c r="V58" s="454">
        <f t="shared" si="42"/>
        <v>46.999999999999993</v>
      </c>
      <c r="W58" s="451"/>
      <c r="X58" s="451"/>
      <c r="Y58" s="451"/>
      <c r="Z58" s="451"/>
      <c r="AA58" s="610"/>
      <c r="AB58" s="610"/>
      <c r="AC58" s="19"/>
      <c r="AD58" s="19"/>
      <c r="AE58" s="15">
        <f t="shared" si="43"/>
        <v>-139.14893617021244</v>
      </c>
      <c r="AF58" s="452">
        <f t="shared" si="9"/>
        <v>0.95361702127659587</v>
      </c>
      <c r="AG58" s="619"/>
    </row>
    <row r="59" spans="1:33" ht="15.75" customHeight="1">
      <c r="A59" s="621" t="s">
        <v>85</v>
      </c>
      <c r="B59" s="462" t="s">
        <v>36</v>
      </c>
      <c r="C59" s="611" t="s">
        <v>49</v>
      </c>
      <c r="D59" s="611"/>
      <c r="E59" s="33">
        <v>35.869999999999997</v>
      </c>
      <c r="F59" s="35">
        <v>2748</v>
      </c>
      <c r="G59" s="451">
        <f t="shared" si="40"/>
        <v>98570.76</v>
      </c>
      <c r="H59" s="463" t="s">
        <v>5</v>
      </c>
      <c r="I59" s="453">
        <v>10</v>
      </c>
      <c r="J59" s="30">
        <v>3000</v>
      </c>
      <c r="K59" s="13">
        <f t="shared" si="1"/>
        <v>300</v>
      </c>
      <c r="L59" s="453">
        <v>10</v>
      </c>
      <c r="M59" s="14">
        <f t="shared" si="41"/>
        <v>2892.6315789473706</v>
      </c>
      <c r="N59" s="13">
        <f t="shared" si="3"/>
        <v>289.26315789473705</v>
      </c>
      <c r="O59" s="15">
        <f t="shared" si="4"/>
        <v>0</v>
      </c>
      <c r="P59" s="16">
        <f t="shared" si="5"/>
        <v>-10.736842105262951</v>
      </c>
      <c r="Q59" s="452">
        <f t="shared" si="6"/>
        <v>0.96421052631579018</v>
      </c>
      <c r="R59" s="619"/>
      <c r="S59" s="31">
        <v>0.32013888888888886</v>
      </c>
      <c r="T59" s="31">
        <v>0.35972222222222217</v>
      </c>
      <c r="U59" s="451">
        <f t="shared" si="44"/>
        <v>4.9999999999999822</v>
      </c>
      <c r="V59" s="454">
        <f t="shared" si="42"/>
        <v>56.999999999999957</v>
      </c>
      <c r="W59" s="451"/>
      <c r="X59" s="451"/>
      <c r="Y59" s="451"/>
      <c r="Z59" s="451"/>
      <c r="AA59" s="610"/>
      <c r="AB59" s="610"/>
      <c r="AC59" s="19"/>
      <c r="AD59" s="19"/>
      <c r="AE59" s="15">
        <f t="shared" si="43"/>
        <v>-107.3684210526294</v>
      </c>
      <c r="AF59" s="452">
        <f t="shared" si="9"/>
        <v>0.96421052631579018</v>
      </c>
      <c r="AG59" s="619"/>
    </row>
    <row r="60" spans="1:33" ht="15.75" customHeight="1">
      <c r="A60" s="621" t="s">
        <v>2238</v>
      </c>
      <c r="B60" s="462" t="s">
        <v>36</v>
      </c>
      <c r="C60" s="611" t="s">
        <v>39</v>
      </c>
      <c r="D60" s="611"/>
      <c r="E60" s="33">
        <v>35.869999999999997</v>
      </c>
      <c r="F60" s="35">
        <v>965</v>
      </c>
      <c r="G60" s="451">
        <f t="shared" si="40"/>
        <v>34614.549999999996</v>
      </c>
      <c r="H60" s="463" t="s">
        <v>5</v>
      </c>
      <c r="I60" s="453">
        <v>9</v>
      </c>
      <c r="J60" s="30">
        <v>3000</v>
      </c>
      <c r="K60" s="13">
        <f t="shared" si="1"/>
        <v>333.33333333333331</v>
      </c>
      <c r="L60" s="453">
        <v>9</v>
      </c>
      <c r="M60" s="14">
        <f t="shared" si="41"/>
        <v>2894.9999999999991</v>
      </c>
      <c r="N60" s="13">
        <f t="shared" si="3"/>
        <v>321.66666666666657</v>
      </c>
      <c r="O60" s="15">
        <f t="shared" si="4"/>
        <v>0</v>
      </c>
      <c r="P60" s="16">
        <f t="shared" si="5"/>
        <v>-11.666666666666742</v>
      </c>
      <c r="Q60" s="452">
        <f t="shared" si="6"/>
        <v>0.96499999999999975</v>
      </c>
      <c r="R60" s="619"/>
      <c r="S60" s="31">
        <v>0.36388888888888882</v>
      </c>
      <c r="T60" s="31">
        <v>0.37777777777777771</v>
      </c>
      <c r="U60" s="451">
        <f t="shared" si="44"/>
        <v>5.9999999999999787</v>
      </c>
      <c r="V60" s="454">
        <f t="shared" si="42"/>
        <v>20.000000000000007</v>
      </c>
      <c r="W60" s="451"/>
      <c r="X60" s="451"/>
      <c r="Y60" s="451"/>
      <c r="Z60" s="451"/>
      <c r="AA60" s="610"/>
      <c r="AB60" s="610"/>
      <c r="AC60" s="19"/>
      <c r="AD60" s="19"/>
      <c r="AE60" s="15">
        <f t="shared" si="43"/>
        <v>-105.00000000000091</v>
      </c>
      <c r="AF60" s="452">
        <f t="shared" si="9"/>
        <v>0.96499999999999975</v>
      </c>
      <c r="AG60" s="619"/>
    </row>
    <row r="61" spans="1:33">
      <c r="A61" s="622" t="s">
        <v>2239</v>
      </c>
      <c r="B61" s="462" t="s">
        <v>36</v>
      </c>
      <c r="C61" s="611" t="s">
        <v>74</v>
      </c>
      <c r="D61" s="611"/>
      <c r="E61" s="33">
        <v>33.770000000000003</v>
      </c>
      <c r="F61" s="35">
        <v>2919</v>
      </c>
      <c r="G61" s="451">
        <f t="shared" si="40"/>
        <v>98574.63</v>
      </c>
      <c r="H61" s="463" t="s">
        <v>5</v>
      </c>
      <c r="I61" s="453">
        <v>12</v>
      </c>
      <c r="J61" s="30">
        <v>3000</v>
      </c>
      <c r="K61" s="13">
        <f t="shared" si="1"/>
        <v>250</v>
      </c>
      <c r="L61" s="453">
        <v>12</v>
      </c>
      <c r="M61" s="14">
        <f t="shared" si="41"/>
        <v>2871.1475409836057</v>
      </c>
      <c r="N61" s="13">
        <f t="shared" si="3"/>
        <v>239.26229508196715</v>
      </c>
      <c r="O61" s="15">
        <f t="shared" si="4"/>
        <v>0</v>
      </c>
      <c r="P61" s="16">
        <f t="shared" si="5"/>
        <v>-10.737704918032847</v>
      </c>
      <c r="Q61" s="452">
        <f t="shared" si="6"/>
        <v>0.95704918032786856</v>
      </c>
      <c r="R61" s="619"/>
      <c r="S61" s="31">
        <v>0.38124999999999992</v>
      </c>
      <c r="T61" s="31">
        <v>0.42361111111111105</v>
      </c>
      <c r="U61" s="451">
        <f t="shared" si="44"/>
        <v>4.9999999999999822</v>
      </c>
      <c r="V61" s="454">
        <f t="shared" si="42"/>
        <v>61.000000000000021</v>
      </c>
      <c r="W61" s="17"/>
      <c r="X61" s="17"/>
      <c r="Y61" s="17"/>
      <c r="Z61" s="17"/>
      <c r="AA61" s="610"/>
      <c r="AB61" s="610"/>
      <c r="AC61" s="19"/>
      <c r="AD61" s="19"/>
      <c r="AE61" s="15">
        <f t="shared" si="43"/>
        <v>-128.85245901639428</v>
      </c>
      <c r="AF61" s="452">
        <f t="shared" si="9"/>
        <v>0.95704918032786856</v>
      </c>
      <c r="AG61" s="619"/>
    </row>
    <row r="62" spans="1:33">
      <c r="A62" s="622" t="s">
        <v>85</v>
      </c>
      <c r="B62" s="33" t="s">
        <v>80</v>
      </c>
      <c r="C62" s="620"/>
      <c r="D62" s="620"/>
      <c r="E62" s="459"/>
      <c r="F62" s="34"/>
      <c r="G62" s="13"/>
      <c r="H62" s="462"/>
      <c r="I62" s="23">
        <v>10.199999999999999</v>
      </c>
      <c r="J62" s="30">
        <v>3000</v>
      </c>
      <c r="K62" s="13">
        <f t="shared" si="1"/>
        <v>294.11764705882354</v>
      </c>
      <c r="L62" s="23">
        <v>10.199999999999999</v>
      </c>
      <c r="M62" s="14">
        <f>AVERAGE(M57:M61)</f>
        <v>2878.0250466531425</v>
      </c>
      <c r="N62" s="13">
        <f t="shared" si="3"/>
        <v>282.15931829932771</v>
      </c>
      <c r="O62" s="15">
        <f t="shared" si="4"/>
        <v>0</v>
      </c>
      <c r="P62" s="16">
        <f t="shared" si="5"/>
        <v>-11.958328759495828</v>
      </c>
      <c r="Q62" s="452">
        <f t="shared" si="6"/>
        <v>0.95934168221771421</v>
      </c>
      <c r="R62" s="619"/>
      <c r="S62" s="31"/>
      <c r="T62" s="31"/>
      <c r="U62" s="13"/>
      <c r="V62" s="454"/>
      <c r="W62" s="13"/>
      <c r="X62" s="13"/>
      <c r="Y62" s="24">
        <f>SUM(Y57:Y61)</f>
        <v>0</v>
      </c>
      <c r="Z62" s="24">
        <f>SUM(Z57:Z61)</f>
        <v>0</v>
      </c>
      <c r="AA62" s="609"/>
      <c r="AB62" s="609"/>
      <c r="AC62" s="24">
        <v>5</v>
      </c>
      <c r="AD62" s="24">
        <f>SUM(AD57:AD61)</f>
        <v>0</v>
      </c>
      <c r="AE62" s="15">
        <f t="shared" si="43"/>
        <v>-121.97495334685755</v>
      </c>
      <c r="AF62" s="452">
        <f t="shared" si="9"/>
        <v>0.9593416822177141</v>
      </c>
      <c r="AG62" s="619"/>
    </row>
    <row r="63" spans="1:33" ht="15.75" customHeight="1">
      <c r="A63" s="616" t="s">
        <v>991</v>
      </c>
      <c r="B63" s="462" t="s">
        <v>27</v>
      </c>
      <c r="C63" s="611" t="s">
        <v>50</v>
      </c>
      <c r="D63" s="611"/>
      <c r="E63" s="33">
        <v>19.02</v>
      </c>
      <c r="F63" s="462">
        <v>5900</v>
      </c>
      <c r="G63" s="451">
        <f t="shared" ref="G63:G71" si="45">E63*F63</f>
        <v>112218</v>
      </c>
      <c r="H63" s="463">
        <v>2</v>
      </c>
      <c r="I63" s="453">
        <v>14</v>
      </c>
      <c r="J63" s="30">
        <v>2400</v>
      </c>
      <c r="K63" s="13">
        <f t="shared" si="1"/>
        <v>171.42857142857142</v>
      </c>
      <c r="L63" s="453">
        <v>14</v>
      </c>
      <c r="M63" s="14">
        <f t="shared" ref="M63:M71" si="46">F63/V63*60</f>
        <v>2283.8709677419356</v>
      </c>
      <c r="N63" s="13">
        <f t="shared" si="3"/>
        <v>163.13364055299539</v>
      </c>
      <c r="O63" s="15">
        <f t="shared" si="4"/>
        <v>0</v>
      </c>
      <c r="P63" s="16">
        <f t="shared" si="5"/>
        <v>-8.2949308755760285</v>
      </c>
      <c r="Q63" s="452">
        <f t="shared" si="6"/>
        <v>0.95161290322580649</v>
      </c>
      <c r="R63" s="619">
        <f>Q72</f>
        <v>0.95801643764479927</v>
      </c>
      <c r="S63" s="31">
        <v>8.3333333333333329E-2</v>
      </c>
      <c r="T63" s="31">
        <v>0.19097222222222221</v>
      </c>
      <c r="U63" s="22"/>
      <c r="V63" s="454">
        <f t="shared" ref="V63:V71" si="47">(T63-S63)*24*60</f>
        <v>154.99999999999997</v>
      </c>
      <c r="W63" s="17">
        <f>T63</f>
        <v>0.19097222222222221</v>
      </c>
      <c r="X63" s="17">
        <f>S64</f>
        <v>0.21180555555555555</v>
      </c>
      <c r="Y63" s="17"/>
      <c r="Z63" s="17"/>
      <c r="AA63" s="610"/>
      <c r="AB63" s="610"/>
      <c r="AC63" s="19">
        <v>9</v>
      </c>
      <c r="AD63" s="19"/>
      <c r="AE63" s="15">
        <f t="shared" si="43"/>
        <v>-116.1290322580644</v>
      </c>
      <c r="AF63" s="452">
        <f t="shared" si="9"/>
        <v>0.95161290322580649</v>
      </c>
      <c r="AG63" s="619">
        <f>AF72</f>
        <v>0.95801643764479938</v>
      </c>
    </row>
    <row r="64" spans="1:33" ht="15.75" customHeight="1">
      <c r="A64" s="617" t="s">
        <v>2240</v>
      </c>
      <c r="B64" s="462" t="s">
        <v>27</v>
      </c>
      <c r="C64" s="611" t="s">
        <v>51</v>
      </c>
      <c r="D64" s="611"/>
      <c r="E64" s="33">
        <v>20.36</v>
      </c>
      <c r="F64" s="462">
        <v>2300</v>
      </c>
      <c r="G64" s="451">
        <f t="shared" si="45"/>
        <v>46828</v>
      </c>
      <c r="H64" s="463">
        <v>2</v>
      </c>
      <c r="I64" s="453">
        <v>17</v>
      </c>
      <c r="J64" s="30">
        <v>2400</v>
      </c>
      <c r="K64" s="13">
        <f t="shared" si="1"/>
        <v>141.1764705882353</v>
      </c>
      <c r="L64" s="453">
        <v>17</v>
      </c>
      <c r="M64" s="14">
        <f t="shared" si="46"/>
        <v>2300.0000000000005</v>
      </c>
      <c r="N64" s="13">
        <f t="shared" si="3"/>
        <v>135.29411764705884</v>
      </c>
      <c r="O64" s="15">
        <f t="shared" si="4"/>
        <v>0</v>
      </c>
      <c r="P64" s="16">
        <f t="shared" si="5"/>
        <v>-5.8823529411764639</v>
      </c>
      <c r="Q64" s="452">
        <f t="shared" si="6"/>
        <v>0.95833333333333337</v>
      </c>
      <c r="R64" s="619"/>
      <c r="S64" s="31">
        <v>0.21180555555555555</v>
      </c>
      <c r="T64" s="31">
        <v>0.25347222222222221</v>
      </c>
      <c r="U64" s="451">
        <f t="shared" ref="U64:U71" si="48">(S64-T63)*24*60</f>
        <v>30.000000000000014</v>
      </c>
      <c r="V64" s="454">
        <f t="shared" si="47"/>
        <v>59.999999999999986</v>
      </c>
      <c r="W64" s="17"/>
      <c r="X64" s="17"/>
      <c r="Y64" s="17"/>
      <c r="Z64" s="17"/>
      <c r="AA64" s="610"/>
      <c r="AB64" s="610"/>
      <c r="AC64" s="19"/>
      <c r="AD64" s="19"/>
      <c r="AE64" s="15">
        <f t="shared" si="43"/>
        <v>-99.999999999999545</v>
      </c>
      <c r="AF64" s="452">
        <f t="shared" si="9"/>
        <v>0.95833333333333348</v>
      </c>
      <c r="AG64" s="619"/>
    </row>
    <row r="65" spans="1:33" ht="15.75" customHeight="1">
      <c r="A65" s="617" t="s">
        <v>2240</v>
      </c>
      <c r="B65" s="462" t="s">
        <v>27</v>
      </c>
      <c r="C65" s="611" t="s">
        <v>876</v>
      </c>
      <c r="D65" s="611"/>
      <c r="E65" s="33">
        <v>23.8</v>
      </c>
      <c r="F65" s="462">
        <v>3361</v>
      </c>
      <c r="G65" s="451">
        <f t="shared" si="45"/>
        <v>79991.8</v>
      </c>
      <c r="H65" s="463" t="s">
        <v>5</v>
      </c>
      <c r="I65" s="453">
        <v>16</v>
      </c>
      <c r="J65" s="30">
        <v>2400</v>
      </c>
      <c r="K65" s="13">
        <f t="shared" si="1"/>
        <v>150</v>
      </c>
      <c r="L65" s="453">
        <v>16</v>
      </c>
      <c r="M65" s="14">
        <f t="shared" si="46"/>
        <v>2291.590909090909</v>
      </c>
      <c r="N65" s="13">
        <f t="shared" si="3"/>
        <v>143.22443181818181</v>
      </c>
      <c r="O65" s="15">
        <f t="shared" si="4"/>
        <v>0</v>
      </c>
      <c r="P65" s="16">
        <f t="shared" si="5"/>
        <v>-6.775568181818187</v>
      </c>
      <c r="Q65" s="452">
        <f t="shared" si="6"/>
        <v>0.95482954545454546</v>
      </c>
      <c r="R65" s="619"/>
      <c r="S65" s="31">
        <v>0.25694444444444442</v>
      </c>
      <c r="T65" s="31">
        <v>0.31805555555555554</v>
      </c>
      <c r="U65" s="451">
        <f t="shared" si="48"/>
        <v>4.9999999999999822</v>
      </c>
      <c r="V65" s="454">
        <f t="shared" si="47"/>
        <v>88</v>
      </c>
      <c r="W65" s="17"/>
      <c r="X65" s="17"/>
      <c r="Y65" s="17"/>
      <c r="Z65" s="17"/>
      <c r="AA65" s="610"/>
      <c r="AB65" s="610"/>
      <c r="AC65" s="19"/>
      <c r="AD65" s="19"/>
      <c r="AE65" s="15">
        <f t="shared" si="43"/>
        <v>-108.40909090909099</v>
      </c>
      <c r="AF65" s="452">
        <f t="shared" si="9"/>
        <v>0.95482954545454546</v>
      </c>
      <c r="AG65" s="619"/>
    </row>
    <row r="66" spans="1:33" ht="15.75" customHeight="1">
      <c r="A66" s="617" t="s">
        <v>991</v>
      </c>
      <c r="B66" s="462" t="s">
        <v>27</v>
      </c>
      <c r="C66" s="611" t="s">
        <v>31</v>
      </c>
      <c r="D66" s="611"/>
      <c r="E66" s="33">
        <v>25.99</v>
      </c>
      <c r="F66" s="462">
        <v>1132</v>
      </c>
      <c r="G66" s="451">
        <f t="shared" si="45"/>
        <v>29420.679999999997</v>
      </c>
      <c r="H66" s="463" t="s">
        <v>5</v>
      </c>
      <c r="I66" s="453">
        <v>18</v>
      </c>
      <c r="J66" s="30">
        <v>2400</v>
      </c>
      <c r="K66" s="13">
        <f t="shared" si="1"/>
        <v>133.33333333333334</v>
      </c>
      <c r="L66" s="453">
        <v>18</v>
      </c>
      <c r="M66" s="14">
        <f t="shared" si="46"/>
        <v>2342.0689655172432</v>
      </c>
      <c r="N66" s="13">
        <f t="shared" si="3"/>
        <v>130.11494252873572</v>
      </c>
      <c r="O66" s="15">
        <f t="shared" si="4"/>
        <v>0</v>
      </c>
      <c r="P66" s="16">
        <f t="shared" si="5"/>
        <v>-3.2183908045976182</v>
      </c>
      <c r="Q66" s="452">
        <f t="shared" si="6"/>
        <v>0.97586206896551786</v>
      </c>
      <c r="R66" s="619"/>
      <c r="S66" s="31">
        <v>0.32361111111111107</v>
      </c>
      <c r="T66" s="31">
        <v>0.34374999999999994</v>
      </c>
      <c r="U66" s="451">
        <f t="shared" si="48"/>
        <v>7.9999999999999716</v>
      </c>
      <c r="V66" s="454">
        <f t="shared" si="47"/>
        <v>28.999999999999979</v>
      </c>
      <c r="W66" s="17"/>
      <c r="X66" s="17"/>
      <c r="Y66" s="17"/>
      <c r="Z66" s="17"/>
      <c r="AA66" s="610"/>
      <c r="AB66" s="610"/>
      <c r="AC66" s="19"/>
      <c r="AD66" s="19"/>
      <c r="AE66" s="15">
        <f t="shared" si="43"/>
        <v>-57.931034482756786</v>
      </c>
      <c r="AF66" s="452">
        <f t="shared" si="9"/>
        <v>0.97586206896551797</v>
      </c>
      <c r="AG66" s="619"/>
    </row>
    <row r="67" spans="1:33" ht="15.75" customHeight="1">
      <c r="A67" s="617" t="s">
        <v>991</v>
      </c>
      <c r="B67" s="462" t="s">
        <v>27</v>
      </c>
      <c r="C67" s="611" t="s">
        <v>53</v>
      </c>
      <c r="D67" s="611"/>
      <c r="E67" s="33">
        <v>28.29</v>
      </c>
      <c r="F67" s="462">
        <v>2444</v>
      </c>
      <c r="G67" s="451">
        <f t="shared" si="45"/>
        <v>69140.759999999995</v>
      </c>
      <c r="H67" s="463" t="s">
        <v>5</v>
      </c>
      <c r="I67" s="453">
        <v>19</v>
      </c>
      <c r="J67" s="30">
        <v>2400</v>
      </c>
      <c r="K67" s="13">
        <f t="shared" si="1"/>
        <v>126.31578947368421</v>
      </c>
      <c r="L67" s="453">
        <v>19</v>
      </c>
      <c r="M67" s="14">
        <f t="shared" si="46"/>
        <v>2291.2499999999995</v>
      </c>
      <c r="N67" s="13">
        <f t="shared" si="3"/>
        <v>120.59210526315788</v>
      </c>
      <c r="O67" s="15">
        <f t="shared" si="4"/>
        <v>0</v>
      </c>
      <c r="P67" s="16">
        <f t="shared" si="5"/>
        <v>-5.7236842105263293</v>
      </c>
      <c r="Q67" s="452">
        <f t="shared" si="6"/>
        <v>0.95468749999999991</v>
      </c>
      <c r="R67" s="619"/>
      <c r="S67" s="31">
        <v>0.34722222222222215</v>
      </c>
      <c r="T67" s="31">
        <v>0.39166666666666661</v>
      </c>
      <c r="U67" s="451">
        <f t="shared" si="48"/>
        <v>4.9999999999999822</v>
      </c>
      <c r="V67" s="454">
        <f t="shared" si="47"/>
        <v>64.000000000000014</v>
      </c>
      <c r="W67" s="17"/>
      <c r="X67" s="17"/>
      <c r="Y67" s="17"/>
      <c r="Z67" s="17"/>
      <c r="AA67" s="610"/>
      <c r="AB67" s="610"/>
      <c r="AC67" s="19"/>
      <c r="AD67" s="19"/>
      <c r="AE67" s="15">
        <f t="shared" si="43"/>
        <v>-108.75000000000045</v>
      </c>
      <c r="AF67" s="452">
        <f t="shared" si="9"/>
        <v>0.9546874999999998</v>
      </c>
      <c r="AG67" s="619"/>
    </row>
    <row r="68" spans="1:33" ht="15.75" customHeight="1">
      <c r="A68" s="617" t="s">
        <v>991</v>
      </c>
      <c r="B68" s="462" t="s">
        <v>27</v>
      </c>
      <c r="C68" s="611" t="s">
        <v>52</v>
      </c>
      <c r="D68" s="611"/>
      <c r="E68" s="33">
        <v>25.98</v>
      </c>
      <c r="F68" s="462">
        <v>1648</v>
      </c>
      <c r="G68" s="451">
        <f t="shared" si="45"/>
        <v>42815.040000000001</v>
      </c>
      <c r="H68" s="463" t="s">
        <v>5</v>
      </c>
      <c r="I68" s="453">
        <v>17</v>
      </c>
      <c r="J68" s="30">
        <v>2400</v>
      </c>
      <c r="K68" s="13">
        <f t="shared" si="1"/>
        <v>141.1764705882353</v>
      </c>
      <c r="L68" s="453">
        <v>17</v>
      </c>
      <c r="M68" s="14">
        <f t="shared" si="46"/>
        <v>2299.5348837209299</v>
      </c>
      <c r="N68" s="13">
        <f t="shared" si="3"/>
        <v>135.26675786593705</v>
      </c>
      <c r="O68" s="15">
        <f t="shared" si="4"/>
        <v>0</v>
      </c>
      <c r="P68" s="16">
        <f t="shared" si="5"/>
        <v>-5.9097127222982522</v>
      </c>
      <c r="Q68" s="452">
        <f t="shared" si="6"/>
        <v>0.95813953488372072</v>
      </c>
      <c r="R68" s="619"/>
      <c r="S68" s="31">
        <v>0.3965277777777777</v>
      </c>
      <c r="T68" s="31">
        <v>0.42638888888888882</v>
      </c>
      <c r="U68" s="451">
        <f t="shared" si="48"/>
        <v>6.9999999999999751</v>
      </c>
      <c r="V68" s="454">
        <f t="shared" si="47"/>
        <v>43.000000000000007</v>
      </c>
      <c r="W68" s="17"/>
      <c r="X68" s="17"/>
      <c r="Y68" s="17"/>
      <c r="Z68" s="17"/>
      <c r="AA68" s="610"/>
      <c r="AB68" s="610"/>
      <c r="AC68" s="19"/>
      <c r="AD68" s="19"/>
      <c r="AE68" s="15">
        <f t="shared" si="43"/>
        <v>-100.46511627907012</v>
      </c>
      <c r="AF68" s="452">
        <f t="shared" si="9"/>
        <v>0.95813953488372083</v>
      </c>
      <c r="AG68" s="619"/>
    </row>
    <row r="69" spans="1:33" ht="15.75" customHeight="1">
      <c r="A69" s="617" t="s">
        <v>991</v>
      </c>
      <c r="B69" s="462" t="s">
        <v>27</v>
      </c>
      <c r="C69" s="612" t="s">
        <v>197</v>
      </c>
      <c r="D69" s="613"/>
      <c r="E69" s="33">
        <v>23.89</v>
      </c>
      <c r="F69" s="462">
        <v>2927</v>
      </c>
      <c r="G69" s="451">
        <f t="shared" si="45"/>
        <v>69926.03</v>
      </c>
      <c r="H69" s="463" t="s">
        <v>5</v>
      </c>
      <c r="I69" s="453">
        <v>17</v>
      </c>
      <c r="J69" s="30">
        <v>2400</v>
      </c>
      <c r="K69" s="13">
        <f t="shared" ref="K69:K72" si="49">J69/I69</f>
        <v>141.1764705882353</v>
      </c>
      <c r="L69" s="453">
        <v>17</v>
      </c>
      <c r="M69" s="14">
        <f t="shared" si="46"/>
        <v>2310.7894736842113</v>
      </c>
      <c r="N69" s="13">
        <f t="shared" ref="N69:N72" si="50">M69/L69</f>
        <v>135.92879256965949</v>
      </c>
      <c r="O69" s="15">
        <f t="shared" ref="O69:O72" si="51">L69-I69</f>
        <v>0</v>
      </c>
      <c r="P69" s="16">
        <f t="shared" ref="P69:P72" si="52">N69-K69</f>
        <v>-5.2476780185758116</v>
      </c>
      <c r="Q69" s="452">
        <f t="shared" ref="Q69:Q72" si="53">N69/K69</f>
        <v>0.96282894736842128</v>
      </c>
      <c r="R69" s="619"/>
      <c r="S69" s="31">
        <v>0.43194444444444435</v>
      </c>
      <c r="T69" s="31">
        <v>0.48472222222222211</v>
      </c>
      <c r="U69" s="451">
        <f t="shared" si="48"/>
        <v>7.9999999999999716</v>
      </c>
      <c r="V69" s="454">
        <f t="shared" si="47"/>
        <v>75.999999999999972</v>
      </c>
      <c r="W69" s="17">
        <f>T69</f>
        <v>0.48472222222222211</v>
      </c>
      <c r="X69" s="17">
        <f>S70</f>
        <v>0.52430555555555547</v>
      </c>
      <c r="Y69" s="20"/>
      <c r="Z69" s="20"/>
      <c r="AA69" s="614"/>
      <c r="AB69" s="615"/>
      <c r="AC69" s="19"/>
      <c r="AD69" s="19"/>
      <c r="AE69" s="15">
        <f t="shared" si="43"/>
        <v>-89.210526315788684</v>
      </c>
      <c r="AF69" s="452">
        <f t="shared" ref="AF69:AF72" si="54">M69/J69</f>
        <v>0.9628289473684214</v>
      </c>
      <c r="AG69" s="619"/>
    </row>
    <row r="70" spans="1:33" ht="15.75" customHeight="1">
      <c r="A70" s="617" t="s">
        <v>2241</v>
      </c>
      <c r="B70" s="462" t="s">
        <v>27</v>
      </c>
      <c r="C70" s="612" t="s">
        <v>50</v>
      </c>
      <c r="D70" s="613"/>
      <c r="E70" s="33">
        <v>19.02</v>
      </c>
      <c r="F70" s="462">
        <v>4723</v>
      </c>
      <c r="G70" s="451">
        <f t="shared" si="45"/>
        <v>89831.459999999992</v>
      </c>
      <c r="H70" s="463" t="s">
        <v>5</v>
      </c>
      <c r="I70" s="453">
        <v>14</v>
      </c>
      <c r="J70" s="30">
        <v>2400</v>
      </c>
      <c r="K70" s="13">
        <f t="shared" si="49"/>
        <v>171.42857142857142</v>
      </c>
      <c r="L70" s="453">
        <v>14</v>
      </c>
      <c r="M70" s="14">
        <f t="shared" si="46"/>
        <v>2285.3225806451605</v>
      </c>
      <c r="N70" s="13">
        <f t="shared" si="50"/>
        <v>163.23732718894004</v>
      </c>
      <c r="O70" s="15">
        <f t="shared" si="51"/>
        <v>0</v>
      </c>
      <c r="P70" s="16">
        <f t="shared" si="52"/>
        <v>-8.1912442396313736</v>
      </c>
      <c r="Q70" s="452">
        <f t="shared" si="53"/>
        <v>0.9522177419354837</v>
      </c>
      <c r="R70" s="619"/>
      <c r="S70" s="31">
        <v>0.52430555555555547</v>
      </c>
      <c r="T70" s="31">
        <v>0.61041666666666661</v>
      </c>
      <c r="U70" s="451">
        <f t="shared" si="48"/>
        <v>57.000000000000036</v>
      </c>
      <c r="V70" s="454">
        <f t="shared" si="47"/>
        <v>124.00000000000004</v>
      </c>
      <c r="W70" s="17"/>
      <c r="X70" s="17"/>
      <c r="Y70" s="20"/>
      <c r="Z70" s="20"/>
      <c r="AA70" s="614"/>
      <c r="AB70" s="615"/>
      <c r="AC70" s="19"/>
      <c r="AD70" s="19"/>
      <c r="AE70" s="15">
        <f t="shared" si="43"/>
        <v>-114.67741935483946</v>
      </c>
      <c r="AF70" s="452">
        <f t="shared" si="54"/>
        <v>0.95221774193548359</v>
      </c>
      <c r="AG70" s="619"/>
    </row>
    <row r="71" spans="1:33" ht="15.75" customHeight="1">
      <c r="A71" s="617" t="s">
        <v>2242</v>
      </c>
      <c r="B71" s="462" t="s">
        <v>27</v>
      </c>
      <c r="C71" s="612" t="s">
        <v>51</v>
      </c>
      <c r="D71" s="613"/>
      <c r="E71" s="33">
        <v>20.36</v>
      </c>
      <c r="F71" s="462">
        <v>2098</v>
      </c>
      <c r="G71" s="451">
        <f t="shared" si="45"/>
        <v>42715.28</v>
      </c>
      <c r="H71" s="463" t="s">
        <v>5</v>
      </c>
      <c r="I71" s="453">
        <v>17</v>
      </c>
      <c r="J71" s="30">
        <v>2400</v>
      </c>
      <c r="K71" s="13">
        <f t="shared" si="49"/>
        <v>141.1764705882353</v>
      </c>
      <c r="L71" s="453">
        <v>17</v>
      </c>
      <c r="M71" s="14">
        <f t="shared" si="46"/>
        <v>2288.7272727272743</v>
      </c>
      <c r="N71" s="13">
        <f t="shared" si="50"/>
        <v>134.63101604278086</v>
      </c>
      <c r="O71" s="15">
        <f t="shared" si="51"/>
        <v>0</v>
      </c>
      <c r="P71" s="16">
        <f t="shared" si="52"/>
        <v>-6.5454545454544473</v>
      </c>
      <c r="Q71" s="452">
        <f t="shared" si="53"/>
        <v>0.95363636363636428</v>
      </c>
      <c r="R71" s="619"/>
      <c r="S71" s="31">
        <v>0.61458333333333326</v>
      </c>
      <c r="T71" s="31">
        <v>0.65277777777777768</v>
      </c>
      <c r="U71" s="451">
        <f t="shared" si="48"/>
        <v>5.9999999999999787</v>
      </c>
      <c r="V71" s="454">
        <f t="shared" si="47"/>
        <v>54.999999999999964</v>
      </c>
      <c r="W71" s="17"/>
      <c r="X71" s="17"/>
      <c r="Y71" s="20"/>
      <c r="Z71" s="20"/>
      <c r="AA71" s="614"/>
      <c r="AB71" s="615"/>
      <c r="AC71" s="19"/>
      <c r="AD71" s="19"/>
      <c r="AE71" s="15">
        <f t="shared" si="43"/>
        <v>-111.27272727272566</v>
      </c>
      <c r="AF71" s="452">
        <f t="shared" si="54"/>
        <v>0.95363636363636428</v>
      </c>
      <c r="AG71" s="619"/>
    </row>
    <row r="72" spans="1:33" ht="16.5" customHeight="1">
      <c r="A72" s="618" t="s">
        <v>2243</v>
      </c>
      <c r="B72" s="33" t="s">
        <v>80</v>
      </c>
      <c r="C72" s="607"/>
      <c r="D72" s="608"/>
      <c r="E72" s="459"/>
      <c r="F72" s="34"/>
      <c r="G72" s="13"/>
      <c r="H72" s="462"/>
      <c r="I72" s="23">
        <v>16.555555555555557</v>
      </c>
      <c r="J72" s="30">
        <v>2400</v>
      </c>
      <c r="K72" s="13">
        <f t="shared" si="49"/>
        <v>144.96644295302013</v>
      </c>
      <c r="L72" s="23">
        <v>16.555555555555557</v>
      </c>
      <c r="M72" s="14">
        <f>AVERAGE(M63:M71)</f>
        <v>2299.2394503475184</v>
      </c>
      <c r="N72" s="13">
        <f t="shared" si="50"/>
        <v>138.88023525589037</v>
      </c>
      <c r="O72" s="15">
        <f t="shared" si="51"/>
        <v>0</v>
      </c>
      <c r="P72" s="16">
        <f t="shared" si="52"/>
        <v>-6.0862076971297654</v>
      </c>
      <c r="Q72" s="452">
        <f t="shared" si="53"/>
        <v>0.95801643764479927</v>
      </c>
      <c r="R72" s="619"/>
      <c r="S72" s="31"/>
      <c r="T72" s="31"/>
      <c r="U72" s="13"/>
      <c r="V72" s="454"/>
      <c r="W72" s="13"/>
      <c r="X72" s="13"/>
      <c r="Y72" s="24">
        <f>SUM(Y63:Y71)</f>
        <v>0</v>
      </c>
      <c r="Z72" s="24">
        <f>SUM(Z63:Z71)</f>
        <v>0</v>
      </c>
      <c r="AA72" s="609"/>
      <c r="AB72" s="609"/>
      <c r="AC72" s="24">
        <v>9</v>
      </c>
      <c r="AD72" s="24">
        <f>SUM(AD63:AD71)</f>
        <v>0</v>
      </c>
      <c r="AE72" s="15">
        <f t="shared" si="43"/>
        <v>-100.76054965248159</v>
      </c>
      <c r="AF72" s="452">
        <f t="shared" si="54"/>
        <v>0.95801643764479938</v>
      </c>
      <c r="AG72" s="619"/>
    </row>
    <row r="73" spans="1:33">
      <c r="D73" s="25"/>
      <c r="E73" s="25"/>
    </row>
  </sheetData>
  <mergeCells count="193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9"/>
    <mergeCell ref="AA12:AB12"/>
    <mergeCell ref="AG12:AG19"/>
    <mergeCell ref="C16:D16"/>
    <mergeCell ref="AA16:AB16"/>
    <mergeCell ref="C19:D19"/>
    <mergeCell ref="AA19:AB19"/>
    <mergeCell ref="A20:A27"/>
    <mergeCell ref="C20:D20"/>
    <mergeCell ref="R20:R27"/>
    <mergeCell ref="AA20:AB20"/>
    <mergeCell ref="AA25:AB25"/>
    <mergeCell ref="C26:D26"/>
    <mergeCell ref="A12:A19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26:AB26"/>
    <mergeCell ref="C27:D27"/>
    <mergeCell ref="AA27:AB27"/>
    <mergeCell ref="C13:D13"/>
    <mergeCell ref="AA13:AB13"/>
    <mergeCell ref="C14:D14"/>
    <mergeCell ref="AA14:AB14"/>
    <mergeCell ref="A28:A35"/>
    <mergeCell ref="C28:D28"/>
    <mergeCell ref="R28:R35"/>
    <mergeCell ref="AA28:AB28"/>
    <mergeCell ref="AA33:AB33"/>
    <mergeCell ref="C34:D34"/>
    <mergeCell ref="AA34:AB34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35:D35"/>
    <mergeCell ref="AA35:AB35"/>
    <mergeCell ref="A36:A43"/>
    <mergeCell ref="C36:D36"/>
    <mergeCell ref="R36:R43"/>
    <mergeCell ref="AA36:AB36"/>
    <mergeCell ref="AA41:AB41"/>
    <mergeCell ref="C42:D42"/>
    <mergeCell ref="AA42:AB42"/>
    <mergeCell ref="C43:D43"/>
    <mergeCell ref="AA43:AB43"/>
    <mergeCell ref="A44:A47"/>
    <mergeCell ref="C44:D44"/>
    <mergeCell ref="R44:R47"/>
    <mergeCell ref="AA44:AB44"/>
    <mergeCell ref="AG44:AG47"/>
    <mergeCell ref="C45:D45"/>
    <mergeCell ref="AA45:AB45"/>
    <mergeCell ref="C46:D46"/>
    <mergeCell ref="AA46:AB46"/>
    <mergeCell ref="C47:D47"/>
    <mergeCell ref="AA47:AB47"/>
    <mergeCell ref="AG36:AG43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G57:AG62"/>
    <mergeCell ref="C58:D58"/>
    <mergeCell ref="AA58:AB58"/>
    <mergeCell ref="C59:D59"/>
    <mergeCell ref="AA59:AB59"/>
    <mergeCell ref="AG48:AG56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C60:D60"/>
    <mergeCell ref="AA60:AB60"/>
    <mergeCell ref="C61:D61"/>
    <mergeCell ref="AA61:AB61"/>
    <mergeCell ref="C62:D62"/>
    <mergeCell ref="AA62:AB62"/>
    <mergeCell ref="AA56:AB56"/>
    <mergeCell ref="A57:A62"/>
    <mergeCell ref="C57:D57"/>
    <mergeCell ref="R57:R62"/>
    <mergeCell ref="AA57:AB57"/>
    <mergeCell ref="A48:A56"/>
    <mergeCell ref="C48:D48"/>
    <mergeCell ref="R48:R56"/>
    <mergeCell ref="AA48:AB48"/>
    <mergeCell ref="AA54:AB54"/>
    <mergeCell ref="C55:D55"/>
    <mergeCell ref="AA55:AB55"/>
    <mergeCell ref="C56:D56"/>
    <mergeCell ref="A63:A72"/>
    <mergeCell ref="C63:D63"/>
    <mergeCell ref="R63:R72"/>
    <mergeCell ref="AA63:AB63"/>
    <mergeCell ref="AG63:AG72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C72:D72"/>
    <mergeCell ref="AA72:AB72"/>
    <mergeCell ref="AA66:AB66"/>
    <mergeCell ref="C67:D67"/>
    <mergeCell ref="AA67:AB67"/>
    <mergeCell ref="C68:D68"/>
    <mergeCell ref="AA68:AB68"/>
    <mergeCell ref="C69:D69"/>
    <mergeCell ref="AA69:AB69"/>
  </mergeCells>
  <phoneticPr fontId="3" type="noConversion"/>
  <conditionalFormatting sqref="O60:O68 O56:O57 O72 O5:O9 O11:O13 O19:O53">
    <cfRule type="cellIs" dxfId="1882" priority="68" operator="greaterThan">
      <formula>0</formula>
    </cfRule>
  </conditionalFormatting>
  <conditionalFormatting sqref="P5:P7 P60:P61 AE60:AE61 P63:P68 P28:P34 P57 P9 P11:P13 P20:P26 P48:P53 P36:P46 AE5:AE57 AE63:AE72">
    <cfRule type="cellIs" dxfId="1881" priority="72" operator="lessThan">
      <formula>0</formula>
    </cfRule>
  </conditionalFormatting>
  <conditionalFormatting sqref="AF60:AF61 Q60:Q68 Q56:Q57 Q72 Q5:Q9 Q11:Q13 Q19:Q53 AF5:AF57 AF63:AF72">
    <cfRule type="cellIs" dxfId="1880" priority="69" operator="greaterThan">
      <formula>1</formula>
    </cfRule>
    <cfRule type="cellIs" dxfId="1879" priority="70" operator="lessThan">
      <formula>0.8</formula>
    </cfRule>
  </conditionalFormatting>
  <conditionalFormatting sqref="AG12:AG13 R12:R13 AG60 R60:R68 R19:R25 AG19:AG25 AG56:AG57 R56:R57 R72 AG5:AG9 R5:R9 AG27:AG53 R27:R53">
    <cfRule type="cellIs" dxfId="1878" priority="74" operator="lessThan">
      <formula>0.8</formula>
    </cfRule>
  </conditionalFormatting>
  <conditionalFormatting sqref="AG44">
    <cfRule type="cellIs" dxfId="1877" priority="76" operator="lessThan">
      <formula>0.8</formula>
    </cfRule>
  </conditionalFormatting>
  <conditionalFormatting sqref="AG20:AG25">
    <cfRule type="cellIs" dxfId="1876" priority="73" operator="lessThan">
      <formula>0.8</formula>
    </cfRule>
  </conditionalFormatting>
  <conditionalFormatting sqref="AG28">
    <cfRule type="cellIs" dxfId="1875" priority="75" operator="lessThan">
      <formula>0.8</formula>
    </cfRule>
  </conditionalFormatting>
  <conditionalFormatting sqref="AG36:AG42">
    <cfRule type="cellIs" dxfId="1874" priority="71" operator="lessThan">
      <formula>0.8</formula>
    </cfRule>
  </conditionalFormatting>
  <conditionalFormatting sqref="AE62">
    <cfRule type="cellIs" dxfId="1873" priority="67" operator="lessThan">
      <formula>0</formula>
    </cfRule>
  </conditionalFormatting>
  <conditionalFormatting sqref="AF62">
    <cfRule type="cellIs" dxfId="1872" priority="65" operator="greaterThan">
      <formula>1</formula>
    </cfRule>
    <cfRule type="cellIs" dxfId="1871" priority="66" operator="lessThan">
      <formula>0.8</formula>
    </cfRule>
  </conditionalFormatting>
  <conditionalFormatting sqref="O14:O15">
    <cfRule type="cellIs" dxfId="1870" priority="60" operator="greaterThan">
      <formula>0</formula>
    </cfRule>
  </conditionalFormatting>
  <conditionalFormatting sqref="P14:P15">
    <cfRule type="cellIs" dxfId="1869" priority="63" operator="lessThan">
      <formula>0</formula>
    </cfRule>
  </conditionalFormatting>
  <conditionalFormatting sqref="Q14:Q15">
    <cfRule type="cellIs" dxfId="1868" priority="61" operator="greaterThan">
      <formula>1</formula>
    </cfRule>
    <cfRule type="cellIs" dxfId="1867" priority="62" operator="lessThan">
      <formula>0.8</formula>
    </cfRule>
  </conditionalFormatting>
  <conditionalFormatting sqref="R14:R15 AG14:AG15">
    <cfRule type="cellIs" dxfId="1866" priority="64" operator="lessThan">
      <formula>0.8</formula>
    </cfRule>
  </conditionalFormatting>
  <conditionalFormatting sqref="O10">
    <cfRule type="cellIs" dxfId="1865" priority="56" operator="greaterThan">
      <formula>0</formula>
    </cfRule>
  </conditionalFormatting>
  <conditionalFormatting sqref="P10">
    <cfRule type="cellIs" dxfId="1864" priority="59" operator="lessThan">
      <formula>0</formula>
    </cfRule>
  </conditionalFormatting>
  <conditionalFormatting sqref="Q10">
    <cfRule type="cellIs" dxfId="1863" priority="57" operator="greaterThan">
      <formula>1</formula>
    </cfRule>
    <cfRule type="cellIs" dxfId="1862" priority="58" operator="lessThan">
      <formula>0.8</formula>
    </cfRule>
  </conditionalFormatting>
  <conditionalFormatting sqref="O54">
    <cfRule type="cellIs" dxfId="1861" priority="51" operator="greaterThan">
      <formula>0</formula>
    </cfRule>
  </conditionalFormatting>
  <conditionalFormatting sqref="P54">
    <cfRule type="cellIs" dxfId="1860" priority="54" operator="lessThan">
      <formula>0</formula>
    </cfRule>
  </conditionalFormatting>
  <conditionalFormatting sqref="Q54">
    <cfRule type="cellIs" dxfId="1859" priority="52" operator="greaterThan">
      <formula>1</formula>
    </cfRule>
    <cfRule type="cellIs" dxfId="1858" priority="53" operator="lessThan">
      <formula>0.8</formula>
    </cfRule>
  </conditionalFormatting>
  <conditionalFormatting sqref="R54 AG54">
    <cfRule type="cellIs" dxfId="1857" priority="55" operator="lessThan">
      <formula>0.8</formula>
    </cfRule>
  </conditionalFormatting>
  <conditionalFormatting sqref="O59">
    <cfRule type="cellIs" dxfId="1856" priority="46" operator="greaterThan">
      <formula>0</formula>
    </cfRule>
  </conditionalFormatting>
  <conditionalFormatting sqref="P59 AE59">
    <cfRule type="cellIs" dxfId="1855" priority="49" operator="lessThan">
      <formula>0</formula>
    </cfRule>
  </conditionalFormatting>
  <conditionalFormatting sqref="Q59 AF59">
    <cfRule type="cellIs" dxfId="1854" priority="47" operator="greaterThan">
      <formula>1</formula>
    </cfRule>
    <cfRule type="cellIs" dxfId="1853" priority="48" operator="lessThan">
      <formula>0.8</formula>
    </cfRule>
  </conditionalFormatting>
  <conditionalFormatting sqref="R59 AG59">
    <cfRule type="cellIs" dxfId="1852" priority="50" operator="lessThan">
      <formula>0.8</formula>
    </cfRule>
  </conditionalFormatting>
  <conditionalFormatting sqref="O69">
    <cfRule type="cellIs" dxfId="1851" priority="41" operator="greaterThan">
      <formula>0</formula>
    </cfRule>
  </conditionalFormatting>
  <conditionalFormatting sqref="P69">
    <cfRule type="cellIs" dxfId="1850" priority="44" operator="lessThan">
      <formula>0</formula>
    </cfRule>
  </conditionalFormatting>
  <conditionalFormatting sqref="Q69">
    <cfRule type="cellIs" dxfId="1849" priority="42" operator="greaterThan">
      <formula>1</formula>
    </cfRule>
    <cfRule type="cellIs" dxfId="1848" priority="43" operator="lessThan">
      <formula>0.8</formula>
    </cfRule>
  </conditionalFormatting>
  <conditionalFormatting sqref="R69">
    <cfRule type="cellIs" dxfId="1847" priority="45" operator="lessThan">
      <formula>0.8</formula>
    </cfRule>
  </conditionalFormatting>
  <conditionalFormatting sqref="O16:O17">
    <cfRule type="cellIs" dxfId="1846" priority="36" operator="greaterThan">
      <formula>0</formula>
    </cfRule>
  </conditionalFormatting>
  <conditionalFormatting sqref="P16:P17">
    <cfRule type="cellIs" dxfId="1845" priority="39" operator="lessThan">
      <formula>0</formula>
    </cfRule>
  </conditionalFormatting>
  <conditionalFormatting sqref="Q16:Q17">
    <cfRule type="cellIs" dxfId="1844" priority="37" operator="greaterThan">
      <formula>1</formula>
    </cfRule>
    <cfRule type="cellIs" dxfId="1843" priority="38" operator="lessThan">
      <formula>0.8</formula>
    </cfRule>
  </conditionalFormatting>
  <conditionalFormatting sqref="R16:R17 AG16:AG17">
    <cfRule type="cellIs" dxfId="1842" priority="40" operator="lessThan">
      <formula>0.8</formula>
    </cfRule>
  </conditionalFormatting>
  <conditionalFormatting sqref="O55">
    <cfRule type="cellIs" dxfId="1841" priority="31" operator="greaterThan">
      <formula>0</formula>
    </cfRule>
  </conditionalFormatting>
  <conditionalFormatting sqref="P55">
    <cfRule type="cellIs" dxfId="1840" priority="34" operator="lessThan">
      <formula>0</formula>
    </cfRule>
  </conditionalFormatting>
  <conditionalFormatting sqref="Q55">
    <cfRule type="cellIs" dxfId="1839" priority="32" operator="greaterThan">
      <formula>1</formula>
    </cfRule>
    <cfRule type="cellIs" dxfId="1838" priority="33" operator="lessThan">
      <formula>0.8</formula>
    </cfRule>
  </conditionalFormatting>
  <conditionalFormatting sqref="AG55 R55">
    <cfRule type="cellIs" dxfId="1837" priority="35" operator="lessThan">
      <formula>0.8</formula>
    </cfRule>
  </conditionalFormatting>
  <conditionalFormatting sqref="R26 AG26">
    <cfRule type="cellIs" dxfId="1836" priority="30" operator="lessThan">
      <formula>0.8</formula>
    </cfRule>
  </conditionalFormatting>
  <conditionalFormatting sqref="AG26">
    <cfRule type="cellIs" dxfId="1835" priority="29" operator="lessThan">
      <formula>0.8</formula>
    </cfRule>
  </conditionalFormatting>
  <conditionalFormatting sqref="O58">
    <cfRule type="cellIs" dxfId="1834" priority="24" operator="greaterThan">
      <formula>0</formula>
    </cfRule>
  </conditionalFormatting>
  <conditionalFormatting sqref="P58 AE58">
    <cfRule type="cellIs" dxfId="1833" priority="27" operator="lessThan">
      <formula>0</formula>
    </cfRule>
  </conditionalFormatting>
  <conditionalFormatting sqref="Q58 AF58">
    <cfRule type="cellIs" dxfId="1832" priority="25" operator="greaterThan">
      <formula>1</formula>
    </cfRule>
    <cfRule type="cellIs" dxfId="1831" priority="26" operator="lessThan">
      <formula>0.8</formula>
    </cfRule>
  </conditionalFormatting>
  <conditionalFormatting sqref="R58 AG58">
    <cfRule type="cellIs" dxfId="1830" priority="28" operator="lessThan">
      <formula>0.8</formula>
    </cfRule>
  </conditionalFormatting>
  <conditionalFormatting sqref="O18">
    <cfRule type="cellIs" dxfId="1829" priority="19" operator="greaterThan">
      <formula>0</formula>
    </cfRule>
  </conditionalFormatting>
  <conditionalFormatting sqref="P18">
    <cfRule type="cellIs" dxfId="1828" priority="22" operator="lessThan">
      <formula>0</formula>
    </cfRule>
  </conditionalFormatting>
  <conditionalFormatting sqref="Q18">
    <cfRule type="cellIs" dxfId="1827" priority="20" operator="greaterThan">
      <formula>1</formula>
    </cfRule>
    <cfRule type="cellIs" dxfId="1826" priority="21" operator="lessThan">
      <formula>0.8</formula>
    </cfRule>
  </conditionalFormatting>
  <conditionalFormatting sqref="AG18 R18">
    <cfRule type="cellIs" dxfId="1825" priority="23" operator="lessThan">
      <formula>0.8</formula>
    </cfRule>
  </conditionalFormatting>
  <conditionalFormatting sqref="P8">
    <cfRule type="cellIs" dxfId="1824" priority="18" operator="lessThan">
      <formula>0</formula>
    </cfRule>
  </conditionalFormatting>
  <conditionalFormatting sqref="P19">
    <cfRule type="cellIs" dxfId="1823" priority="17" operator="lessThan">
      <formula>0</formula>
    </cfRule>
  </conditionalFormatting>
  <conditionalFormatting sqref="P27">
    <cfRule type="cellIs" dxfId="1822" priority="16" operator="lessThan">
      <formula>0</formula>
    </cfRule>
  </conditionalFormatting>
  <conditionalFormatting sqref="P35">
    <cfRule type="cellIs" dxfId="1821" priority="15" operator="lessThan">
      <formula>0</formula>
    </cfRule>
  </conditionalFormatting>
  <conditionalFormatting sqref="P47">
    <cfRule type="cellIs" dxfId="1820" priority="14" operator="lessThan">
      <formula>0</formula>
    </cfRule>
  </conditionalFormatting>
  <conditionalFormatting sqref="P56">
    <cfRule type="cellIs" dxfId="1819" priority="13" operator="lessThan">
      <formula>0</formula>
    </cfRule>
  </conditionalFormatting>
  <conditionalFormatting sqref="P62">
    <cfRule type="cellIs" dxfId="1818" priority="12" operator="lessThan">
      <formula>0</formula>
    </cfRule>
  </conditionalFormatting>
  <conditionalFormatting sqref="P72">
    <cfRule type="cellIs" dxfId="1817" priority="11" operator="lessThan">
      <formula>0</formula>
    </cfRule>
  </conditionalFormatting>
  <conditionalFormatting sqref="O70">
    <cfRule type="cellIs" dxfId="1816" priority="6" operator="greaterThan">
      <formula>0</formula>
    </cfRule>
  </conditionalFormatting>
  <conditionalFormatting sqref="P70">
    <cfRule type="cellIs" dxfId="1815" priority="9" operator="lessThan">
      <formula>0</formula>
    </cfRule>
  </conditionalFormatting>
  <conditionalFormatting sqref="Q70">
    <cfRule type="cellIs" dxfId="1814" priority="7" operator="greaterThan">
      <formula>1</formula>
    </cfRule>
    <cfRule type="cellIs" dxfId="1813" priority="8" operator="lessThan">
      <formula>0.8</formula>
    </cfRule>
  </conditionalFormatting>
  <conditionalFormatting sqref="R70">
    <cfRule type="cellIs" dxfId="1812" priority="10" operator="lessThan">
      <formula>0.8</formula>
    </cfRule>
  </conditionalFormatting>
  <conditionalFormatting sqref="O71">
    <cfRule type="cellIs" dxfId="1811" priority="1" operator="greaterThan">
      <formula>0</formula>
    </cfRule>
  </conditionalFormatting>
  <conditionalFormatting sqref="P71">
    <cfRule type="cellIs" dxfId="1810" priority="4" operator="lessThan">
      <formula>0</formula>
    </cfRule>
  </conditionalFormatting>
  <conditionalFormatting sqref="Q71">
    <cfRule type="cellIs" dxfId="1809" priority="2" operator="greaterThan">
      <formula>1</formula>
    </cfRule>
    <cfRule type="cellIs" dxfId="1808" priority="3" operator="lessThan">
      <formula>0.8</formula>
    </cfRule>
  </conditionalFormatting>
  <conditionalFormatting sqref="R71">
    <cfRule type="cellIs" dxfId="1807" priority="5" operator="lessThan">
      <formula>0.8</formula>
    </cfRule>
  </conditionalFormatting>
  <dataValidations count="1">
    <dataValidation type="list" allowBlank="1" showInputMessage="1" showErrorMessage="1" sqref="AB8 AA5:AB7 AB61 AA8:AA61 AB10:AB57 AA62:AB72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2064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2065</v>
      </c>
      <c r="C3" s="596" t="str">
        <f>TEXT('0922 4度C'!A2,"yyyy.mm.ddaaaa")</f>
        <v>2026.09.22星期二</v>
      </c>
      <c r="D3" s="597"/>
      <c r="E3" s="39" t="s">
        <v>2066</v>
      </c>
      <c r="F3" s="598">
        <f>'0922 4度C'!D1</f>
        <v>179342</v>
      </c>
      <c r="G3" s="599"/>
      <c r="H3" s="39" t="s">
        <v>89</v>
      </c>
      <c r="I3" s="600">
        <f>'0922 4度C'!F1</f>
        <v>6076860.5600000033</v>
      </c>
      <c r="J3" s="601"/>
      <c r="K3" s="40"/>
      <c r="L3" s="41"/>
      <c r="M3" s="42"/>
      <c r="N3" s="42"/>
    </row>
    <row r="4" spans="2:17" ht="28.5" customHeight="1">
      <c r="B4" s="602" t="s">
        <v>2067</v>
      </c>
      <c r="C4" s="588" t="s">
        <v>2068</v>
      </c>
      <c r="D4" s="589"/>
      <c r="E4" s="605" t="s">
        <v>2069</v>
      </c>
      <c r="F4" s="606"/>
      <c r="G4" s="605" t="s">
        <v>93</v>
      </c>
      <c r="H4" s="606"/>
      <c r="I4" s="605" t="s">
        <v>94</v>
      </c>
      <c r="J4" s="606"/>
      <c r="K4" s="586" t="s">
        <v>95</v>
      </c>
      <c r="L4" s="587"/>
      <c r="M4" s="587" t="s">
        <v>2070</v>
      </c>
      <c r="N4" s="587"/>
    </row>
    <row r="5" spans="2:17" ht="28.5" customHeight="1">
      <c r="B5" s="603"/>
      <c r="C5" s="588" t="s">
        <v>2071</v>
      </c>
      <c r="D5" s="589"/>
      <c r="E5" s="588" t="s">
        <v>2072</v>
      </c>
      <c r="F5" s="589"/>
      <c r="G5" s="590" t="s">
        <v>2073</v>
      </c>
      <c r="H5" s="591"/>
      <c r="I5" s="592" t="s">
        <v>2074</v>
      </c>
      <c r="J5" s="593"/>
      <c r="K5" s="43" t="s">
        <v>2075</v>
      </c>
      <c r="L5" s="44" t="s">
        <v>2076</v>
      </c>
      <c r="M5" s="43" t="s">
        <v>2075</v>
      </c>
      <c r="N5" s="44" t="s">
        <v>2077</v>
      </c>
    </row>
    <row r="6" spans="2:17" ht="28.5" customHeight="1">
      <c r="B6" s="603"/>
      <c r="C6" s="588" t="s">
        <v>56</v>
      </c>
      <c r="D6" s="589"/>
      <c r="E6" s="580">
        <f>AVERAGE(D13:M13)</f>
        <v>150.37592543500097</v>
      </c>
      <c r="F6" s="581">
        <f>AVERAGE(D31:O31,D13:J13)</f>
        <v>155.43030141830948</v>
      </c>
      <c r="G6" s="582">
        <f>AVERAGE(D13:J13)</f>
        <v>155.43030141830948</v>
      </c>
      <c r="H6" s="583"/>
      <c r="I6" s="582">
        <f>AVERAGE(K13:M13)</f>
        <v>138.58238147394772</v>
      </c>
      <c r="J6" s="583"/>
      <c r="K6" s="584">
        <f>'0922 4度C'!Y2</f>
        <v>0</v>
      </c>
      <c r="L6" s="569">
        <f>'0922 4度C'!Z2</f>
        <v>0</v>
      </c>
      <c r="M6" s="585">
        <f>'0922 4度C'!AC2</f>
        <v>61</v>
      </c>
      <c r="N6" s="569">
        <f>'0922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144.15778804597068</v>
      </c>
      <c r="F7" s="573">
        <f>AVERAGE(D32:O32,D14:J14)</f>
        <v>149.12840277616493</v>
      </c>
      <c r="G7" s="574">
        <f>AVERAGE(D14:J14)</f>
        <v>149.12840277616493</v>
      </c>
      <c r="H7" s="575"/>
      <c r="I7" s="574">
        <f>AVERAGE(K14:M14)</f>
        <v>132.55968700885063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0.95805623522801064</v>
      </c>
      <c r="F8" s="577">
        <f>AVERAGE(D15:J15,D33:O33)</f>
        <v>0.95867977407189497</v>
      </c>
      <c r="G8" s="578">
        <f>AVERAGE(D15:J15)</f>
        <v>0.95867977407189497</v>
      </c>
      <c r="H8" s="579"/>
      <c r="I8" s="578">
        <f>AVERAGE(K15:M15)</f>
        <v>0.95660131125894676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2078</v>
      </c>
      <c r="N9" s="42"/>
      <c r="O9" s="42"/>
      <c r="P9" s="42"/>
      <c r="Q9" s="42"/>
    </row>
    <row r="10" spans="2:17" ht="30" customHeight="1">
      <c r="B10" s="552" t="s">
        <v>2079</v>
      </c>
      <c r="C10" s="553"/>
      <c r="D10" s="554" t="s">
        <v>2080</v>
      </c>
      <c r="E10" s="555"/>
      <c r="F10" s="555"/>
      <c r="G10" s="555"/>
      <c r="H10" s="555"/>
      <c r="I10" s="555"/>
      <c r="J10" s="556"/>
      <c r="K10" s="557" t="s">
        <v>2081</v>
      </c>
      <c r="L10" s="558"/>
      <c r="M10" s="559"/>
      <c r="P10" s="48"/>
      <c r="Q10" s="48"/>
    </row>
    <row r="11" spans="2:17" ht="17.25" customHeight="1">
      <c r="B11" s="560" t="s">
        <v>109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2082</v>
      </c>
      <c r="C13" s="55" t="s">
        <v>2083</v>
      </c>
      <c r="D13" s="56">
        <f>SUMIFS('0922 4度C'!$K:$K,'0922 4度C'!$A:$A,"新豐6線",'0922 4度C'!$B:$B,"平均")</f>
        <v>130.43478260869566</v>
      </c>
      <c r="E13" s="57">
        <f>SUMIFS('0922 4度C'!$K:$K,'0922 4度C'!$A:$A,"新豐2線",'0922 4度C'!$B:$B,"平均")</f>
        <v>83.333333333333329</v>
      </c>
      <c r="F13" s="58">
        <f>SUMIFS('0922 4度C'!$K:$K,'0922 4度C'!$A:$A,"新豐5線",'0922 4度C'!$B:$B,"平均")</f>
        <v>100.84033613445378</v>
      </c>
      <c r="G13" s="58">
        <f>SUMIFS('0922 4度C'!$K:$K,'0922 4度C'!$A:$A,"新豐7線",'0922 4度C'!$B:$B,"平均")</f>
        <v>127.27272727272728</v>
      </c>
      <c r="H13" s="58">
        <f>SUMIFS('0922 4度C'!$K:$K,'0922 4度C'!$A:$A,"新豐3線",'0922 4度C'!$B:$B,"平均")</f>
        <v>242.42424242424241</v>
      </c>
      <c r="I13" s="58">
        <f>SUMIFS('0922 4度C'!$K:$K,'0922 4度C'!$A:$A,"新豐1線",'0922 4度C'!$B:$B,"平均")</f>
        <v>109.58904109589041</v>
      </c>
      <c r="J13" s="59">
        <f>SUMIFS('0922 4度C'!$K:$K,'0922 4度C'!$A:$A,"新豐10線",'0922 4度C'!$B:$B,"平均")</f>
        <v>294.11764705882354</v>
      </c>
      <c r="K13" s="60">
        <f>SUMIFS('0922 4度C'!$K:$K,'0922 4度C'!$A:$A,"新豐8線",'0922 4度C'!$B:$B,"平均")</f>
        <v>145.45454545454547</v>
      </c>
      <c r="L13" s="61">
        <f>SUMIFS('0922 4度C'!$K:$K,'0922 4度C'!$A:$A,"新豐9線",'0922 4度C'!$B:$B,"平均")</f>
        <v>125.71428571428571</v>
      </c>
      <c r="M13" s="59">
        <f>SUMIFS('0922 4度C'!$K:$K,'0922 4度C'!$A:$A,"新豐4線",'0922 4度C'!$B:$B,"平均")</f>
        <v>144.57831325301203</v>
      </c>
    </row>
    <row r="14" spans="2:17" ht="39.6" customHeight="1">
      <c r="B14" s="565"/>
      <c r="C14" s="62" t="s">
        <v>2084</v>
      </c>
      <c r="D14" s="63">
        <f>SUMIFS('0922 4度C'!$N:$N,'0922 4度C'!$A:$A,"新豐6線",'0922 4度C'!$B:$B,"平均")</f>
        <v>125.73211977320136</v>
      </c>
      <c r="E14" s="64">
        <f>SUMIFS('0922 4度C'!$N:$N,'0922 4度C'!$A:$A,"新豐2線",'0922 4度C'!$B:$B,"平均")</f>
        <v>79.445800999018829</v>
      </c>
      <c r="F14" s="64">
        <f>SUMIFS('0922 4度C'!$N:$N,'0922 4度C'!$A:$A,"新豐5線",'0922 4度C'!$B:$B,"平均")</f>
        <v>96.401571706332078</v>
      </c>
      <c r="G14" s="64">
        <f>SUMIFS('0922 4度C'!$N:$N,'0922 4度C'!$A:$A,"新豐7線",'0922 4度C'!$B:$B,"平均")</f>
        <v>122.26703173345271</v>
      </c>
      <c r="H14" s="64">
        <f>SUMIFS('0922 4度C'!$N:$N,'0922 4度C'!$A:$A,"新豐3線",'0922 4度C'!$B:$B,"平均")</f>
        <v>232.0799683004407</v>
      </c>
      <c r="I14" s="64">
        <f>SUMIFS('0922 4度C'!$N:$N,'0922 4度C'!$A:$A,"新豐1線",'0922 4度C'!$B:$B,"平均")</f>
        <v>104.86899324851545</v>
      </c>
      <c r="J14" s="65">
        <f>SUMIFS('0922 4度C'!$N:$N,'0922 4度C'!$A:$A,"新豐10線",'0922 4度C'!$B:$B,"平均")</f>
        <v>283.10333367219323</v>
      </c>
      <c r="K14" s="66">
        <f>SUMIFS('0922 4度C'!$N:$N,'0922 4度C'!$A:$A,"新豐8線",'0922 4度C'!$B:$B,"平均")</f>
        <v>138.55086479207301</v>
      </c>
      <c r="L14" s="67">
        <f>SUMIFS('0922 4度C'!$N:$N,'0922 4度C'!$A:$A,"新豐9線",'0922 4度C'!$B:$B,"平均")</f>
        <v>120.40267370552876</v>
      </c>
      <c r="M14" s="65">
        <f>SUMIFS('0922 4度C'!$N:$N,'0922 4度C'!$A:$A,"新豐4線",'0922 4度C'!$B:$B,"平均")</f>
        <v>138.72552252895014</v>
      </c>
    </row>
    <row r="15" spans="2:17" ht="40.15" customHeight="1">
      <c r="B15" s="566"/>
      <c r="C15" s="68" t="s">
        <v>2085</v>
      </c>
      <c r="D15" s="69">
        <f t="shared" ref="D15:M15" si="0">D14/D13</f>
        <v>0.96394625159454372</v>
      </c>
      <c r="E15" s="70">
        <f t="shared" si="0"/>
        <v>0.95334961198822599</v>
      </c>
      <c r="F15" s="70">
        <f t="shared" si="0"/>
        <v>0.9559822527544598</v>
      </c>
      <c r="G15" s="70">
        <f t="shared" si="0"/>
        <v>0.96066953504855701</v>
      </c>
      <c r="H15" s="70">
        <f t="shared" si="0"/>
        <v>0.95732986923931795</v>
      </c>
      <c r="I15" s="70">
        <f t="shared" si="0"/>
        <v>0.95692956339270352</v>
      </c>
      <c r="J15" s="71">
        <f t="shared" si="0"/>
        <v>0.96255133448545693</v>
      </c>
      <c r="K15" s="69">
        <f t="shared" si="0"/>
        <v>0.95253719544550186</v>
      </c>
      <c r="L15" s="70">
        <f t="shared" si="0"/>
        <v>0.95774854083943328</v>
      </c>
      <c r="M15" s="71">
        <f t="shared" si="0"/>
        <v>0.95951819749190526</v>
      </c>
    </row>
    <row r="16" spans="2:17" ht="17.25" customHeight="1">
      <c r="B16" s="567" t="s">
        <v>2086</v>
      </c>
      <c r="C16" s="72" t="s">
        <v>2087</v>
      </c>
      <c r="D16" s="73">
        <f>VLOOKUP("新豐6線",'0922 4度C'!$A:$T,19,0)</f>
        <v>0.70833333333333337</v>
      </c>
      <c r="E16" s="74">
        <f>VLOOKUP("新豐2線",'0922 4度C'!$A:$T,19,0)</f>
        <v>8.3333333333333329E-2</v>
      </c>
      <c r="F16" s="74">
        <f>VLOOKUP("新豐5線",'0922 4度C'!$A:$T,19,0)</f>
        <v>0.20833333333333334</v>
      </c>
      <c r="G16" s="74">
        <f>VLOOKUP("新豐7線",'0922 4度C'!$A:$T,19,0)</f>
        <v>0.25</v>
      </c>
      <c r="H16" s="74">
        <f>VLOOKUP("新豐3線",'0922 4度C'!$A:$T,19,0)</f>
        <v>0.20833333333333334</v>
      </c>
      <c r="I16" s="74">
        <f>VLOOKUP("新豐1線",'0922 4度C'!$A:$T,19,0)</f>
        <v>0.20833333333333334</v>
      </c>
      <c r="J16" s="75">
        <f>VLOOKUP("新豐10線",'0922 4度C'!$A:$T,19,0)</f>
        <v>0.20833333333333334</v>
      </c>
      <c r="K16" s="76">
        <f>VLOOKUP("新豐8線",'0922 4度C'!$A:$T,19,0)</f>
        <v>8.3333333333333329E-2</v>
      </c>
      <c r="L16" s="77">
        <f>VLOOKUP("新豐9線",'0922 4度C'!$A:$T,19,0)</f>
        <v>8.3333333333333329E-2</v>
      </c>
      <c r="M16" s="78">
        <f>VLOOKUP("新豐4線",'0922 4度C'!$A:$T,19,0)</f>
        <v>8.3333333333333329E-2</v>
      </c>
    </row>
    <row r="17" spans="2:13" ht="17.25" customHeight="1">
      <c r="B17" s="568"/>
      <c r="C17" s="72" t="s">
        <v>329</v>
      </c>
      <c r="D17" s="76">
        <f>LOOKUP(2,1/(('0922 4度C'!$A:$A="新豐6線")*('0922 4度C'!$T:$T&lt;&gt;"")),'0922 4度C'!$T:$T)</f>
        <v>0.85277777777777786</v>
      </c>
      <c r="E17" s="74">
        <f>LOOKUP(2,1/(('0922 4度C'!$A:$A="新豐2線")*('0922 4度C'!$T:$T&lt;&gt;"")),'0922 4度C'!$T:$T)</f>
        <v>0.44930555555555557</v>
      </c>
      <c r="F17" s="74">
        <f>LOOKUP(2,1/(('0922 4度C'!$A:$A="新豐5線")*('0922 4度C'!$T:$T&lt;&gt;"")),'0922 4度C'!$T:$T)</f>
        <v>0.82847222222222228</v>
      </c>
      <c r="G17" s="74">
        <f>LOOKUP(2,1/(('0922 4度C'!$A:$A="新豐7線")*('0922 4度C'!$T:$T&lt;&gt;"")),'0922 4度C'!$T:$T)</f>
        <v>0.94791666666666663</v>
      </c>
      <c r="H17" s="74">
        <f>LOOKUP(2,1/(('0922 4度C'!$A:$A="新豐3線")*('0922 4度C'!$T:$T&lt;&gt;"")),'0922 4度C'!$T:$T)</f>
        <v>0.46250000000000002</v>
      </c>
      <c r="I17" s="74">
        <f>LOOKUP(2,1/(('0922 4度C'!$A:$A="新豐1線")*('0922 4度C'!$T:$T&lt;&gt;"")),'0922 4度C'!$T:$T)</f>
        <v>0.84583333333333333</v>
      </c>
      <c r="J17" s="75">
        <f>LOOKUP(2,1/(('0922 4度C'!$A:$A="新豐10線")*('0922 4度C'!$T:$T&lt;&gt;"")),'0922 4度C'!$T:$T)</f>
        <v>0.44861111111111107</v>
      </c>
      <c r="K17" s="73">
        <f>LOOKUP(2,1/(('0922 4度C'!$A:$A="新豐8線")*('0922 4度C'!$T:$T&lt;&gt;"")),'0922 4度C'!$T:$T)</f>
        <v>0.73749999999999993</v>
      </c>
      <c r="L17" s="74">
        <f>LOOKUP(2,1/(('0922 4度C'!$A:$A="新豐9線")*('0922 4度C'!$T:$T&lt;&gt;"")),'0922 4度C'!$T:$T)</f>
        <v>0.73611111111111105</v>
      </c>
      <c r="M17" s="75">
        <f>LOOKUP(2,1/(('0922 4度C'!$A:$A="新豐4線")*('0922 4度C'!$T:$T&lt;&gt;"")),'0922 4度C'!$T:$T)</f>
        <v>0.69999999999999984</v>
      </c>
    </row>
    <row r="18" spans="2:13" ht="17.25" customHeight="1">
      <c r="B18" s="546" t="s">
        <v>330</v>
      </c>
      <c r="C18" s="79" t="s">
        <v>2088</v>
      </c>
      <c r="D18" s="80">
        <f>SUMIFS('0922 4度C'!$Y:$Y,'0922 4度C'!$A:$A,"新豐6線",'0922 4度C'!$B:$B,"平均")</f>
        <v>0</v>
      </c>
      <c r="E18" s="81">
        <f>SUMIFS('0922 4度C'!$Y:$Y,'0922 4度C'!$A:$A,"新豐2線",'0922 4度C'!$B:$B,"平均")</f>
        <v>0</v>
      </c>
      <c r="F18" s="81">
        <f>SUMIFS('0922 4度C'!$Y:$Y,'0922 4度C'!$A:$A,"新豐5線",'0922 4度C'!$B:$B,"平均")</f>
        <v>0</v>
      </c>
      <c r="G18" s="81">
        <f>SUMIFS('0922 4度C'!$Y:$Y,'0922 4度C'!$A:$A,"新豐7線",'0922 4度C'!$B:$B,"平均")</f>
        <v>0</v>
      </c>
      <c r="H18" s="81">
        <f>SUMIFS('0922 4度C'!$Y:$Y,'0922 4度C'!$A:$A,"新豐3線",'0922 4度C'!$B:$B,"平均")</f>
        <v>0</v>
      </c>
      <c r="I18" s="81">
        <f>SUMIFS('0922 4度C'!$Y:$Y,'0922 4度C'!$A:$A,"新豐1線",'0922 4度C'!$B:$B,"平均")</f>
        <v>0</v>
      </c>
      <c r="J18" s="82">
        <f>SUMIFS('0922 4度C'!$Y:$Y,'0922 4度C'!$A:$A,"新豐10線",'0922 4度C'!$B:$B,"平均")</f>
        <v>0</v>
      </c>
      <c r="K18" s="83">
        <f>SUMIFS('0922 4度C'!$Y:$Y,'0922 4度C'!$A:$A,"新豐8線",'0922 4度C'!$B:$B,"平均")</f>
        <v>0</v>
      </c>
      <c r="L18" s="81">
        <f>SUMIFS('0922 4度C'!$Y:$Y,'0922 4度C'!$A:$A,"新豐9線",'0922 4度C'!$B:$B,"平均")</f>
        <v>0</v>
      </c>
      <c r="M18" s="82">
        <f>SUMIFS('0922 4度C'!$Y:$Y,'0922 4度C'!$A:$A,"新豐4線",'0922 4度C'!$B:$B,"平均")</f>
        <v>0</v>
      </c>
    </row>
    <row r="19" spans="2:13" ht="17.25" customHeight="1">
      <c r="B19" s="547"/>
      <c r="C19" s="79" t="s">
        <v>2089</v>
      </c>
      <c r="D19" s="80">
        <f>SUMIFS('0922 4度C'!$Z:$Z,'0922 4度C'!$A:$A,"新豐6線",'0922 4度C'!$B:$B,"平均")</f>
        <v>0</v>
      </c>
      <c r="E19" s="81">
        <f>SUMIFS('0922 4度C'!$Z:$Z,'0922 4度C'!$A:$A,"新豐2線",'0922 4度C'!$B:$B,"平均")</f>
        <v>0</v>
      </c>
      <c r="F19" s="81">
        <f>SUMIFS('0922 4度C'!$Z:$Z,'0922 4度C'!$A:$A,"新豐5線",'0922 4度C'!$B:$B,"平均")</f>
        <v>0</v>
      </c>
      <c r="G19" s="81">
        <f>SUMIFS('0922 4度C'!$Z:$Z,'0922 4度C'!$A:$A,"新豐7線",'0922 4度C'!$B:$B,"平均")</f>
        <v>0</v>
      </c>
      <c r="H19" s="81">
        <f>SUMIFS('0922 4度C'!$Z:$Z,'0922 4度C'!$A:$A,"新豐3線",'0922 4度C'!$B:$B,"平均")</f>
        <v>0</v>
      </c>
      <c r="I19" s="81">
        <f>SUMIFS('0922 4度C'!$Z:$Z,'0922 4度C'!$A:$A,"新豐1線",'0922 4度C'!$B:$B,"平均")</f>
        <v>0</v>
      </c>
      <c r="J19" s="82">
        <f>SUMIFS('0922 4度C'!$Z:$Z,'0922 4度C'!$A:$A,"新豐10線",'0922 4度C'!$B:$B,"平均")</f>
        <v>0</v>
      </c>
      <c r="K19" s="83">
        <f>SUMIFS('0922 4度C'!$Z:$Z,'0922 4度C'!$A:$A,"新豐8線",'0922 4度C'!$B:$B,"平均")</f>
        <v>0</v>
      </c>
      <c r="L19" s="81">
        <f>SUMIFS('0922 4度C'!$Z:$Z,'0922 4度C'!$A:$A,"新豐9線",'0922 4度C'!$B:$B,"平均")</f>
        <v>0</v>
      </c>
      <c r="M19" s="82">
        <f>SUMIFS('0922 4度C'!$Z:$Z,'0922 4度C'!$A:$A,"新豐4線",'0922 4度C'!$B:$B,"平均")</f>
        <v>0</v>
      </c>
    </row>
    <row r="20" spans="2:13" ht="17.25" customHeight="1">
      <c r="B20" s="546" t="s">
        <v>2090</v>
      </c>
      <c r="C20" s="79" t="s">
        <v>2091</v>
      </c>
      <c r="D20" s="80">
        <f>SUMIFS('0922 4度C'!$AC:$AC,'0922 4度C'!$A:$A,"新豐6線",'0922 4度C'!$B:$B,"平均")</f>
        <v>3</v>
      </c>
      <c r="E20" s="81">
        <f>SUMIFS('0922 4度C'!$AC:$AC,'0922 4度C'!$A:$A,"新豐2線",'0922 4度C'!$B:$B,"平均")</f>
        <v>2</v>
      </c>
      <c r="F20" s="81">
        <f>SUMIFS('0922 4度C'!$AC:$AC,'0922 4度C'!$A:$A,"新豐5線",'0922 4度C'!$B:$B,"平均")</f>
        <v>7</v>
      </c>
      <c r="G20" s="81">
        <f>SUMIFS('0922 4度C'!$AC:$AC,'0922 4度C'!$A:$A,"新豐7線",'0922 4度C'!$B:$B,"平均")</f>
        <v>7</v>
      </c>
      <c r="H20" s="81">
        <f>SUMIFS('0922 4度C'!$AC:$AC,'0922 4度C'!$A:$A,"新豐3線",'0922 4度C'!$B:$B,"平均")</f>
        <v>3</v>
      </c>
      <c r="I20" s="81">
        <f>SUMIFS('0922 4度C'!$AC:$AC,'0922 4度C'!$A:$A,"新豐1線",'0922 4度C'!$B:$B,"平均")</f>
        <v>8</v>
      </c>
      <c r="J20" s="82">
        <f>SUMIFS('0922 4度C'!$AC:$AC,'0922 4度C'!$A:$A,"新豐10線",'0922 4度C'!$B:$B,"平均")</f>
        <v>5</v>
      </c>
      <c r="K20" s="83">
        <f>SUMIFS('0922 4度C'!$AC:$AC,'0922 4度C'!$A:$A,"新豐8線",'0922 4度C'!$B:$B,"平均")</f>
        <v>8</v>
      </c>
      <c r="L20" s="81">
        <f>SUMIFS('0922 4度C'!$AC:$AC,'0922 4度C'!$A:$A,"新豐9線",'0922 4度C'!$B:$B,"平均")</f>
        <v>8</v>
      </c>
      <c r="M20" s="82">
        <f>SUMIFS('0922 4度C'!$AC:$AC,'0922 4度C'!$A:$A,"新豐4線",'0922 4度C'!$B:$B,"平均")</f>
        <v>10</v>
      </c>
    </row>
    <row r="21" spans="2:13" ht="17.25" customHeight="1">
      <c r="B21" s="547"/>
      <c r="C21" s="79" t="s">
        <v>2092</v>
      </c>
      <c r="D21" s="80">
        <f>SUMIFS('0922 4度C'!$AD:$AD,'0922 4度C'!$A:$A,"新豐6線",'0922 4度C'!$B:$B,"平均")</f>
        <v>0</v>
      </c>
      <c r="E21" s="81">
        <f>SUMIFS('0922 4度C'!$AD:$AD,'0922 4度C'!$A:$A,"新豐2線",'0922 4度C'!$B:$B,"平均")</f>
        <v>0</v>
      </c>
      <c r="F21" s="81">
        <f>SUMIFS('0922 4度C'!$AD:$AD,'0922 4度C'!$A:$A,"新豐5線",'0922 4度C'!$B:$B,"平均")</f>
        <v>0</v>
      </c>
      <c r="G21" s="81">
        <f>SUMIFS('0922 4度C'!$AD:$AD,'0922 4度C'!$A:$A,"新豐7線",'0922 4度C'!$B:$B,"平均")</f>
        <v>0</v>
      </c>
      <c r="H21" s="81">
        <f>SUMIFS('0922 4度C'!$AD:$AD,'0922 4度C'!$A:$A,"新豐3線",'0922 4度C'!$B:$B,"平均")</f>
        <v>0</v>
      </c>
      <c r="I21" s="81">
        <f>SUMIFS('0922 4度C'!$AD:$AD,'0922 4度C'!$A:$A,"新豐1線",'0922 4度C'!$B:$B,"平均")</f>
        <v>0</v>
      </c>
      <c r="J21" s="82">
        <f>SUMIFS('0922 4度C'!$AD:$AD,'0922 4度C'!$A:$A,"新豐10線",'0922 4度C'!$B:$B,"平均")</f>
        <v>0</v>
      </c>
      <c r="K21" s="83">
        <f>SUMIFS('0922 4度C'!$AD:$AD,'0922 4度C'!$A:$A,"新豐8線",'0922 4度C'!$B:$B,"平均")</f>
        <v>0</v>
      </c>
      <c r="L21" s="81">
        <f>SUMIFS('0922 4度C'!$AD:$AD,'0922 4度C'!$A:$A,"新豐9線",'0922 4度C'!$B:$B,"平均")</f>
        <v>0</v>
      </c>
      <c r="M21" s="82">
        <f>SUMIFS('0922 4度C'!$AD:$AD,'0922 4度C'!$A:$A,"新豐4線",'0922 4度C'!$B:$B,"平均")</f>
        <v>0</v>
      </c>
    </row>
    <row r="22" spans="2:13" ht="17.25" customHeight="1">
      <c r="B22" s="548" t="s">
        <v>121</v>
      </c>
      <c r="C22" s="549"/>
      <c r="D22" s="84">
        <f>SUMIFS('0922 4度C'!$I:$I,'0922 4度C'!$A:$A,"新豐6線",'0922 4度C'!$B:$B,"平均")</f>
        <v>15.333333333333334</v>
      </c>
      <c r="E22" s="85">
        <f>SUMIFS('0922 4度C'!$I:$I,'0922 4度C'!$A:$A,"新豐2線",'0922 4度C'!$B:$B,"平均")</f>
        <v>18</v>
      </c>
      <c r="F22" s="85">
        <f>SUMIFS('0922 4度C'!$I:$I,'0922 4度C'!$A:$A,"新豐5線",'0922 4度C'!$B:$B,"平均")</f>
        <v>17</v>
      </c>
      <c r="G22" s="85">
        <f>SUMIFS('0922 4度C'!$I:$I,'0922 4度C'!$A:$A,"新豐7線",'0922 4度C'!$B:$B,"平均")</f>
        <v>15.714285714285714</v>
      </c>
      <c r="H22" s="85">
        <f>SUMIFS('0922 4度C'!$I:$I,'0922 4度C'!$A:$A,"新豐3線",'0922 4度C'!$B:$B,"平均")</f>
        <v>11</v>
      </c>
      <c r="I22" s="85">
        <f>SUMIFS('0922 4度C'!$I:$I,'0922 4度C'!$A:$A,"新豐1線",'0922 4度C'!$B:$B,"平均")</f>
        <v>18.25</v>
      </c>
      <c r="J22" s="86">
        <f>SUMIFS('0922 4度C'!$I:$I,'0922 4度C'!$A:$A,"新豐10線",'0922 4度C'!$B:$B,"平均")</f>
        <v>10.199999999999999</v>
      </c>
      <c r="K22" s="84">
        <f>SUMIFS('0922 4度C'!$I:$I,'0922 4度C'!$A:$A,"新豐8線",'0922 4度C'!$B:$B,"平均")</f>
        <v>16.5</v>
      </c>
      <c r="L22" s="85">
        <f>SUMIFS('0922 4度C'!$I:$I,'0922 4度C'!$A:$A,"新豐9線",'0922 4度C'!$B:$B,"平均")</f>
        <v>17.5</v>
      </c>
      <c r="M22" s="86">
        <f>SUMIFS('0922 4度C'!$I:$I,'0922 4度C'!$A:$A,"新豐4線",'0922 4度C'!$B:$B,"平均")</f>
        <v>16.600000000000001</v>
      </c>
    </row>
    <row r="23" spans="2:13" ht="17.25" customHeight="1">
      <c r="B23" s="548" t="s">
        <v>2093</v>
      </c>
      <c r="C23" s="549"/>
      <c r="D23" s="87" t="s">
        <v>69</v>
      </c>
      <c r="E23" s="88" t="s">
        <v>70</v>
      </c>
      <c r="F23" s="88" t="s">
        <v>2094</v>
      </c>
      <c r="G23" s="88" t="s">
        <v>2094</v>
      </c>
      <c r="H23" s="88" t="s">
        <v>71</v>
      </c>
      <c r="I23" s="88" t="s">
        <v>69</v>
      </c>
      <c r="J23" s="89" t="s">
        <v>71</v>
      </c>
      <c r="K23" s="87" t="s">
        <v>2095</v>
      </c>
      <c r="L23" s="88" t="s">
        <v>2095</v>
      </c>
      <c r="M23" s="89" t="s">
        <v>2095</v>
      </c>
    </row>
    <row r="24" spans="2:13" ht="17.25" customHeight="1">
      <c r="B24" s="548" t="s">
        <v>2096</v>
      </c>
      <c r="C24" s="549"/>
      <c r="D24" s="87"/>
      <c r="E24" s="88"/>
      <c r="F24" s="88" t="s">
        <v>126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2097</v>
      </c>
      <c r="C25" s="551"/>
      <c r="D25" s="90"/>
      <c r="E25" s="91" t="s">
        <v>2098</v>
      </c>
      <c r="F25" s="544" t="s">
        <v>2099</v>
      </c>
      <c r="G25" s="545"/>
      <c r="H25" s="91" t="s">
        <v>2100</v>
      </c>
      <c r="I25" s="91" t="s">
        <v>2101</v>
      </c>
      <c r="J25" s="92" t="s">
        <v>2100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80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A9" sqref="A9"/>
      <selection pane="bottomLeft" activeCell="U72" sqref="U7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447" customWidth="1"/>
    <col min="20" max="20" width="7.625" style="447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2102</v>
      </c>
      <c r="B1" s="1"/>
      <c r="C1" s="2" t="s">
        <v>133</v>
      </c>
      <c r="D1" s="3">
        <f>SUM(F5:F75)</f>
        <v>179342</v>
      </c>
      <c r="E1" s="427" t="s">
        <v>134</v>
      </c>
      <c r="F1" s="1">
        <f>SUM(G5:G75)</f>
        <v>6076860.5600000033</v>
      </c>
      <c r="G1" s="1" t="s">
        <v>2103</v>
      </c>
      <c r="H1" s="4">
        <f>L8+L11+L49+L58+L19+L64+L36+L45+L27+L75</f>
        <v>156.09761904761905</v>
      </c>
      <c r="I1" s="660" t="s">
        <v>136</v>
      </c>
      <c r="J1" s="660"/>
      <c r="K1" s="660"/>
      <c r="L1" s="660" t="s">
        <v>2104</v>
      </c>
      <c r="M1" s="660"/>
      <c r="N1" s="660"/>
      <c r="O1" s="660" t="s">
        <v>138</v>
      </c>
      <c r="P1" s="660"/>
      <c r="Q1" s="660"/>
      <c r="R1" s="660"/>
      <c r="S1" s="660" t="s">
        <v>139</v>
      </c>
      <c r="T1" s="660"/>
      <c r="U1" s="660"/>
      <c r="V1" s="660"/>
      <c r="W1" s="660"/>
      <c r="X1" s="660"/>
      <c r="Y1" s="5" t="s">
        <v>140</v>
      </c>
      <c r="Z1" s="6" t="s">
        <v>141</v>
      </c>
      <c r="AA1" s="661" t="s">
        <v>142</v>
      </c>
      <c r="AB1" s="661"/>
      <c r="AC1" s="7" t="s">
        <v>2105</v>
      </c>
      <c r="AD1" s="6" t="s">
        <v>2106</v>
      </c>
      <c r="AE1" s="660" t="s">
        <v>2107</v>
      </c>
      <c r="AF1" s="662"/>
      <c r="AG1" s="662"/>
    </row>
    <row r="2" spans="1:33" ht="26.25" customHeight="1">
      <c r="A2" s="432">
        <v>46287</v>
      </c>
      <c r="B2" s="433" t="s">
        <v>146</v>
      </c>
      <c r="C2" s="2" t="s">
        <v>110</v>
      </c>
      <c r="D2" s="9">
        <f>AVERAGE(N8,N11,N49,N58,N19,N64,N27,N36,N45,N75)</f>
        <v>144.15778804597062</v>
      </c>
      <c r="E2" s="10" t="s">
        <v>0</v>
      </c>
      <c r="F2" s="11">
        <f>F1/D1</f>
        <v>33.884202027411334</v>
      </c>
      <c r="G2" s="1" t="s">
        <v>2108</v>
      </c>
      <c r="H2" s="431">
        <f>COUNT(H5:H75)</f>
        <v>10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SUM(Y8+Y11+Y19+Y27+Y36+Y45+Y49+Y58+Y64+Y75)</f>
        <v>0</v>
      </c>
      <c r="Z2" s="12">
        <f>SUM(Z8+Z11+Z19+Z27+Z36+Z45+Z49+Z58+Z64+Z75)</f>
        <v>0</v>
      </c>
      <c r="AA2" s="661"/>
      <c r="AB2" s="661"/>
      <c r="AC2" s="12">
        <v>61</v>
      </c>
      <c r="AD2" s="12">
        <f>SUM(AD8+AD11+AD19+AD27+AD36+AD45+AD49+AD58+AD64+AD75)</f>
        <v>0</v>
      </c>
      <c r="AE2" s="662"/>
      <c r="AF2" s="662"/>
      <c r="AG2" s="662"/>
    </row>
    <row r="3" spans="1:33" ht="40.5" customHeight="1">
      <c r="A3" s="610" t="s">
        <v>2109</v>
      </c>
      <c r="B3" s="610" t="s">
        <v>150</v>
      </c>
      <c r="C3" s="610" t="s">
        <v>151</v>
      </c>
      <c r="D3" s="610"/>
      <c r="E3" s="658" t="s">
        <v>2110</v>
      </c>
      <c r="F3" s="610" t="s">
        <v>153</v>
      </c>
      <c r="G3" s="658" t="s">
        <v>2111</v>
      </c>
      <c r="H3" s="651" t="s">
        <v>2112</v>
      </c>
      <c r="I3" s="649" t="s">
        <v>156</v>
      </c>
      <c r="J3" s="646" t="s">
        <v>157</v>
      </c>
      <c r="K3" s="656" t="s">
        <v>2113</v>
      </c>
      <c r="L3" s="649" t="s">
        <v>156</v>
      </c>
      <c r="M3" s="646" t="s">
        <v>157</v>
      </c>
      <c r="N3" s="656" t="s">
        <v>2114</v>
      </c>
      <c r="O3" s="649" t="s">
        <v>2115</v>
      </c>
      <c r="P3" s="656" t="s">
        <v>2113</v>
      </c>
      <c r="Q3" s="647" t="s">
        <v>161</v>
      </c>
      <c r="R3" s="623" t="s">
        <v>2116</v>
      </c>
      <c r="S3" s="674" t="s">
        <v>1</v>
      </c>
      <c r="T3" s="674"/>
      <c r="U3" s="651" t="s">
        <v>2</v>
      </c>
      <c r="V3" s="651" t="s">
        <v>163</v>
      </c>
      <c r="W3" s="610" t="s">
        <v>164</v>
      </c>
      <c r="X3" s="610"/>
      <c r="Y3" s="652" t="s">
        <v>2117</v>
      </c>
      <c r="Z3" s="609"/>
      <c r="AA3" s="653" t="s">
        <v>2118</v>
      </c>
      <c r="AB3" s="654"/>
      <c r="AC3" s="652" t="s">
        <v>2119</v>
      </c>
      <c r="AD3" s="609"/>
      <c r="AE3" s="646" t="s">
        <v>157</v>
      </c>
      <c r="AF3" s="647" t="s">
        <v>161</v>
      </c>
      <c r="AG3" s="623" t="s">
        <v>2120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434" t="s">
        <v>3</v>
      </c>
      <c r="T4" s="434" t="s">
        <v>4</v>
      </c>
      <c r="U4" s="651"/>
      <c r="V4" s="651"/>
      <c r="W4" s="427" t="s">
        <v>2121</v>
      </c>
      <c r="X4" s="427" t="s">
        <v>2122</v>
      </c>
      <c r="Y4" s="426" t="s">
        <v>118</v>
      </c>
      <c r="Z4" s="426" t="s">
        <v>2123</v>
      </c>
      <c r="AA4" s="655"/>
      <c r="AB4" s="654"/>
      <c r="AC4" s="426" t="s">
        <v>2124</v>
      </c>
      <c r="AD4" s="426" t="s">
        <v>2125</v>
      </c>
      <c r="AE4" s="646"/>
      <c r="AF4" s="647"/>
      <c r="AG4" s="623"/>
    </row>
    <row r="5" spans="1:33">
      <c r="A5" s="648" t="s">
        <v>2126</v>
      </c>
      <c r="B5" s="435" t="s">
        <v>6</v>
      </c>
      <c r="C5" s="675" t="s">
        <v>7</v>
      </c>
      <c r="D5" s="675"/>
      <c r="E5" s="435">
        <v>50.92</v>
      </c>
      <c r="F5" s="434">
        <v>2307</v>
      </c>
      <c r="G5" s="427">
        <f t="shared" ref="G5:G7" si="0">E5*F5</f>
        <v>117472.44</v>
      </c>
      <c r="H5" s="436" t="s">
        <v>5</v>
      </c>
      <c r="I5" s="429">
        <v>15</v>
      </c>
      <c r="J5" s="437">
        <v>2000</v>
      </c>
      <c r="K5" s="13">
        <f t="shared" ref="K5:K68" si="1">J5/I5</f>
        <v>133.33333333333334</v>
      </c>
      <c r="L5" s="429">
        <v>15</v>
      </c>
      <c r="M5" s="14">
        <f t="shared" ref="M5:M7" si="2">F5/V5*60</f>
        <v>1922.4999999999986</v>
      </c>
      <c r="N5" s="13">
        <f t="shared" ref="N5:N68" si="3">M5/L5</f>
        <v>128.16666666666657</v>
      </c>
      <c r="O5" s="15">
        <f t="shared" ref="O5:O68" si="4">L5-I5</f>
        <v>0</v>
      </c>
      <c r="P5" s="16">
        <f t="shared" ref="P5:P68" si="5">N5-K5</f>
        <v>-5.1666666666667709</v>
      </c>
      <c r="Q5" s="428">
        <f t="shared" ref="Q5:Q68" si="6">N5/K5</f>
        <v>0.96124999999999927</v>
      </c>
      <c r="R5" s="619">
        <f>Q8</f>
        <v>0.96394625159454372</v>
      </c>
      <c r="S5" s="438">
        <v>0.70833333333333337</v>
      </c>
      <c r="T5" s="438">
        <v>0.75833333333333341</v>
      </c>
      <c r="U5" s="427"/>
      <c r="V5" s="430">
        <f t="shared" ref="V5:V7" si="7">(T5-S5)*24*60</f>
        <v>72.000000000000057</v>
      </c>
      <c r="W5" s="17"/>
      <c r="X5" s="17"/>
      <c r="Y5" s="18"/>
      <c r="Z5" s="18"/>
      <c r="AA5" s="610"/>
      <c r="AB5" s="610"/>
      <c r="AC5" s="19">
        <v>3</v>
      </c>
      <c r="AD5" s="19"/>
      <c r="AE5" s="15">
        <f t="shared" ref="AE5:AE57" si="8">M5-J5</f>
        <v>-77.500000000001364</v>
      </c>
      <c r="AF5" s="428">
        <f t="shared" ref="AF5:AF68" si="9">M5/J5</f>
        <v>0.96124999999999927</v>
      </c>
      <c r="AG5" s="619">
        <f>AF8</f>
        <v>0.96394625159454383</v>
      </c>
    </row>
    <row r="6" spans="1:33">
      <c r="A6" s="649" t="s">
        <v>2126</v>
      </c>
      <c r="B6" s="435" t="s">
        <v>6</v>
      </c>
      <c r="C6" s="675" t="s">
        <v>8</v>
      </c>
      <c r="D6" s="675"/>
      <c r="E6" s="435">
        <v>50.98</v>
      </c>
      <c r="F6" s="434">
        <v>2532</v>
      </c>
      <c r="G6" s="427">
        <f t="shared" si="0"/>
        <v>129081.35999999999</v>
      </c>
      <c r="H6" s="436" t="s">
        <v>5</v>
      </c>
      <c r="I6" s="429">
        <v>16</v>
      </c>
      <c r="J6" s="437">
        <v>2000</v>
      </c>
      <c r="K6" s="13">
        <f t="shared" si="1"/>
        <v>125</v>
      </c>
      <c r="L6" s="429">
        <v>16</v>
      </c>
      <c r="M6" s="14">
        <f t="shared" si="2"/>
        <v>1923.0379746835436</v>
      </c>
      <c r="N6" s="13">
        <f t="shared" si="3"/>
        <v>120.18987341772147</v>
      </c>
      <c r="O6" s="15">
        <f t="shared" si="4"/>
        <v>0</v>
      </c>
      <c r="P6" s="16">
        <f t="shared" si="5"/>
        <v>-4.810126582278528</v>
      </c>
      <c r="Q6" s="428">
        <f t="shared" si="6"/>
        <v>0.96151898734177177</v>
      </c>
      <c r="R6" s="619"/>
      <c r="S6" s="438">
        <v>0.76319444444444451</v>
      </c>
      <c r="T6" s="438">
        <v>0.81805555555555565</v>
      </c>
      <c r="U6" s="427">
        <f t="shared" ref="U6:U7" si="10">IF(S6=TIME(17,0,0),"",(S6-T5)*24*60)</f>
        <v>6.9999999999999751</v>
      </c>
      <c r="V6" s="430">
        <f t="shared" si="7"/>
        <v>79.000000000000043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-76.962025316456447</v>
      </c>
      <c r="AF6" s="428">
        <f t="shared" si="9"/>
        <v>0.96151898734177177</v>
      </c>
      <c r="AG6" s="619"/>
    </row>
    <row r="7" spans="1:33">
      <c r="A7" s="649" t="s">
        <v>177</v>
      </c>
      <c r="B7" s="435" t="s">
        <v>6</v>
      </c>
      <c r="C7" s="672" t="s">
        <v>9</v>
      </c>
      <c r="D7" s="673"/>
      <c r="E7" s="435">
        <v>50.67</v>
      </c>
      <c r="F7" s="434">
        <v>1389</v>
      </c>
      <c r="G7" s="427">
        <f t="shared" si="0"/>
        <v>70380.63</v>
      </c>
      <c r="H7" s="436" t="s">
        <v>5</v>
      </c>
      <c r="I7" s="429">
        <v>15</v>
      </c>
      <c r="J7" s="437">
        <v>2000</v>
      </c>
      <c r="K7" s="13">
        <f t="shared" si="1"/>
        <v>133.33333333333334</v>
      </c>
      <c r="L7" s="429">
        <v>15</v>
      </c>
      <c r="M7" s="14">
        <f t="shared" si="2"/>
        <v>1938.1395348837207</v>
      </c>
      <c r="N7" s="13">
        <f t="shared" si="3"/>
        <v>129.20930232558138</v>
      </c>
      <c r="O7" s="15">
        <f t="shared" si="4"/>
        <v>0</v>
      </c>
      <c r="P7" s="16">
        <f t="shared" si="5"/>
        <v>-4.1240310077519666</v>
      </c>
      <c r="Q7" s="428">
        <f t="shared" si="6"/>
        <v>0.96906976744186024</v>
      </c>
      <c r="R7" s="619"/>
      <c r="S7" s="438">
        <v>0.82291666666666674</v>
      </c>
      <c r="T7" s="438">
        <v>0.85277777777777786</v>
      </c>
      <c r="U7" s="427">
        <f t="shared" si="10"/>
        <v>6.9999999999999751</v>
      </c>
      <c r="V7" s="430">
        <f t="shared" si="7"/>
        <v>43.000000000000007</v>
      </c>
      <c r="W7" s="17"/>
      <c r="X7" s="17"/>
      <c r="Y7" s="20"/>
      <c r="Z7" s="20"/>
      <c r="AA7" s="614"/>
      <c r="AB7" s="615"/>
      <c r="AC7" s="21"/>
      <c r="AD7" s="21"/>
      <c r="AE7" s="15">
        <f t="shared" si="8"/>
        <v>-61.860465116279329</v>
      </c>
      <c r="AF7" s="428">
        <f t="shared" si="9"/>
        <v>0.96906976744186035</v>
      </c>
      <c r="AG7" s="619"/>
    </row>
    <row r="8" spans="1:33">
      <c r="A8" s="649" t="s">
        <v>2126</v>
      </c>
      <c r="B8" s="435" t="s">
        <v>2127</v>
      </c>
      <c r="C8" s="668"/>
      <c r="D8" s="668"/>
      <c r="E8" s="439"/>
      <c r="F8" s="440"/>
      <c r="G8" s="13"/>
      <c r="H8" s="434"/>
      <c r="I8" s="23">
        <v>15.333333333333334</v>
      </c>
      <c r="J8" s="437">
        <v>2000</v>
      </c>
      <c r="K8" s="13">
        <f t="shared" si="1"/>
        <v>130.43478260869566</v>
      </c>
      <c r="L8" s="23">
        <v>15.333333333333334</v>
      </c>
      <c r="M8" s="14">
        <f>AVERAGE(M5:M7)</f>
        <v>1927.8925031890876</v>
      </c>
      <c r="N8" s="13">
        <f t="shared" si="3"/>
        <v>125.73211977320136</v>
      </c>
      <c r="O8" s="15">
        <f t="shared" si="4"/>
        <v>0</v>
      </c>
      <c r="P8" s="16">
        <f t="shared" si="5"/>
        <v>-4.7026628354942943</v>
      </c>
      <c r="Q8" s="428">
        <f t="shared" si="6"/>
        <v>0.96394625159454372</v>
      </c>
      <c r="R8" s="619"/>
      <c r="S8" s="438"/>
      <c r="T8" s="438"/>
      <c r="U8" s="427"/>
      <c r="V8" s="430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-72.10749681091238</v>
      </c>
      <c r="AF8" s="428">
        <f t="shared" si="9"/>
        <v>0.96394625159454383</v>
      </c>
      <c r="AG8" s="619"/>
    </row>
    <row r="9" spans="1:33" ht="15.75" customHeight="1">
      <c r="A9" s="645" t="s">
        <v>81</v>
      </c>
      <c r="B9" s="435" t="s">
        <v>10</v>
      </c>
      <c r="C9" s="672" t="s">
        <v>14</v>
      </c>
      <c r="D9" s="673"/>
      <c r="E9" s="435">
        <v>39.619999999999997</v>
      </c>
      <c r="F9" s="434">
        <v>4817</v>
      </c>
      <c r="G9" s="427">
        <f t="shared" ref="G9:G10" si="11">E9*F9</f>
        <v>190849.53999999998</v>
      </c>
      <c r="H9" s="436" t="s">
        <v>5</v>
      </c>
      <c r="I9" s="429">
        <v>19</v>
      </c>
      <c r="J9" s="437">
        <v>1500</v>
      </c>
      <c r="K9" s="13">
        <f t="shared" si="1"/>
        <v>78.94736842105263</v>
      </c>
      <c r="L9" s="429">
        <v>19</v>
      </c>
      <c r="M9" s="14">
        <f t="shared" ref="M9:M10" si="12">F9/V9*60</f>
        <v>1430.7920792079208</v>
      </c>
      <c r="N9" s="13">
        <f t="shared" si="3"/>
        <v>75.304846274101095</v>
      </c>
      <c r="O9" s="15">
        <f t="shared" si="4"/>
        <v>0</v>
      </c>
      <c r="P9" s="16">
        <f t="shared" si="5"/>
        <v>-3.642522146951535</v>
      </c>
      <c r="Q9" s="428">
        <f t="shared" si="6"/>
        <v>0.95386138613861393</v>
      </c>
      <c r="R9" s="619">
        <f>Q11</f>
        <v>0.95334961198822599</v>
      </c>
      <c r="S9" s="438">
        <v>8.3333333333333329E-2</v>
      </c>
      <c r="T9" s="438">
        <v>0.22361111111111109</v>
      </c>
      <c r="U9" s="427"/>
      <c r="V9" s="430">
        <f t="shared" ref="V9:V10" si="13">(T9-S9)*24*60</f>
        <v>202</v>
      </c>
      <c r="W9" s="17">
        <f>T9</f>
        <v>0.22361111111111109</v>
      </c>
      <c r="X9" s="17">
        <f>S10</f>
        <v>0.24374999999999999</v>
      </c>
      <c r="Y9" s="17"/>
      <c r="Z9" s="17"/>
      <c r="AA9" s="610"/>
      <c r="AB9" s="610"/>
      <c r="AC9" s="19">
        <v>2</v>
      </c>
      <c r="AD9" s="19"/>
      <c r="AE9" s="15">
        <f t="shared" si="8"/>
        <v>-69.207920792079221</v>
      </c>
      <c r="AF9" s="428">
        <f t="shared" si="9"/>
        <v>0.95386138613861382</v>
      </c>
      <c r="AG9" s="619">
        <f>AF11</f>
        <v>0.95334961198822599</v>
      </c>
    </row>
    <row r="10" spans="1:33" ht="15.75" customHeight="1">
      <c r="A10" s="645" t="s">
        <v>2128</v>
      </c>
      <c r="B10" s="435" t="s">
        <v>10</v>
      </c>
      <c r="C10" s="672" t="s">
        <v>11</v>
      </c>
      <c r="D10" s="673"/>
      <c r="E10" s="435">
        <v>39.799999999999997</v>
      </c>
      <c r="F10" s="434">
        <v>7051</v>
      </c>
      <c r="G10" s="427">
        <f t="shared" si="11"/>
        <v>280629.8</v>
      </c>
      <c r="H10" s="436" t="s">
        <v>5</v>
      </c>
      <c r="I10" s="429">
        <v>17</v>
      </c>
      <c r="J10" s="437">
        <v>1500</v>
      </c>
      <c r="K10" s="13">
        <f t="shared" si="1"/>
        <v>88.235294117647058</v>
      </c>
      <c r="L10" s="429">
        <v>17</v>
      </c>
      <c r="M10" s="14">
        <f t="shared" si="12"/>
        <v>1429.2567567567569</v>
      </c>
      <c r="N10" s="13">
        <f t="shared" si="3"/>
        <v>84.073926868044524</v>
      </c>
      <c r="O10" s="15">
        <f t="shared" si="4"/>
        <v>0</v>
      </c>
      <c r="P10" s="16">
        <f t="shared" si="5"/>
        <v>-4.1613672496025345</v>
      </c>
      <c r="Q10" s="428">
        <f t="shared" si="6"/>
        <v>0.95283783783783793</v>
      </c>
      <c r="R10" s="619"/>
      <c r="S10" s="438">
        <v>0.24374999999999999</v>
      </c>
      <c r="T10" s="438">
        <v>0.44930555555555557</v>
      </c>
      <c r="U10" s="427">
        <f t="shared" ref="U10" si="14">IF(S10=TIME(17,0,0),"",(S10-T9)*24*60)</f>
        <v>29.000000000000018</v>
      </c>
      <c r="V10" s="430">
        <f t="shared" si="13"/>
        <v>296</v>
      </c>
      <c r="W10" s="17"/>
      <c r="X10" s="17"/>
      <c r="Y10" s="17"/>
      <c r="Z10" s="17"/>
      <c r="AA10" s="610"/>
      <c r="AB10" s="610"/>
      <c r="AC10" s="19"/>
      <c r="AD10" s="19"/>
      <c r="AE10" s="15">
        <f t="shared" si="8"/>
        <v>-70.743243243243114</v>
      </c>
      <c r="AF10" s="428">
        <f t="shared" si="9"/>
        <v>0.95283783783783793</v>
      </c>
      <c r="AG10" s="619"/>
    </row>
    <row r="11" spans="1:33" ht="16.5" customHeight="1">
      <c r="A11" s="645" t="s">
        <v>2129</v>
      </c>
      <c r="B11" s="435" t="s">
        <v>2130</v>
      </c>
      <c r="C11" s="668"/>
      <c r="D11" s="668"/>
      <c r="E11" s="439"/>
      <c r="F11" s="437"/>
      <c r="G11" s="14"/>
      <c r="H11" s="434"/>
      <c r="I11" s="23">
        <v>18</v>
      </c>
      <c r="J11" s="437">
        <v>1500</v>
      </c>
      <c r="K11" s="13">
        <f t="shared" si="1"/>
        <v>83.333333333333329</v>
      </c>
      <c r="L11" s="23">
        <v>18</v>
      </c>
      <c r="M11" s="14">
        <f>AVERAGE(M9:M10)</f>
        <v>1430.0244179823389</v>
      </c>
      <c r="N11" s="13">
        <f t="shared" si="3"/>
        <v>79.445800999018829</v>
      </c>
      <c r="O11" s="15">
        <f t="shared" si="4"/>
        <v>0</v>
      </c>
      <c r="P11" s="16">
        <f t="shared" si="5"/>
        <v>-3.8875323343144998</v>
      </c>
      <c r="Q11" s="428">
        <f t="shared" si="6"/>
        <v>0.95334961198822599</v>
      </c>
      <c r="R11" s="619"/>
      <c r="S11" s="438"/>
      <c r="T11" s="438"/>
      <c r="U11" s="13"/>
      <c r="V11" s="430"/>
      <c r="W11" s="13"/>
      <c r="X11" s="13"/>
      <c r="Y11" s="24">
        <f>SUM(Y9:Y10)</f>
        <v>0</v>
      </c>
      <c r="Z11" s="24">
        <f>SUM(Z9:Z10)</f>
        <v>0</v>
      </c>
      <c r="AA11" s="609"/>
      <c r="AB11" s="609"/>
      <c r="AC11" s="24">
        <v>2</v>
      </c>
      <c r="AD11" s="24">
        <f>SUM(AD9:AD10)</f>
        <v>0</v>
      </c>
      <c r="AE11" s="15">
        <f t="shared" si="8"/>
        <v>-69.975582017661054</v>
      </c>
      <c r="AF11" s="428">
        <f t="shared" si="9"/>
        <v>0.95334961198822599</v>
      </c>
      <c r="AG11" s="619"/>
    </row>
    <row r="12" spans="1:33" ht="16.5" customHeight="1">
      <c r="A12" s="643" t="s">
        <v>2131</v>
      </c>
      <c r="B12" s="434" t="s">
        <v>15</v>
      </c>
      <c r="C12" s="669" t="s">
        <v>16</v>
      </c>
      <c r="D12" s="669"/>
      <c r="E12" s="435">
        <v>31.11</v>
      </c>
      <c r="F12" s="434">
        <v>2249</v>
      </c>
      <c r="G12" s="427">
        <f t="shared" ref="G12:G18" si="15">E12*F12</f>
        <v>69966.39</v>
      </c>
      <c r="H12" s="436" t="s">
        <v>5</v>
      </c>
      <c r="I12" s="429">
        <v>14</v>
      </c>
      <c r="J12" s="437">
        <v>2000</v>
      </c>
      <c r="K12" s="13">
        <f t="shared" si="1"/>
        <v>142.85714285714286</v>
      </c>
      <c r="L12" s="429">
        <v>14</v>
      </c>
      <c r="M12" s="14">
        <f t="shared" ref="M12:M18" si="16">F12/V12*60</f>
        <v>1927.7142857142846</v>
      </c>
      <c r="N12" s="13">
        <f t="shared" si="3"/>
        <v>137.69387755102034</v>
      </c>
      <c r="O12" s="15">
        <f t="shared" si="4"/>
        <v>0</v>
      </c>
      <c r="P12" s="16">
        <f t="shared" si="5"/>
        <v>-5.1632653061225255</v>
      </c>
      <c r="Q12" s="428">
        <f t="shared" si="6"/>
        <v>0.9638571428571423</v>
      </c>
      <c r="R12" s="619">
        <f>Q19</f>
        <v>0.9559822527544598</v>
      </c>
      <c r="S12" s="438">
        <v>0.20833333333333334</v>
      </c>
      <c r="T12" s="438">
        <v>0.25694444444444448</v>
      </c>
      <c r="U12" s="427"/>
      <c r="V12" s="430">
        <f t="shared" ref="V12:V18" si="17">(T12-S12)*24*60</f>
        <v>70.000000000000028</v>
      </c>
      <c r="W12" s="17"/>
      <c r="X12" s="17"/>
      <c r="Y12" s="22"/>
      <c r="Z12" s="22"/>
      <c r="AA12" s="610"/>
      <c r="AB12" s="610"/>
      <c r="AC12" s="19">
        <v>7</v>
      </c>
      <c r="AD12" s="19"/>
      <c r="AE12" s="15">
        <f t="shared" si="8"/>
        <v>-72.285714285715358</v>
      </c>
      <c r="AF12" s="428">
        <f t="shared" si="9"/>
        <v>0.9638571428571423</v>
      </c>
      <c r="AG12" s="619">
        <f>AF19</f>
        <v>0.9559822527544598</v>
      </c>
    </row>
    <row r="13" spans="1:33" ht="16.5" customHeight="1">
      <c r="A13" s="644" t="s">
        <v>2132</v>
      </c>
      <c r="B13" s="434" t="s">
        <v>17</v>
      </c>
      <c r="C13" s="669" t="s">
        <v>18</v>
      </c>
      <c r="D13" s="669"/>
      <c r="E13" s="435">
        <v>41</v>
      </c>
      <c r="F13" s="434">
        <v>1667</v>
      </c>
      <c r="G13" s="427">
        <f t="shared" si="15"/>
        <v>68347</v>
      </c>
      <c r="H13" s="436" t="s">
        <v>5</v>
      </c>
      <c r="I13" s="429">
        <v>26</v>
      </c>
      <c r="J13" s="437">
        <v>1500</v>
      </c>
      <c r="K13" s="13">
        <f t="shared" si="1"/>
        <v>57.692307692307693</v>
      </c>
      <c r="L13" s="429">
        <v>26</v>
      </c>
      <c r="M13" s="14">
        <f t="shared" si="16"/>
        <v>1428.8571428571431</v>
      </c>
      <c r="N13" s="13">
        <f t="shared" si="3"/>
        <v>54.956043956043963</v>
      </c>
      <c r="O13" s="15">
        <f t="shared" si="4"/>
        <v>0</v>
      </c>
      <c r="P13" s="16">
        <f t="shared" si="5"/>
        <v>-2.7362637362637301</v>
      </c>
      <c r="Q13" s="428">
        <f t="shared" si="6"/>
        <v>0.95257142857142862</v>
      </c>
      <c r="R13" s="619"/>
      <c r="S13" s="438">
        <v>0.26250000000000001</v>
      </c>
      <c r="T13" s="438">
        <v>0.31111111111111112</v>
      </c>
      <c r="U13" s="427">
        <f t="shared" ref="U13:U18" si="18">IF(S13=TIME(17,0,0),"",(S13-T12)*24*60)</f>
        <v>7.9999999999999716</v>
      </c>
      <c r="V13" s="430">
        <f t="shared" si="17"/>
        <v>69.999999999999986</v>
      </c>
      <c r="W13" s="17"/>
      <c r="X13" s="17"/>
      <c r="Y13" s="17"/>
      <c r="Z13" s="17"/>
      <c r="AA13" s="610"/>
      <c r="AB13" s="610"/>
      <c r="AC13" s="19"/>
      <c r="AD13" s="19"/>
      <c r="AE13" s="15">
        <f t="shared" si="8"/>
        <v>-71.142857142856883</v>
      </c>
      <c r="AF13" s="428">
        <f t="shared" si="9"/>
        <v>0.95257142857142874</v>
      </c>
      <c r="AG13" s="619"/>
    </row>
    <row r="14" spans="1:33" ht="16.5" customHeight="1">
      <c r="A14" s="644" t="s">
        <v>2133</v>
      </c>
      <c r="B14" s="434" t="s">
        <v>10</v>
      </c>
      <c r="C14" s="669" t="s">
        <v>12</v>
      </c>
      <c r="D14" s="669"/>
      <c r="E14" s="435">
        <v>39.46</v>
      </c>
      <c r="F14" s="434">
        <v>2265</v>
      </c>
      <c r="G14" s="427">
        <f t="shared" si="15"/>
        <v>89376.900000000009</v>
      </c>
      <c r="H14" s="436" t="s">
        <v>5</v>
      </c>
      <c r="I14" s="429">
        <v>15</v>
      </c>
      <c r="J14" s="437">
        <v>1500</v>
      </c>
      <c r="K14" s="13">
        <f t="shared" si="1"/>
        <v>100</v>
      </c>
      <c r="L14" s="429">
        <v>15</v>
      </c>
      <c r="M14" s="14">
        <f t="shared" si="16"/>
        <v>1430.5263157894738</v>
      </c>
      <c r="N14" s="13">
        <f t="shared" si="3"/>
        <v>95.368421052631589</v>
      </c>
      <c r="O14" s="15">
        <f t="shared" si="4"/>
        <v>0</v>
      </c>
      <c r="P14" s="16">
        <f t="shared" si="5"/>
        <v>-4.6315789473684106</v>
      </c>
      <c r="Q14" s="428">
        <f t="shared" si="6"/>
        <v>0.95368421052631591</v>
      </c>
      <c r="R14" s="619"/>
      <c r="S14" s="438">
        <v>0.31666666666666665</v>
      </c>
      <c r="T14" s="438">
        <v>0.38263888888888886</v>
      </c>
      <c r="U14" s="427">
        <f t="shared" si="18"/>
        <v>7.9999999999999716</v>
      </c>
      <c r="V14" s="430">
        <f t="shared" si="17"/>
        <v>94.999999999999986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-69.473684210526244</v>
      </c>
      <c r="AF14" s="428">
        <f t="shared" si="9"/>
        <v>0.9536842105263158</v>
      </c>
      <c r="AG14" s="619"/>
    </row>
    <row r="15" spans="1:33" ht="16.5" customHeight="1">
      <c r="A15" s="644" t="s">
        <v>185</v>
      </c>
      <c r="B15" s="434" t="s">
        <v>10</v>
      </c>
      <c r="C15" s="669" t="s">
        <v>13</v>
      </c>
      <c r="D15" s="669"/>
      <c r="E15" s="435">
        <v>39.520000000000003</v>
      </c>
      <c r="F15" s="434">
        <v>2202</v>
      </c>
      <c r="G15" s="427">
        <f t="shared" si="15"/>
        <v>87023.040000000008</v>
      </c>
      <c r="H15" s="436" t="s">
        <v>5</v>
      </c>
      <c r="I15" s="429">
        <v>19</v>
      </c>
      <c r="J15" s="437">
        <v>1500</v>
      </c>
      <c r="K15" s="13">
        <f t="shared" si="1"/>
        <v>78.94736842105263</v>
      </c>
      <c r="L15" s="429">
        <v>19</v>
      </c>
      <c r="M15" s="14">
        <f t="shared" si="16"/>
        <v>1436.0869565217392</v>
      </c>
      <c r="N15" s="13">
        <f t="shared" si="3"/>
        <v>75.583524027459958</v>
      </c>
      <c r="O15" s="15">
        <f t="shared" si="4"/>
        <v>0</v>
      </c>
      <c r="P15" s="16">
        <f t="shared" si="5"/>
        <v>-3.3638443935926716</v>
      </c>
      <c r="Q15" s="428">
        <f t="shared" si="6"/>
        <v>0.95739130434782616</v>
      </c>
      <c r="R15" s="619"/>
      <c r="S15" s="438">
        <v>0.38611111111111107</v>
      </c>
      <c r="T15" s="438">
        <v>0.44999999999999996</v>
      </c>
      <c r="U15" s="427">
        <f t="shared" si="18"/>
        <v>4.9999999999999822</v>
      </c>
      <c r="V15" s="430">
        <f t="shared" si="17"/>
        <v>92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-63.913043478260761</v>
      </c>
      <c r="AF15" s="428">
        <f t="shared" si="9"/>
        <v>0.95739130434782616</v>
      </c>
      <c r="AG15" s="619"/>
    </row>
    <row r="16" spans="1:33" ht="16.5" customHeight="1">
      <c r="A16" s="644" t="s">
        <v>185</v>
      </c>
      <c r="B16" s="434" t="s">
        <v>6</v>
      </c>
      <c r="C16" s="669" t="s">
        <v>45</v>
      </c>
      <c r="D16" s="669"/>
      <c r="E16" s="435">
        <v>51.06</v>
      </c>
      <c r="F16" s="434">
        <v>2967</v>
      </c>
      <c r="G16" s="427">
        <f t="shared" si="15"/>
        <v>151495.02000000002</v>
      </c>
      <c r="H16" s="436" t="s">
        <v>5</v>
      </c>
      <c r="I16" s="429">
        <v>13</v>
      </c>
      <c r="J16" s="437">
        <v>2000</v>
      </c>
      <c r="K16" s="13">
        <f t="shared" si="1"/>
        <v>153.84615384615384</v>
      </c>
      <c r="L16" s="429">
        <v>13</v>
      </c>
      <c r="M16" s="14">
        <f t="shared" si="16"/>
        <v>1914.1935483870971</v>
      </c>
      <c r="N16" s="13">
        <f t="shared" si="3"/>
        <v>147.24565756823824</v>
      </c>
      <c r="O16" s="15">
        <f t="shared" si="4"/>
        <v>0</v>
      </c>
      <c r="P16" s="16">
        <f t="shared" si="5"/>
        <v>-6.600496277915596</v>
      </c>
      <c r="Q16" s="428">
        <f t="shared" si="6"/>
        <v>0.95709677419354866</v>
      </c>
      <c r="R16" s="619"/>
      <c r="S16" s="438">
        <v>0.70833333333333337</v>
      </c>
      <c r="T16" s="438">
        <v>0.7729166666666667</v>
      </c>
      <c r="U16" s="427" t="str">
        <f t="shared" si="18"/>
        <v/>
      </c>
      <c r="V16" s="430">
        <f t="shared" si="17"/>
        <v>92.999999999999986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-85.806451612902947</v>
      </c>
      <c r="AF16" s="428">
        <f t="shared" si="9"/>
        <v>0.95709677419354855</v>
      </c>
      <c r="AG16" s="619"/>
    </row>
    <row r="17" spans="1:33" ht="16.5" customHeight="1">
      <c r="A17" s="644" t="s">
        <v>2134</v>
      </c>
      <c r="B17" s="434" t="s">
        <v>6</v>
      </c>
      <c r="C17" s="441" t="s">
        <v>25</v>
      </c>
      <c r="D17" s="442"/>
      <c r="E17" s="435">
        <v>56.43</v>
      </c>
      <c r="F17" s="434">
        <v>1174</v>
      </c>
      <c r="G17" s="427">
        <f t="shared" si="15"/>
        <v>66248.819999999992</v>
      </c>
      <c r="H17" s="436" t="s">
        <v>5</v>
      </c>
      <c r="I17" s="429">
        <v>13</v>
      </c>
      <c r="J17" s="437">
        <v>2000</v>
      </c>
      <c r="K17" s="13">
        <f t="shared" si="1"/>
        <v>153.84615384615384</v>
      </c>
      <c r="L17" s="429">
        <v>13</v>
      </c>
      <c r="M17" s="14">
        <f t="shared" si="16"/>
        <v>1903.7837837837824</v>
      </c>
      <c r="N17" s="13">
        <f t="shared" si="3"/>
        <v>146.44490644490634</v>
      </c>
      <c r="O17" s="15">
        <f t="shared" si="4"/>
        <v>0</v>
      </c>
      <c r="P17" s="16">
        <f t="shared" si="5"/>
        <v>-7.4012474012475025</v>
      </c>
      <c r="Q17" s="428">
        <f t="shared" si="6"/>
        <v>0.95189189189189127</v>
      </c>
      <c r="R17" s="619"/>
      <c r="S17" s="438">
        <v>0.77708333333333335</v>
      </c>
      <c r="T17" s="438">
        <v>0.80277777777777781</v>
      </c>
      <c r="U17" s="427">
        <f t="shared" si="18"/>
        <v>5.9999999999999787</v>
      </c>
      <c r="V17" s="430">
        <f t="shared" si="17"/>
        <v>37.000000000000028</v>
      </c>
      <c r="W17" s="17"/>
      <c r="X17" s="17"/>
      <c r="Y17" s="20"/>
      <c r="Z17" s="20"/>
      <c r="AA17" s="424"/>
      <c r="AB17" s="425"/>
      <c r="AC17" s="19"/>
      <c r="AD17" s="19"/>
      <c r="AE17" s="15">
        <f t="shared" si="8"/>
        <v>-96.216216216217617</v>
      </c>
      <c r="AF17" s="428">
        <f t="shared" si="9"/>
        <v>0.95189189189189116</v>
      </c>
      <c r="AG17" s="619"/>
    </row>
    <row r="18" spans="1:33" ht="16.5" customHeight="1">
      <c r="A18" s="644" t="s">
        <v>2133</v>
      </c>
      <c r="B18" s="434" t="s">
        <v>6</v>
      </c>
      <c r="C18" s="441" t="s">
        <v>20</v>
      </c>
      <c r="D18" s="442"/>
      <c r="E18" s="435">
        <v>54.5</v>
      </c>
      <c r="F18" s="434">
        <v>763</v>
      </c>
      <c r="G18" s="427">
        <f t="shared" si="15"/>
        <v>41583.5</v>
      </c>
      <c r="H18" s="436" t="s">
        <v>5</v>
      </c>
      <c r="I18" s="429">
        <v>19</v>
      </c>
      <c r="J18" s="437">
        <v>1500</v>
      </c>
      <c r="K18" s="13">
        <f t="shared" si="1"/>
        <v>78.94736842105263</v>
      </c>
      <c r="L18" s="429">
        <v>19</v>
      </c>
      <c r="M18" s="14">
        <f t="shared" si="16"/>
        <v>1430.6249999999982</v>
      </c>
      <c r="N18" s="13">
        <f t="shared" si="3"/>
        <v>75.296052631578846</v>
      </c>
      <c r="O18" s="15">
        <f t="shared" si="4"/>
        <v>0</v>
      </c>
      <c r="P18" s="16">
        <f t="shared" si="5"/>
        <v>-3.6513157894737844</v>
      </c>
      <c r="Q18" s="428">
        <f t="shared" si="6"/>
        <v>0.95374999999999877</v>
      </c>
      <c r="R18" s="619"/>
      <c r="S18" s="438">
        <v>0.80625000000000002</v>
      </c>
      <c r="T18" s="438">
        <v>0.82847222222222228</v>
      </c>
      <c r="U18" s="427">
        <f t="shared" si="18"/>
        <v>4.9999999999999822</v>
      </c>
      <c r="V18" s="430">
        <f t="shared" si="17"/>
        <v>32.000000000000043</v>
      </c>
      <c r="W18" s="17"/>
      <c r="X18" s="17"/>
      <c r="Y18" s="20"/>
      <c r="Z18" s="20"/>
      <c r="AA18" s="424"/>
      <c r="AB18" s="425"/>
      <c r="AC18" s="19"/>
      <c r="AD18" s="19"/>
      <c r="AE18" s="15">
        <f t="shared" si="8"/>
        <v>-69.375000000001819</v>
      </c>
      <c r="AF18" s="428">
        <f t="shared" si="9"/>
        <v>0.95374999999999877</v>
      </c>
      <c r="AG18" s="619"/>
    </row>
    <row r="19" spans="1:33" ht="16.5" customHeight="1">
      <c r="A19" s="644" t="s">
        <v>2135</v>
      </c>
      <c r="B19" s="435" t="s">
        <v>2136</v>
      </c>
      <c r="C19" s="668"/>
      <c r="D19" s="668"/>
      <c r="E19" s="439"/>
      <c r="F19" s="440"/>
      <c r="G19" s="13"/>
      <c r="H19" s="434"/>
      <c r="I19" s="23">
        <v>17</v>
      </c>
      <c r="J19" s="437">
        <v>1714.2857142857142</v>
      </c>
      <c r="K19" s="13">
        <f t="shared" si="1"/>
        <v>100.84033613445378</v>
      </c>
      <c r="L19" s="23">
        <v>17</v>
      </c>
      <c r="M19" s="14">
        <f>AVERAGE(M12:M18)</f>
        <v>1638.8267190076454</v>
      </c>
      <c r="N19" s="13">
        <f t="shared" si="3"/>
        <v>96.401571706332078</v>
      </c>
      <c r="O19" s="15">
        <f t="shared" si="4"/>
        <v>0</v>
      </c>
      <c r="P19" s="16">
        <f t="shared" si="5"/>
        <v>-4.4387644281217007</v>
      </c>
      <c r="Q19" s="428">
        <f t="shared" si="6"/>
        <v>0.9559822527544598</v>
      </c>
      <c r="R19" s="619"/>
      <c r="S19" s="438"/>
      <c r="T19" s="438"/>
      <c r="U19" s="427"/>
      <c r="V19" s="430"/>
      <c r="W19" s="13"/>
      <c r="X19" s="13"/>
      <c r="Y19" s="24">
        <f>SUM(Y12:Y18)</f>
        <v>0</v>
      </c>
      <c r="Z19" s="24">
        <f>SUM(Z12:Z18)</f>
        <v>0</v>
      </c>
      <c r="AA19" s="609"/>
      <c r="AB19" s="609"/>
      <c r="AC19" s="24">
        <v>7</v>
      </c>
      <c r="AD19" s="24">
        <f>SUM(AD12:AD18)</f>
        <v>0</v>
      </c>
      <c r="AE19" s="15">
        <f t="shared" si="8"/>
        <v>-75.458995278068869</v>
      </c>
      <c r="AF19" s="428">
        <f t="shared" si="9"/>
        <v>0.9559822527544598</v>
      </c>
      <c r="AG19" s="619"/>
    </row>
    <row r="20" spans="1:33" ht="15.75" customHeight="1">
      <c r="A20" s="637" t="s">
        <v>189</v>
      </c>
      <c r="B20" s="435" t="s">
        <v>6</v>
      </c>
      <c r="C20" s="669" t="s">
        <v>22</v>
      </c>
      <c r="D20" s="669"/>
      <c r="E20" s="435">
        <v>50.67</v>
      </c>
      <c r="F20" s="434">
        <v>1720</v>
      </c>
      <c r="G20" s="427">
        <f t="shared" ref="G20:G26" si="19">E20*F20</f>
        <v>87152.400000000009</v>
      </c>
      <c r="H20" s="436" t="s">
        <v>5</v>
      </c>
      <c r="I20" s="429">
        <v>17</v>
      </c>
      <c r="J20" s="437">
        <v>2000</v>
      </c>
      <c r="K20" s="13">
        <f t="shared" si="1"/>
        <v>117.64705882352941</v>
      </c>
      <c r="L20" s="429">
        <v>17</v>
      </c>
      <c r="M20" s="14">
        <f t="shared" ref="M20:M26" si="20">F20/V20*60</f>
        <v>1911.1111111111122</v>
      </c>
      <c r="N20" s="13">
        <f t="shared" si="3"/>
        <v>112.41830065359484</v>
      </c>
      <c r="O20" s="15">
        <f t="shared" si="4"/>
        <v>0</v>
      </c>
      <c r="P20" s="16">
        <f t="shared" si="5"/>
        <v>-5.2287581699345651</v>
      </c>
      <c r="Q20" s="428">
        <f t="shared" si="6"/>
        <v>0.95555555555555616</v>
      </c>
      <c r="R20" s="619">
        <f>Q27</f>
        <v>0.96066953504855701</v>
      </c>
      <c r="S20" s="438">
        <v>0.25</v>
      </c>
      <c r="T20" s="438">
        <v>0.28749999999999998</v>
      </c>
      <c r="U20" s="427"/>
      <c r="V20" s="430">
        <f t="shared" ref="V20:V26" si="21">(T20-S20)*24*60</f>
        <v>53.999999999999972</v>
      </c>
      <c r="W20" s="17"/>
      <c r="X20" s="17"/>
      <c r="Y20" s="22"/>
      <c r="Z20" s="22"/>
      <c r="AA20" s="610"/>
      <c r="AB20" s="610"/>
      <c r="AC20" s="19">
        <v>7</v>
      </c>
      <c r="AD20" s="19"/>
      <c r="AE20" s="15">
        <f t="shared" si="8"/>
        <v>-88.888888888887777</v>
      </c>
      <c r="AF20" s="428">
        <f t="shared" si="9"/>
        <v>0.95555555555555616</v>
      </c>
      <c r="AG20" s="619">
        <f>AF27</f>
        <v>0.96066953504855701</v>
      </c>
    </row>
    <row r="21" spans="1:33" ht="15.75" customHeight="1">
      <c r="A21" s="638" t="s">
        <v>189</v>
      </c>
      <c r="B21" s="435" t="s">
        <v>6</v>
      </c>
      <c r="C21" s="669" t="s">
        <v>23</v>
      </c>
      <c r="D21" s="669"/>
      <c r="E21" s="435">
        <v>57.73</v>
      </c>
      <c r="F21" s="434">
        <v>2756</v>
      </c>
      <c r="G21" s="427">
        <f t="shared" si="19"/>
        <v>159103.88</v>
      </c>
      <c r="H21" s="436" t="s">
        <v>5</v>
      </c>
      <c r="I21" s="429">
        <v>14</v>
      </c>
      <c r="J21" s="437">
        <v>2000</v>
      </c>
      <c r="K21" s="13">
        <f t="shared" si="1"/>
        <v>142.85714285714286</v>
      </c>
      <c r="L21" s="429">
        <v>14</v>
      </c>
      <c r="M21" s="14">
        <f t="shared" si="20"/>
        <v>1922.7906976744184</v>
      </c>
      <c r="N21" s="13">
        <f t="shared" si="3"/>
        <v>137.34219269102988</v>
      </c>
      <c r="O21" s="15">
        <f t="shared" si="4"/>
        <v>0</v>
      </c>
      <c r="P21" s="16">
        <f t="shared" si="5"/>
        <v>-5.5149501661129818</v>
      </c>
      <c r="Q21" s="428">
        <f t="shared" si="6"/>
        <v>0.96139534883720912</v>
      </c>
      <c r="R21" s="619"/>
      <c r="S21" s="438">
        <v>0.29166666666666663</v>
      </c>
      <c r="T21" s="438">
        <v>0.35138888888888886</v>
      </c>
      <c r="U21" s="427">
        <f t="shared" ref="U21:U26" si="22">IF(S21=TIME(17,0,0),"",(S21-T20)*24*60)</f>
        <v>5.9999999999999787</v>
      </c>
      <c r="V21" s="430">
        <f t="shared" si="21"/>
        <v>86.000000000000014</v>
      </c>
      <c r="W21" s="17"/>
      <c r="X21" s="427"/>
      <c r="Y21" s="427"/>
      <c r="Z21" s="427"/>
      <c r="AA21" s="610"/>
      <c r="AB21" s="610"/>
      <c r="AC21" s="19"/>
      <c r="AD21" s="19"/>
      <c r="AE21" s="15">
        <f t="shared" si="8"/>
        <v>-77.209302325581575</v>
      </c>
      <c r="AF21" s="428">
        <f t="shared" si="9"/>
        <v>0.96139534883720923</v>
      </c>
      <c r="AG21" s="619"/>
    </row>
    <row r="22" spans="1:33" ht="15.75" customHeight="1">
      <c r="A22" s="638" t="s">
        <v>2137</v>
      </c>
      <c r="B22" s="435" t="s">
        <v>6</v>
      </c>
      <c r="C22" s="669" t="s">
        <v>24</v>
      </c>
      <c r="D22" s="669"/>
      <c r="E22" s="435">
        <v>53.27</v>
      </c>
      <c r="F22" s="434">
        <v>1606</v>
      </c>
      <c r="G22" s="427">
        <f t="shared" si="19"/>
        <v>85551.62000000001</v>
      </c>
      <c r="H22" s="436" t="s">
        <v>5</v>
      </c>
      <c r="I22" s="429">
        <v>16</v>
      </c>
      <c r="J22" s="437">
        <v>2000</v>
      </c>
      <c r="K22" s="13">
        <f t="shared" si="1"/>
        <v>125</v>
      </c>
      <c r="L22" s="429">
        <v>16</v>
      </c>
      <c r="M22" s="14">
        <f t="shared" si="20"/>
        <v>1927.2000000000007</v>
      </c>
      <c r="N22" s="13">
        <f t="shared" si="3"/>
        <v>120.45000000000005</v>
      </c>
      <c r="O22" s="15">
        <f t="shared" si="4"/>
        <v>0</v>
      </c>
      <c r="P22" s="16">
        <f t="shared" si="5"/>
        <v>-4.5499999999999545</v>
      </c>
      <c r="Q22" s="428">
        <f t="shared" si="6"/>
        <v>0.96360000000000035</v>
      </c>
      <c r="R22" s="619"/>
      <c r="S22" s="438">
        <v>0.35486111111111107</v>
      </c>
      <c r="T22" s="438">
        <v>0.38958333333333328</v>
      </c>
      <c r="U22" s="427">
        <f t="shared" si="22"/>
        <v>4.9999999999999822</v>
      </c>
      <c r="V22" s="430">
        <f t="shared" si="21"/>
        <v>49.999999999999986</v>
      </c>
      <c r="W22" s="17"/>
      <c r="X22" s="427"/>
      <c r="Y22" s="427"/>
      <c r="Z22" s="427"/>
      <c r="AA22" s="610"/>
      <c r="AB22" s="610"/>
      <c r="AC22" s="19"/>
      <c r="AD22" s="19"/>
      <c r="AE22" s="15">
        <f t="shared" si="8"/>
        <v>-72.799999999999272</v>
      </c>
      <c r="AF22" s="428">
        <f t="shared" si="9"/>
        <v>0.96360000000000035</v>
      </c>
      <c r="AG22" s="619"/>
    </row>
    <row r="23" spans="1:33" ht="15.75" customHeight="1">
      <c r="A23" s="638" t="s">
        <v>2138</v>
      </c>
      <c r="B23" s="435" t="s">
        <v>6</v>
      </c>
      <c r="C23" s="669" t="s">
        <v>21</v>
      </c>
      <c r="D23" s="669"/>
      <c r="E23" s="435">
        <v>50.49</v>
      </c>
      <c r="F23" s="434">
        <v>2130</v>
      </c>
      <c r="G23" s="427">
        <f t="shared" si="19"/>
        <v>107543.7</v>
      </c>
      <c r="H23" s="436" t="s">
        <v>5</v>
      </c>
      <c r="I23" s="429">
        <v>15</v>
      </c>
      <c r="J23" s="437">
        <v>2000</v>
      </c>
      <c r="K23" s="13">
        <f t="shared" si="1"/>
        <v>133.33333333333334</v>
      </c>
      <c r="L23" s="429">
        <v>15</v>
      </c>
      <c r="M23" s="14">
        <f t="shared" si="20"/>
        <v>1907.4626865671619</v>
      </c>
      <c r="N23" s="13">
        <f t="shared" si="3"/>
        <v>127.16417910447745</v>
      </c>
      <c r="O23" s="15">
        <f t="shared" si="4"/>
        <v>0</v>
      </c>
      <c r="P23" s="16">
        <f t="shared" si="5"/>
        <v>-6.1691542288558878</v>
      </c>
      <c r="Q23" s="428">
        <f t="shared" si="6"/>
        <v>0.95373134328358089</v>
      </c>
      <c r="R23" s="619"/>
      <c r="S23" s="438">
        <v>0.70833333333333337</v>
      </c>
      <c r="T23" s="438">
        <v>0.7548611111111112</v>
      </c>
      <c r="U23" s="427" t="str">
        <f t="shared" si="22"/>
        <v/>
      </c>
      <c r="V23" s="430">
        <f t="shared" si="21"/>
        <v>67.000000000000085</v>
      </c>
      <c r="W23" s="17"/>
      <c r="X23" s="427"/>
      <c r="Y23" s="427"/>
      <c r="Z23" s="427"/>
      <c r="AA23" s="610"/>
      <c r="AB23" s="610"/>
      <c r="AC23" s="19"/>
      <c r="AD23" s="19"/>
      <c r="AE23" s="15">
        <f t="shared" si="8"/>
        <v>-92.537313432838118</v>
      </c>
      <c r="AF23" s="428">
        <f t="shared" si="9"/>
        <v>0.95373134328358089</v>
      </c>
      <c r="AG23" s="619"/>
    </row>
    <row r="24" spans="1:33" ht="15.75" customHeight="1">
      <c r="A24" s="638" t="s">
        <v>2138</v>
      </c>
      <c r="B24" s="435" t="s">
        <v>6</v>
      </c>
      <c r="C24" s="669" t="s">
        <v>26</v>
      </c>
      <c r="D24" s="669"/>
      <c r="E24" s="435">
        <v>54.09</v>
      </c>
      <c r="F24" s="434">
        <v>2037</v>
      </c>
      <c r="G24" s="427">
        <f t="shared" si="19"/>
        <v>110181.33</v>
      </c>
      <c r="H24" s="436" t="s">
        <v>5</v>
      </c>
      <c r="I24" s="429">
        <v>18</v>
      </c>
      <c r="J24" s="437">
        <v>2000</v>
      </c>
      <c r="K24" s="13">
        <f t="shared" si="1"/>
        <v>111.11111111111111</v>
      </c>
      <c r="L24" s="429">
        <v>18</v>
      </c>
      <c r="M24" s="14">
        <f t="shared" si="20"/>
        <v>1909.687500000002</v>
      </c>
      <c r="N24" s="13">
        <f t="shared" si="3"/>
        <v>106.09375000000011</v>
      </c>
      <c r="O24" s="15">
        <f t="shared" si="4"/>
        <v>0</v>
      </c>
      <c r="P24" s="16">
        <f t="shared" si="5"/>
        <v>-5.0173611111110006</v>
      </c>
      <c r="Q24" s="428">
        <f t="shared" si="6"/>
        <v>0.95484375000000099</v>
      </c>
      <c r="R24" s="619"/>
      <c r="S24" s="438">
        <v>0.7597222222222223</v>
      </c>
      <c r="T24" s="438">
        <v>0.8041666666666667</v>
      </c>
      <c r="U24" s="427">
        <f t="shared" si="22"/>
        <v>6.9999999999999751</v>
      </c>
      <c r="V24" s="430">
        <f t="shared" si="21"/>
        <v>63.999999999999929</v>
      </c>
      <c r="W24" s="17"/>
      <c r="X24" s="17"/>
      <c r="Y24" s="427"/>
      <c r="Z24" s="427"/>
      <c r="AA24" s="610"/>
      <c r="AB24" s="610"/>
      <c r="AC24" s="19"/>
      <c r="AD24" s="19"/>
      <c r="AE24" s="15">
        <f t="shared" si="8"/>
        <v>-90.312499999997954</v>
      </c>
      <c r="AF24" s="428">
        <f t="shared" si="9"/>
        <v>0.95484375000000099</v>
      </c>
      <c r="AG24" s="619"/>
    </row>
    <row r="25" spans="1:33" ht="15.75" customHeight="1">
      <c r="A25" s="638" t="s">
        <v>189</v>
      </c>
      <c r="B25" s="435" t="s">
        <v>6</v>
      </c>
      <c r="C25" s="669" t="s">
        <v>2057</v>
      </c>
      <c r="D25" s="669"/>
      <c r="E25" s="435">
        <v>50.67</v>
      </c>
      <c r="F25" s="434">
        <v>1300</v>
      </c>
      <c r="G25" s="427">
        <f t="shared" si="19"/>
        <v>65871</v>
      </c>
      <c r="H25" s="436">
        <v>2</v>
      </c>
      <c r="I25" s="429">
        <v>15</v>
      </c>
      <c r="J25" s="437">
        <v>2000</v>
      </c>
      <c r="K25" s="13">
        <f t="shared" si="1"/>
        <v>133.33333333333334</v>
      </c>
      <c r="L25" s="429">
        <v>15</v>
      </c>
      <c r="M25" s="14">
        <f t="shared" si="20"/>
        <v>1949.9999999999991</v>
      </c>
      <c r="N25" s="13">
        <f t="shared" si="3"/>
        <v>129.99999999999994</v>
      </c>
      <c r="O25" s="15">
        <f t="shared" si="4"/>
        <v>0</v>
      </c>
      <c r="P25" s="16">
        <f t="shared" si="5"/>
        <v>-3.3333333333333997</v>
      </c>
      <c r="Q25" s="428">
        <f t="shared" si="6"/>
        <v>0.97499999999999953</v>
      </c>
      <c r="R25" s="619"/>
      <c r="S25" s="438">
        <v>0.80763888888888891</v>
      </c>
      <c r="T25" s="438">
        <v>0.8354166666666667</v>
      </c>
      <c r="U25" s="427">
        <f t="shared" si="22"/>
        <v>4.9999999999999822</v>
      </c>
      <c r="V25" s="430">
        <f t="shared" si="21"/>
        <v>40.000000000000014</v>
      </c>
      <c r="W25" s="17">
        <f>T25</f>
        <v>0.8354166666666667</v>
      </c>
      <c r="X25" s="17">
        <f>S26</f>
        <v>0.87361111111111112</v>
      </c>
      <c r="Y25" s="22"/>
      <c r="Z25" s="22"/>
      <c r="AA25" s="610"/>
      <c r="AB25" s="610"/>
      <c r="AC25" s="19"/>
      <c r="AD25" s="19"/>
      <c r="AE25" s="15">
        <f t="shared" si="8"/>
        <v>-50.000000000000909</v>
      </c>
      <c r="AF25" s="428">
        <f t="shared" si="9"/>
        <v>0.97499999999999953</v>
      </c>
      <c r="AG25" s="619"/>
    </row>
    <row r="26" spans="1:33" ht="15.75" customHeight="1">
      <c r="A26" s="638" t="s">
        <v>2138</v>
      </c>
      <c r="B26" s="435" t="s">
        <v>6</v>
      </c>
      <c r="C26" s="670" t="s">
        <v>2057</v>
      </c>
      <c r="D26" s="671"/>
      <c r="E26" s="435">
        <v>50.67</v>
      </c>
      <c r="F26" s="434">
        <v>3426</v>
      </c>
      <c r="G26" s="427">
        <f t="shared" si="19"/>
        <v>173595.42</v>
      </c>
      <c r="H26" s="436" t="s">
        <v>5</v>
      </c>
      <c r="I26" s="429">
        <v>15</v>
      </c>
      <c r="J26" s="437">
        <v>2000</v>
      </c>
      <c r="K26" s="13">
        <f t="shared" si="1"/>
        <v>133.33333333333334</v>
      </c>
      <c r="L26" s="429">
        <v>15</v>
      </c>
      <c r="M26" s="14">
        <f t="shared" si="20"/>
        <v>1921.1214953271037</v>
      </c>
      <c r="N26" s="13">
        <f t="shared" si="3"/>
        <v>128.07476635514024</v>
      </c>
      <c r="O26" s="15">
        <f t="shared" si="4"/>
        <v>0</v>
      </c>
      <c r="P26" s="16">
        <f t="shared" si="5"/>
        <v>-5.2585669781931017</v>
      </c>
      <c r="Q26" s="428">
        <f t="shared" si="6"/>
        <v>0.96056074766355171</v>
      </c>
      <c r="R26" s="619"/>
      <c r="S26" s="438">
        <v>0.87361111111111112</v>
      </c>
      <c r="T26" s="438">
        <v>0.94791666666666663</v>
      </c>
      <c r="U26" s="427">
        <f t="shared" si="22"/>
        <v>54.999999999999964</v>
      </c>
      <c r="V26" s="430">
        <f t="shared" si="21"/>
        <v>106.99999999999994</v>
      </c>
      <c r="W26" s="17"/>
      <c r="X26" s="22"/>
      <c r="Y26" s="94"/>
      <c r="Z26" s="94"/>
      <c r="AA26" s="614"/>
      <c r="AB26" s="615"/>
      <c r="AC26" s="19"/>
      <c r="AD26" s="19"/>
      <c r="AE26" s="15">
        <f t="shared" si="8"/>
        <v>-78.87850467289627</v>
      </c>
      <c r="AF26" s="428">
        <f t="shared" si="9"/>
        <v>0.96056074766355182</v>
      </c>
      <c r="AG26" s="619"/>
    </row>
    <row r="27" spans="1:33" ht="15.75" customHeight="1">
      <c r="A27" s="638" t="s">
        <v>189</v>
      </c>
      <c r="B27" s="435" t="s">
        <v>80</v>
      </c>
      <c r="C27" s="668"/>
      <c r="D27" s="668"/>
      <c r="E27" s="439"/>
      <c r="F27" s="434"/>
      <c r="G27" s="427"/>
      <c r="H27" s="434"/>
      <c r="I27" s="23">
        <v>15.714285714285714</v>
      </c>
      <c r="J27" s="437">
        <v>2000</v>
      </c>
      <c r="K27" s="13">
        <f t="shared" si="1"/>
        <v>127.27272727272728</v>
      </c>
      <c r="L27" s="23">
        <v>15.714285714285714</v>
      </c>
      <c r="M27" s="14">
        <f>AVERAGE(M20:M26)</f>
        <v>1921.339070097114</v>
      </c>
      <c r="N27" s="13">
        <f t="shared" si="3"/>
        <v>122.26703173345271</v>
      </c>
      <c r="O27" s="15">
        <f t="shared" si="4"/>
        <v>0</v>
      </c>
      <c r="P27" s="16">
        <f t="shared" si="5"/>
        <v>-5.0056955392745692</v>
      </c>
      <c r="Q27" s="428">
        <f t="shared" si="6"/>
        <v>0.96066953504855701</v>
      </c>
      <c r="R27" s="619"/>
      <c r="S27" s="438"/>
      <c r="T27" s="438"/>
      <c r="U27" s="13"/>
      <c r="V27" s="430"/>
      <c r="W27" s="13"/>
      <c r="X27" s="13"/>
      <c r="Y27" s="24">
        <f>SUM(Y20:Y26)</f>
        <v>0</v>
      </c>
      <c r="Z27" s="24">
        <f>SUM(Z20:Z26)</f>
        <v>0</v>
      </c>
      <c r="AA27" s="609"/>
      <c r="AB27" s="609"/>
      <c r="AC27" s="24">
        <v>7</v>
      </c>
      <c r="AD27" s="24">
        <f>SUM(AD20:AD26)</f>
        <v>0</v>
      </c>
      <c r="AE27" s="15">
        <f t="shared" si="8"/>
        <v>-78.660929902885982</v>
      </c>
      <c r="AF27" s="428">
        <f t="shared" si="9"/>
        <v>0.96066953504855701</v>
      </c>
      <c r="AG27" s="619"/>
    </row>
    <row r="28" spans="1:33" ht="15.75" customHeight="1">
      <c r="A28" s="636" t="s">
        <v>2139</v>
      </c>
      <c r="B28" s="435" t="s">
        <v>27</v>
      </c>
      <c r="C28" s="669" t="s">
        <v>28</v>
      </c>
      <c r="D28" s="669"/>
      <c r="E28" s="435">
        <v>31.29</v>
      </c>
      <c r="F28" s="434">
        <v>6000</v>
      </c>
      <c r="G28" s="427">
        <f t="shared" ref="G28:G35" si="23">E28*F28</f>
        <v>187740</v>
      </c>
      <c r="H28" s="436">
        <v>2</v>
      </c>
      <c r="I28" s="429">
        <v>18</v>
      </c>
      <c r="J28" s="437">
        <v>2400</v>
      </c>
      <c r="K28" s="13">
        <f t="shared" si="1"/>
        <v>133.33333333333334</v>
      </c>
      <c r="L28" s="429">
        <v>18</v>
      </c>
      <c r="M28" s="14">
        <f t="shared" ref="M28:M35" si="24">F28/V28*60</f>
        <v>2292.993630573249</v>
      </c>
      <c r="N28" s="13">
        <f t="shared" si="3"/>
        <v>127.38853503184717</v>
      </c>
      <c r="O28" s="15">
        <f t="shared" si="4"/>
        <v>0</v>
      </c>
      <c r="P28" s="16">
        <f t="shared" si="5"/>
        <v>-5.9447983014861734</v>
      </c>
      <c r="Q28" s="428">
        <f t="shared" si="6"/>
        <v>0.95541401273885374</v>
      </c>
      <c r="R28" s="619">
        <f>Q36</f>
        <v>0.95253719544550186</v>
      </c>
      <c r="S28" s="438">
        <v>8.3333333333333329E-2</v>
      </c>
      <c r="T28" s="438">
        <v>0.19236111111111109</v>
      </c>
      <c r="U28" s="427"/>
      <c r="V28" s="430">
        <f t="shared" ref="V28:V35" si="25">(T28-S28)*24*60</f>
        <v>156.99999999999997</v>
      </c>
      <c r="W28" s="17">
        <f>T28</f>
        <v>0.19236111111111109</v>
      </c>
      <c r="X28" s="17">
        <f>S29</f>
        <v>0.21180555555555552</v>
      </c>
      <c r="Y28" s="17"/>
      <c r="Z28" s="17"/>
      <c r="AA28" s="610"/>
      <c r="AB28" s="610"/>
      <c r="AC28" s="19">
        <v>8</v>
      </c>
      <c r="AD28" s="19"/>
      <c r="AE28" s="15">
        <f t="shared" si="8"/>
        <v>-107.00636942675101</v>
      </c>
      <c r="AF28" s="428">
        <f t="shared" si="9"/>
        <v>0.95541401273885374</v>
      </c>
      <c r="AG28" s="619">
        <f>AF36</f>
        <v>0.95253719544550208</v>
      </c>
    </row>
    <row r="29" spans="1:33" ht="15.75" customHeight="1">
      <c r="A29" s="636" t="s">
        <v>2139</v>
      </c>
      <c r="B29" s="435" t="s">
        <v>27</v>
      </c>
      <c r="C29" s="669" t="s">
        <v>29</v>
      </c>
      <c r="D29" s="669"/>
      <c r="E29" s="435">
        <v>26.37</v>
      </c>
      <c r="F29" s="434">
        <v>4200</v>
      </c>
      <c r="G29" s="427">
        <f t="shared" si="23"/>
        <v>110754</v>
      </c>
      <c r="H29" s="436">
        <v>2</v>
      </c>
      <c r="I29" s="429">
        <v>18</v>
      </c>
      <c r="J29" s="437">
        <v>2400</v>
      </c>
      <c r="K29" s="13">
        <f t="shared" si="1"/>
        <v>133.33333333333334</v>
      </c>
      <c r="L29" s="429">
        <v>18</v>
      </c>
      <c r="M29" s="14">
        <f t="shared" si="24"/>
        <v>2290.909090909091</v>
      </c>
      <c r="N29" s="13">
        <f t="shared" si="3"/>
        <v>127.27272727272728</v>
      </c>
      <c r="O29" s="15">
        <f t="shared" si="4"/>
        <v>0</v>
      </c>
      <c r="P29" s="16">
        <f t="shared" si="5"/>
        <v>-6.0606060606060623</v>
      </c>
      <c r="Q29" s="428">
        <f t="shared" si="6"/>
        <v>0.95454545454545459</v>
      </c>
      <c r="R29" s="619"/>
      <c r="S29" s="438">
        <v>0.21180555555555552</v>
      </c>
      <c r="T29" s="438">
        <v>0.28819444444444442</v>
      </c>
      <c r="U29" s="427">
        <f t="shared" ref="U29:U35" si="26">(S29-T28)*24*60</f>
        <v>27.999999999999979</v>
      </c>
      <c r="V29" s="430">
        <f t="shared" si="25"/>
        <v>110.00000000000001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-109.09090909090901</v>
      </c>
      <c r="AF29" s="428">
        <f t="shared" si="9"/>
        <v>0.95454545454545459</v>
      </c>
      <c r="AG29" s="619"/>
    </row>
    <row r="30" spans="1:33" ht="15.75" customHeight="1">
      <c r="A30" s="636" t="s">
        <v>2139</v>
      </c>
      <c r="B30" s="435" t="s">
        <v>27</v>
      </c>
      <c r="C30" s="669" t="s">
        <v>34</v>
      </c>
      <c r="D30" s="669"/>
      <c r="E30" s="435">
        <v>24.43</v>
      </c>
      <c r="F30" s="434">
        <v>5100</v>
      </c>
      <c r="G30" s="427">
        <f t="shared" si="23"/>
        <v>124593</v>
      </c>
      <c r="H30" s="436">
        <v>2</v>
      </c>
      <c r="I30" s="429">
        <v>14</v>
      </c>
      <c r="J30" s="437">
        <v>2400</v>
      </c>
      <c r="K30" s="13">
        <f t="shared" si="1"/>
        <v>171.42857142857142</v>
      </c>
      <c r="L30" s="429">
        <v>14</v>
      </c>
      <c r="M30" s="14">
        <f t="shared" si="24"/>
        <v>2283.5820895522388</v>
      </c>
      <c r="N30" s="13">
        <f t="shared" si="3"/>
        <v>163.11300639658847</v>
      </c>
      <c r="O30" s="15">
        <f t="shared" si="4"/>
        <v>0</v>
      </c>
      <c r="P30" s="16">
        <f t="shared" si="5"/>
        <v>-8.3155650319829419</v>
      </c>
      <c r="Q30" s="428">
        <f t="shared" si="6"/>
        <v>0.95149253731343286</v>
      </c>
      <c r="R30" s="619"/>
      <c r="S30" s="438">
        <v>0.29166666666666663</v>
      </c>
      <c r="T30" s="438">
        <v>0.38472222222222219</v>
      </c>
      <c r="U30" s="427">
        <f t="shared" si="26"/>
        <v>4.9999999999999822</v>
      </c>
      <c r="V30" s="430">
        <f t="shared" si="25"/>
        <v>134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-116.41791044776119</v>
      </c>
      <c r="AF30" s="428">
        <f t="shared" si="9"/>
        <v>0.95149253731343286</v>
      </c>
      <c r="AG30" s="619"/>
    </row>
    <row r="31" spans="1:33" ht="15.75" customHeight="1">
      <c r="A31" s="636" t="s">
        <v>2140</v>
      </c>
      <c r="B31" s="435" t="s">
        <v>27</v>
      </c>
      <c r="C31" s="669" t="s">
        <v>75</v>
      </c>
      <c r="D31" s="669"/>
      <c r="E31" s="435">
        <v>25.98</v>
      </c>
      <c r="F31" s="434">
        <v>4257</v>
      </c>
      <c r="G31" s="427">
        <f t="shared" si="23"/>
        <v>110596.86</v>
      </c>
      <c r="H31" s="436" t="s">
        <v>5</v>
      </c>
      <c r="I31" s="429">
        <v>19</v>
      </c>
      <c r="J31" s="437">
        <v>2400</v>
      </c>
      <c r="K31" s="13">
        <f t="shared" si="1"/>
        <v>126.31578947368421</v>
      </c>
      <c r="L31" s="429">
        <v>19</v>
      </c>
      <c r="M31" s="14">
        <f t="shared" si="24"/>
        <v>2301.0810810810813</v>
      </c>
      <c r="N31" s="13">
        <f t="shared" si="3"/>
        <v>121.10953058321481</v>
      </c>
      <c r="O31" s="15">
        <f t="shared" si="4"/>
        <v>0</v>
      </c>
      <c r="P31" s="16">
        <f t="shared" si="5"/>
        <v>-5.2062588904693996</v>
      </c>
      <c r="Q31" s="428">
        <f t="shared" si="6"/>
        <v>0.95878378378378393</v>
      </c>
      <c r="R31" s="619"/>
      <c r="S31" s="438">
        <v>0.38888888888888884</v>
      </c>
      <c r="T31" s="438">
        <v>0.46597222222222218</v>
      </c>
      <c r="U31" s="427">
        <f t="shared" si="26"/>
        <v>5.9999999999999787</v>
      </c>
      <c r="V31" s="430">
        <f t="shared" si="25"/>
        <v>111</v>
      </c>
      <c r="W31" s="17"/>
      <c r="X31" s="17"/>
      <c r="Y31" s="17"/>
      <c r="Z31" s="17"/>
      <c r="AA31" s="610"/>
      <c r="AB31" s="610"/>
      <c r="AC31" s="19"/>
      <c r="AD31" s="19"/>
      <c r="AE31" s="15">
        <f t="shared" si="8"/>
        <v>-98.918918918918735</v>
      </c>
      <c r="AF31" s="428">
        <f t="shared" si="9"/>
        <v>0.95878378378378382</v>
      </c>
      <c r="AG31" s="619"/>
    </row>
    <row r="32" spans="1:33" ht="15.75" customHeight="1">
      <c r="A32" s="636" t="s">
        <v>192</v>
      </c>
      <c r="B32" s="435" t="s">
        <v>27</v>
      </c>
      <c r="C32" s="669" t="s">
        <v>55</v>
      </c>
      <c r="D32" s="669"/>
      <c r="E32" s="435">
        <v>23.89</v>
      </c>
      <c r="F32" s="434">
        <v>563</v>
      </c>
      <c r="G32" s="427">
        <f t="shared" si="23"/>
        <v>13450.07</v>
      </c>
      <c r="H32" s="436" t="s">
        <v>5</v>
      </c>
      <c r="I32" s="429">
        <v>13</v>
      </c>
      <c r="J32" s="437">
        <v>2400</v>
      </c>
      <c r="K32" s="13">
        <f t="shared" si="1"/>
        <v>184.61538461538461</v>
      </c>
      <c r="L32" s="429">
        <v>13</v>
      </c>
      <c r="M32" s="14">
        <f t="shared" si="24"/>
        <v>2251.9999999999841</v>
      </c>
      <c r="N32" s="13">
        <f t="shared" si="3"/>
        <v>173.230769230768</v>
      </c>
      <c r="O32" s="15">
        <f t="shared" si="4"/>
        <v>0</v>
      </c>
      <c r="P32" s="16">
        <f t="shared" si="5"/>
        <v>-11.384615384616609</v>
      </c>
      <c r="Q32" s="428">
        <f t="shared" si="6"/>
        <v>0.93833333333332669</v>
      </c>
      <c r="R32" s="619"/>
      <c r="S32" s="438">
        <v>0.46944444444444439</v>
      </c>
      <c r="T32" s="438">
        <v>0.47986111111111113</v>
      </c>
      <c r="U32" s="427">
        <f t="shared" si="26"/>
        <v>4.9999999999999822</v>
      </c>
      <c r="V32" s="430">
        <f t="shared" si="25"/>
        <v>15.000000000000107</v>
      </c>
      <c r="W32" s="17">
        <f>T32</f>
        <v>0.47986111111111113</v>
      </c>
      <c r="X32" s="17">
        <f>S33</f>
        <v>0.51944444444444438</v>
      </c>
      <c r="Y32" s="17"/>
      <c r="Z32" s="17"/>
      <c r="AA32" s="610"/>
      <c r="AB32" s="610"/>
      <c r="AC32" s="19"/>
      <c r="AD32" s="19"/>
      <c r="AE32" s="15">
        <f t="shared" si="8"/>
        <v>-148.00000000001592</v>
      </c>
      <c r="AF32" s="428">
        <f t="shared" si="9"/>
        <v>0.93833333333332669</v>
      </c>
      <c r="AG32" s="619"/>
    </row>
    <row r="33" spans="1:33" ht="15.75" customHeight="1">
      <c r="A33" s="636" t="s">
        <v>2141</v>
      </c>
      <c r="B33" s="435" t="s">
        <v>27</v>
      </c>
      <c r="C33" s="669" t="s">
        <v>28</v>
      </c>
      <c r="D33" s="669"/>
      <c r="E33" s="435">
        <v>31.29</v>
      </c>
      <c r="F33" s="434">
        <v>4520</v>
      </c>
      <c r="G33" s="427">
        <f t="shared" si="23"/>
        <v>141430.79999999999</v>
      </c>
      <c r="H33" s="436" t="s">
        <v>5</v>
      </c>
      <c r="I33" s="429">
        <v>18</v>
      </c>
      <c r="J33" s="437">
        <v>2400</v>
      </c>
      <c r="K33" s="13">
        <f t="shared" si="1"/>
        <v>133.33333333333334</v>
      </c>
      <c r="L33" s="429">
        <v>18</v>
      </c>
      <c r="M33" s="14">
        <f t="shared" si="24"/>
        <v>2298.3050847457616</v>
      </c>
      <c r="N33" s="13">
        <f t="shared" si="3"/>
        <v>127.68361581920898</v>
      </c>
      <c r="O33" s="15">
        <f t="shared" si="4"/>
        <v>0</v>
      </c>
      <c r="P33" s="16">
        <f t="shared" si="5"/>
        <v>-5.6497175141243616</v>
      </c>
      <c r="Q33" s="428">
        <f t="shared" si="6"/>
        <v>0.95762711864406724</v>
      </c>
      <c r="R33" s="619"/>
      <c r="S33" s="438">
        <v>0.51944444444444438</v>
      </c>
      <c r="T33" s="438">
        <v>0.60138888888888886</v>
      </c>
      <c r="U33" s="427">
        <f t="shared" si="26"/>
        <v>56.999999999999879</v>
      </c>
      <c r="V33" s="430">
        <f t="shared" si="25"/>
        <v>118.00000000000006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-101.69491525423837</v>
      </c>
      <c r="AF33" s="428">
        <f t="shared" si="9"/>
        <v>0.95762711864406735</v>
      </c>
      <c r="AG33" s="619"/>
    </row>
    <row r="34" spans="1:33" ht="15.75" customHeight="1">
      <c r="A34" s="636" t="s">
        <v>2141</v>
      </c>
      <c r="B34" s="435" t="s">
        <v>27</v>
      </c>
      <c r="C34" s="669" t="s">
        <v>29</v>
      </c>
      <c r="D34" s="669"/>
      <c r="E34" s="435">
        <v>26.37</v>
      </c>
      <c r="F34" s="434">
        <v>2935</v>
      </c>
      <c r="G34" s="427">
        <f t="shared" si="23"/>
        <v>77395.95</v>
      </c>
      <c r="H34" s="436" t="s">
        <v>5</v>
      </c>
      <c r="I34" s="429">
        <v>18</v>
      </c>
      <c r="J34" s="437">
        <v>2400</v>
      </c>
      <c r="K34" s="13">
        <f t="shared" si="1"/>
        <v>133.33333333333334</v>
      </c>
      <c r="L34" s="429">
        <v>18</v>
      </c>
      <c r="M34" s="14">
        <f t="shared" si="24"/>
        <v>2287.0129870129858</v>
      </c>
      <c r="N34" s="13">
        <f t="shared" si="3"/>
        <v>127.056277056277</v>
      </c>
      <c r="O34" s="15">
        <f t="shared" si="4"/>
        <v>0</v>
      </c>
      <c r="P34" s="16">
        <f t="shared" si="5"/>
        <v>-6.2770562770563458</v>
      </c>
      <c r="Q34" s="428">
        <f t="shared" si="6"/>
        <v>0.95292207792207739</v>
      </c>
      <c r="R34" s="619"/>
      <c r="S34" s="438">
        <v>0.6069444444444444</v>
      </c>
      <c r="T34" s="438">
        <v>0.66041666666666665</v>
      </c>
      <c r="U34" s="427">
        <f t="shared" si="26"/>
        <v>7.9999999999999716</v>
      </c>
      <c r="V34" s="430">
        <f t="shared" si="25"/>
        <v>77.000000000000043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-112.98701298701417</v>
      </c>
      <c r="AF34" s="428">
        <f t="shared" si="9"/>
        <v>0.95292207792207739</v>
      </c>
      <c r="AG34" s="619"/>
    </row>
    <row r="35" spans="1:33" ht="15.75" customHeight="1">
      <c r="A35" s="636" t="s">
        <v>2141</v>
      </c>
      <c r="B35" s="435" t="s">
        <v>27</v>
      </c>
      <c r="C35" s="441" t="s">
        <v>34</v>
      </c>
      <c r="D35" s="442"/>
      <c r="E35" s="435">
        <v>24.43</v>
      </c>
      <c r="F35" s="434">
        <v>4033</v>
      </c>
      <c r="G35" s="427">
        <f t="shared" si="23"/>
        <v>98526.19</v>
      </c>
      <c r="H35" s="436" t="s">
        <v>5</v>
      </c>
      <c r="I35" s="429">
        <v>14</v>
      </c>
      <c r="J35" s="437">
        <v>2400</v>
      </c>
      <c r="K35" s="13">
        <f t="shared" si="1"/>
        <v>171.42857142857142</v>
      </c>
      <c r="L35" s="429">
        <v>14</v>
      </c>
      <c r="M35" s="14">
        <f t="shared" si="24"/>
        <v>2282.8301886792465</v>
      </c>
      <c r="N35" s="13">
        <f t="shared" si="3"/>
        <v>163.05929919137475</v>
      </c>
      <c r="O35" s="15">
        <f t="shared" si="4"/>
        <v>0</v>
      </c>
      <c r="P35" s="16">
        <f t="shared" si="5"/>
        <v>-8.3692722371966681</v>
      </c>
      <c r="Q35" s="428">
        <f t="shared" si="6"/>
        <v>0.95117924528301945</v>
      </c>
      <c r="R35" s="619"/>
      <c r="S35" s="438">
        <v>0.66388888888888886</v>
      </c>
      <c r="T35" s="438">
        <v>0.73749999999999993</v>
      </c>
      <c r="U35" s="427">
        <f t="shared" si="26"/>
        <v>4.9999999999999822</v>
      </c>
      <c r="V35" s="430">
        <f t="shared" si="25"/>
        <v>105.99999999999994</v>
      </c>
      <c r="W35" s="17"/>
      <c r="X35" s="17"/>
      <c r="Y35" s="17"/>
      <c r="Z35" s="17"/>
      <c r="AA35" s="424"/>
      <c r="AB35" s="425"/>
      <c r="AC35" s="19"/>
      <c r="AD35" s="19"/>
      <c r="AE35" s="15">
        <f t="shared" si="8"/>
        <v>-117.16981132075352</v>
      </c>
      <c r="AF35" s="428">
        <f t="shared" si="9"/>
        <v>0.95117924528301934</v>
      </c>
      <c r="AG35" s="619"/>
    </row>
    <row r="36" spans="1:33" ht="15.75" customHeight="1">
      <c r="A36" s="636" t="s">
        <v>2142</v>
      </c>
      <c r="B36" s="435" t="s">
        <v>2130</v>
      </c>
      <c r="C36" s="668"/>
      <c r="D36" s="668"/>
      <c r="E36" s="439"/>
      <c r="F36" s="434"/>
      <c r="G36" s="427"/>
      <c r="H36" s="434"/>
      <c r="I36" s="23">
        <v>16.5</v>
      </c>
      <c r="J36" s="437">
        <v>2400</v>
      </c>
      <c r="K36" s="13">
        <f t="shared" si="1"/>
        <v>145.45454545454547</v>
      </c>
      <c r="L36" s="23">
        <v>16.5</v>
      </c>
      <c r="M36" s="14">
        <f>AVERAGE(M28:M35)</f>
        <v>2286.0892690692049</v>
      </c>
      <c r="N36" s="13">
        <f t="shared" si="3"/>
        <v>138.55086479207301</v>
      </c>
      <c r="O36" s="15">
        <f t="shared" si="4"/>
        <v>0</v>
      </c>
      <c r="P36" s="16">
        <f t="shared" si="5"/>
        <v>-6.9036806624724534</v>
      </c>
      <c r="Q36" s="428">
        <f t="shared" si="6"/>
        <v>0.95253719544550186</v>
      </c>
      <c r="R36" s="619"/>
      <c r="S36" s="438"/>
      <c r="T36" s="438"/>
      <c r="U36" s="427"/>
      <c r="V36" s="430"/>
      <c r="W36" s="427"/>
      <c r="X36" s="427"/>
      <c r="Y36" s="24">
        <f>SUM(Y28:Y35)</f>
        <v>0</v>
      </c>
      <c r="Z36" s="24">
        <f>SUM(Z28:Z35)</f>
        <v>0</v>
      </c>
      <c r="AA36" s="609"/>
      <c r="AB36" s="609"/>
      <c r="AC36" s="24">
        <v>8</v>
      </c>
      <c r="AD36" s="24">
        <f>SUM(AD28:AD35)</f>
        <v>0</v>
      </c>
      <c r="AE36" s="15">
        <f t="shared" si="8"/>
        <v>-113.91073093079513</v>
      </c>
      <c r="AF36" s="428">
        <f t="shared" si="9"/>
        <v>0.95253719544550208</v>
      </c>
      <c r="AG36" s="619"/>
    </row>
    <row r="37" spans="1:33" ht="15.75" customHeight="1">
      <c r="A37" s="633" t="s">
        <v>2143</v>
      </c>
      <c r="B37" s="435" t="s">
        <v>27</v>
      </c>
      <c r="C37" s="663" t="s">
        <v>33</v>
      </c>
      <c r="D37" s="663"/>
      <c r="E37" s="435">
        <v>26.18</v>
      </c>
      <c r="F37" s="434">
        <v>3800</v>
      </c>
      <c r="G37" s="427">
        <f t="shared" ref="G37:G44" si="27">E37*F37</f>
        <v>99484</v>
      </c>
      <c r="H37" s="436">
        <v>2</v>
      </c>
      <c r="I37" s="429">
        <v>20</v>
      </c>
      <c r="J37" s="437">
        <v>2400</v>
      </c>
      <c r="K37" s="13">
        <f t="shared" si="1"/>
        <v>120</v>
      </c>
      <c r="L37" s="429">
        <v>20</v>
      </c>
      <c r="M37" s="14">
        <f t="shared" ref="M37:M44" si="28">F37/V37*60</f>
        <v>2303.030303030303</v>
      </c>
      <c r="N37" s="13">
        <f t="shared" si="3"/>
        <v>115.15151515151516</v>
      </c>
      <c r="O37" s="15">
        <f t="shared" si="4"/>
        <v>0</v>
      </c>
      <c r="P37" s="16">
        <f t="shared" si="5"/>
        <v>-4.8484848484848442</v>
      </c>
      <c r="Q37" s="428">
        <f t="shared" si="6"/>
        <v>0.95959595959595967</v>
      </c>
      <c r="R37" s="619">
        <f>Q45</f>
        <v>0.95774854083943328</v>
      </c>
      <c r="S37" s="438">
        <v>8.3333333333333329E-2</v>
      </c>
      <c r="T37" s="438">
        <v>0.15208333333333332</v>
      </c>
      <c r="U37" s="427"/>
      <c r="V37" s="430">
        <f t="shared" ref="V37:V44" si="29">(T37-S37)*24*60</f>
        <v>99</v>
      </c>
      <c r="W37" s="22">
        <f>T37</f>
        <v>0.15208333333333332</v>
      </c>
      <c r="X37" s="22">
        <f>S38</f>
        <v>0.17013888888888887</v>
      </c>
      <c r="Y37" s="22"/>
      <c r="Z37" s="22"/>
      <c r="AA37" s="610"/>
      <c r="AB37" s="610"/>
      <c r="AC37" s="19">
        <v>8</v>
      </c>
      <c r="AD37" s="19"/>
      <c r="AE37" s="15">
        <f t="shared" si="8"/>
        <v>-96.969696969696997</v>
      </c>
      <c r="AF37" s="428">
        <f t="shared" si="9"/>
        <v>0.95959595959595956</v>
      </c>
      <c r="AG37" s="619">
        <f>AF45</f>
        <v>0.95774854083943328</v>
      </c>
    </row>
    <row r="38" spans="1:33" ht="15.75" customHeight="1">
      <c r="A38" s="633" t="s">
        <v>83</v>
      </c>
      <c r="B38" s="435" t="s">
        <v>27</v>
      </c>
      <c r="C38" s="663" t="s">
        <v>30</v>
      </c>
      <c r="D38" s="663"/>
      <c r="E38" s="435">
        <v>26.18</v>
      </c>
      <c r="F38" s="434">
        <v>5000</v>
      </c>
      <c r="G38" s="427">
        <f t="shared" si="27"/>
        <v>130900</v>
      </c>
      <c r="H38" s="436">
        <v>2</v>
      </c>
      <c r="I38" s="429">
        <v>18</v>
      </c>
      <c r="J38" s="437">
        <v>2400</v>
      </c>
      <c r="K38" s="13">
        <f t="shared" si="1"/>
        <v>133.33333333333334</v>
      </c>
      <c r="L38" s="429">
        <v>18</v>
      </c>
      <c r="M38" s="14">
        <f t="shared" si="28"/>
        <v>2290.0763358778631</v>
      </c>
      <c r="N38" s="13">
        <f t="shared" si="3"/>
        <v>127.22646310432573</v>
      </c>
      <c r="O38" s="15">
        <f t="shared" si="4"/>
        <v>0</v>
      </c>
      <c r="P38" s="16">
        <f t="shared" si="5"/>
        <v>-6.1068702290076118</v>
      </c>
      <c r="Q38" s="428">
        <f t="shared" si="6"/>
        <v>0.95419847328244289</v>
      </c>
      <c r="R38" s="619"/>
      <c r="S38" s="438">
        <v>0.17013888888888887</v>
      </c>
      <c r="T38" s="438">
        <v>0.26111111111111107</v>
      </c>
      <c r="U38" s="427">
        <f t="shared" ref="U38:U44" si="30">(S38-T37)*24*60</f>
        <v>25.999999999999986</v>
      </c>
      <c r="V38" s="430">
        <f t="shared" si="29"/>
        <v>130.99999999999997</v>
      </c>
      <c r="W38" s="427"/>
      <c r="X38" s="427"/>
      <c r="Y38" s="427"/>
      <c r="Z38" s="427"/>
      <c r="AA38" s="610"/>
      <c r="AB38" s="610"/>
      <c r="AC38" s="19"/>
      <c r="AD38" s="19"/>
      <c r="AE38" s="15">
        <f t="shared" si="8"/>
        <v>-109.92366412213687</v>
      </c>
      <c r="AF38" s="428">
        <f t="shared" si="9"/>
        <v>0.954198473282443</v>
      </c>
      <c r="AG38" s="619"/>
    </row>
    <row r="39" spans="1:33">
      <c r="A39" s="634" t="s">
        <v>83</v>
      </c>
      <c r="B39" s="435" t="s">
        <v>27</v>
      </c>
      <c r="C39" s="663" t="s">
        <v>35</v>
      </c>
      <c r="D39" s="663"/>
      <c r="E39" s="435">
        <v>34.1</v>
      </c>
      <c r="F39" s="434">
        <v>3800</v>
      </c>
      <c r="G39" s="427">
        <f t="shared" si="27"/>
        <v>129580</v>
      </c>
      <c r="H39" s="436">
        <v>2</v>
      </c>
      <c r="I39" s="429">
        <v>17</v>
      </c>
      <c r="J39" s="437">
        <v>1600</v>
      </c>
      <c r="K39" s="13">
        <f t="shared" si="1"/>
        <v>94.117647058823536</v>
      </c>
      <c r="L39" s="429">
        <v>17</v>
      </c>
      <c r="M39" s="14">
        <f t="shared" si="28"/>
        <v>1530.2013422818789</v>
      </c>
      <c r="N39" s="13">
        <f t="shared" si="3"/>
        <v>90.011843663639937</v>
      </c>
      <c r="O39" s="15">
        <f t="shared" si="4"/>
        <v>0</v>
      </c>
      <c r="P39" s="16">
        <f t="shared" si="5"/>
        <v>-4.1058033951835995</v>
      </c>
      <c r="Q39" s="428">
        <f t="shared" si="6"/>
        <v>0.95637583892617428</v>
      </c>
      <c r="R39" s="619"/>
      <c r="S39" s="438">
        <v>0.26458333333333328</v>
      </c>
      <c r="T39" s="438">
        <v>0.36805555555555552</v>
      </c>
      <c r="U39" s="427">
        <f t="shared" si="30"/>
        <v>4.9999999999999822</v>
      </c>
      <c r="V39" s="430">
        <f t="shared" si="29"/>
        <v>149.00000000000003</v>
      </c>
      <c r="W39" s="427"/>
      <c r="X39" s="427"/>
      <c r="Y39" s="427"/>
      <c r="Z39" s="427"/>
      <c r="AA39" s="610"/>
      <c r="AB39" s="610"/>
      <c r="AC39" s="19"/>
      <c r="AD39" s="19"/>
      <c r="AE39" s="15">
        <f t="shared" si="8"/>
        <v>-69.798657718121149</v>
      </c>
      <c r="AF39" s="428">
        <f t="shared" si="9"/>
        <v>0.95637583892617428</v>
      </c>
      <c r="AG39" s="619"/>
    </row>
    <row r="40" spans="1:33">
      <c r="A40" s="634" t="s">
        <v>2144</v>
      </c>
      <c r="B40" s="435" t="s">
        <v>27</v>
      </c>
      <c r="C40" s="663" t="s">
        <v>54</v>
      </c>
      <c r="D40" s="663"/>
      <c r="E40" s="435">
        <v>24.25</v>
      </c>
      <c r="F40" s="434">
        <v>1707</v>
      </c>
      <c r="G40" s="427">
        <f t="shared" si="27"/>
        <v>41394.75</v>
      </c>
      <c r="H40" s="436" t="s">
        <v>5</v>
      </c>
      <c r="I40" s="429">
        <v>16</v>
      </c>
      <c r="J40" s="437">
        <v>2400</v>
      </c>
      <c r="K40" s="13">
        <f t="shared" si="1"/>
        <v>150</v>
      </c>
      <c r="L40" s="429">
        <v>16</v>
      </c>
      <c r="M40" s="14">
        <f t="shared" si="28"/>
        <v>2327.727272727273</v>
      </c>
      <c r="N40" s="13">
        <f t="shared" si="3"/>
        <v>145.48295454545456</v>
      </c>
      <c r="O40" s="15">
        <f t="shared" si="4"/>
        <v>0</v>
      </c>
      <c r="P40" s="16">
        <f t="shared" si="5"/>
        <v>-4.517045454545439</v>
      </c>
      <c r="Q40" s="428">
        <f t="shared" si="6"/>
        <v>0.96988636363636371</v>
      </c>
      <c r="R40" s="619"/>
      <c r="S40" s="438">
        <v>0.37222222222222218</v>
      </c>
      <c r="T40" s="438">
        <v>0.40277777777777773</v>
      </c>
      <c r="U40" s="427">
        <f t="shared" si="30"/>
        <v>5.9999999999999787</v>
      </c>
      <c r="V40" s="430">
        <f t="shared" si="29"/>
        <v>44</v>
      </c>
      <c r="W40" s="17"/>
      <c r="X40" s="17"/>
      <c r="Y40" s="17"/>
      <c r="Z40" s="17"/>
      <c r="AA40" s="610"/>
      <c r="AB40" s="610"/>
      <c r="AC40" s="19"/>
      <c r="AD40" s="19"/>
      <c r="AE40" s="15">
        <f t="shared" si="8"/>
        <v>-72.272727272727025</v>
      </c>
      <c r="AF40" s="428">
        <f t="shared" si="9"/>
        <v>0.96988636363636371</v>
      </c>
      <c r="AG40" s="619"/>
    </row>
    <row r="41" spans="1:33">
      <c r="A41" s="634" t="s">
        <v>83</v>
      </c>
      <c r="B41" s="435" t="s">
        <v>27</v>
      </c>
      <c r="C41" s="663" t="s">
        <v>32</v>
      </c>
      <c r="D41" s="663"/>
      <c r="E41" s="435">
        <v>25.99</v>
      </c>
      <c r="F41" s="434">
        <v>4137</v>
      </c>
      <c r="G41" s="427">
        <f t="shared" si="27"/>
        <v>107520.62999999999</v>
      </c>
      <c r="H41" s="436" t="s">
        <v>5</v>
      </c>
      <c r="I41" s="429">
        <v>14</v>
      </c>
      <c r="J41" s="437">
        <v>2400</v>
      </c>
      <c r="K41" s="13">
        <f t="shared" si="1"/>
        <v>171.42857142857142</v>
      </c>
      <c r="L41" s="429">
        <v>14</v>
      </c>
      <c r="M41" s="14">
        <f t="shared" si="28"/>
        <v>2298.333333333333</v>
      </c>
      <c r="N41" s="13">
        <f t="shared" si="3"/>
        <v>164.16666666666666</v>
      </c>
      <c r="O41" s="15">
        <f t="shared" si="4"/>
        <v>0</v>
      </c>
      <c r="P41" s="16">
        <f t="shared" si="5"/>
        <v>-7.2619047619047592</v>
      </c>
      <c r="Q41" s="428">
        <f t="shared" si="6"/>
        <v>0.95763888888888893</v>
      </c>
      <c r="R41" s="619"/>
      <c r="S41" s="438">
        <v>0.40694444444444439</v>
      </c>
      <c r="T41" s="438">
        <v>0.4819444444444444</v>
      </c>
      <c r="U41" s="427">
        <f t="shared" si="30"/>
        <v>5.9999999999999787</v>
      </c>
      <c r="V41" s="430">
        <f t="shared" si="29"/>
        <v>108.00000000000001</v>
      </c>
      <c r="W41" s="17">
        <f>T41</f>
        <v>0.4819444444444444</v>
      </c>
      <c r="X41" s="17">
        <f>S42</f>
        <v>0.52222222222222214</v>
      </c>
      <c r="Y41" s="17"/>
      <c r="Z41" s="17"/>
      <c r="AA41" s="610"/>
      <c r="AB41" s="610"/>
      <c r="AC41" s="19"/>
      <c r="AD41" s="19"/>
      <c r="AE41" s="15">
        <f t="shared" si="8"/>
        <v>-101.66666666666697</v>
      </c>
      <c r="AF41" s="428">
        <f t="shared" si="9"/>
        <v>0.95763888888888882</v>
      </c>
      <c r="AG41" s="619"/>
    </row>
    <row r="42" spans="1:33">
      <c r="A42" s="634" t="s">
        <v>2145</v>
      </c>
      <c r="B42" s="435" t="s">
        <v>27</v>
      </c>
      <c r="C42" s="663" t="s">
        <v>33</v>
      </c>
      <c r="D42" s="663"/>
      <c r="E42" s="435">
        <v>26.18</v>
      </c>
      <c r="F42" s="434">
        <v>2862</v>
      </c>
      <c r="G42" s="427">
        <f t="shared" si="27"/>
        <v>74927.16</v>
      </c>
      <c r="H42" s="436" t="s">
        <v>5</v>
      </c>
      <c r="I42" s="429">
        <v>20</v>
      </c>
      <c r="J42" s="437">
        <v>2400</v>
      </c>
      <c r="K42" s="13">
        <f t="shared" si="1"/>
        <v>120</v>
      </c>
      <c r="L42" s="429">
        <v>20</v>
      </c>
      <c r="M42" s="14">
        <f t="shared" si="28"/>
        <v>2289.5999999999981</v>
      </c>
      <c r="N42" s="13">
        <f t="shared" si="3"/>
        <v>114.4799999999999</v>
      </c>
      <c r="O42" s="15">
        <f t="shared" si="4"/>
        <v>0</v>
      </c>
      <c r="P42" s="16">
        <f t="shared" si="5"/>
        <v>-5.5200000000000955</v>
      </c>
      <c r="Q42" s="428">
        <f t="shared" si="6"/>
        <v>0.95399999999999918</v>
      </c>
      <c r="R42" s="619"/>
      <c r="S42" s="438">
        <v>0.52222222222222214</v>
      </c>
      <c r="T42" s="438">
        <v>0.57430555555555551</v>
      </c>
      <c r="U42" s="427">
        <f t="shared" si="30"/>
        <v>57.999999999999957</v>
      </c>
      <c r="V42" s="430">
        <f t="shared" si="29"/>
        <v>75.000000000000057</v>
      </c>
      <c r="W42" s="17"/>
      <c r="X42" s="17"/>
      <c r="Y42" s="17"/>
      <c r="Z42" s="17"/>
      <c r="AA42" s="610"/>
      <c r="AB42" s="610"/>
      <c r="AC42" s="19"/>
      <c r="AD42" s="19"/>
      <c r="AE42" s="15">
        <f t="shared" si="8"/>
        <v>-110.40000000000191</v>
      </c>
      <c r="AF42" s="428">
        <f t="shared" si="9"/>
        <v>0.95399999999999918</v>
      </c>
      <c r="AG42" s="619"/>
    </row>
    <row r="43" spans="1:33">
      <c r="A43" s="634" t="s">
        <v>83</v>
      </c>
      <c r="B43" s="435" t="s">
        <v>27</v>
      </c>
      <c r="C43" s="663" t="s">
        <v>30</v>
      </c>
      <c r="D43" s="663"/>
      <c r="E43" s="435">
        <v>26.18</v>
      </c>
      <c r="F43" s="434">
        <v>3896</v>
      </c>
      <c r="G43" s="427">
        <f t="shared" si="27"/>
        <v>101997.28</v>
      </c>
      <c r="H43" s="436" t="s">
        <v>5</v>
      </c>
      <c r="I43" s="429">
        <v>18</v>
      </c>
      <c r="J43" s="437">
        <v>2400</v>
      </c>
      <c r="K43" s="13">
        <f t="shared" si="1"/>
        <v>133.33333333333334</v>
      </c>
      <c r="L43" s="429">
        <v>18</v>
      </c>
      <c r="M43" s="14">
        <f t="shared" si="28"/>
        <v>2291.7647058823536</v>
      </c>
      <c r="N43" s="13">
        <f t="shared" si="3"/>
        <v>127.32026143790853</v>
      </c>
      <c r="O43" s="15">
        <f t="shared" si="4"/>
        <v>0</v>
      </c>
      <c r="P43" s="16">
        <f t="shared" si="5"/>
        <v>-6.0130718954248152</v>
      </c>
      <c r="Q43" s="428">
        <f t="shared" si="6"/>
        <v>0.95490196078431389</v>
      </c>
      <c r="R43" s="619"/>
      <c r="S43" s="438">
        <v>0.57986111111111105</v>
      </c>
      <c r="T43" s="438">
        <v>0.65069444444444435</v>
      </c>
      <c r="U43" s="427">
        <f t="shared" si="30"/>
        <v>7.9999999999999716</v>
      </c>
      <c r="V43" s="430">
        <f t="shared" si="29"/>
        <v>101.99999999999996</v>
      </c>
      <c r="W43" s="17"/>
      <c r="X43" s="17"/>
      <c r="Y43" s="20"/>
      <c r="Z43" s="20"/>
      <c r="AA43" s="614"/>
      <c r="AB43" s="615"/>
      <c r="AC43" s="19"/>
      <c r="AD43" s="19"/>
      <c r="AE43" s="15">
        <f t="shared" si="8"/>
        <v>-108.23529411764639</v>
      </c>
      <c r="AF43" s="428">
        <f t="shared" si="9"/>
        <v>0.954901960784314</v>
      </c>
      <c r="AG43" s="619"/>
    </row>
    <row r="44" spans="1:33">
      <c r="A44" s="634" t="s">
        <v>2145</v>
      </c>
      <c r="B44" s="435" t="s">
        <v>27</v>
      </c>
      <c r="C44" s="663" t="s">
        <v>35</v>
      </c>
      <c r="D44" s="663"/>
      <c r="E44" s="435">
        <v>34.1</v>
      </c>
      <c r="F44" s="434">
        <v>2975</v>
      </c>
      <c r="G44" s="427">
        <f t="shared" si="27"/>
        <v>101447.5</v>
      </c>
      <c r="H44" s="436" t="s">
        <v>5</v>
      </c>
      <c r="I44" s="429">
        <v>17</v>
      </c>
      <c r="J44" s="437">
        <v>1600</v>
      </c>
      <c r="K44" s="13">
        <f t="shared" si="1"/>
        <v>94.117647058823536</v>
      </c>
      <c r="L44" s="429">
        <v>17</v>
      </c>
      <c r="M44" s="14">
        <f t="shared" si="28"/>
        <v>1525.641025641025</v>
      </c>
      <c r="N44" s="13">
        <f t="shared" si="3"/>
        <v>89.743589743589709</v>
      </c>
      <c r="O44" s="15">
        <f t="shared" si="4"/>
        <v>0</v>
      </c>
      <c r="P44" s="16">
        <f t="shared" si="5"/>
        <v>-4.3740573152338271</v>
      </c>
      <c r="Q44" s="428">
        <f t="shared" si="6"/>
        <v>0.95352564102564064</v>
      </c>
      <c r="R44" s="619"/>
      <c r="S44" s="438">
        <v>0.65486111111111101</v>
      </c>
      <c r="T44" s="438">
        <v>0.73611111111111105</v>
      </c>
      <c r="U44" s="427">
        <f t="shared" si="30"/>
        <v>5.9999999999999787</v>
      </c>
      <c r="V44" s="430">
        <f t="shared" si="29"/>
        <v>117.00000000000006</v>
      </c>
      <c r="W44" s="17"/>
      <c r="X44" s="17"/>
      <c r="Y44" s="20"/>
      <c r="Z44" s="20"/>
      <c r="AA44" s="614"/>
      <c r="AB44" s="615"/>
      <c r="AC44" s="19"/>
      <c r="AD44" s="19"/>
      <c r="AE44" s="15">
        <f t="shared" si="8"/>
        <v>-74.358974358975047</v>
      </c>
      <c r="AF44" s="428">
        <f t="shared" si="9"/>
        <v>0.95352564102564064</v>
      </c>
      <c r="AG44" s="619"/>
    </row>
    <row r="45" spans="1:33">
      <c r="A45" s="634" t="s">
        <v>2145</v>
      </c>
      <c r="B45" s="440" t="s">
        <v>2146</v>
      </c>
      <c r="C45" s="668"/>
      <c r="D45" s="668"/>
      <c r="E45" s="439"/>
      <c r="F45" s="440"/>
      <c r="G45" s="13"/>
      <c r="H45" s="434"/>
      <c r="I45" s="23">
        <v>17.5</v>
      </c>
      <c r="J45" s="437">
        <v>2200</v>
      </c>
      <c r="K45" s="13">
        <f t="shared" si="1"/>
        <v>125.71428571428571</v>
      </c>
      <c r="L45" s="23">
        <v>17.5</v>
      </c>
      <c r="M45" s="14">
        <f>AVERAGE(M37:M44)</f>
        <v>2107.0467898467532</v>
      </c>
      <c r="N45" s="13">
        <f t="shared" si="3"/>
        <v>120.40267370552876</v>
      </c>
      <c r="O45" s="15">
        <f t="shared" si="4"/>
        <v>0</v>
      </c>
      <c r="P45" s="16">
        <f t="shared" si="5"/>
        <v>-5.3116120087569527</v>
      </c>
      <c r="Q45" s="428">
        <f t="shared" si="6"/>
        <v>0.95774854083943328</v>
      </c>
      <c r="R45" s="619"/>
      <c r="S45" s="438"/>
      <c r="T45" s="438"/>
      <c r="U45" s="13"/>
      <c r="V45" s="430"/>
      <c r="W45" s="13"/>
      <c r="X45" s="13"/>
      <c r="Y45" s="24">
        <f>SUM(Y37:Y44)</f>
        <v>0</v>
      </c>
      <c r="Z45" s="24">
        <f>SUM(Z37:Z44)</f>
        <v>0</v>
      </c>
      <c r="AA45" s="609"/>
      <c r="AB45" s="609"/>
      <c r="AC45" s="24">
        <v>8</v>
      </c>
      <c r="AD45" s="24">
        <f>SUM(AD37:AD44)</f>
        <v>0</v>
      </c>
      <c r="AE45" s="15">
        <f t="shared" si="8"/>
        <v>-92.9532101532468</v>
      </c>
      <c r="AF45" s="428">
        <f t="shared" si="9"/>
        <v>0.95774854083943328</v>
      </c>
      <c r="AG45" s="619"/>
    </row>
    <row r="46" spans="1:33" ht="15.75" customHeight="1">
      <c r="A46" s="630" t="s">
        <v>198</v>
      </c>
      <c r="B46" s="435" t="s">
        <v>36</v>
      </c>
      <c r="C46" s="666" t="s">
        <v>37</v>
      </c>
      <c r="D46" s="667"/>
      <c r="E46" s="435">
        <v>21.13</v>
      </c>
      <c r="F46" s="434">
        <v>6086</v>
      </c>
      <c r="G46" s="427">
        <f t="shared" ref="G46:G48" si="31">E46*F46</f>
        <v>128597.18</v>
      </c>
      <c r="H46" s="436" t="s">
        <v>5</v>
      </c>
      <c r="I46" s="429">
        <v>10</v>
      </c>
      <c r="J46" s="437">
        <v>3000</v>
      </c>
      <c r="K46" s="13">
        <f t="shared" si="1"/>
        <v>300</v>
      </c>
      <c r="L46" s="429">
        <v>10</v>
      </c>
      <c r="M46" s="14">
        <f t="shared" ref="M46:M48" si="32">F46/V46*60</f>
        <v>2875.2755905511817</v>
      </c>
      <c r="N46" s="14">
        <f t="shared" si="3"/>
        <v>287.52755905511816</v>
      </c>
      <c r="O46" s="15">
        <f t="shared" si="4"/>
        <v>0</v>
      </c>
      <c r="P46" s="16">
        <f t="shared" si="5"/>
        <v>-12.472440944881839</v>
      </c>
      <c r="Q46" s="428">
        <f t="shared" si="6"/>
        <v>0.95842519685039385</v>
      </c>
      <c r="R46" s="625">
        <f>Q49</f>
        <v>0.95732986923931795</v>
      </c>
      <c r="S46" s="438">
        <v>0.20833333333333334</v>
      </c>
      <c r="T46" s="438">
        <v>0.29652777777777778</v>
      </c>
      <c r="U46" s="22"/>
      <c r="V46" s="430">
        <f t="shared" ref="V46:V48" si="33">(T46-S46)*24*60</f>
        <v>126.99999999999997</v>
      </c>
      <c r="W46" s="17"/>
      <c r="X46" s="17"/>
      <c r="Y46" s="20"/>
      <c r="Z46" s="20"/>
      <c r="AA46" s="614"/>
      <c r="AB46" s="615"/>
      <c r="AC46" s="19">
        <v>3</v>
      </c>
      <c r="AD46" s="19"/>
      <c r="AE46" s="15">
        <f t="shared" si="8"/>
        <v>-124.72440944881828</v>
      </c>
      <c r="AF46" s="428">
        <f t="shared" si="9"/>
        <v>0.95842519685039396</v>
      </c>
      <c r="AG46" s="625">
        <f>AF49</f>
        <v>0.95732986923931795</v>
      </c>
    </row>
    <row r="47" spans="1:33" ht="15.75" customHeight="1">
      <c r="A47" s="631" t="s">
        <v>2147</v>
      </c>
      <c r="B47" s="435" t="s">
        <v>36</v>
      </c>
      <c r="C47" s="666" t="s">
        <v>38</v>
      </c>
      <c r="D47" s="667"/>
      <c r="E47" s="435">
        <v>27.17</v>
      </c>
      <c r="F47" s="434">
        <v>7052</v>
      </c>
      <c r="G47" s="427">
        <f t="shared" si="31"/>
        <v>191602.84000000003</v>
      </c>
      <c r="H47" s="436" t="s">
        <v>5</v>
      </c>
      <c r="I47" s="429">
        <v>10</v>
      </c>
      <c r="J47" s="437">
        <v>3000</v>
      </c>
      <c r="K47" s="13">
        <f t="shared" si="1"/>
        <v>300</v>
      </c>
      <c r="L47" s="429">
        <v>10</v>
      </c>
      <c r="M47" s="14">
        <f t="shared" si="32"/>
        <v>2858.9189189189183</v>
      </c>
      <c r="N47" s="14">
        <f t="shared" si="3"/>
        <v>285.89189189189182</v>
      </c>
      <c r="O47" s="15">
        <f t="shared" si="4"/>
        <v>0</v>
      </c>
      <c r="P47" s="16">
        <f t="shared" si="5"/>
        <v>-14.108108108108183</v>
      </c>
      <c r="Q47" s="428">
        <f t="shared" si="6"/>
        <v>0.95297297297297268</v>
      </c>
      <c r="R47" s="626"/>
      <c r="S47" s="438">
        <v>0.3</v>
      </c>
      <c r="T47" s="438">
        <v>0.40277777777777779</v>
      </c>
      <c r="U47" s="427">
        <f t="shared" ref="U47:U48" si="34">(S47-T46)*24*60</f>
        <v>4.9999999999999822</v>
      </c>
      <c r="V47" s="430">
        <f t="shared" si="33"/>
        <v>148.00000000000003</v>
      </c>
      <c r="W47" s="17"/>
      <c r="X47" s="17"/>
      <c r="Y47" s="20"/>
      <c r="Z47" s="20"/>
      <c r="AA47" s="614"/>
      <c r="AB47" s="615"/>
      <c r="AC47" s="19"/>
      <c r="AD47" s="19"/>
      <c r="AE47" s="15">
        <f t="shared" si="8"/>
        <v>-141.08108108108172</v>
      </c>
      <c r="AF47" s="428">
        <f t="shared" si="9"/>
        <v>0.95297297297297279</v>
      </c>
      <c r="AG47" s="626"/>
    </row>
    <row r="48" spans="1:33" ht="15.75" customHeight="1">
      <c r="A48" s="631" t="s">
        <v>2148</v>
      </c>
      <c r="B48" s="435" t="s">
        <v>36</v>
      </c>
      <c r="C48" s="666" t="s">
        <v>1511</v>
      </c>
      <c r="D48" s="667"/>
      <c r="E48" s="435">
        <v>37.880000000000003</v>
      </c>
      <c r="F48" s="434">
        <v>2598</v>
      </c>
      <c r="G48" s="427">
        <f t="shared" si="31"/>
        <v>98412.24</v>
      </c>
      <c r="H48" s="436" t="s">
        <v>5</v>
      </c>
      <c r="I48" s="429">
        <v>13</v>
      </c>
      <c r="J48" s="437">
        <v>2000</v>
      </c>
      <c r="K48" s="13">
        <f t="shared" si="1"/>
        <v>153.84615384615384</v>
      </c>
      <c r="L48" s="429">
        <v>13</v>
      </c>
      <c r="M48" s="14">
        <f t="shared" si="32"/>
        <v>1924.4444444444437</v>
      </c>
      <c r="N48" s="14">
        <f t="shared" si="3"/>
        <v>148.03418803418796</v>
      </c>
      <c r="O48" s="15">
        <f t="shared" si="4"/>
        <v>0</v>
      </c>
      <c r="P48" s="16">
        <f t="shared" si="5"/>
        <v>-5.8119658119658766</v>
      </c>
      <c r="Q48" s="428">
        <f t="shared" si="6"/>
        <v>0.96222222222222176</v>
      </c>
      <c r="R48" s="626"/>
      <c r="S48" s="438">
        <v>0.40625</v>
      </c>
      <c r="T48" s="438">
        <v>0.46250000000000002</v>
      </c>
      <c r="U48" s="427">
        <f t="shared" si="34"/>
        <v>4.9999999999999822</v>
      </c>
      <c r="V48" s="430">
        <f t="shared" si="33"/>
        <v>81.000000000000028</v>
      </c>
      <c r="W48" s="17"/>
      <c r="X48" s="17"/>
      <c r="Y48" s="20"/>
      <c r="Z48" s="20"/>
      <c r="AA48" s="614"/>
      <c r="AB48" s="615"/>
      <c r="AC48" s="19"/>
      <c r="AD48" s="19"/>
      <c r="AE48" s="15">
        <f t="shared" si="8"/>
        <v>-75.555555555556339</v>
      </c>
      <c r="AF48" s="428">
        <f t="shared" si="9"/>
        <v>0.96222222222222187</v>
      </c>
      <c r="AG48" s="626"/>
    </row>
    <row r="49" spans="1:33" ht="15.75" customHeight="1">
      <c r="A49" s="632" t="s">
        <v>2149</v>
      </c>
      <c r="B49" s="435" t="s">
        <v>80</v>
      </c>
      <c r="C49" s="664"/>
      <c r="D49" s="665"/>
      <c r="E49" s="443"/>
      <c r="F49" s="434"/>
      <c r="G49" s="427"/>
      <c r="H49" s="434"/>
      <c r="I49" s="23">
        <v>11</v>
      </c>
      <c r="J49" s="437">
        <v>2666.6666666666665</v>
      </c>
      <c r="K49" s="13">
        <f t="shared" si="1"/>
        <v>242.42424242424241</v>
      </c>
      <c r="L49" s="23">
        <v>11</v>
      </c>
      <c r="M49" s="14">
        <f>AVERAGE(M46:M48)</f>
        <v>2552.8796513048478</v>
      </c>
      <c r="N49" s="13">
        <f t="shared" si="3"/>
        <v>232.0799683004407</v>
      </c>
      <c r="O49" s="15">
        <f t="shared" si="4"/>
        <v>0</v>
      </c>
      <c r="P49" s="16">
        <f t="shared" si="5"/>
        <v>-10.344274123801711</v>
      </c>
      <c r="Q49" s="428">
        <f t="shared" si="6"/>
        <v>0.95732986923931795</v>
      </c>
      <c r="R49" s="627"/>
      <c r="S49" s="438"/>
      <c r="T49" s="438"/>
      <c r="U49" s="427"/>
      <c r="V49" s="430"/>
      <c r="W49" s="17"/>
      <c r="X49" s="17"/>
      <c r="Y49" s="24">
        <f>SUM(Y46:Y48)</f>
        <v>0</v>
      </c>
      <c r="Z49" s="24">
        <f>SUM(Z46:Z48)</f>
        <v>0</v>
      </c>
      <c r="AA49" s="628"/>
      <c r="AB49" s="629"/>
      <c r="AC49" s="24">
        <v>3</v>
      </c>
      <c r="AD49" s="24">
        <f>SUM(AD46:AD48)</f>
        <v>0</v>
      </c>
      <c r="AE49" s="15">
        <f t="shared" si="8"/>
        <v>-113.7870153618187</v>
      </c>
      <c r="AF49" s="428">
        <f t="shared" si="9"/>
        <v>0.95732986923931795</v>
      </c>
      <c r="AG49" s="627"/>
    </row>
    <row r="50" spans="1:33" ht="15.75" customHeight="1">
      <c r="A50" s="623" t="s">
        <v>84</v>
      </c>
      <c r="B50" s="435" t="s">
        <v>10</v>
      </c>
      <c r="C50" s="663" t="s">
        <v>42</v>
      </c>
      <c r="D50" s="663"/>
      <c r="E50" s="435">
        <v>46</v>
      </c>
      <c r="F50" s="444">
        <v>1274</v>
      </c>
      <c r="G50" s="427">
        <f t="shared" ref="G50:G57" si="35">E50*F50</f>
        <v>58604</v>
      </c>
      <c r="H50" s="436" t="s">
        <v>5</v>
      </c>
      <c r="I50" s="429">
        <v>16</v>
      </c>
      <c r="J50" s="437">
        <v>2000</v>
      </c>
      <c r="K50" s="13">
        <f t="shared" si="1"/>
        <v>125</v>
      </c>
      <c r="L50" s="429">
        <v>16</v>
      </c>
      <c r="M50" s="14">
        <f t="shared" ref="M50" si="36">F50/V50*60</f>
        <v>1911.0000000000009</v>
      </c>
      <c r="N50" s="14">
        <f t="shared" si="3"/>
        <v>119.43750000000006</v>
      </c>
      <c r="O50" s="15">
        <f t="shared" si="4"/>
        <v>0</v>
      </c>
      <c r="P50" s="16">
        <f t="shared" si="5"/>
        <v>-5.5624999999999432</v>
      </c>
      <c r="Q50" s="428">
        <f t="shared" si="6"/>
        <v>0.95550000000000046</v>
      </c>
      <c r="R50" s="619">
        <f>Q58</f>
        <v>0.95692956339270352</v>
      </c>
      <c r="S50" s="438">
        <v>0.20833333333333334</v>
      </c>
      <c r="T50" s="438">
        <v>0.2361111111111111</v>
      </c>
      <c r="U50" s="22"/>
      <c r="V50" s="430">
        <f t="shared" ref="V50:V57" si="37">(T50-S50)*24*60</f>
        <v>39.999999999999979</v>
      </c>
      <c r="W50" s="17"/>
      <c r="X50" s="17"/>
      <c r="Y50" s="22"/>
      <c r="Z50" s="22"/>
      <c r="AA50" s="610"/>
      <c r="AB50" s="610"/>
      <c r="AC50" s="19">
        <v>8</v>
      </c>
      <c r="AD50" s="19"/>
      <c r="AE50" s="15">
        <f t="shared" si="8"/>
        <v>-88.999999999999091</v>
      </c>
      <c r="AF50" s="428">
        <f t="shared" si="9"/>
        <v>0.95550000000000046</v>
      </c>
      <c r="AG50" s="619">
        <f>AF58</f>
        <v>0.95692956339270352</v>
      </c>
    </row>
    <row r="51" spans="1:33" ht="15.75" customHeight="1">
      <c r="A51" s="623" t="s">
        <v>2150</v>
      </c>
      <c r="B51" s="435" t="s">
        <v>10</v>
      </c>
      <c r="C51" s="663" t="s">
        <v>43</v>
      </c>
      <c r="D51" s="663"/>
      <c r="E51" s="435">
        <v>46</v>
      </c>
      <c r="F51" s="444">
        <v>1365</v>
      </c>
      <c r="G51" s="427">
        <f t="shared" si="35"/>
        <v>62790</v>
      </c>
      <c r="H51" s="436" t="s">
        <v>5</v>
      </c>
      <c r="I51" s="429">
        <v>17</v>
      </c>
      <c r="J51" s="437">
        <v>2000</v>
      </c>
      <c r="K51" s="13">
        <f t="shared" si="1"/>
        <v>117.64705882352941</v>
      </c>
      <c r="L51" s="429">
        <v>17</v>
      </c>
      <c r="M51" s="14">
        <f>F51/V51*60</f>
        <v>1904.6511627906993</v>
      </c>
      <c r="N51" s="14">
        <f t="shared" si="3"/>
        <v>112.03830369357055</v>
      </c>
      <c r="O51" s="15">
        <f t="shared" si="4"/>
        <v>0</v>
      </c>
      <c r="P51" s="16">
        <f t="shared" si="5"/>
        <v>-5.6087551299588512</v>
      </c>
      <c r="Q51" s="428">
        <f t="shared" si="6"/>
        <v>0.95232558139534973</v>
      </c>
      <c r="R51" s="619"/>
      <c r="S51" s="438">
        <v>0.24166666666666667</v>
      </c>
      <c r="T51" s="438">
        <v>0.27152777777777776</v>
      </c>
      <c r="U51" s="427">
        <f t="shared" ref="U51:U57" si="38">IF(S51=TIME(17,0,0),"",(S51-T50)*24*60)</f>
        <v>8.0000000000000107</v>
      </c>
      <c r="V51" s="430">
        <f t="shared" si="37"/>
        <v>42.999999999999964</v>
      </c>
      <c r="W51" s="17"/>
      <c r="X51" s="17"/>
      <c r="Y51" s="17"/>
      <c r="Z51" s="17"/>
      <c r="AA51" s="610"/>
      <c r="AB51" s="610"/>
      <c r="AC51" s="19"/>
      <c r="AD51" s="19"/>
      <c r="AE51" s="15">
        <f t="shared" si="8"/>
        <v>-95.348837209300655</v>
      </c>
      <c r="AF51" s="428">
        <f t="shared" si="9"/>
        <v>0.95232558139534962</v>
      </c>
      <c r="AG51" s="619"/>
    </row>
    <row r="52" spans="1:33" ht="15.75" customHeight="1">
      <c r="A52" s="623" t="s">
        <v>2150</v>
      </c>
      <c r="B52" s="435" t="s">
        <v>6</v>
      </c>
      <c r="C52" s="666" t="s">
        <v>41</v>
      </c>
      <c r="D52" s="667"/>
      <c r="E52" s="435">
        <v>51.44</v>
      </c>
      <c r="F52" s="444">
        <v>1542</v>
      </c>
      <c r="G52" s="427">
        <f t="shared" si="35"/>
        <v>79320.479999999996</v>
      </c>
      <c r="H52" s="436" t="s">
        <v>5</v>
      </c>
      <c r="I52" s="429">
        <v>25</v>
      </c>
      <c r="J52" s="437">
        <v>2000</v>
      </c>
      <c r="K52" s="13">
        <f t="shared" si="1"/>
        <v>80</v>
      </c>
      <c r="L52" s="429">
        <v>25</v>
      </c>
      <c r="M52" s="14">
        <f t="shared" ref="M52:M57" si="39">F52/V52*60</f>
        <v>1927.5000000000005</v>
      </c>
      <c r="N52" s="14">
        <f t="shared" si="3"/>
        <v>77.100000000000023</v>
      </c>
      <c r="O52" s="15">
        <f t="shared" si="4"/>
        <v>0</v>
      </c>
      <c r="P52" s="16">
        <f t="shared" si="5"/>
        <v>-2.8999999999999773</v>
      </c>
      <c r="Q52" s="428">
        <f t="shared" si="6"/>
        <v>0.96375000000000033</v>
      </c>
      <c r="R52" s="619"/>
      <c r="S52" s="438">
        <v>0.27569444444444441</v>
      </c>
      <c r="T52" s="438">
        <v>0.30902777777777773</v>
      </c>
      <c r="U52" s="427">
        <f t="shared" si="38"/>
        <v>5.9999999999999787</v>
      </c>
      <c r="V52" s="430">
        <f t="shared" si="37"/>
        <v>47.999999999999986</v>
      </c>
      <c r="W52" s="17"/>
      <c r="X52" s="17"/>
      <c r="Y52" s="20"/>
      <c r="Z52" s="20"/>
      <c r="AA52" s="610"/>
      <c r="AB52" s="610"/>
      <c r="AC52" s="19"/>
      <c r="AD52" s="19"/>
      <c r="AE52" s="15">
        <f t="shared" si="8"/>
        <v>-72.499999999999545</v>
      </c>
      <c r="AF52" s="428">
        <f t="shared" si="9"/>
        <v>0.96375000000000022</v>
      </c>
      <c r="AG52" s="619"/>
    </row>
    <row r="53" spans="1:33" ht="15.75" customHeight="1">
      <c r="A53" s="623" t="s">
        <v>2151</v>
      </c>
      <c r="B53" s="435" t="s">
        <v>6</v>
      </c>
      <c r="C53" s="445" t="s">
        <v>77</v>
      </c>
      <c r="D53" s="446"/>
      <c r="E53" s="435">
        <v>56.43</v>
      </c>
      <c r="F53" s="444">
        <v>1086</v>
      </c>
      <c r="G53" s="427">
        <f t="shared" si="35"/>
        <v>61282.98</v>
      </c>
      <c r="H53" s="436" t="s">
        <v>5</v>
      </c>
      <c r="I53" s="429">
        <v>23</v>
      </c>
      <c r="J53" s="437">
        <v>2000</v>
      </c>
      <c r="K53" s="13">
        <f t="shared" si="1"/>
        <v>86.956521739130437</v>
      </c>
      <c r="L53" s="429">
        <v>23</v>
      </c>
      <c r="M53" s="14">
        <f t="shared" si="39"/>
        <v>1916.4705882352964</v>
      </c>
      <c r="N53" s="14">
        <f t="shared" si="3"/>
        <v>83.324808184143322</v>
      </c>
      <c r="O53" s="15">
        <f t="shared" si="4"/>
        <v>0</v>
      </c>
      <c r="P53" s="16">
        <f t="shared" si="5"/>
        <v>-3.6317135549871153</v>
      </c>
      <c r="Q53" s="428">
        <f t="shared" si="6"/>
        <v>0.95823529411764818</v>
      </c>
      <c r="R53" s="619"/>
      <c r="S53" s="438">
        <v>0.31249999999999994</v>
      </c>
      <c r="T53" s="438">
        <v>0.33611111111111103</v>
      </c>
      <c r="U53" s="427">
        <f t="shared" si="38"/>
        <v>4.9999999999999822</v>
      </c>
      <c r="V53" s="430">
        <f t="shared" si="37"/>
        <v>33.999999999999957</v>
      </c>
      <c r="W53" s="17"/>
      <c r="X53" s="17"/>
      <c r="Y53" s="20"/>
      <c r="Z53" s="20"/>
      <c r="AA53" s="610"/>
      <c r="AB53" s="610"/>
      <c r="AC53" s="19"/>
      <c r="AD53" s="19"/>
      <c r="AE53" s="15">
        <f t="shared" si="8"/>
        <v>-83.529411764703582</v>
      </c>
      <c r="AF53" s="428">
        <f t="shared" si="9"/>
        <v>0.95823529411764818</v>
      </c>
      <c r="AG53" s="619"/>
    </row>
    <row r="54" spans="1:33" ht="15.75" customHeight="1">
      <c r="A54" s="623" t="s">
        <v>2150</v>
      </c>
      <c r="B54" s="435" t="s">
        <v>6</v>
      </c>
      <c r="C54" s="445" t="s">
        <v>1513</v>
      </c>
      <c r="D54" s="446"/>
      <c r="E54" s="435">
        <v>56.43</v>
      </c>
      <c r="F54" s="444">
        <v>1906</v>
      </c>
      <c r="G54" s="427">
        <f t="shared" si="35"/>
        <v>107555.58</v>
      </c>
      <c r="H54" s="436" t="s">
        <v>5</v>
      </c>
      <c r="I54" s="429">
        <v>21</v>
      </c>
      <c r="J54" s="437">
        <v>2000</v>
      </c>
      <c r="K54" s="13">
        <f t="shared" si="1"/>
        <v>95.238095238095241</v>
      </c>
      <c r="L54" s="429">
        <v>21</v>
      </c>
      <c r="M54" s="14">
        <f t="shared" si="39"/>
        <v>1905.9999999999991</v>
      </c>
      <c r="N54" s="14">
        <f t="shared" si="3"/>
        <v>90.761904761904717</v>
      </c>
      <c r="O54" s="15">
        <f t="shared" si="4"/>
        <v>0</v>
      </c>
      <c r="P54" s="16">
        <f t="shared" si="5"/>
        <v>-4.4761904761905242</v>
      </c>
      <c r="Q54" s="428">
        <f t="shared" si="6"/>
        <v>0.95299999999999951</v>
      </c>
      <c r="R54" s="619"/>
      <c r="S54" s="438">
        <v>0.33958333333333324</v>
      </c>
      <c r="T54" s="438">
        <v>0.38124999999999992</v>
      </c>
      <c r="U54" s="427">
        <f t="shared" si="38"/>
        <v>4.9999999999999822</v>
      </c>
      <c r="V54" s="430">
        <f t="shared" si="37"/>
        <v>60.000000000000028</v>
      </c>
      <c r="W54" s="17"/>
      <c r="X54" s="17"/>
      <c r="Y54" s="20"/>
      <c r="Z54" s="20"/>
      <c r="AA54" s="610"/>
      <c r="AB54" s="610"/>
      <c r="AC54" s="19"/>
      <c r="AD54" s="19"/>
      <c r="AE54" s="15">
        <f t="shared" si="8"/>
        <v>-94.000000000000909</v>
      </c>
      <c r="AF54" s="428">
        <f t="shared" si="9"/>
        <v>0.95299999999999951</v>
      </c>
      <c r="AG54" s="619"/>
    </row>
    <row r="55" spans="1:33" ht="15.75" customHeight="1">
      <c r="A55" s="623" t="s">
        <v>2150</v>
      </c>
      <c r="B55" s="435" t="s">
        <v>6</v>
      </c>
      <c r="C55" s="666" t="s">
        <v>44</v>
      </c>
      <c r="D55" s="667"/>
      <c r="E55" s="435">
        <v>55.56</v>
      </c>
      <c r="F55" s="444">
        <v>2573</v>
      </c>
      <c r="G55" s="427">
        <f t="shared" si="35"/>
        <v>142955.88</v>
      </c>
      <c r="H55" s="436" t="s">
        <v>5</v>
      </c>
      <c r="I55" s="429">
        <v>17</v>
      </c>
      <c r="J55" s="437">
        <v>2000</v>
      </c>
      <c r="K55" s="13">
        <f t="shared" si="1"/>
        <v>117.64705882352941</v>
      </c>
      <c r="L55" s="429">
        <v>17</v>
      </c>
      <c r="M55" s="14">
        <f t="shared" si="39"/>
        <v>1905.9259259259252</v>
      </c>
      <c r="N55" s="14">
        <f t="shared" si="3"/>
        <v>112.11328976034854</v>
      </c>
      <c r="O55" s="15">
        <f t="shared" si="4"/>
        <v>0</v>
      </c>
      <c r="P55" s="16">
        <f t="shared" si="5"/>
        <v>-5.5337690631808698</v>
      </c>
      <c r="Q55" s="428">
        <f t="shared" si="6"/>
        <v>0.95296296296296257</v>
      </c>
      <c r="R55" s="619"/>
      <c r="S55" s="438">
        <v>0.70833333333333337</v>
      </c>
      <c r="T55" s="438">
        <v>0.76458333333333339</v>
      </c>
      <c r="U55" s="427" t="str">
        <f t="shared" si="38"/>
        <v/>
      </c>
      <c r="V55" s="430">
        <f t="shared" si="37"/>
        <v>81.000000000000028</v>
      </c>
      <c r="W55" s="17"/>
      <c r="X55" s="17"/>
      <c r="Y55" s="20"/>
      <c r="Z55" s="20"/>
      <c r="AA55" s="614"/>
      <c r="AB55" s="615"/>
      <c r="AC55" s="19"/>
      <c r="AD55" s="19"/>
      <c r="AE55" s="15">
        <f t="shared" si="8"/>
        <v>-94.074074074074815</v>
      </c>
      <c r="AF55" s="428">
        <f t="shared" si="9"/>
        <v>0.95296296296296257</v>
      </c>
      <c r="AG55" s="619"/>
    </row>
    <row r="56" spans="1:33" ht="15.75" customHeight="1">
      <c r="A56" s="623" t="s">
        <v>2151</v>
      </c>
      <c r="B56" s="435" t="s">
        <v>6</v>
      </c>
      <c r="C56" s="666" t="s">
        <v>72</v>
      </c>
      <c r="D56" s="667"/>
      <c r="E56" s="435">
        <v>58.17</v>
      </c>
      <c r="F56" s="444">
        <v>1844</v>
      </c>
      <c r="G56" s="427">
        <f t="shared" si="35"/>
        <v>107265.48</v>
      </c>
      <c r="H56" s="436" t="s">
        <v>5</v>
      </c>
      <c r="I56" s="429">
        <v>13</v>
      </c>
      <c r="J56" s="437">
        <v>2000</v>
      </c>
      <c r="K56" s="13">
        <f t="shared" si="1"/>
        <v>153.84615384615384</v>
      </c>
      <c r="L56" s="429">
        <v>13</v>
      </c>
      <c r="M56" s="14">
        <f t="shared" si="39"/>
        <v>1907.5862068965532</v>
      </c>
      <c r="N56" s="14">
        <f t="shared" si="3"/>
        <v>146.73740053050409</v>
      </c>
      <c r="O56" s="15">
        <f t="shared" si="4"/>
        <v>0</v>
      </c>
      <c r="P56" s="16">
        <f t="shared" si="5"/>
        <v>-7.10875331564975</v>
      </c>
      <c r="Q56" s="428">
        <f t="shared" si="6"/>
        <v>0.95379310344827661</v>
      </c>
      <c r="R56" s="619"/>
      <c r="S56" s="438">
        <v>0.76875000000000004</v>
      </c>
      <c r="T56" s="438">
        <v>0.80902777777777779</v>
      </c>
      <c r="U56" s="427">
        <f t="shared" si="38"/>
        <v>5.9999999999999787</v>
      </c>
      <c r="V56" s="430">
        <f t="shared" si="37"/>
        <v>57.999999999999957</v>
      </c>
      <c r="W56" s="17"/>
      <c r="X56" s="17"/>
      <c r="Y56" s="20"/>
      <c r="Z56" s="20"/>
      <c r="AA56" s="614"/>
      <c r="AB56" s="615"/>
      <c r="AC56" s="19"/>
      <c r="AD56" s="19"/>
      <c r="AE56" s="15">
        <f t="shared" si="8"/>
        <v>-92.413793103446778</v>
      </c>
      <c r="AF56" s="428">
        <f t="shared" si="9"/>
        <v>0.95379310344827661</v>
      </c>
      <c r="AG56" s="619"/>
    </row>
    <row r="57" spans="1:33" ht="15.75" customHeight="1">
      <c r="A57" s="623" t="s">
        <v>2152</v>
      </c>
      <c r="B57" s="435" t="s">
        <v>6</v>
      </c>
      <c r="C57" s="666" t="s">
        <v>82</v>
      </c>
      <c r="D57" s="667"/>
      <c r="E57" s="435">
        <v>54.09</v>
      </c>
      <c r="F57" s="444">
        <v>1481</v>
      </c>
      <c r="G57" s="427">
        <f t="shared" si="35"/>
        <v>80107.290000000008</v>
      </c>
      <c r="H57" s="436" t="s">
        <v>5</v>
      </c>
      <c r="I57" s="429">
        <v>14</v>
      </c>
      <c r="J57" s="437">
        <v>2000</v>
      </c>
      <c r="K57" s="13">
        <f t="shared" si="1"/>
        <v>142.85714285714286</v>
      </c>
      <c r="L57" s="429">
        <v>14</v>
      </c>
      <c r="M57" s="14">
        <f t="shared" si="39"/>
        <v>1931.7391304347827</v>
      </c>
      <c r="N57" s="14">
        <f t="shared" si="3"/>
        <v>137.98136645962734</v>
      </c>
      <c r="O57" s="15">
        <f t="shared" si="4"/>
        <v>0</v>
      </c>
      <c r="P57" s="16">
        <f t="shared" si="5"/>
        <v>-4.8757763975155228</v>
      </c>
      <c r="Q57" s="428">
        <f t="shared" si="6"/>
        <v>0.96586956521739131</v>
      </c>
      <c r="R57" s="619"/>
      <c r="S57" s="438">
        <v>0.81388888888888888</v>
      </c>
      <c r="T57" s="438">
        <v>0.84583333333333333</v>
      </c>
      <c r="U57" s="427">
        <f t="shared" si="38"/>
        <v>6.9999999999999751</v>
      </c>
      <c r="V57" s="430">
        <f t="shared" si="37"/>
        <v>46</v>
      </c>
      <c r="W57" s="17"/>
      <c r="X57" s="17"/>
      <c r="Y57" s="20"/>
      <c r="Z57" s="20"/>
      <c r="AA57" s="614"/>
      <c r="AB57" s="615"/>
      <c r="AC57" s="19"/>
      <c r="AD57" s="19"/>
      <c r="AE57" s="15">
        <f t="shared" si="8"/>
        <v>-68.260869565217263</v>
      </c>
      <c r="AF57" s="428">
        <f t="shared" si="9"/>
        <v>0.96586956521739142</v>
      </c>
      <c r="AG57" s="619"/>
    </row>
    <row r="58" spans="1:33">
      <c r="A58" s="624" t="s">
        <v>2151</v>
      </c>
      <c r="B58" s="435" t="s">
        <v>2153</v>
      </c>
      <c r="C58" s="668"/>
      <c r="D58" s="668"/>
      <c r="E58" s="439"/>
      <c r="F58" s="440"/>
      <c r="G58" s="13"/>
      <c r="H58" s="434"/>
      <c r="I58" s="23">
        <v>18.25</v>
      </c>
      <c r="J58" s="437">
        <v>2000</v>
      </c>
      <c r="K58" s="13">
        <f t="shared" si="1"/>
        <v>109.58904109589041</v>
      </c>
      <c r="L58" s="23">
        <v>18.25</v>
      </c>
      <c r="M58" s="14">
        <f>AVERAGE(M50:M57)</f>
        <v>1913.8591267854069</v>
      </c>
      <c r="N58" s="13">
        <f t="shared" si="3"/>
        <v>104.86899324851545</v>
      </c>
      <c r="O58" s="15">
        <f t="shared" si="4"/>
        <v>0</v>
      </c>
      <c r="P58" s="16">
        <f t="shared" si="5"/>
        <v>-4.720047847374957</v>
      </c>
      <c r="Q58" s="428">
        <f t="shared" si="6"/>
        <v>0.95692956339270352</v>
      </c>
      <c r="R58" s="619"/>
      <c r="S58" s="438"/>
      <c r="T58" s="438"/>
      <c r="U58" s="427"/>
      <c r="V58" s="430"/>
      <c r="W58" s="13"/>
      <c r="X58" s="13"/>
      <c r="Y58" s="24">
        <f>SUM(Y50:Y57)</f>
        <v>0</v>
      </c>
      <c r="Z58" s="24">
        <f>SUM(Z50:Z57)</f>
        <v>0</v>
      </c>
      <c r="AA58" s="609"/>
      <c r="AB58" s="609"/>
      <c r="AC58" s="24">
        <v>8</v>
      </c>
      <c r="AD58" s="24">
        <f>SUM(AD50:AD57)</f>
        <v>0</v>
      </c>
      <c r="AE58" s="15">
        <f>M58-J58</f>
        <v>-86.140873214593057</v>
      </c>
      <c r="AF58" s="428">
        <f t="shared" si="9"/>
        <v>0.95692956339270352</v>
      </c>
      <c r="AG58" s="619"/>
    </row>
    <row r="59" spans="1:33" ht="15.75" customHeight="1">
      <c r="A59" s="621" t="s">
        <v>2154</v>
      </c>
      <c r="B59" s="434" t="s">
        <v>36</v>
      </c>
      <c r="C59" s="663" t="s">
        <v>46</v>
      </c>
      <c r="D59" s="663"/>
      <c r="E59" s="435">
        <v>35.119999999999997</v>
      </c>
      <c r="F59" s="444">
        <v>5544</v>
      </c>
      <c r="G59" s="427">
        <f t="shared" ref="G59:G63" si="40">E59*F59</f>
        <v>194705.28</v>
      </c>
      <c r="H59" s="436" t="s">
        <v>5</v>
      </c>
      <c r="I59" s="429">
        <v>10</v>
      </c>
      <c r="J59" s="437">
        <v>3000</v>
      </c>
      <c r="K59" s="13">
        <f t="shared" si="1"/>
        <v>300</v>
      </c>
      <c r="L59" s="429">
        <v>10</v>
      </c>
      <c r="M59" s="14">
        <f t="shared" ref="M59:M63" si="41">F59/V59*60</f>
        <v>2867.5862068965512</v>
      </c>
      <c r="N59" s="13">
        <f t="shared" si="3"/>
        <v>286.75862068965512</v>
      </c>
      <c r="O59" s="15">
        <f t="shared" si="4"/>
        <v>0</v>
      </c>
      <c r="P59" s="16">
        <f t="shared" si="5"/>
        <v>-13.241379310344882</v>
      </c>
      <c r="Q59" s="428">
        <f t="shared" si="6"/>
        <v>0.95586206896551706</v>
      </c>
      <c r="R59" s="619">
        <f>Q64</f>
        <v>0.96255133448545693</v>
      </c>
      <c r="S59" s="438">
        <v>0.20833333333333334</v>
      </c>
      <c r="T59" s="438">
        <v>0.28888888888888892</v>
      </c>
      <c r="U59" s="427"/>
      <c r="V59" s="430">
        <f t="shared" ref="V59:V63" si="42">(T59-S59)*24*60</f>
        <v>116.00000000000003</v>
      </c>
      <c r="W59" s="17"/>
      <c r="X59" s="17"/>
      <c r="Y59" s="22"/>
      <c r="Z59" s="22"/>
      <c r="AA59" s="610"/>
      <c r="AB59" s="610"/>
      <c r="AC59" s="19">
        <v>5</v>
      </c>
      <c r="AD59" s="19"/>
      <c r="AE59" s="15">
        <f t="shared" ref="AE59:AE75" si="43">M59-J59</f>
        <v>-132.41379310344882</v>
      </c>
      <c r="AF59" s="428">
        <f t="shared" si="9"/>
        <v>0.95586206896551706</v>
      </c>
      <c r="AG59" s="619">
        <f>AF64</f>
        <v>0.96255133448545693</v>
      </c>
    </row>
    <row r="60" spans="1:33" ht="15.75" customHeight="1">
      <c r="A60" s="621" t="s">
        <v>2155</v>
      </c>
      <c r="B60" s="434" t="s">
        <v>36</v>
      </c>
      <c r="C60" s="663" t="s">
        <v>47</v>
      </c>
      <c r="D60" s="663"/>
      <c r="E60" s="435">
        <v>26.78</v>
      </c>
      <c r="F60" s="444">
        <v>2579</v>
      </c>
      <c r="G60" s="427">
        <f t="shared" si="40"/>
        <v>69065.62000000001</v>
      </c>
      <c r="H60" s="436" t="s">
        <v>5</v>
      </c>
      <c r="I60" s="429">
        <v>10</v>
      </c>
      <c r="J60" s="437">
        <v>3000</v>
      </c>
      <c r="K60" s="13">
        <f t="shared" si="1"/>
        <v>300</v>
      </c>
      <c r="L60" s="429">
        <v>10</v>
      </c>
      <c r="M60" s="14">
        <f t="shared" si="41"/>
        <v>2865.5555555555575</v>
      </c>
      <c r="N60" s="13">
        <f t="shared" si="3"/>
        <v>286.55555555555577</v>
      </c>
      <c r="O60" s="15">
        <f t="shared" si="4"/>
        <v>0</v>
      </c>
      <c r="P60" s="16">
        <f t="shared" si="5"/>
        <v>-13.44444444444423</v>
      </c>
      <c r="Q60" s="428">
        <f t="shared" si="6"/>
        <v>0.95518518518518591</v>
      </c>
      <c r="R60" s="619"/>
      <c r="S60" s="438">
        <v>0.29236111111111113</v>
      </c>
      <c r="T60" s="438">
        <v>0.3298611111111111</v>
      </c>
      <c r="U60" s="427">
        <f t="shared" ref="U60:U63" si="44">(S60-T59)*24*60</f>
        <v>4.9999999999999822</v>
      </c>
      <c r="V60" s="430">
        <f t="shared" si="42"/>
        <v>53.999999999999972</v>
      </c>
      <c r="W60" s="427"/>
      <c r="X60" s="427"/>
      <c r="Y60" s="427"/>
      <c r="Z60" s="427"/>
      <c r="AA60" s="610"/>
      <c r="AB60" s="610"/>
      <c r="AC60" s="19"/>
      <c r="AD60" s="19"/>
      <c r="AE60" s="15">
        <f t="shared" si="43"/>
        <v>-134.44444444444252</v>
      </c>
      <c r="AF60" s="428">
        <f t="shared" si="9"/>
        <v>0.9551851851851858</v>
      </c>
      <c r="AG60" s="619"/>
    </row>
    <row r="61" spans="1:33" ht="15.75" customHeight="1">
      <c r="A61" s="621" t="s">
        <v>2156</v>
      </c>
      <c r="B61" s="434" t="s">
        <v>36</v>
      </c>
      <c r="C61" s="663" t="s">
        <v>49</v>
      </c>
      <c r="D61" s="663"/>
      <c r="E61" s="435">
        <v>35.869999999999997</v>
      </c>
      <c r="F61" s="444">
        <v>3029</v>
      </c>
      <c r="G61" s="427">
        <f t="shared" si="40"/>
        <v>108650.23</v>
      </c>
      <c r="H61" s="436" t="s">
        <v>5</v>
      </c>
      <c r="I61" s="429">
        <v>10</v>
      </c>
      <c r="J61" s="437">
        <v>3000</v>
      </c>
      <c r="K61" s="13">
        <f t="shared" si="1"/>
        <v>300</v>
      </c>
      <c r="L61" s="429">
        <v>10</v>
      </c>
      <c r="M61" s="14">
        <f t="shared" si="41"/>
        <v>2884.7619047619041</v>
      </c>
      <c r="N61" s="13">
        <f t="shared" si="3"/>
        <v>288.47619047619042</v>
      </c>
      <c r="O61" s="15">
        <f t="shared" si="4"/>
        <v>0</v>
      </c>
      <c r="P61" s="16">
        <f t="shared" si="5"/>
        <v>-11.523809523809575</v>
      </c>
      <c r="Q61" s="428">
        <f t="shared" si="6"/>
        <v>0.96158730158730144</v>
      </c>
      <c r="R61" s="619"/>
      <c r="S61" s="438">
        <v>0.3347222222222222</v>
      </c>
      <c r="T61" s="438">
        <v>0.37847222222222221</v>
      </c>
      <c r="U61" s="427">
        <f t="shared" si="44"/>
        <v>6.9999999999999751</v>
      </c>
      <c r="V61" s="430">
        <f t="shared" si="42"/>
        <v>63.000000000000014</v>
      </c>
      <c r="W61" s="427"/>
      <c r="X61" s="427"/>
      <c r="Y61" s="427"/>
      <c r="Z61" s="427"/>
      <c r="AA61" s="610"/>
      <c r="AB61" s="610"/>
      <c r="AC61" s="19"/>
      <c r="AD61" s="19"/>
      <c r="AE61" s="15">
        <f t="shared" si="43"/>
        <v>-115.23809523809587</v>
      </c>
      <c r="AF61" s="428">
        <f t="shared" si="9"/>
        <v>0.96158730158730132</v>
      </c>
      <c r="AG61" s="619"/>
    </row>
    <row r="62" spans="1:33" ht="15.75" customHeight="1">
      <c r="A62" s="621" t="s">
        <v>2157</v>
      </c>
      <c r="B62" s="434" t="s">
        <v>36</v>
      </c>
      <c r="C62" s="663" t="s">
        <v>39</v>
      </c>
      <c r="D62" s="663"/>
      <c r="E62" s="435">
        <v>35.869999999999997</v>
      </c>
      <c r="F62" s="444">
        <v>1087</v>
      </c>
      <c r="G62" s="427">
        <f t="shared" si="40"/>
        <v>38990.689999999995</v>
      </c>
      <c r="H62" s="436" t="s">
        <v>5</v>
      </c>
      <c r="I62" s="429">
        <v>9</v>
      </c>
      <c r="J62" s="437">
        <v>3000</v>
      </c>
      <c r="K62" s="13">
        <f t="shared" si="1"/>
        <v>333.33333333333331</v>
      </c>
      <c r="L62" s="429">
        <v>9</v>
      </c>
      <c r="M62" s="14">
        <f t="shared" si="41"/>
        <v>2964.5454545454545</v>
      </c>
      <c r="N62" s="13">
        <f t="shared" si="3"/>
        <v>329.39393939393938</v>
      </c>
      <c r="O62" s="15">
        <f t="shared" si="4"/>
        <v>0</v>
      </c>
      <c r="P62" s="16">
        <f t="shared" si="5"/>
        <v>-3.9393939393939377</v>
      </c>
      <c r="Q62" s="428">
        <f t="shared" si="6"/>
        <v>0.98818181818181816</v>
      </c>
      <c r="R62" s="619"/>
      <c r="S62" s="438">
        <v>0.3833333333333333</v>
      </c>
      <c r="T62" s="438">
        <v>0.39861111111111108</v>
      </c>
      <c r="U62" s="427">
        <f t="shared" si="44"/>
        <v>6.9999999999999751</v>
      </c>
      <c r="V62" s="430">
        <f t="shared" si="42"/>
        <v>22</v>
      </c>
      <c r="W62" s="427"/>
      <c r="X62" s="427"/>
      <c r="Y62" s="427"/>
      <c r="Z62" s="427"/>
      <c r="AA62" s="610"/>
      <c r="AB62" s="610"/>
      <c r="AC62" s="19"/>
      <c r="AD62" s="19"/>
      <c r="AE62" s="15">
        <f t="shared" si="43"/>
        <v>-35.454545454545496</v>
      </c>
      <c r="AF62" s="428">
        <f t="shared" si="9"/>
        <v>0.98818181818181816</v>
      </c>
      <c r="AG62" s="619"/>
    </row>
    <row r="63" spans="1:33">
      <c r="A63" s="622" t="s">
        <v>2154</v>
      </c>
      <c r="B63" s="434" t="s">
        <v>36</v>
      </c>
      <c r="C63" s="663" t="s">
        <v>74</v>
      </c>
      <c r="D63" s="663"/>
      <c r="E63" s="435">
        <v>33.770000000000003</v>
      </c>
      <c r="F63" s="444">
        <v>3189</v>
      </c>
      <c r="G63" s="427">
        <f t="shared" si="40"/>
        <v>107692.53000000001</v>
      </c>
      <c r="H63" s="436" t="s">
        <v>5</v>
      </c>
      <c r="I63" s="429">
        <v>12</v>
      </c>
      <c r="J63" s="437">
        <v>3000</v>
      </c>
      <c r="K63" s="13">
        <f t="shared" si="1"/>
        <v>250</v>
      </c>
      <c r="L63" s="429">
        <v>12</v>
      </c>
      <c r="M63" s="14">
        <f t="shared" si="41"/>
        <v>2855.8208955223881</v>
      </c>
      <c r="N63" s="13">
        <f t="shared" si="3"/>
        <v>237.98507462686567</v>
      </c>
      <c r="O63" s="15">
        <f t="shared" si="4"/>
        <v>0</v>
      </c>
      <c r="P63" s="16">
        <f t="shared" si="5"/>
        <v>-12.014925373134332</v>
      </c>
      <c r="Q63" s="428">
        <f t="shared" si="6"/>
        <v>0.95194029850746265</v>
      </c>
      <c r="R63" s="619"/>
      <c r="S63" s="438">
        <v>0.40208333333333329</v>
      </c>
      <c r="T63" s="438">
        <v>0.44861111111111107</v>
      </c>
      <c r="U63" s="427">
        <f t="shared" si="44"/>
        <v>4.9999999999999822</v>
      </c>
      <c r="V63" s="430">
        <f t="shared" si="42"/>
        <v>67</v>
      </c>
      <c r="W63" s="17"/>
      <c r="X63" s="17"/>
      <c r="Y63" s="17"/>
      <c r="Z63" s="17"/>
      <c r="AA63" s="610"/>
      <c r="AB63" s="610"/>
      <c r="AC63" s="19"/>
      <c r="AD63" s="19"/>
      <c r="AE63" s="15">
        <f t="shared" si="43"/>
        <v>-144.17910447761187</v>
      </c>
      <c r="AF63" s="428">
        <f t="shared" si="9"/>
        <v>0.95194029850746276</v>
      </c>
      <c r="AG63" s="619"/>
    </row>
    <row r="64" spans="1:33">
      <c r="A64" s="622" t="s">
        <v>2154</v>
      </c>
      <c r="B64" s="435" t="s">
        <v>80</v>
      </c>
      <c r="C64" s="668"/>
      <c r="D64" s="668"/>
      <c r="E64" s="439"/>
      <c r="F64" s="440"/>
      <c r="G64" s="13"/>
      <c r="H64" s="434"/>
      <c r="I64" s="23">
        <v>10.199999999999999</v>
      </c>
      <c r="J64" s="437">
        <v>3000</v>
      </c>
      <c r="K64" s="13">
        <f t="shared" si="1"/>
        <v>294.11764705882354</v>
      </c>
      <c r="L64" s="23">
        <v>10.199999999999999</v>
      </c>
      <c r="M64" s="14">
        <f>AVERAGE(M59:M63)</f>
        <v>2887.6540034563709</v>
      </c>
      <c r="N64" s="13">
        <f t="shared" si="3"/>
        <v>283.10333367219323</v>
      </c>
      <c r="O64" s="15">
        <f t="shared" si="4"/>
        <v>0</v>
      </c>
      <c r="P64" s="16">
        <f t="shared" si="5"/>
        <v>-11.014313386630306</v>
      </c>
      <c r="Q64" s="428">
        <f t="shared" si="6"/>
        <v>0.96255133448545693</v>
      </c>
      <c r="R64" s="619"/>
      <c r="S64" s="438"/>
      <c r="T64" s="438"/>
      <c r="U64" s="13"/>
      <c r="V64" s="430"/>
      <c r="W64" s="13"/>
      <c r="X64" s="13"/>
      <c r="Y64" s="24">
        <f>SUM(Y59:Y63)</f>
        <v>0</v>
      </c>
      <c r="Z64" s="24">
        <f>SUM(Z59:Z63)</f>
        <v>0</v>
      </c>
      <c r="AA64" s="609"/>
      <c r="AB64" s="609"/>
      <c r="AC64" s="24">
        <v>5</v>
      </c>
      <c r="AD64" s="24">
        <f>SUM(AD59:AD63)</f>
        <v>0</v>
      </c>
      <c r="AE64" s="15">
        <f t="shared" si="43"/>
        <v>-112.3459965436291</v>
      </c>
      <c r="AF64" s="428">
        <f t="shared" si="9"/>
        <v>0.96255133448545693</v>
      </c>
      <c r="AG64" s="619"/>
    </row>
    <row r="65" spans="1:33" ht="15.75" customHeight="1">
      <c r="A65" s="616" t="s">
        <v>2158</v>
      </c>
      <c r="B65" s="434" t="s">
        <v>27</v>
      </c>
      <c r="C65" s="663" t="s">
        <v>50</v>
      </c>
      <c r="D65" s="663"/>
      <c r="E65" s="435">
        <v>19.02</v>
      </c>
      <c r="F65" s="434">
        <v>6600</v>
      </c>
      <c r="G65" s="427">
        <f t="shared" ref="G65:G74" si="45">E65*F65</f>
        <v>125532</v>
      </c>
      <c r="H65" s="436">
        <v>2</v>
      </c>
      <c r="I65" s="429">
        <v>14</v>
      </c>
      <c r="J65" s="437">
        <v>2400</v>
      </c>
      <c r="K65" s="13">
        <f t="shared" si="1"/>
        <v>171.42857142857142</v>
      </c>
      <c r="L65" s="429">
        <v>14</v>
      </c>
      <c r="M65" s="14">
        <f t="shared" ref="M65:M74" si="46">F65/V65*60</f>
        <v>2289.0173410404623</v>
      </c>
      <c r="N65" s="13">
        <f t="shared" si="3"/>
        <v>163.50123864574729</v>
      </c>
      <c r="O65" s="15">
        <f t="shared" si="4"/>
        <v>0</v>
      </c>
      <c r="P65" s="16">
        <f t="shared" si="5"/>
        <v>-7.9273327828241236</v>
      </c>
      <c r="Q65" s="428">
        <f t="shared" si="6"/>
        <v>0.95375722543352592</v>
      </c>
      <c r="R65" s="619">
        <f>Q75</f>
        <v>0.95951819749190526</v>
      </c>
      <c r="S65" s="438">
        <v>8.3333333333333329E-2</v>
      </c>
      <c r="T65" s="438">
        <v>0.20347222222222222</v>
      </c>
      <c r="U65" s="22"/>
      <c r="V65" s="430">
        <f t="shared" ref="V65:V74" si="47">(T65-S65)*24*60</f>
        <v>173</v>
      </c>
      <c r="W65" s="17">
        <f>T65</f>
        <v>0.20347222222222222</v>
      </c>
      <c r="X65" s="17">
        <f>S66</f>
        <v>0.22291666666666665</v>
      </c>
      <c r="Y65" s="17"/>
      <c r="Z65" s="17"/>
      <c r="AA65" s="610"/>
      <c r="AB65" s="610"/>
      <c r="AC65" s="19">
        <v>10</v>
      </c>
      <c r="AD65" s="19"/>
      <c r="AE65" s="15">
        <f t="shared" si="43"/>
        <v>-110.98265895953773</v>
      </c>
      <c r="AF65" s="428">
        <f t="shared" si="9"/>
        <v>0.95375722543352592</v>
      </c>
      <c r="AG65" s="619">
        <f>AF75</f>
        <v>0.95951819749190514</v>
      </c>
    </row>
    <row r="66" spans="1:33" ht="15.75" customHeight="1">
      <c r="A66" s="617" t="s">
        <v>2159</v>
      </c>
      <c r="B66" s="434" t="s">
        <v>27</v>
      </c>
      <c r="C66" s="663" t="s">
        <v>51</v>
      </c>
      <c r="D66" s="663"/>
      <c r="E66" s="435">
        <v>20.36</v>
      </c>
      <c r="F66" s="434">
        <v>2600</v>
      </c>
      <c r="G66" s="427">
        <f t="shared" si="45"/>
        <v>52936</v>
      </c>
      <c r="H66" s="436">
        <v>2</v>
      </c>
      <c r="I66" s="429">
        <v>17</v>
      </c>
      <c r="J66" s="437">
        <v>2400</v>
      </c>
      <c r="K66" s="13">
        <f t="shared" si="1"/>
        <v>141.1764705882353</v>
      </c>
      <c r="L66" s="429">
        <v>17</v>
      </c>
      <c r="M66" s="14">
        <f t="shared" si="46"/>
        <v>2294.1176470588234</v>
      </c>
      <c r="N66" s="13">
        <f t="shared" si="3"/>
        <v>134.94809688581313</v>
      </c>
      <c r="O66" s="15">
        <f t="shared" si="4"/>
        <v>0</v>
      </c>
      <c r="P66" s="16">
        <f t="shared" si="5"/>
        <v>-6.228373702422175</v>
      </c>
      <c r="Q66" s="428">
        <f t="shared" si="6"/>
        <v>0.95588235294117629</v>
      </c>
      <c r="R66" s="619"/>
      <c r="S66" s="438">
        <v>0.22291666666666665</v>
      </c>
      <c r="T66" s="438">
        <v>0.27013888888888887</v>
      </c>
      <c r="U66" s="427">
        <f t="shared" ref="U66:U74" si="48">(S66-T65)*24*60</f>
        <v>27.999999999999979</v>
      </c>
      <c r="V66" s="430">
        <f t="shared" si="47"/>
        <v>68</v>
      </c>
      <c r="W66" s="17"/>
      <c r="X66" s="17"/>
      <c r="Y66" s="17"/>
      <c r="Z66" s="17"/>
      <c r="AA66" s="610"/>
      <c r="AB66" s="610"/>
      <c r="AC66" s="19"/>
      <c r="AD66" s="19"/>
      <c r="AE66" s="15">
        <f t="shared" si="43"/>
        <v>-105.88235294117658</v>
      </c>
      <c r="AF66" s="428">
        <f t="shared" si="9"/>
        <v>0.95588235294117641</v>
      </c>
      <c r="AG66" s="619"/>
    </row>
    <row r="67" spans="1:33" ht="15.75" customHeight="1">
      <c r="A67" s="617" t="s">
        <v>2160</v>
      </c>
      <c r="B67" s="434" t="s">
        <v>27</v>
      </c>
      <c r="C67" s="663" t="s">
        <v>876</v>
      </c>
      <c r="D67" s="663"/>
      <c r="E67" s="435">
        <v>23.8</v>
      </c>
      <c r="F67" s="434">
        <v>3215</v>
      </c>
      <c r="G67" s="427">
        <f t="shared" si="45"/>
        <v>76517</v>
      </c>
      <c r="H67" s="436" t="s">
        <v>5</v>
      </c>
      <c r="I67" s="429">
        <v>16</v>
      </c>
      <c r="J67" s="437">
        <v>2400</v>
      </c>
      <c r="K67" s="13">
        <f t="shared" si="1"/>
        <v>150</v>
      </c>
      <c r="L67" s="429">
        <v>16</v>
      </c>
      <c r="M67" s="14">
        <f t="shared" si="46"/>
        <v>2296.4285714285706</v>
      </c>
      <c r="N67" s="13">
        <f t="shared" si="3"/>
        <v>143.52678571428567</v>
      </c>
      <c r="O67" s="15">
        <f t="shared" si="4"/>
        <v>0</v>
      </c>
      <c r="P67" s="16">
        <f t="shared" si="5"/>
        <v>-6.4732142857143344</v>
      </c>
      <c r="Q67" s="428">
        <f t="shared" si="6"/>
        <v>0.9568452380952378</v>
      </c>
      <c r="R67" s="619"/>
      <c r="S67" s="438">
        <v>0.27430555555555552</v>
      </c>
      <c r="T67" s="438">
        <v>0.33263888888888887</v>
      </c>
      <c r="U67" s="427">
        <f t="shared" si="48"/>
        <v>5.9999999999999787</v>
      </c>
      <c r="V67" s="430">
        <f t="shared" si="47"/>
        <v>84.000000000000028</v>
      </c>
      <c r="W67" s="17"/>
      <c r="X67" s="17"/>
      <c r="Y67" s="17"/>
      <c r="Z67" s="17"/>
      <c r="AA67" s="610"/>
      <c r="AB67" s="610"/>
      <c r="AC67" s="19"/>
      <c r="AD67" s="19"/>
      <c r="AE67" s="15">
        <f t="shared" si="43"/>
        <v>-103.57142857142935</v>
      </c>
      <c r="AF67" s="428">
        <f t="shared" si="9"/>
        <v>0.9568452380952378</v>
      </c>
      <c r="AG67" s="619"/>
    </row>
    <row r="68" spans="1:33" ht="15.75" customHeight="1">
      <c r="A68" s="617" t="s">
        <v>2161</v>
      </c>
      <c r="B68" s="434" t="s">
        <v>27</v>
      </c>
      <c r="C68" s="663" t="s">
        <v>31</v>
      </c>
      <c r="D68" s="663"/>
      <c r="E68" s="435">
        <v>25.99</v>
      </c>
      <c r="F68" s="434">
        <v>1335</v>
      </c>
      <c r="G68" s="427">
        <f t="shared" si="45"/>
        <v>34696.65</v>
      </c>
      <c r="H68" s="436" t="s">
        <v>5</v>
      </c>
      <c r="I68" s="429">
        <v>18</v>
      </c>
      <c r="J68" s="437">
        <v>2400</v>
      </c>
      <c r="K68" s="13">
        <f t="shared" si="1"/>
        <v>133.33333333333334</v>
      </c>
      <c r="L68" s="429">
        <v>18</v>
      </c>
      <c r="M68" s="14">
        <f t="shared" si="46"/>
        <v>2288.5714285714262</v>
      </c>
      <c r="N68" s="13">
        <f t="shared" si="3"/>
        <v>127.14285714285701</v>
      </c>
      <c r="O68" s="15">
        <f t="shared" si="4"/>
        <v>0</v>
      </c>
      <c r="P68" s="16">
        <f t="shared" si="5"/>
        <v>-6.1904761904763319</v>
      </c>
      <c r="Q68" s="428">
        <f t="shared" si="6"/>
        <v>0.95357142857142752</v>
      </c>
      <c r="R68" s="619"/>
      <c r="S68" s="438">
        <v>0.33749999999999997</v>
      </c>
      <c r="T68" s="438">
        <v>0.36180555555555555</v>
      </c>
      <c r="U68" s="427">
        <f t="shared" si="48"/>
        <v>6.9999999999999751</v>
      </c>
      <c r="V68" s="430">
        <f t="shared" si="47"/>
        <v>35.000000000000036</v>
      </c>
      <c r="W68" s="17"/>
      <c r="X68" s="17"/>
      <c r="Y68" s="17"/>
      <c r="Z68" s="17"/>
      <c r="AA68" s="610"/>
      <c r="AB68" s="610"/>
      <c r="AC68" s="19"/>
      <c r="AD68" s="19"/>
      <c r="AE68" s="15">
        <f t="shared" si="43"/>
        <v>-111.42857142857383</v>
      </c>
      <c r="AF68" s="428">
        <f t="shared" si="9"/>
        <v>0.95357142857142752</v>
      </c>
      <c r="AG68" s="619"/>
    </row>
    <row r="69" spans="1:33" ht="15.75" customHeight="1">
      <c r="A69" s="617" t="s">
        <v>2158</v>
      </c>
      <c r="B69" s="434" t="s">
        <v>27</v>
      </c>
      <c r="C69" s="663" t="s">
        <v>53</v>
      </c>
      <c r="D69" s="663"/>
      <c r="E69" s="435">
        <v>28.29</v>
      </c>
      <c r="F69" s="434">
        <v>2686</v>
      </c>
      <c r="G69" s="427">
        <f t="shared" si="45"/>
        <v>75986.94</v>
      </c>
      <c r="H69" s="436" t="s">
        <v>5</v>
      </c>
      <c r="I69" s="429">
        <v>19</v>
      </c>
      <c r="J69" s="437">
        <v>2400</v>
      </c>
      <c r="K69" s="13">
        <f t="shared" ref="K69:K75" si="49">J69/I69</f>
        <v>126.31578947368421</v>
      </c>
      <c r="L69" s="429">
        <v>19</v>
      </c>
      <c r="M69" s="14">
        <f t="shared" si="46"/>
        <v>2302.2857142857147</v>
      </c>
      <c r="N69" s="13">
        <f t="shared" ref="N69:N75" si="50">M69/L69</f>
        <v>121.17293233082709</v>
      </c>
      <c r="O69" s="15">
        <f t="shared" ref="O69:O75" si="51">L69-I69</f>
        <v>0</v>
      </c>
      <c r="P69" s="16">
        <f t="shared" ref="P69:P75" si="52">N69-K69</f>
        <v>-5.1428571428571104</v>
      </c>
      <c r="Q69" s="428">
        <f t="shared" ref="Q69:Q75" si="53">N69/K69</f>
        <v>0.95928571428571452</v>
      </c>
      <c r="R69" s="619"/>
      <c r="S69" s="438">
        <v>0.36527777777777776</v>
      </c>
      <c r="T69" s="438">
        <v>0.41388888888888886</v>
      </c>
      <c r="U69" s="427">
        <f t="shared" si="48"/>
        <v>4.9999999999999822</v>
      </c>
      <c r="V69" s="430">
        <f t="shared" si="47"/>
        <v>69.999999999999986</v>
      </c>
      <c r="W69" s="17"/>
      <c r="X69" s="17"/>
      <c r="Y69" s="17"/>
      <c r="Z69" s="17"/>
      <c r="AA69" s="610"/>
      <c r="AB69" s="610"/>
      <c r="AC69" s="19"/>
      <c r="AD69" s="19"/>
      <c r="AE69" s="15">
        <f t="shared" si="43"/>
        <v>-97.714285714285325</v>
      </c>
      <c r="AF69" s="428">
        <f t="shared" ref="AF69:AF75" si="54">M69/J69</f>
        <v>0.95928571428571441</v>
      </c>
      <c r="AG69" s="619"/>
    </row>
    <row r="70" spans="1:33" ht="15.75" customHeight="1">
      <c r="A70" s="617" t="s">
        <v>200</v>
      </c>
      <c r="B70" s="434" t="s">
        <v>27</v>
      </c>
      <c r="C70" s="663" t="s">
        <v>52</v>
      </c>
      <c r="D70" s="663"/>
      <c r="E70" s="435">
        <v>25.98</v>
      </c>
      <c r="F70" s="434">
        <v>1817</v>
      </c>
      <c r="G70" s="427">
        <f t="shared" si="45"/>
        <v>47205.66</v>
      </c>
      <c r="H70" s="436" t="s">
        <v>5</v>
      </c>
      <c r="I70" s="429">
        <v>17</v>
      </c>
      <c r="J70" s="437">
        <v>2400</v>
      </c>
      <c r="K70" s="13">
        <f t="shared" si="49"/>
        <v>141.1764705882353</v>
      </c>
      <c r="L70" s="429">
        <v>17</v>
      </c>
      <c r="M70" s="14">
        <f t="shared" si="46"/>
        <v>2319.5744680851067</v>
      </c>
      <c r="N70" s="13">
        <f t="shared" si="50"/>
        <v>136.44555694618273</v>
      </c>
      <c r="O70" s="15">
        <f t="shared" si="51"/>
        <v>0</v>
      </c>
      <c r="P70" s="16">
        <f t="shared" si="52"/>
        <v>-4.7309136420525704</v>
      </c>
      <c r="Q70" s="428">
        <f t="shared" si="53"/>
        <v>0.96648936170212763</v>
      </c>
      <c r="R70" s="619"/>
      <c r="S70" s="438">
        <v>0.41805555555555551</v>
      </c>
      <c r="T70" s="438">
        <v>0.4506944444444444</v>
      </c>
      <c r="U70" s="427">
        <f t="shared" si="48"/>
        <v>5.9999999999999787</v>
      </c>
      <c r="V70" s="430">
        <f t="shared" si="47"/>
        <v>46.999999999999993</v>
      </c>
      <c r="W70" s="17"/>
      <c r="X70" s="17"/>
      <c r="Y70" s="17"/>
      <c r="Z70" s="17"/>
      <c r="AA70" s="610"/>
      <c r="AB70" s="610"/>
      <c r="AC70" s="19"/>
      <c r="AD70" s="19"/>
      <c r="AE70" s="15">
        <f t="shared" si="43"/>
        <v>-80.425531914893327</v>
      </c>
      <c r="AF70" s="428">
        <f t="shared" si="54"/>
        <v>0.96648936170212774</v>
      </c>
      <c r="AG70" s="619"/>
    </row>
    <row r="71" spans="1:33" ht="15.75" customHeight="1">
      <c r="A71" s="617" t="s">
        <v>2160</v>
      </c>
      <c r="B71" s="434" t="s">
        <v>27</v>
      </c>
      <c r="C71" s="666" t="s">
        <v>197</v>
      </c>
      <c r="D71" s="667"/>
      <c r="E71" s="435">
        <v>23.89</v>
      </c>
      <c r="F71" s="434">
        <v>2000</v>
      </c>
      <c r="G71" s="427">
        <f t="shared" si="45"/>
        <v>47780</v>
      </c>
      <c r="H71" s="436">
        <v>2</v>
      </c>
      <c r="I71" s="429">
        <v>17</v>
      </c>
      <c r="J71" s="437">
        <v>2400</v>
      </c>
      <c r="K71" s="13">
        <f t="shared" si="49"/>
        <v>141.1764705882353</v>
      </c>
      <c r="L71" s="429">
        <v>17</v>
      </c>
      <c r="M71" s="14">
        <f t="shared" si="46"/>
        <v>2307.692307692309</v>
      </c>
      <c r="N71" s="13">
        <f t="shared" si="50"/>
        <v>135.74660633484172</v>
      </c>
      <c r="O71" s="15">
        <f t="shared" si="51"/>
        <v>0</v>
      </c>
      <c r="P71" s="16">
        <f t="shared" si="52"/>
        <v>-5.429864253393589</v>
      </c>
      <c r="Q71" s="428">
        <f t="shared" si="53"/>
        <v>0.96153846153846212</v>
      </c>
      <c r="R71" s="619"/>
      <c r="S71" s="438">
        <v>0.45624999999999993</v>
      </c>
      <c r="T71" s="438">
        <v>0.49236111111111103</v>
      </c>
      <c r="U71" s="427">
        <f t="shared" si="48"/>
        <v>7.9999999999999716</v>
      </c>
      <c r="V71" s="430">
        <f t="shared" si="47"/>
        <v>51.999999999999972</v>
      </c>
      <c r="W71" s="17">
        <f>T71</f>
        <v>0.49236111111111103</v>
      </c>
      <c r="X71" s="17">
        <f>S72</f>
        <v>0.53333333333333321</v>
      </c>
      <c r="Y71" s="20"/>
      <c r="Z71" s="20"/>
      <c r="AA71" s="614"/>
      <c r="AB71" s="615"/>
      <c r="AC71" s="19"/>
      <c r="AD71" s="19"/>
      <c r="AE71" s="15">
        <f t="shared" si="43"/>
        <v>-92.307692307691013</v>
      </c>
      <c r="AF71" s="428">
        <f t="shared" si="54"/>
        <v>0.96153846153846212</v>
      </c>
      <c r="AG71" s="619"/>
    </row>
    <row r="72" spans="1:33" ht="15.75" customHeight="1">
      <c r="A72" s="617" t="s">
        <v>2161</v>
      </c>
      <c r="B72" s="434" t="s">
        <v>27</v>
      </c>
      <c r="C72" s="666" t="s">
        <v>50</v>
      </c>
      <c r="D72" s="667"/>
      <c r="E72" s="435">
        <v>19.02</v>
      </c>
      <c r="F72" s="434">
        <v>5307</v>
      </c>
      <c r="G72" s="427">
        <f t="shared" si="45"/>
        <v>100939.14</v>
      </c>
      <c r="H72" s="436" t="s">
        <v>5</v>
      </c>
      <c r="I72" s="429">
        <v>14</v>
      </c>
      <c r="J72" s="437">
        <v>2400</v>
      </c>
      <c r="K72" s="13">
        <f t="shared" si="49"/>
        <v>171.42857142857142</v>
      </c>
      <c r="L72" s="429">
        <v>14</v>
      </c>
      <c r="M72" s="14">
        <f t="shared" si="46"/>
        <v>2290.7913669064751</v>
      </c>
      <c r="N72" s="13">
        <f t="shared" si="50"/>
        <v>163.62795477903393</v>
      </c>
      <c r="O72" s="15">
        <f t="shared" si="51"/>
        <v>0</v>
      </c>
      <c r="P72" s="16">
        <f t="shared" si="52"/>
        <v>-7.8006166495374885</v>
      </c>
      <c r="Q72" s="428">
        <f t="shared" si="53"/>
        <v>0.95449640287769799</v>
      </c>
      <c r="R72" s="619"/>
      <c r="S72" s="438">
        <v>0.53333333333333321</v>
      </c>
      <c r="T72" s="438">
        <v>0.62986111111111098</v>
      </c>
      <c r="U72" s="427">
        <f t="shared" si="48"/>
        <v>58.99999999999995</v>
      </c>
      <c r="V72" s="430">
        <f t="shared" si="47"/>
        <v>139</v>
      </c>
      <c r="W72" s="17"/>
      <c r="X72" s="17"/>
      <c r="Y72" s="20"/>
      <c r="Z72" s="20"/>
      <c r="AA72" s="614"/>
      <c r="AB72" s="615"/>
      <c r="AC72" s="19"/>
      <c r="AD72" s="19"/>
      <c r="AE72" s="15">
        <f t="shared" si="43"/>
        <v>-109.2086330935249</v>
      </c>
      <c r="AF72" s="428">
        <f t="shared" si="54"/>
        <v>0.95449640287769799</v>
      </c>
      <c r="AG72" s="619"/>
    </row>
    <row r="73" spans="1:33" ht="15.75" customHeight="1">
      <c r="A73" s="617" t="s">
        <v>200</v>
      </c>
      <c r="B73" s="434" t="s">
        <v>27</v>
      </c>
      <c r="C73" s="666" t="s">
        <v>51</v>
      </c>
      <c r="D73" s="667"/>
      <c r="E73" s="435">
        <v>20.36</v>
      </c>
      <c r="F73" s="434">
        <v>1939</v>
      </c>
      <c r="G73" s="427">
        <f t="shared" si="45"/>
        <v>39478.04</v>
      </c>
      <c r="H73" s="436" t="s">
        <v>5</v>
      </c>
      <c r="I73" s="429">
        <v>17</v>
      </c>
      <c r="J73" s="437">
        <v>2400</v>
      </c>
      <c r="K73" s="13">
        <f t="shared" si="49"/>
        <v>141.1764705882353</v>
      </c>
      <c r="L73" s="429">
        <v>17</v>
      </c>
      <c r="M73" s="14">
        <f t="shared" si="46"/>
        <v>2326.8000000000006</v>
      </c>
      <c r="N73" s="13">
        <f t="shared" si="50"/>
        <v>136.87058823529415</v>
      </c>
      <c r="O73" s="15">
        <f t="shared" si="51"/>
        <v>0</v>
      </c>
      <c r="P73" s="16">
        <f t="shared" si="52"/>
        <v>-4.3058823529411541</v>
      </c>
      <c r="Q73" s="428">
        <f t="shared" si="53"/>
        <v>0.96950000000000014</v>
      </c>
      <c r="R73" s="619"/>
      <c r="S73" s="438">
        <v>0.63333333333333319</v>
      </c>
      <c r="T73" s="438">
        <v>0.6680555555555554</v>
      </c>
      <c r="U73" s="427">
        <f t="shared" si="48"/>
        <v>4.9999999999999822</v>
      </c>
      <c r="V73" s="430">
        <f t="shared" si="47"/>
        <v>49.999999999999986</v>
      </c>
      <c r="W73" s="17"/>
      <c r="X73" s="17"/>
      <c r="Y73" s="20"/>
      <c r="Z73" s="20"/>
      <c r="AA73" s="614"/>
      <c r="AB73" s="615"/>
      <c r="AC73" s="19"/>
      <c r="AD73" s="19"/>
      <c r="AE73" s="15">
        <f t="shared" si="43"/>
        <v>-73.199999999999363</v>
      </c>
      <c r="AF73" s="428">
        <f t="shared" si="54"/>
        <v>0.96950000000000025</v>
      </c>
      <c r="AG73" s="619"/>
    </row>
    <row r="74" spans="1:33" ht="15.75" customHeight="1">
      <c r="A74" s="617" t="s">
        <v>200</v>
      </c>
      <c r="B74" s="434" t="s">
        <v>27</v>
      </c>
      <c r="C74" s="666" t="s">
        <v>197</v>
      </c>
      <c r="D74" s="667"/>
      <c r="E74" s="435">
        <v>23.89</v>
      </c>
      <c r="F74" s="434">
        <v>1465</v>
      </c>
      <c r="G74" s="427">
        <f t="shared" si="45"/>
        <v>34998.85</v>
      </c>
      <c r="H74" s="436" t="s">
        <v>5</v>
      </c>
      <c r="I74" s="429">
        <v>17</v>
      </c>
      <c r="J74" s="437">
        <v>2400</v>
      </c>
      <c r="K74" s="13">
        <f t="shared" si="49"/>
        <v>141.1764705882353</v>
      </c>
      <c r="L74" s="429">
        <v>17</v>
      </c>
      <c r="M74" s="14">
        <f t="shared" si="46"/>
        <v>2313.1578947368407</v>
      </c>
      <c r="N74" s="13">
        <f t="shared" si="50"/>
        <v>136.06811145510827</v>
      </c>
      <c r="O74" s="15">
        <f t="shared" si="51"/>
        <v>0</v>
      </c>
      <c r="P74" s="16">
        <f t="shared" si="52"/>
        <v>-5.1083591331270384</v>
      </c>
      <c r="Q74" s="428">
        <f t="shared" si="53"/>
        <v>0.96381578947368352</v>
      </c>
      <c r="R74" s="619"/>
      <c r="S74" s="438">
        <v>0.67361111111111094</v>
      </c>
      <c r="T74" s="438">
        <v>0.69999999999999984</v>
      </c>
      <c r="U74" s="427">
        <f t="shared" si="48"/>
        <v>7.9999999999999716</v>
      </c>
      <c r="V74" s="430">
        <f t="shared" si="47"/>
        <v>38.000000000000028</v>
      </c>
      <c r="W74" s="17"/>
      <c r="X74" s="17"/>
      <c r="Y74" s="20"/>
      <c r="Z74" s="20"/>
      <c r="AA74" s="614"/>
      <c r="AB74" s="615"/>
      <c r="AC74" s="19"/>
      <c r="AD74" s="19"/>
      <c r="AE74" s="15">
        <f t="shared" si="43"/>
        <v>-86.842105263159283</v>
      </c>
      <c r="AF74" s="428">
        <f t="shared" si="54"/>
        <v>0.96381578947368363</v>
      </c>
      <c r="AG74" s="619"/>
    </row>
    <row r="75" spans="1:33" ht="16.5" customHeight="1">
      <c r="A75" s="618" t="s">
        <v>2160</v>
      </c>
      <c r="B75" s="435" t="s">
        <v>2153</v>
      </c>
      <c r="C75" s="664"/>
      <c r="D75" s="665"/>
      <c r="E75" s="439"/>
      <c r="F75" s="440"/>
      <c r="G75" s="13"/>
      <c r="H75" s="434"/>
      <c r="I75" s="23">
        <v>16.600000000000001</v>
      </c>
      <c r="J75" s="437">
        <v>2400</v>
      </c>
      <c r="K75" s="13">
        <f t="shared" si="49"/>
        <v>144.57831325301203</v>
      </c>
      <c r="L75" s="23">
        <v>16.600000000000001</v>
      </c>
      <c r="M75" s="14">
        <f>AVERAGE(M65:M74)</f>
        <v>2302.8436739805725</v>
      </c>
      <c r="N75" s="13">
        <f t="shared" si="50"/>
        <v>138.72552252895014</v>
      </c>
      <c r="O75" s="15">
        <f t="shared" si="51"/>
        <v>0</v>
      </c>
      <c r="P75" s="16">
        <f t="shared" si="52"/>
        <v>-5.8527907240618902</v>
      </c>
      <c r="Q75" s="428">
        <f t="shared" si="53"/>
        <v>0.95951819749190526</v>
      </c>
      <c r="R75" s="619"/>
      <c r="S75" s="438"/>
      <c r="T75" s="438"/>
      <c r="U75" s="13"/>
      <c r="V75" s="430"/>
      <c r="W75" s="13"/>
      <c r="X75" s="13"/>
      <c r="Y75" s="24">
        <f>SUM(Y65:Y74)</f>
        <v>0</v>
      </c>
      <c r="Z75" s="24">
        <f>SUM(Z65:Z74)</f>
        <v>0</v>
      </c>
      <c r="AA75" s="609"/>
      <c r="AB75" s="609"/>
      <c r="AC75" s="24">
        <v>10</v>
      </c>
      <c r="AD75" s="24">
        <f>SUM(AD65:AD74)</f>
        <v>0</v>
      </c>
      <c r="AE75" s="15">
        <f t="shared" si="43"/>
        <v>-97.156326019427524</v>
      </c>
      <c r="AF75" s="428">
        <f t="shared" si="54"/>
        <v>0.95951819749190514</v>
      </c>
      <c r="AG75" s="619"/>
    </row>
    <row r="76" spans="1:33">
      <c r="D76" s="25"/>
      <c r="E76" s="25"/>
    </row>
  </sheetData>
  <mergeCells count="19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9"/>
    <mergeCell ref="AA12:AB12"/>
    <mergeCell ref="AG12:AG19"/>
    <mergeCell ref="C16:D16"/>
    <mergeCell ref="AA16:AB16"/>
    <mergeCell ref="C19:D19"/>
    <mergeCell ref="AA19:AB19"/>
    <mergeCell ref="A20:A27"/>
    <mergeCell ref="C20:D20"/>
    <mergeCell ref="R20:R27"/>
    <mergeCell ref="AA20:AB20"/>
    <mergeCell ref="AA25:AB25"/>
    <mergeCell ref="C26:D26"/>
    <mergeCell ref="A12:A19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26:AB26"/>
    <mergeCell ref="C27:D27"/>
    <mergeCell ref="AA27:AB27"/>
    <mergeCell ref="C13:D13"/>
    <mergeCell ref="AA13:AB13"/>
    <mergeCell ref="C14:D14"/>
    <mergeCell ref="AA14:AB14"/>
    <mergeCell ref="AA45:AB45"/>
    <mergeCell ref="A28:A36"/>
    <mergeCell ref="C28:D28"/>
    <mergeCell ref="R28:R36"/>
    <mergeCell ref="AA28:AB28"/>
    <mergeCell ref="AA33:AB33"/>
    <mergeCell ref="C34:D34"/>
    <mergeCell ref="AA34:AB34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36:D36"/>
    <mergeCell ref="AA36:AB36"/>
    <mergeCell ref="A46:A49"/>
    <mergeCell ref="C46:D46"/>
    <mergeCell ref="R46:R49"/>
    <mergeCell ref="AA46:AB46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37:A45"/>
    <mergeCell ref="C37:D37"/>
    <mergeCell ref="R37:R45"/>
    <mergeCell ref="AA37:AB37"/>
    <mergeCell ref="AA42:AB42"/>
    <mergeCell ref="C43:D43"/>
    <mergeCell ref="AA43:AB43"/>
    <mergeCell ref="C44:D44"/>
    <mergeCell ref="AA44:AB44"/>
    <mergeCell ref="C45:D45"/>
    <mergeCell ref="AG46:AG49"/>
    <mergeCell ref="C47:D47"/>
    <mergeCell ref="AA47:AB47"/>
    <mergeCell ref="C48:D48"/>
    <mergeCell ref="AA48:AB48"/>
    <mergeCell ref="C49:D49"/>
    <mergeCell ref="AA49:AB49"/>
    <mergeCell ref="C58:D58"/>
    <mergeCell ref="AA58:AB58"/>
    <mergeCell ref="A65:A75"/>
    <mergeCell ref="C65:D65"/>
    <mergeCell ref="R65:R75"/>
    <mergeCell ref="AA65:AB65"/>
    <mergeCell ref="AG50:AG58"/>
    <mergeCell ref="C51:D51"/>
    <mergeCell ref="AA51:AB51"/>
    <mergeCell ref="C52:D52"/>
    <mergeCell ref="AA52:AB52"/>
    <mergeCell ref="AA53:AB53"/>
    <mergeCell ref="A59:A64"/>
    <mergeCell ref="C59:D59"/>
    <mergeCell ref="R59:R64"/>
    <mergeCell ref="AA59:AB59"/>
    <mergeCell ref="AA64:AB64"/>
    <mergeCell ref="AA54:AB54"/>
    <mergeCell ref="C55:D55"/>
    <mergeCell ref="AA55:AB55"/>
    <mergeCell ref="C56:D56"/>
    <mergeCell ref="AA56:AB56"/>
    <mergeCell ref="C57:D57"/>
    <mergeCell ref="AA57:AB57"/>
    <mergeCell ref="A50:A58"/>
    <mergeCell ref="C50:D50"/>
    <mergeCell ref="R50:R58"/>
    <mergeCell ref="AA50:AB50"/>
    <mergeCell ref="AG59:AG64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AG65:AG75"/>
    <mergeCell ref="C66:D66"/>
    <mergeCell ref="AA66:AB66"/>
    <mergeCell ref="C67:D67"/>
    <mergeCell ref="AA67:AB67"/>
    <mergeCell ref="C68:D68"/>
    <mergeCell ref="C75:D75"/>
    <mergeCell ref="AA75:AB75"/>
    <mergeCell ref="C72:D72"/>
    <mergeCell ref="AA72:AB72"/>
    <mergeCell ref="C73:D73"/>
    <mergeCell ref="AA73:AB73"/>
    <mergeCell ref="C74:D74"/>
    <mergeCell ref="AA74:AB74"/>
    <mergeCell ref="AA68:AB68"/>
    <mergeCell ref="C69:D69"/>
    <mergeCell ref="AA69:AB69"/>
    <mergeCell ref="C70:D70"/>
    <mergeCell ref="AA70:AB70"/>
    <mergeCell ref="C71:D71"/>
    <mergeCell ref="AA71:AB71"/>
  </mergeCells>
  <phoneticPr fontId="3" type="noConversion"/>
  <conditionalFormatting sqref="O62:O70 O58:O59 O75 O5:O9 O11:O13 O19:O55">
    <cfRule type="cellIs" dxfId="1805" priority="73" operator="greaterThan">
      <formula>0</formula>
    </cfRule>
  </conditionalFormatting>
  <conditionalFormatting sqref="P5:P7 P62:P63 AE62:AE63 P65:P70 P28:P35 P59 P9 P11:P13 P20:P26 P50:P55 P37:P48 AE5:AE59 AE65:AE75">
    <cfRule type="cellIs" dxfId="1804" priority="77" operator="lessThan">
      <formula>0</formula>
    </cfRule>
  </conditionalFormatting>
  <conditionalFormatting sqref="AF62:AF63 Q62:Q70 Q58:Q59 Q75 Q5:Q9 Q11:Q13 Q19:Q55 AF5:AF59 AF65:AF75">
    <cfRule type="cellIs" dxfId="1803" priority="74" operator="greaterThan">
      <formula>1</formula>
    </cfRule>
    <cfRule type="cellIs" dxfId="1802" priority="75" operator="lessThan">
      <formula>0.8</formula>
    </cfRule>
  </conditionalFormatting>
  <conditionalFormatting sqref="AG12:AG13 R12:R13 AG62 R62:R70 R19:R25 AG19:AG25 AG58:AG59 R58:R59 R75 AG5:AG9 R5:R9 AG27:AG55 R27:R55">
    <cfRule type="cellIs" dxfId="1801" priority="79" operator="lessThan">
      <formula>0.8</formula>
    </cfRule>
  </conditionalFormatting>
  <conditionalFormatting sqref="AG46">
    <cfRule type="cellIs" dxfId="1800" priority="81" operator="lessThan">
      <formula>0.8</formula>
    </cfRule>
  </conditionalFormatting>
  <conditionalFormatting sqref="AG20:AG25">
    <cfRule type="cellIs" dxfId="1799" priority="78" operator="lessThan">
      <formula>0.8</formula>
    </cfRule>
  </conditionalFormatting>
  <conditionalFormatting sqref="AG28">
    <cfRule type="cellIs" dxfId="1798" priority="80" operator="lessThan">
      <formula>0.8</formula>
    </cfRule>
  </conditionalFormatting>
  <conditionalFormatting sqref="AG37:AG44">
    <cfRule type="cellIs" dxfId="1797" priority="76" operator="lessThan">
      <formula>0.8</formula>
    </cfRule>
  </conditionalFormatting>
  <conditionalFormatting sqref="AE64">
    <cfRule type="cellIs" dxfId="1796" priority="72" operator="lessThan">
      <formula>0</formula>
    </cfRule>
  </conditionalFormatting>
  <conditionalFormatting sqref="AF64">
    <cfRule type="cellIs" dxfId="1795" priority="70" operator="greaterThan">
      <formula>1</formula>
    </cfRule>
    <cfRule type="cellIs" dxfId="1794" priority="71" operator="lessThan">
      <formula>0.8</formula>
    </cfRule>
  </conditionalFormatting>
  <conditionalFormatting sqref="O14:O15">
    <cfRule type="cellIs" dxfId="1793" priority="65" operator="greaterThan">
      <formula>0</formula>
    </cfRule>
  </conditionalFormatting>
  <conditionalFormatting sqref="P14:P15">
    <cfRule type="cellIs" dxfId="1792" priority="68" operator="lessThan">
      <formula>0</formula>
    </cfRule>
  </conditionalFormatting>
  <conditionalFormatting sqref="Q14:Q15">
    <cfRule type="cellIs" dxfId="1791" priority="66" operator="greaterThan">
      <formula>1</formula>
    </cfRule>
    <cfRule type="cellIs" dxfId="1790" priority="67" operator="lessThan">
      <formula>0.8</formula>
    </cfRule>
  </conditionalFormatting>
  <conditionalFormatting sqref="R14:R15 AG14:AG15">
    <cfRule type="cellIs" dxfId="1789" priority="69" operator="lessThan">
      <formula>0.8</formula>
    </cfRule>
  </conditionalFormatting>
  <conditionalFormatting sqref="O10">
    <cfRule type="cellIs" dxfId="1788" priority="61" operator="greaterThan">
      <formula>0</formula>
    </cfRule>
  </conditionalFormatting>
  <conditionalFormatting sqref="P10">
    <cfRule type="cellIs" dxfId="1787" priority="64" operator="lessThan">
      <formula>0</formula>
    </cfRule>
  </conditionalFormatting>
  <conditionalFormatting sqref="Q10">
    <cfRule type="cellIs" dxfId="1786" priority="62" operator="greaterThan">
      <formula>1</formula>
    </cfRule>
    <cfRule type="cellIs" dxfId="1785" priority="63" operator="lessThan">
      <formula>0.8</formula>
    </cfRule>
  </conditionalFormatting>
  <conditionalFormatting sqref="O56">
    <cfRule type="cellIs" dxfId="1784" priority="56" operator="greaterThan">
      <formula>0</formula>
    </cfRule>
  </conditionalFormatting>
  <conditionalFormatting sqref="P56">
    <cfRule type="cellIs" dxfId="1783" priority="59" operator="lessThan">
      <formula>0</formula>
    </cfRule>
  </conditionalFormatting>
  <conditionalFormatting sqref="Q56">
    <cfRule type="cellIs" dxfId="1782" priority="57" operator="greaterThan">
      <formula>1</formula>
    </cfRule>
    <cfRule type="cellIs" dxfId="1781" priority="58" operator="lessThan">
      <formula>0.8</formula>
    </cfRule>
  </conditionalFormatting>
  <conditionalFormatting sqref="R56 AG56">
    <cfRule type="cellIs" dxfId="1780" priority="60" operator="lessThan">
      <formula>0.8</formula>
    </cfRule>
  </conditionalFormatting>
  <conditionalFormatting sqref="O61">
    <cfRule type="cellIs" dxfId="1779" priority="51" operator="greaterThan">
      <formula>0</formula>
    </cfRule>
  </conditionalFormatting>
  <conditionalFormatting sqref="P61 AE61">
    <cfRule type="cellIs" dxfId="1778" priority="54" operator="lessThan">
      <formula>0</formula>
    </cfRule>
  </conditionalFormatting>
  <conditionalFormatting sqref="Q61 AF61">
    <cfRule type="cellIs" dxfId="1777" priority="52" operator="greaterThan">
      <formula>1</formula>
    </cfRule>
    <cfRule type="cellIs" dxfId="1776" priority="53" operator="lessThan">
      <formula>0.8</formula>
    </cfRule>
  </conditionalFormatting>
  <conditionalFormatting sqref="R61 AG61">
    <cfRule type="cellIs" dxfId="1775" priority="55" operator="lessThan">
      <formula>0.8</formula>
    </cfRule>
  </conditionalFormatting>
  <conditionalFormatting sqref="O71">
    <cfRule type="cellIs" dxfId="1774" priority="46" operator="greaterThan">
      <formula>0</formula>
    </cfRule>
  </conditionalFormatting>
  <conditionalFormatting sqref="P71">
    <cfRule type="cellIs" dxfId="1773" priority="49" operator="lessThan">
      <formula>0</formula>
    </cfRule>
  </conditionalFormatting>
  <conditionalFormatting sqref="Q71">
    <cfRule type="cellIs" dxfId="1772" priority="47" operator="greaterThan">
      <formula>1</formula>
    </cfRule>
    <cfRule type="cellIs" dxfId="1771" priority="48" operator="lessThan">
      <formula>0.8</formula>
    </cfRule>
  </conditionalFormatting>
  <conditionalFormatting sqref="R71">
    <cfRule type="cellIs" dxfId="1770" priority="50" operator="lessThan">
      <formula>0.8</formula>
    </cfRule>
  </conditionalFormatting>
  <conditionalFormatting sqref="O16:O17">
    <cfRule type="cellIs" dxfId="1769" priority="41" operator="greaterThan">
      <formula>0</formula>
    </cfRule>
  </conditionalFormatting>
  <conditionalFormatting sqref="P16:P17">
    <cfRule type="cellIs" dxfId="1768" priority="44" operator="lessThan">
      <formula>0</formula>
    </cfRule>
  </conditionalFormatting>
  <conditionalFormatting sqref="Q16:Q17">
    <cfRule type="cellIs" dxfId="1767" priority="42" operator="greaterThan">
      <formula>1</formula>
    </cfRule>
    <cfRule type="cellIs" dxfId="1766" priority="43" operator="lessThan">
      <formula>0.8</formula>
    </cfRule>
  </conditionalFormatting>
  <conditionalFormatting sqref="R16:R17 AG16:AG17">
    <cfRule type="cellIs" dxfId="1765" priority="45" operator="lessThan">
      <formula>0.8</formula>
    </cfRule>
  </conditionalFormatting>
  <conditionalFormatting sqref="O57">
    <cfRule type="cellIs" dxfId="1764" priority="36" operator="greaterThan">
      <formula>0</formula>
    </cfRule>
  </conditionalFormatting>
  <conditionalFormatting sqref="P57">
    <cfRule type="cellIs" dxfId="1763" priority="39" operator="lessThan">
      <formula>0</formula>
    </cfRule>
  </conditionalFormatting>
  <conditionalFormatting sqref="Q57">
    <cfRule type="cellIs" dxfId="1762" priority="37" operator="greaterThan">
      <formula>1</formula>
    </cfRule>
    <cfRule type="cellIs" dxfId="1761" priority="38" operator="lessThan">
      <formula>0.8</formula>
    </cfRule>
  </conditionalFormatting>
  <conditionalFormatting sqref="AG57 R57">
    <cfRule type="cellIs" dxfId="1760" priority="40" operator="lessThan">
      <formula>0.8</formula>
    </cfRule>
  </conditionalFormatting>
  <conditionalFormatting sqref="R26 AG26">
    <cfRule type="cellIs" dxfId="1759" priority="35" operator="lessThan">
      <formula>0.8</formula>
    </cfRule>
  </conditionalFormatting>
  <conditionalFormatting sqref="AG26">
    <cfRule type="cellIs" dxfId="1758" priority="34" operator="lessThan">
      <formula>0.8</formula>
    </cfRule>
  </conditionalFormatting>
  <conditionalFormatting sqref="O60">
    <cfRule type="cellIs" dxfId="1757" priority="29" operator="greaterThan">
      <formula>0</formula>
    </cfRule>
  </conditionalFormatting>
  <conditionalFormatting sqref="P60 AE60">
    <cfRule type="cellIs" dxfId="1756" priority="32" operator="lessThan">
      <formula>0</formula>
    </cfRule>
  </conditionalFormatting>
  <conditionalFormatting sqref="Q60 AF60">
    <cfRule type="cellIs" dxfId="1755" priority="30" operator="greaterThan">
      <formula>1</formula>
    </cfRule>
    <cfRule type="cellIs" dxfId="1754" priority="31" operator="lessThan">
      <formula>0.8</formula>
    </cfRule>
  </conditionalFormatting>
  <conditionalFormatting sqref="R60 AG60">
    <cfRule type="cellIs" dxfId="1753" priority="33" operator="lessThan">
      <formula>0.8</formula>
    </cfRule>
  </conditionalFormatting>
  <conditionalFormatting sqref="O18">
    <cfRule type="cellIs" dxfId="1752" priority="24" operator="greaterThan">
      <formula>0</formula>
    </cfRule>
  </conditionalFormatting>
  <conditionalFormatting sqref="P18">
    <cfRule type="cellIs" dxfId="1751" priority="27" operator="lessThan">
      <formula>0</formula>
    </cfRule>
  </conditionalFormatting>
  <conditionalFormatting sqref="Q18">
    <cfRule type="cellIs" dxfId="1750" priority="25" operator="greaterThan">
      <formula>1</formula>
    </cfRule>
    <cfRule type="cellIs" dxfId="1749" priority="26" operator="lessThan">
      <formula>0.8</formula>
    </cfRule>
  </conditionalFormatting>
  <conditionalFormatting sqref="AG18 R18">
    <cfRule type="cellIs" dxfId="1748" priority="28" operator="lessThan">
      <formula>0.8</formula>
    </cfRule>
  </conditionalFormatting>
  <conditionalFormatting sqref="P8">
    <cfRule type="cellIs" dxfId="1747" priority="23" operator="lessThan">
      <formula>0</formula>
    </cfRule>
  </conditionalFormatting>
  <conditionalFormatting sqref="P19">
    <cfRule type="cellIs" dxfId="1746" priority="22" operator="lessThan">
      <formula>0</formula>
    </cfRule>
  </conditionalFormatting>
  <conditionalFormatting sqref="P27">
    <cfRule type="cellIs" dxfId="1745" priority="21" operator="lessThan">
      <formula>0</formula>
    </cfRule>
  </conditionalFormatting>
  <conditionalFormatting sqref="P36">
    <cfRule type="cellIs" dxfId="1744" priority="20" operator="lessThan">
      <formula>0</formula>
    </cfRule>
  </conditionalFormatting>
  <conditionalFormatting sqref="P49">
    <cfRule type="cellIs" dxfId="1743" priority="19" operator="lessThan">
      <formula>0</formula>
    </cfRule>
  </conditionalFormatting>
  <conditionalFormatting sqref="P58">
    <cfRule type="cellIs" dxfId="1742" priority="18" operator="lessThan">
      <formula>0</formula>
    </cfRule>
  </conditionalFormatting>
  <conditionalFormatting sqref="P64">
    <cfRule type="cellIs" dxfId="1741" priority="17" operator="lessThan">
      <formula>0</formula>
    </cfRule>
  </conditionalFormatting>
  <conditionalFormatting sqref="P75">
    <cfRule type="cellIs" dxfId="1740" priority="16" operator="lessThan">
      <formula>0</formula>
    </cfRule>
  </conditionalFormatting>
  <conditionalFormatting sqref="O72">
    <cfRule type="cellIs" dxfId="1739" priority="11" operator="greaterThan">
      <formula>0</formula>
    </cfRule>
  </conditionalFormatting>
  <conditionalFormatting sqref="P72">
    <cfRule type="cellIs" dxfId="1738" priority="14" operator="lessThan">
      <formula>0</formula>
    </cfRule>
  </conditionalFormatting>
  <conditionalFormatting sqref="Q72">
    <cfRule type="cellIs" dxfId="1737" priority="12" operator="greaterThan">
      <formula>1</formula>
    </cfRule>
    <cfRule type="cellIs" dxfId="1736" priority="13" operator="lessThan">
      <formula>0.8</formula>
    </cfRule>
  </conditionalFormatting>
  <conditionalFormatting sqref="R72">
    <cfRule type="cellIs" dxfId="1735" priority="15" operator="lessThan">
      <formula>0.8</formula>
    </cfRule>
  </conditionalFormatting>
  <conditionalFormatting sqref="O73">
    <cfRule type="cellIs" dxfId="1734" priority="6" operator="greaterThan">
      <formula>0</formula>
    </cfRule>
  </conditionalFormatting>
  <conditionalFormatting sqref="P73">
    <cfRule type="cellIs" dxfId="1733" priority="9" operator="lessThan">
      <formula>0</formula>
    </cfRule>
  </conditionalFormatting>
  <conditionalFormatting sqref="Q73">
    <cfRule type="cellIs" dxfId="1732" priority="7" operator="greaterThan">
      <formula>1</formula>
    </cfRule>
    <cfRule type="cellIs" dxfId="1731" priority="8" operator="lessThan">
      <formula>0.8</formula>
    </cfRule>
  </conditionalFormatting>
  <conditionalFormatting sqref="R73">
    <cfRule type="cellIs" dxfId="1730" priority="10" operator="lessThan">
      <formula>0.8</formula>
    </cfRule>
  </conditionalFormatting>
  <conditionalFormatting sqref="O74">
    <cfRule type="cellIs" dxfId="1729" priority="1" operator="greaterThan">
      <formula>0</formula>
    </cfRule>
  </conditionalFormatting>
  <conditionalFormatting sqref="P74">
    <cfRule type="cellIs" dxfId="1728" priority="4" operator="lessThan">
      <formula>0</formula>
    </cfRule>
  </conditionalFormatting>
  <conditionalFormatting sqref="Q74">
    <cfRule type="cellIs" dxfId="1727" priority="2" operator="greaterThan">
      <formula>1</formula>
    </cfRule>
    <cfRule type="cellIs" dxfId="1726" priority="3" operator="lessThan">
      <formula>0.8</formula>
    </cfRule>
  </conditionalFormatting>
  <conditionalFormatting sqref="R74">
    <cfRule type="cellIs" dxfId="1725" priority="5" operator="lessThan">
      <formula>0.8</formula>
    </cfRule>
  </conditionalFormatting>
  <dataValidations count="1">
    <dataValidation type="list" allowBlank="1" showInputMessage="1" showErrorMessage="1" sqref="AB8 AA5:AB7 AB63 AA8:AA63 AB10:AB59 AA64:AB75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8" sqref="A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1967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1968</v>
      </c>
      <c r="C3" s="596" t="str">
        <f>TEXT('0921 4度C'!A2,"yyyy.mm.ddaaaa")</f>
        <v>2026.09.21星期一</v>
      </c>
      <c r="D3" s="597"/>
      <c r="E3" s="39" t="s">
        <v>1969</v>
      </c>
      <c r="F3" s="598">
        <f>'0921 4度C'!D1</f>
        <v>196126</v>
      </c>
      <c r="G3" s="599"/>
      <c r="H3" s="39" t="s">
        <v>1970</v>
      </c>
      <c r="I3" s="600">
        <f>'0921 4度C'!F1</f>
        <v>6743136.2099999972</v>
      </c>
      <c r="J3" s="601"/>
      <c r="K3" s="40"/>
      <c r="L3" s="41"/>
      <c r="M3" s="42"/>
      <c r="N3" s="42"/>
    </row>
    <row r="4" spans="2:17" ht="28.5" customHeight="1">
      <c r="B4" s="602" t="s">
        <v>1971</v>
      </c>
      <c r="C4" s="588" t="s">
        <v>1972</v>
      </c>
      <c r="D4" s="589"/>
      <c r="E4" s="605" t="s">
        <v>1973</v>
      </c>
      <c r="F4" s="606"/>
      <c r="G4" s="605" t="s">
        <v>1974</v>
      </c>
      <c r="H4" s="606"/>
      <c r="I4" s="605" t="s">
        <v>1975</v>
      </c>
      <c r="J4" s="606"/>
      <c r="K4" s="586" t="s">
        <v>1976</v>
      </c>
      <c r="L4" s="587"/>
      <c r="M4" s="587" t="s">
        <v>1977</v>
      </c>
      <c r="N4" s="587"/>
    </row>
    <row r="5" spans="2:17" ht="28.5" customHeight="1">
      <c r="B5" s="603"/>
      <c r="C5" s="588" t="s">
        <v>1978</v>
      </c>
      <c r="D5" s="589"/>
      <c r="E5" s="588" t="s">
        <v>1979</v>
      </c>
      <c r="F5" s="589"/>
      <c r="G5" s="590" t="s">
        <v>1980</v>
      </c>
      <c r="H5" s="591"/>
      <c r="I5" s="592" t="s">
        <v>1981</v>
      </c>
      <c r="J5" s="593"/>
      <c r="K5" s="43" t="s">
        <v>1982</v>
      </c>
      <c r="L5" s="44" t="s">
        <v>1983</v>
      </c>
      <c r="M5" s="43" t="s">
        <v>1984</v>
      </c>
      <c r="N5" s="44" t="s">
        <v>1985</v>
      </c>
    </row>
    <row r="6" spans="2:17" ht="28.5" customHeight="1">
      <c r="B6" s="603"/>
      <c r="C6" s="588" t="s">
        <v>56</v>
      </c>
      <c r="D6" s="589"/>
      <c r="E6" s="580">
        <f>AVERAGE(D13:M13)</f>
        <v>150.5696729177013</v>
      </c>
      <c r="F6" s="581">
        <f>AVERAGE(D31:O31,D13:J13)</f>
        <v>155.63899327903383</v>
      </c>
      <c r="G6" s="582">
        <f>AVERAGE(D13:J13)</f>
        <v>155.63899327903383</v>
      </c>
      <c r="H6" s="583"/>
      <c r="I6" s="582">
        <f>AVERAGE(K13:M13)</f>
        <v>138.74125874125875</v>
      </c>
      <c r="J6" s="583"/>
      <c r="K6" s="584">
        <f>'0921 4度C'!Y2</f>
        <v>0</v>
      </c>
      <c r="L6" s="569">
        <f>'0921 4度C'!Z2</f>
        <v>0</v>
      </c>
      <c r="M6" s="585">
        <f>'0921 4度C'!AC2</f>
        <v>64</v>
      </c>
      <c r="N6" s="569">
        <f>'0921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144.21189502568677</v>
      </c>
      <c r="F7" s="573">
        <f>AVERAGE(D32:O32,D14:J14)</f>
        <v>149.06205395289319</v>
      </c>
      <c r="G7" s="574">
        <f>AVERAGE(D14:J14)</f>
        <v>149.06205395289319</v>
      </c>
      <c r="H7" s="575"/>
      <c r="I7" s="574">
        <f>AVERAGE(K14:M14)</f>
        <v>132.89485752887182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0.95760568519520994</v>
      </c>
      <c r="F8" s="577">
        <f>AVERAGE(D15:J15,D33:O33)</f>
        <v>0.95751923037119746</v>
      </c>
      <c r="G8" s="578">
        <f>AVERAGE(D15:J15)</f>
        <v>0.95751923037119746</v>
      </c>
      <c r="H8" s="579"/>
      <c r="I8" s="578">
        <f>AVERAGE(K15:M15)</f>
        <v>0.95780741311790629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1986</v>
      </c>
      <c r="N9" s="42"/>
      <c r="O9" s="42"/>
      <c r="P9" s="42"/>
      <c r="Q9" s="42"/>
    </row>
    <row r="10" spans="2:17" ht="30" customHeight="1">
      <c r="B10" s="552" t="s">
        <v>1987</v>
      </c>
      <c r="C10" s="553"/>
      <c r="D10" s="554" t="s">
        <v>1988</v>
      </c>
      <c r="E10" s="555"/>
      <c r="F10" s="555"/>
      <c r="G10" s="555"/>
      <c r="H10" s="555"/>
      <c r="I10" s="555"/>
      <c r="J10" s="556"/>
      <c r="K10" s="557" t="s">
        <v>1989</v>
      </c>
      <c r="L10" s="558"/>
      <c r="M10" s="559"/>
      <c r="P10" s="48"/>
      <c r="Q10" s="48"/>
    </row>
    <row r="11" spans="2:17" ht="17.25" customHeight="1">
      <c r="B11" s="560" t="s">
        <v>1990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1991</v>
      </c>
      <c r="C13" s="55" t="s">
        <v>1992</v>
      </c>
      <c r="D13" s="56">
        <f>SUMIFS('0921 4度C'!$K:$K,'0921 4度C'!$A:$A,"新豐6線",'0921 4度C'!$B:$B,"平均")</f>
        <v>129.03225806451613</v>
      </c>
      <c r="E13" s="57">
        <f>SUMIFS('0921 4度C'!$K:$K,'0921 4度C'!$A:$A,"新豐2線",'0921 4度C'!$B:$B,"平均")</f>
        <v>83.333333333333329</v>
      </c>
      <c r="F13" s="58">
        <f>SUMIFS('0921 4度C'!$K:$K,'0921 4度C'!$A:$A,"新豐5線",'0921 4度C'!$B:$B,"平均")</f>
        <v>103.70370370370371</v>
      </c>
      <c r="G13" s="58">
        <f>SUMIFS('0921 4度C'!$K:$K,'0921 4度C'!$A:$A,"新豐7線",'0921 4度C'!$B:$B,"平均")</f>
        <v>127.27272727272728</v>
      </c>
      <c r="H13" s="58">
        <f>SUMIFS('0921 4度C'!$K:$K,'0921 4度C'!$A:$A,"新豐3線",'0921 4度C'!$B:$B,"平均")</f>
        <v>242.42424242424241</v>
      </c>
      <c r="I13" s="58">
        <f>SUMIFS('0921 4度C'!$K:$K,'0921 4度C'!$A:$A,"新豐1線",'0921 4度C'!$B:$B,"平均")</f>
        <v>109.58904109589041</v>
      </c>
      <c r="J13" s="59">
        <f>SUMIFS('0921 4度C'!$K:$K,'0921 4度C'!$A:$A,"新豐10線",'0921 4度C'!$B:$B,"平均")</f>
        <v>294.11764705882354</v>
      </c>
      <c r="K13" s="60">
        <f>SUMIFS('0921 4度C'!$K:$K,'0921 4度C'!$A:$A,"新豐8線",'0921 4度C'!$B:$B,"平均")</f>
        <v>145.45454545454547</v>
      </c>
      <c r="L13" s="61">
        <f>SUMIFS('0921 4度C'!$K:$K,'0921 4度C'!$A:$A,"新豐9線",'0921 4度C'!$B:$B,"平均")</f>
        <v>125.71428571428571</v>
      </c>
      <c r="M13" s="59">
        <f>SUMIFS('0921 4度C'!$K:$K,'0921 4度C'!$A:$A,"新豐4線",'0921 4度C'!$B:$B,"平均")</f>
        <v>145.05494505494505</v>
      </c>
    </row>
    <row r="14" spans="2:17" ht="39.6" customHeight="1">
      <c r="B14" s="565"/>
      <c r="C14" s="62" t="s">
        <v>1993</v>
      </c>
      <c r="D14" s="63">
        <f>SUMIFS('0921 4度C'!$N:$N,'0921 4度C'!$A:$A,"新豐6線",'0921 4度C'!$B:$B,"平均")</f>
        <v>123.71312036781411</v>
      </c>
      <c r="E14" s="64">
        <f>SUMIFS('0921 4度C'!$N:$N,'0921 4度C'!$A:$A,"新豐2線",'0921 4度C'!$B:$B,"平均")</f>
        <v>79.376964436339293</v>
      </c>
      <c r="F14" s="64">
        <f>SUMIFS('0921 4度C'!$N:$N,'0921 4度C'!$A:$A,"新豐5線",'0921 4度C'!$B:$B,"平均")</f>
        <v>99.295814967924258</v>
      </c>
      <c r="G14" s="64">
        <f>SUMIFS('0921 4度C'!$N:$N,'0921 4度C'!$A:$A,"新豐7線",'0921 4度C'!$B:$B,"平均")</f>
        <v>121.97926186520947</v>
      </c>
      <c r="H14" s="64">
        <f>SUMIFS('0921 4度C'!$N:$N,'0921 4度C'!$A:$A,"新豐3線",'0921 4度C'!$B:$B,"平均")</f>
        <v>231.54023027163979</v>
      </c>
      <c r="I14" s="64">
        <f>SUMIFS('0921 4度C'!$N:$N,'0921 4度C'!$A:$A,"新豐1線",'0921 4度C'!$B:$B,"平均")</f>
        <v>105.28008914404761</v>
      </c>
      <c r="J14" s="65">
        <f>SUMIFS('0921 4度C'!$N:$N,'0921 4度C'!$A:$A,"新豐10線",'0921 4度C'!$B:$B,"平均")</f>
        <v>282.24889661727792</v>
      </c>
      <c r="K14" s="66">
        <f>SUMIFS('0921 4度C'!$N:$N,'0921 4度C'!$A:$A,"新豐8線",'0921 4度C'!$B:$B,"平均")</f>
        <v>139.49646594050003</v>
      </c>
      <c r="L14" s="67">
        <f>SUMIFS('0921 4度C'!$N:$N,'0921 4度C'!$A:$A,"新豐9線",'0921 4度C'!$B:$B,"平均")</f>
        <v>120.26796932658598</v>
      </c>
      <c r="M14" s="65">
        <f>SUMIFS('0921 4度C'!$N:$N,'0921 4度C'!$A:$A,"新豐4線",'0921 4度C'!$B:$B,"平均")</f>
        <v>138.92013731952946</v>
      </c>
    </row>
    <row r="15" spans="2:17" ht="40.15" customHeight="1">
      <c r="B15" s="566"/>
      <c r="C15" s="68" t="s">
        <v>1994</v>
      </c>
      <c r="D15" s="69">
        <f t="shared" ref="D15:M15" si="0">D14/D13</f>
        <v>0.95877668285055939</v>
      </c>
      <c r="E15" s="70">
        <f t="shared" si="0"/>
        <v>0.95252357323607162</v>
      </c>
      <c r="F15" s="70">
        <f t="shared" si="0"/>
        <v>0.9574953586192696</v>
      </c>
      <c r="G15" s="70">
        <f t="shared" si="0"/>
        <v>0.95840848608378859</v>
      </c>
      <c r="H15" s="70">
        <f t="shared" si="0"/>
        <v>0.95510344987051421</v>
      </c>
      <c r="I15" s="70">
        <f t="shared" si="0"/>
        <v>0.96068081343943446</v>
      </c>
      <c r="J15" s="71">
        <f t="shared" si="0"/>
        <v>0.95964624849874491</v>
      </c>
      <c r="K15" s="69">
        <f t="shared" si="0"/>
        <v>0.95903820334093759</v>
      </c>
      <c r="L15" s="70">
        <f t="shared" si="0"/>
        <v>0.95667702873420679</v>
      </c>
      <c r="M15" s="71">
        <f t="shared" si="0"/>
        <v>0.95770700727857427</v>
      </c>
    </row>
    <row r="16" spans="2:17" ht="17.25" customHeight="1">
      <c r="B16" s="567" t="s">
        <v>1995</v>
      </c>
      <c r="C16" s="72" t="s">
        <v>1996</v>
      </c>
      <c r="D16" s="73">
        <f>VLOOKUP("新豐6線",'0921 4度C'!$A:$T,19,0)</f>
        <v>0.70833333333333337</v>
      </c>
      <c r="E16" s="74">
        <f>VLOOKUP("新豐2線",'0921 4度C'!$A:$T,19,0)</f>
        <v>8.3333333333333329E-2</v>
      </c>
      <c r="F16" s="74">
        <f>VLOOKUP("新豐5線",'0921 4度C'!$A:$T,19,0)</f>
        <v>0.20833333333333334</v>
      </c>
      <c r="G16" s="74">
        <f>VLOOKUP("新豐7線",'0921 4度C'!$A:$T,19,0)</f>
        <v>0.25</v>
      </c>
      <c r="H16" s="74">
        <f>VLOOKUP("新豐3線",'0921 4度C'!$A:$T,19,0)</f>
        <v>0.20833333333333334</v>
      </c>
      <c r="I16" s="74">
        <f>VLOOKUP("新豐1線",'0921 4度C'!$A:$T,19,0)</f>
        <v>0.20833333333333334</v>
      </c>
      <c r="J16" s="75">
        <f>VLOOKUP("新豐10線",'0921 4度C'!$A:$T,19,0)</f>
        <v>0.20833333333333334</v>
      </c>
      <c r="K16" s="76">
        <f>VLOOKUP("新豐8線",'0921 4度C'!$A:$T,19,0)</f>
        <v>8.3333333333333329E-2</v>
      </c>
      <c r="L16" s="77">
        <f>VLOOKUP("新豐9線",'0921 4度C'!$A:$T,19,0)</f>
        <v>8.3333333333333329E-2</v>
      </c>
      <c r="M16" s="78">
        <f>VLOOKUP("新豐4線",'0921 4度C'!$A:$T,19,0)</f>
        <v>8.3333333333333329E-2</v>
      </c>
    </row>
    <row r="17" spans="2:13" ht="17.25" customHeight="1">
      <c r="B17" s="568"/>
      <c r="C17" s="72" t="s">
        <v>1997</v>
      </c>
      <c r="D17" s="76">
        <f>LOOKUP(2,1/(('0921 4度C'!$A:$A="新豐6線")*('0921 4度C'!$T:$T&lt;&gt;"")),'0921 4度C'!$T:$T)</f>
        <v>0.91041666666666665</v>
      </c>
      <c r="E17" s="74">
        <f>LOOKUP(2,1/(('0921 4度C'!$A:$A="新豐2線")*('0921 4度C'!$T:$T&lt;&gt;"")),'0921 4度C'!$T:$T)</f>
        <v>0.4770833333333333</v>
      </c>
      <c r="F17" s="74">
        <f>LOOKUP(2,1/(('0921 4度C'!$A:$A="新豐5線")*('0921 4度C'!$T:$T&lt;&gt;"")),'0921 4度C'!$T:$T)</f>
        <v>0.83958333333333335</v>
      </c>
      <c r="G17" s="74">
        <f>LOOKUP(2,1/(('0921 4度C'!$A:$A="新豐7線")*('0921 4度C'!$T:$T&lt;&gt;"")),'0921 4度C'!$T:$T)</f>
        <v>0.97083333333333344</v>
      </c>
      <c r="H17" s="74">
        <f>LOOKUP(2,1/(('0921 4度C'!$A:$A="新豐3線")*('0921 4度C'!$T:$T&lt;&gt;"")),'0921 4度C'!$T:$T)</f>
        <v>0.48333333333333334</v>
      </c>
      <c r="I17" s="74">
        <f>LOOKUP(2,1/(('0921 4度C'!$A:$A="新豐1線")*('0921 4度C'!$T:$T&lt;&gt;"")),'0921 4度C'!$T:$T)</f>
        <v>0.85555555555555551</v>
      </c>
      <c r="J17" s="75">
        <f>LOOKUP(2,1/(('0921 4度C'!$A:$A="新豐10線")*('0921 4度C'!$T:$T&lt;&gt;"")),'0921 4度C'!$T:$T)</f>
        <v>0.48402777777777767</v>
      </c>
      <c r="K17" s="73">
        <f>LOOKUP(2,1/(('0921 4度C'!$A:$A="新豐8線")*('0921 4度C'!$T:$T&lt;&gt;"")),'0921 4度C'!$T:$T)</f>
        <v>0.75555555555555542</v>
      </c>
      <c r="L17" s="74">
        <f>LOOKUP(2,1/(('0921 4度C'!$A:$A="新豐9線")*('0921 4度C'!$T:$T&lt;&gt;"")),'0921 4度C'!$T:$T)</f>
        <v>0.76597222222222217</v>
      </c>
      <c r="M17" s="75">
        <f>LOOKUP(2,1/(('0921 4度C'!$A:$A="新豐4線")*('0921 4度C'!$T:$T&lt;&gt;"")),'0921 4度C'!$T:$T)</f>
        <v>0.75416666666666643</v>
      </c>
    </row>
    <row r="18" spans="2:13" ht="17.25" customHeight="1">
      <c r="B18" s="546" t="s">
        <v>1998</v>
      </c>
      <c r="C18" s="79" t="s">
        <v>1999</v>
      </c>
      <c r="D18" s="80">
        <f>SUMIFS('0921 4度C'!$Y:$Y,'0921 4度C'!$A:$A,"新豐6線",'0921 4度C'!$B:$B,"平均")</f>
        <v>0</v>
      </c>
      <c r="E18" s="81">
        <f>SUMIFS('0921 4度C'!$Y:$Y,'0921 4度C'!$A:$A,"新豐2線",'0921 4度C'!$B:$B,"平均")</f>
        <v>0</v>
      </c>
      <c r="F18" s="81">
        <f>SUMIFS('0921 4度C'!$Y:$Y,'0921 4度C'!$A:$A,"新豐5線",'0921 4度C'!$B:$B,"平均")</f>
        <v>0</v>
      </c>
      <c r="G18" s="81">
        <f>SUMIFS('0921 4度C'!$Y:$Y,'0921 4度C'!$A:$A,"新豐7線",'0921 4度C'!$B:$B,"平均")</f>
        <v>0</v>
      </c>
      <c r="H18" s="81">
        <f>SUMIFS('0921 4度C'!$Y:$Y,'0921 4度C'!$A:$A,"新豐3線",'0921 4度C'!$B:$B,"平均")</f>
        <v>0</v>
      </c>
      <c r="I18" s="81">
        <f>SUMIFS('0921 4度C'!$Y:$Y,'0921 4度C'!$A:$A,"新豐1線",'0921 4度C'!$B:$B,"平均")</f>
        <v>0</v>
      </c>
      <c r="J18" s="82">
        <f>SUMIFS('0921 4度C'!$Y:$Y,'0921 4度C'!$A:$A,"新豐10線",'0921 4度C'!$B:$B,"平均")</f>
        <v>0</v>
      </c>
      <c r="K18" s="83">
        <f>SUMIFS('0921 4度C'!$Y:$Y,'0921 4度C'!$A:$A,"新豐8線",'0921 4度C'!$B:$B,"平均")</f>
        <v>0</v>
      </c>
      <c r="L18" s="81">
        <f>SUMIFS('0921 4度C'!$Y:$Y,'0921 4度C'!$A:$A,"新豐9線",'0921 4度C'!$B:$B,"平均")</f>
        <v>0</v>
      </c>
      <c r="M18" s="82">
        <f>SUMIFS('0921 4度C'!$Y:$Y,'0921 4度C'!$A:$A,"新豐4線",'0921 4度C'!$B:$B,"平均")</f>
        <v>0</v>
      </c>
    </row>
    <row r="19" spans="2:13" ht="17.25" customHeight="1">
      <c r="B19" s="547"/>
      <c r="C19" s="79" t="s">
        <v>2000</v>
      </c>
      <c r="D19" s="80">
        <f>SUMIFS('0921 4度C'!$Z:$Z,'0921 4度C'!$A:$A,"新豐6線",'0921 4度C'!$B:$B,"平均")</f>
        <v>0</v>
      </c>
      <c r="E19" s="81">
        <f>SUMIFS('0921 4度C'!$Z:$Z,'0921 4度C'!$A:$A,"新豐2線",'0921 4度C'!$B:$B,"平均")</f>
        <v>0</v>
      </c>
      <c r="F19" s="81">
        <f>SUMIFS('0921 4度C'!$Z:$Z,'0921 4度C'!$A:$A,"新豐5線",'0921 4度C'!$B:$B,"平均")</f>
        <v>0</v>
      </c>
      <c r="G19" s="81">
        <f>SUMIFS('0921 4度C'!$Z:$Z,'0921 4度C'!$A:$A,"新豐7線",'0921 4度C'!$B:$B,"平均")</f>
        <v>0</v>
      </c>
      <c r="H19" s="81">
        <f>SUMIFS('0921 4度C'!$Z:$Z,'0921 4度C'!$A:$A,"新豐3線",'0921 4度C'!$B:$B,"平均")</f>
        <v>0</v>
      </c>
      <c r="I19" s="81">
        <f>SUMIFS('0921 4度C'!$Z:$Z,'0921 4度C'!$A:$A,"新豐1線",'0921 4度C'!$B:$B,"平均")</f>
        <v>0</v>
      </c>
      <c r="J19" s="82">
        <f>SUMIFS('0921 4度C'!$Z:$Z,'0921 4度C'!$A:$A,"新豐10線",'0921 4度C'!$B:$B,"平均")</f>
        <v>0</v>
      </c>
      <c r="K19" s="83">
        <f>SUMIFS('0921 4度C'!$Z:$Z,'0921 4度C'!$A:$A,"新豐8線",'0921 4度C'!$B:$B,"平均")</f>
        <v>0</v>
      </c>
      <c r="L19" s="81">
        <f>SUMIFS('0921 4度C'!$Z:$Z,'0921 4度C'!$A:$A,"新豐9線",'0921 4度C'!$B:$B,"平均")</f>
        <v>0</v>
      </c>
      <c r="M19" s="82">
        <f>SUMIFS('0921 4度C'!$Z:$Z,'0921 4度C'!$A:$A,"新豐4線",'0921 4度C'!$B:$B,"平均")</f>
        <v>0</v>
      </c>
    </row>
    <row r="20" spans="2:13" ht="17.25" customHeight="1">
      <c r="B20" s="546" t="s">
        <v>2001</v>
      </c>
      <c r="C20" s="79" t="s">
        <v>1999</v>
      </c>
      <c r="D20" s="80">
        <f>SUMIFS('0921 4度C'!$AC:$AC,'0921 4度C'!$A:$A,"新豐6線",'0921 4度C'!$B:$B,"平均")</f>
        <v>4</v>
      </c>
      <c r="E20" s="81">
        <f>SUMIFS('0921 4度C'!$AC:$AC,'0921 4度C'!$A:$A,"新豐2線",'0921 4度C'!$B:$B,"平均")</f>
        <v>2</v>
      </c>
      <c r="F20" s="81">
        <f>SUMIFS('0921 4度C'!$AC:$AC,'0921 4度C'!$A:$A,"新豐5線",'0921 4度C'!$B:$B,"平均")</f>
        <v>8</v>
      </c>
      <c r="G20" s="81">
        <f>SUMIFS('0921 4度C'!$AC:$AC,'0921 4度C'!$A:$A,"新豐7線",'0921 4度C'!$B:$B,"平均")</f>
        <v>7</v>
      </c>
      <c r="H20" s="81">
        <f>SUMIFS('0921 4度C'!$AC:$AC,'0921 4度C'!$A:$A,"新豐3線",'0921 4度C'!$B:$B,"平均")</f>
        <v>3</v>
      </c>
      <c r="I20" s="81">
        <f>SUMIFS('0921 4度C'!$AC:$AC,'0921 4度C'!$A:$A,"新豐1線",'0921 4度C'!$B:$B,"平均")</f>
        <v>8</v>
      </c>
      <c r="J20" s="82">
        <f>SUMIFS('0921 4度C'!$AC:$AC,'0921 4度C'!$A:$A,"新豐10線",'0921 4度C'!$B:$B,"平均")</f>
        <v>5</v>
      </c>
      <c r="K20" s="83">
        <f>SUMIFS('0921 4度C'!$AC:$AC,'0921 4度C'!$A:$A,"新豐8線",'0921 4度C'!$B:$B,"平均")</f>
        <v>8</v>
      </c>
      <c r="L20" s="81">
        <f>SUMIFS('0921 4度C'!$AC:$AC,'0921 4度C'!$A:$A,"新豐9線",'0921 4度C'!$B:$B,"平均")</f>
        <v>8</v>
      </c>
      <c r="M20" s="82">
        <f>SUMIFS('0921 4度C'!$AC:$AC,'0921 4度C'!$A:$A,"新豐4線",'0921 4度C'!$B:$B,"平均")</f>
        <v>11</v>
      </c>
    </row>
    <row r="21" spans="2:13" ht="17.25" customHeight="1">
      <c r="B21" s="547"/>
      <c r="C21" s="79" t="s">
        <v>2002</v>
      </c>
      <c r="D21" s="80">
        <f>SUMIFS('0921 4度C'!$AD:$AD,'0921 4度C'!$A:$A,"新豐6線",'0921 4度C'!$B:$B,"平均")</f>
        <v>0</v>
      </c>
      <c r="E21" s="81">
        <f>SUMIFS('0921 4度C'!$AD:$AD,'0921 4度C'!$A:$A,"新豐2線",'0921 4度C'!$B:$B,"平均")</f>
        <v>0</v>
      </c>
      <c r="F21" s="81">
        <f>SUMIFS('0921 4度C'!$AD:$AD,'0921 4度C'!$A:$A,"新豐5線",'0921 4度C'!$B:$B,"平均")</f>
        <v>0</v>
      </c>
      <c r="G21" s="81">
        <f>SUMIFS('0921 4度C'!$AD:$AD,'0921 4度C'!$A:$A,"新豐7線",'0921 4度C'!$B:$B,"平均")</f>
        <v>0</v>
      </c>
      <c r="H21" s="81">
        <f>SUMIFS('0921 4度C'!$AD:$AD,'0921 4度C'!$A:$A,"新豐3線",'0921 4度C'!$B:$B,"平均")</f>
        <v>0</v>
      </c>
      <c r="I21" s="81">
        <f>SUMIFS('0921 4度C'!$AD:$AD,'0921 4度C'!$A:$A,"新豐1線",'0921 4度C'!$B:$B,"平均")</f>
        <v>0</v>
      </c>
      <c r="J21" s="82">
        <f>SUMIFS('0921 4度C'!$AD:$AD,'0921 4度C'!$A:$A,"新豐10線",'0921 4度C'!$B:$B,"平均")</f>
        <v>0</v>
      </c>
      <c r="K21" s="83">
        <f>SUMIFS('0921 4度C'!$AD:$AD,'0921 4度C'!$A:$A,"新豐8線",'0921 4度C'!$B:$B,"平均")</f>
        <v>0</v>
      </c>
      <c r="L21" s="81">
        <f>SUMIFS('0921 4度C'!$AD:$AD,'0921 4度C'!$A:$A,"新豐9線",'0921 4度C'!$B:$B,"平均")</f>
        <v>0</v>
      </c>
      <c r="M21" s="82">
        <f>SUMIFS('0921 4度C'!$AD:$AD,'0921 4度C'!$A:$A,"新豐4線",'0921 4度C'!$B:$B,"平均")</f>
        <v>0</v>
      </c>
    </row>
    <row r="22" spans="2:13" ht="17.25" customHeight="1">
      <c r="B22" s="548" t="s">
        <v>2003</v>
      </c>
      <c r="C22" s="549"/>
      <c r="D22" s="84">
        <f>SUMIFS('0921 4度C'!$I:$I,'0921 4度C'!$A:$A,"新豐6線",'0921 4度C'!$B:$B,"平均")</f>
        <v>15.5</v>
      </c>
      <c r="E22" s="85">
        <f>SUMIFS('0921 4度C'!$I:$I,'0921 4度C'!$A:$A,"新豐2線",'0921 4度C'!$B:$B,"平均")</f>
        <v>18</v>
      </c>
      <c r="F22" s="85">
        <f>SUMIFS('0921 4度C'!$I:$I,'0921 4度C'!$A:$A,"新豐5線",'0921 4度C'!$B:$B,"平均")</f>
        <v>16.875</v>
      </c>
      <c r="G22" s="85">
        <f>SUMIFS('0921 4度C'!$I:$I,'0921 4度C'!$A:$A,"新豐7線",'0921 4度C'!$B:$B,"平均")</f>
        <v>15.714285714285714</v>
      </c>
      <c r="H22" s="85">
        <f>SUMIFS('0921 4度C'!$I:$I,'0921 4度C'!$A:$A,"新豐3線",'0921 4度C'!$B:$B,"平均")</f>
        <v>11</v>
      </c>
      <c r="I22" s="85">
        <f>SUMIFS('0921 4度C'!$I:$I,'0921 4度C'!$A:$A,"新豐1線",'0921 4度C'!$B:$B,"平均")</f>
        <v>18.25</v>
      </c>
      <c r="J22" s="86">
        <f>SUMIFS('0921 4度C'!$I:$I,'0921 4度C'!$A:$A,"新豐10線",'0921 4度C'!$B:$B,"平均")</f>
        <v>10.199999999999999</v>
      </c>
      <c r="K22" s="84">
        <f>SUMIFS('0921 4度C'!$I:$I,'0921 4度C'!$A:$A,"新豐8線",'0921 4度C'!$B:$B,"平均")</f>
        <v>16.5</v>
      </c>
      <c r="L22" s="85">
        <f>SUMIFS('0921 4度C'!$I:$I,'0921 4度C'!$A:$A,"新豐9線",'0921 4度C'!$B:$B,"平均")</f>
        <v>17.5</v>
      </c>
      <c r="M22" s="86">
        <f>SUMIFS('0921 4度C'!$I:$I,'0921 4度C'!$A:$A,"新豐4線",'0921 4度C'!$B:$B,"平均")</f>
        <v>16.545454545454547</v>
      </c>
    </row>
    <row r="23" spans="2:13" ht="17.25" customHeight="1">
      <c r="B23" s="548" t="s">
        <v>2004</v>
      </c>
      <c r="C23" s="549"/>
      <c r="D23" s="87" t="s">
        <v>69</v>
      </c>
      <c r="E23" s="88" t="s">
        <v>70</v>
      </c>
      <c r="F23" s="88" t="s">
        <v>2005</v>
      </c>
      <c r="G23" s="88" t="s">
        <v>2005</v>
      </c>
      <c r="H23" s="88" t="s">
        <v>71</v>
      </c>
      <c r="I23" s="88" t="s">
        <v>69</v>
      </c>
      <c r="J23" s="89" t="s">
        <v>71</v>
      </c>
      <c r="K23" s="87" t="s">
        <v>2006</v>
      </c>
      <c r="L23" s="88" t="s">
        <v>2006</v>
      </c>
      <c r="M23" s="89" t="s">
        <v>2007</v>
      </c>
    </row>
    <row r="24" spans="2:13" ht="17.25" customHeight="1">
      <c r="B24" s="548" t="s">
        <v>2008</v>
      </c>
      <c r="C24" s="549"/>
      <c r="D24" s="87"/>
      <c r="E24" s="88"/>
      <c r="F24" s="88" t="s">
        <v>2009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2010</v>
      </c>
      <c r="C25" s="551"/>
      <c r="D25" s="90"/>
      <c r="E25" s="91" t="s">
        <v>2011</v>
      </c>
      <c r="F25" s="544" t="s">
        <v>2012</v>
      </c>
      <c r="G25" s="545"/>
      <c r="H25" s="91" t="s">
        <v>2013</v>
      </c>
      <c r="I25" s="91" t="s">
        <v>2014</v>
      </c>
      <c r="J25" s="92" t="s">
        <v>2013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72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9"/>
  <sheetViews>
    <sheetView zoomScale="80" zoomScaleNormal="80" workbookViewId="0">
      <pane ySplit="4" topLeftCell="A5" activePane="bottomLeft" state="frozen"/>
      <selection activeCell="A8" sqref="A8"/>
      <selection pane="bottomLeft" activeCell="U80" sqref="U80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2015</v>
      </c>
      <c r="B1" s="1"/>
      <c r="C1" s="2" t="s">
        <v>2016</v>
      </c>
      <c r="D1" s="3">
        <f>SUM(F5:F78)</f>
        <v>196126</v>
      </c>
      <c r="E1" s="414" t="s">
        <v>2017</v>
      </c>
      <c r="F1" s="1">
        <f>SUM(G5:G78)</f>
        <v>6743136.2099999972</v>
      </c>
      <c r="G1" s="1" t="s">
        <v>346</v>
      </c>
      <c r="H1" s="4">
        <f>L9+L12+L51+L60+L21+L66+L38+L47+L29+L78</f>
        <v>156.08474025974027</v>
      </c>
      <c r="I1" s="660" t="s">
        <v>2018</v>
      </c>
      <c r="J1" s="660"/>
      <c r="K1" s="660"/>
      <c r="L1" s="660" t="s">
        <v>2019</v>
      </c>
      <c r="M1" s="660"/>
      <c r="N1" s="660"/>
      <c r="O1" s="660" t="s">
        <v>2020</v>
      </c>
      <c r="P1" s="660"/>
      <c r="Q1" s="660"/>
      <c r="R1" s="660"/>
      <c r="S1" s="660" t="s">
        <v>2021</v>
      </c>
      <c r="T1" s="660"/>
      <c r="U1" s="660"/>
      <c r="V1" s="660"/>
      <c r="W1" s="660"/>
      <c r="X1" s="660"/>
      <c r="Y1" s="5" t="s">
        <v>140</v>
      </c>
      <c r="Z1" s="6" t="s">
        <v>2022</v>
      </c>
      <c r="AA1" s="661" t="s">
        <v>2023</v>
      </c>
      <c r="AB1" s="661"/>
      <c r="AC1" s="7" t="s">
        <v>2024</v>
      </c>
      <c r="AD1" s="6" t="s">
        <v>2025</v>
      </c>
      <c r="AE1" s="660" t="s">
        <v>2026</v>
      </c>
      <c r="AF1" s="662"/>
      <c r="AG1" s="662"/>
    </row>
    <row r="2" spans="1:33" ht="26.25" customHeight="1">
      <c r="A2" s="27">
        <v>46286</v>
      </c>
      <c r="B2" s="28" t="s">
        <v>675</v>
      </c>
      <c r="C2" s="2" t="s">
        <v>1991</v>
      </c>
      <c r="D2" s="9">
        <f>AVERAGE(N9,N12,N51,N60,N21,N66,N29,N38,N47,N78)</f>
        <v>144.21189502568677</v>
      </c>
      <c r="E2" s="10" t="s">
        <v>0</v>
      </c>
      <c r="F2" s="11">
        <f>F1/D1</f>
        <v>34.381653681816779</v>
      </c>
      <c r="G2" s="1" t="s">
        <v>2027</v>
      </c>
      <c r="H2" s="422">
        <f>COUNT(H5:H78)</f>
        <v>12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SUM(Y9+Y12+Y21+Y29+Y38+Y47+Y51+Y60+Y66+Y78)</f>
        <v>0</v>
      </c>
      <c r="Z2" s="12">
        <f>SUM(Z9+Z12+Z21+Z29+Z38+Z47+Z51+Z60+Z66+Z78)</f>
        <v>0</v>
      </c>
      <c r="AA2" s="661"/>
      <c r="AB2" s="661"/>
      <c r="AC2" s="12">
        <v>64</v>
      </c>
      <c r="AD2" s="12">
        <f>SUM(AD9+AD12+AD21+AD29+AD38+AD47+AD51+AD60+AD66+AD78)</f>
        <v>0</v>
      </c>
      <c r="AE2" s="662"/>
      <c r="AF2" s="662"/>
      <c r="AG2" s="662"/>
    </row>
    <row r="3" spans="1:33" ht="40.5" customHeight="1">
      <c r="A3" s="610" t="s">
        <v>2028</v>
      </c>
      <c r="B3" s="610" t="s">
        <v>2029</v>
      </c>
      <c r="C3" s="610" t="s">
        <v>2030</v>
      </c>
      <c r="D3" s="610"/>
      <c r="E3" s="658" t="s">
        <v>2031</v>
      </c>
      <c r="F3" s="610" t="s">
        <v>2032</v>
      </c>
      <c r="G3" s="658" t="s">
        <v>2033</v>
      </c>
      <c r="H3" s="651" t="s">
        <v>2034</v>
      </c>
      <c r="I3" s="649" t="s">
        <v>2035</v>
      </c>
      <c r="J3" s="646" t="s">
        <v>2036</v>
      </c>
      <c r="K3" s="656" t="s">
        <v>1991</v>
      </c>
      <c r="L3" s="649" t="s">
        <v>2035</v>
      </c>
      <c r="M3" s="646" t="s">
        <v>2036</v>
      </c>
      <c r="N3" s="656" t="s">
        <v>1991</v>
      </c>
      <c r="O3" s="649" t="s">
        <v>2035</v>
      </c>
      <c r="P3" s="656" t="s">
        <v>1991</v>
      </c>
      <c r="Q3" s="647" t="s">
        <v>2037</v>
      </c>
      <c r="R3" s="623" t="s">
        <v>2038</v>
      </c>
      <c r="S3" s="657" t="s">
        <v>1</v>
      </c>
      <c r="T3" s="657"/>
      <c r="U3" s="651" t="s">
        <v>2</v>
      </c>
      <c r="V3" s="651" t="s">
        <v>2039</v>
      </c>
      <c r="W3" s="610" t="s">
        <v>2040</v>
      </c>
      <c r="X3" s="610"/>
      <c r="Y3" s="652" t="s">
        <v>2041</v>
      </c>
      <c r="Z3" s="609"/>
      <c r="AA3" s="653" t="s">
        <v>2042</v>
      </c>
      <c r="AB3" s="654"/>
      <c r="AC3" s="652" t="s">
        <v>2043</v>
      </c>
      <c r="AD3" s="609"/>
      <c r="AE3" s="646" t="s">
        <v>2036</v>
      </c>
      <c r="AF3" s="647" t="s">
        <v>2044</v>
      </c>
      <c r="AG3" s="623" t="s">
        <v>2038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421" t="s">
        <v>3</v>
      </c>
      <c r="T4" s="421" t="s">
        <v>4</v>
      </c>
      <c r="U4" s="651"/>
      <c r="V4" s="651"/>
      <c r="W4" s="414" t="s">
        <v>2045</v>
      </c>
      <c r="X4" s="414" t="s">
        <v>2046</v>
      </c>
      <c r="Y4" s="413" t="s">
        <v>2047</v>
      </c>
      <c r="Z4" s="413" t="s">
        <v>2048</v>
      </c>
      <c r="AA4" s="655"/>
      <c r="AB4" s="654"/>
      <c r="AC4" s="413" t="s">
        <v>2049</v>
      </c>
      <c r="AD4" s="413" t="s">
        <v>2050</v>
      </c>
      <c r="AE4" s="646"/>
      <c r="AF4" s="647"/>
      <c r="AG4" s="623"/>
    </row>
    <row r="5" spans="1:33">
      <c r="A5" s="648" t="s">
        <v>2051</v>
      </c>
      <c r="B5" s="33" t="s">
        <v>6</v>
      </c>
      <c r="C5" s="650" t="s">
        <v>7</v>
      </c>
      <c r="D5" s="650"/>
      <c r="E5" s="33">
        <v>50.92</v>
      </c>
      <c r="F5" s="421">
        <v>2541</v>
      </c>
      <c r="G5" s="414">
        <f t="shared" ref="G5:G8" si="0">E5*F5</f>
        <v>129387.72</v>
      </c>
      <c r="H5" s="423" t="s">
        <v>5</v>
      </c>
      <c r="I5" s="419">
        <v>15</v>
      </c>
      <c r="J5" s="30">
        <v>2000</v>
      </c>
      <c r="K5" s="13">
        <f t="shared" ref="K5:K68" si="1">J5/I5</f>
        <v>133.33333333333334</v>
      </c>
      <c r="L5" s="419">
        <v>15</v>
      </c>
      <c r="M5" s="14">
        <f t="shared" ref="M5:M8" si="2">F5/V5*60</f>
        <v>1905.7499999999993</v>
      </c>
      <c r="N5" s="13">
        <f t="shared" ref="N5:N68" si="3">M5/L5</f>
        <v>127.04999999999995</v>
      </c>
      <c r="O5" s="15">
        <f t="shared" ref="O5:O68" si="4">L5-I5</f>
        <v>0</v>
      </c>
      <c r="P5" s="16">
        <f t="shared" ref="P5:P68" si="5">N5-K5</f>
        <v>-6.2833333333333883</v>
      </c>
      <c r="Q5" s="415">
        <f t="shared" ref="Q5:Q68" si="6">N5/K5</f>
        <v>0.95287499999999958</v>
      </c>
      <c r="R5" s="619">
        <f>Q9</f>
        <v>0.95877668285055939</v>
      </c>
      <c r="S5" s="31">
        <v>0.70833333333333337</v>
      </c>
      <c r="T5" s="31">
        <v>0.76388888888888895</v>
      </c>
      <c r="U5" s="414"/>
      <c r="V5" s="420">
        <f t="shared" ref="V5:V8" si="7">(T5-S5)*24*60</f>
        <v>80.000000000000028</v>
      </c>
      <c r="W5" s="17"/>
      <c r="X5" s="17"/>
      <c r="Y5" s="18"/>
      <c r="Z5" s="18"/>
      <c r="AA5" s="610"/>
      <c r="AB5" s="610"/>
      <c r="AC5" s="19">
        <v>4</v>
      </c>
      <c r="AD5" s="19"/>
      <c r="AE5" s="15">
        <f t="shared" ref="AE5:AE59" si="8">M5-J5</f>
        <v>-94.250000000000682</v>
      </c>
      <c r="AF5" s="415">
        <f t="shared" ref="AF5:AF68" si="9">M5/J5</f>
        <v>0.95287499999999969</v>
      </c>
      <c r="AG5" s="619">
        <f>AF9</f>
        <v>0.95877668285055939</v>
      </c>
    </row>
    <row r="6" spans="1:33">
      <c r="A6" s="649" t="s">
        <v>2052</v>
      </c>
      <c r="B6" s="33" t="s">
        <v>6</v>
      </c>
      <c r="C6" s="650" t="s">
        <v>8</v>
      </c>
      <c r="D6" s="650"/>
      <c r="E6" s="33">
        <v>50.98</v>
      </c>
      <c r="F6" s="421">
        <v>1000</v>
      </c>
      <c r="G6" s="414">
        <f t="shared" si="0"/>
        <v>50980</v>
      </c>
      <c r="H6" s="423">
        <v>2</v>
      </c>
      <c r="I6" s="419">
        <v>16</v>
      </c>
      <c r="J6" s="30">
        <v>2000</v>
      </c>
      <c r="K6" s="13">
        <f t="shared" si="1"/>
        <v>125</v>
      </c>
      <c r="L6" s="419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415">
        <f t="shared" si="6"/>
        <v>0.96774193548386944</v>
      </c>
      <c r="R6" s="619"/>
      <c r="S6" s="31">
        <v>0.76944444444444449</v>
      </c>
      <c r="T6" s="31">
        <v>0.7909722222222223</v>
      </c>
      <c r="U6" s="414">
        <f t="shared" ref="U6:U8" si="10">IF(S6=TIME(17,0,0),"",(S6-T5)*24*60)</f>
        <v>7.9999999999999716</v>
      </c>
      <c r="V6" s="420">
        <f t="shared" si="7"/>
        <v>31.00000000000005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-64.516129032261006</v>
      </c>
      <c r="AF6" s="415">
        <f t="shared" si="9"/>
        <v>0.96774193548386944</v>
      </c>
      <c r="AG6" s="619"/>
    </row>
    <row r="7" spans="1:33">
      <c r="A7" s="649" t="s">
        <v>2052</v>
      </c>
      <c r="B7" s="33" t="s">
        <v>6</v>
      </c>
      <c r="C7" s="641" t="s">
        <v>9</v>
      </c>
      <c r="D7" s="642"/>
      <c r="E7" s="33">
        <v>50.67</v>
      </c>
      <c r="F7" s="421">
        <v>1559</v>
      </c>
      <c r="G7" s="414">
        <f t="shared" si="0"/>
        <v>78994.53</v>
      </c>
      <c r="H7" s="423" t="s">
        <v>5</v>
      </c>
      <c r="I7" s="419">
        <v>15</v>
      </c>
      <c r="J7" s="30">
        <v>2000</v>
      </c>
      <c r="K7" s="13">
        <f t="shared" si="1"/>
        <v>133.33333333333334</v>
      </c>
      <c r="L7" s="419">
        <v>15</v>
      </c>
      <c r="M7" s="14">
        <f t="shared" si="2"/>
        <v>1908.9795918367354</v>
      </c>
      <c r="N7" s="13">
        <f t="shared" si="3"/>
        <v>127.26530612244902</v>
      </c>
      <c r="O7" s="15">
        <f t="shared" si="4"/>
        <v>0</v>
      </c>
      <c r="P7" s="16">
        <f t="shared" si="5"/>
        <v>-6.0680272108843241</v>
      </c>
      <c r="Q7" s="415">
        <f t="shared" si="6"/>
        <v>0.95448979591836758</v>
      </c>
      <c r="R7" s="619"/>
      <c r="S7" s="31">
        <v>0.79583333333333339</v>
      </c>
      <c r="T7" s="31">
        <v>0.82986111111111116</v>
      </c>
      <c r="U7" s="414">
        <f t="shared" si="10"/>
        <v>6.9999999999999751</v>
      </c>
      <c r="V7" s="420">
        <f t="shared" si="7"/>
        <v>48.999999999999986</v>
      </c>
      <c r="W7" s="17">
        <f>T7</f>
        <v>0.82986111111111116</v>
      </c>
      <c r="X7" s="17">
        <f>S8</f>
        <v>0.86944444444444446</v>
      </c>
      <c r="Y7" s="20"/>
      <c r="Z7" s="20"/>
      <c r="AA7" s="614"/>
      <c r="AB7" s="615"/>
      <c r="AC7" s="21"/>
      <c r="AD7" s="21"/>
      <c r="AE7" s="15">
        <f t="shared" si="8"/>
        <v>-91.020408163264619</v>
      </c>
      <c r="AF7" s="415">
        <f t="shared" si="9"/>
        <v>0.95448979591836769</v>
      </c>
      <c r="AG7" s="619"/>
    </row>
    <row r="8" spans="1:33">
      <c r="A8" s="649" t="s">
        <v>2052</v>
      </c>
      <c r="B8" s="33" t="s">
        <v>6</v>
      </c>
      <c r="C8" s="641" t="s">
        <v>8</v>
      </c>
      <c r="D8" s="642"/>
      <c r="E8" s="33">
        <v>50.98</v>
      </c>
      <c r="F8" s="421">
        <v>1888</v>
      </c>
      <c r="G8" s="414">
        <f t="shared" si="0"/>
        <v>96250.239999999991</v>
      </c>
      <c r="H8" s="423" t="s">
        <v>5</v>
      </c>
      <c r="I8" s="419">
        <v>16</v>
      </c>
      <c r="J8" s="30">
        <v>2000</v>
      </c>
      <c r="K8" s="13">
        <f t="shared" si="1"/>
        <v>125</v>
      </c>
      <c r="L8" s="419">
        <v>16</v>
      </c>
      <c r="M8" s="14">
        <f t="shared" si="2"/>
        <v>1920.0000000000018</v>
      </c>
      <c r="N8" s="13">
        <f t="shared" si="3"/>
        <v>120.00000000000011</v>
      </c>
      <c r="O8" s="15">
        <f t="shared" si="4"/>
        <v>0</v>
      </c>
      <c r="P8" s="16">
        <f t="shared" si="5"/>
        <v>-4.9999999999998863</v>
      </c>
      <c r="Q8" s="415">
        <f t="shared" si="6"/>
        <v>0.96000000000000096</v>
      </c>
      <c r="R8" s="619"/>
      <c r="S8" s="31">
        <v>0.86944444444444446</v>
      </c>
      <c r="T8" s="31">
        <v>0.91041666666666665</v>
      </c>
      <c r="U8" s="414">
        <f t="shared" si="10"/>
        <v>56.999999999999957</v>
      </c>
      <c r="V8" s="420">
        <f t="shared" si="7"/>
        <v>58.99999999999995</v>
      </c>
      <c r="W8" s="22"/>
      <c r="X8" s="22"/>
      <c r="Y8" s="94"/>
      <c r="Z8" s="94"/>
      <c r="AA8" s="614"/>
      <c r="AB8" s="615"/>
      <c r="AC8" s="21"/>
      <c r="AD8" s="21"/>
      <c r="AE8" s="15">
        <f t="shared" si="8"/>
        <v>-79.999999999998181</v>
      </c>
      <c r="AF8" s="415">
        <f t="shared" si="9"/>
        <v>0.96000000000000096</v>
      </c>
      <c r="AG8" s="619"/>
    </row>
    <row r="9" spans="1:33">
      <c r="A9" s="649" t="s">
        <v>2052</v>
      </c>
      <c r="B9" s="33" t="s">
        <v>2053</v>
      </c>
      <c r="C9" s="620"/>
      <c r="D9" s="620"/>
      <c r="E9" s="416"/>
      <c r="F9" s="34"/>
      <c r="G9" s="13"/>
      <c r="H9" s="421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1917.5533657011188</v>
      </c>
      <c r="N9" s="13">
        <f t="shared" si="3"/>
        <v>123.71312036781411</v>
      </c>
      <c r="O9" s="15">
        <f t="shared" si="4"/>
        <v>0</v>
      </c>
      <c r="P9" s="16">
        <f t="shared" si="5"/>
        <v>-5.3191376967020148</v>
      </c>
      <c r="Q9" s="415">
        <f t="shared" si="6"/>
        <v>0.95877668285055939</v>
      </c>
      <c r="R9" s="619"/>
      <c r="S9" s="31"/>
      <c r="T9" s="31"/>
      <c r="U9" s="414"/>
      <c r="V9" s="420"/>
      <c r="W9" s="13"/>
      <c r="X9" s="13"/>
      <c r="Y9" s="24">
        <f>SUM(Y5:Y8)</f>
        <v>0</v>
      </c>
      <c r="Z9" s="24">
        <f>SUM(Z5:Z8)</f>
        <v>0</v>
      </c>
      <c r="AA9" s="609"/>
      <c r="AB9" s="609"/>
      <c r="AC9" s="24">
        <v>4</v>
      </c>
      <c r="AD9" s="24">
        <f>SUM(AD5:AD8)</f>
        <v>0</v>
      </c>
      <c r="AE9" s="15">
        <f t="shared" si="8"/>
        <v>-82.446634298881236</v>
      </c>
      <c r="AF9" s="415">
        <f t="shared" si="9"/>
        <v>0.95877668285055939</v>
      </c>
      <c r="AG9" s="619"/>
    </row>
    <row r="10" spans="1:33" ht="15.75" customHeight="1">
      <c r="A10" s="645" t="s">
        <v>2054</v>
      </c>
      <c r="B10" s="33" t="s">
        <v>10</v>
      </c>
      <c r="C10" s="641" t="s">
        <v>14</v>
      </c>
      <c r="D10" s="642"/>
      <c r="E10" s="33">
        <v>39.619999999999997</v>
      </c>
      <c r="F10" s="421">
        <v>5206</v>
      </c>
      <c r="G10" s="414">
        <f t="shared" ref="G10:G11" si="11">E10*F10</f>
        <v>206261.72</v>
      </c>
      <c r="H10" s="423" t="s">
        <v>5</v>
      </c>
      <c r="I10" s="419">
        <v>19</v>
      </c>
      <c r="J10" s="30">
        <v>1500</v>
      </c>
      <c r="K10" s="13">
        <f t="shared" si="1"/>
        <v>78.94736842105263</v>
      </c>
      <c r="L10" s="419">
        <v>19</v>
      </c>
      <c r="M10" s="14">
        <f t="shared" ref="M10:M11" si="12">F10/V10*60</f>
        <v>1426.3013698630134</v>
      </c>
      <c r="N10" s="13">
        <f t="shared" si="3"/>
        <v>75.068493150684915</v>
      </c>
      <c r="O10" s="15">
        <f t="shared" si="4"/>
        <v>0</v>
      </c>
      <c r="P10" s="16">
        <f t="shared" si="5"/>
        <v>-3.8788752703677147</v>
      </c>
      <c r="Q10" s="415">
        <f t="shared" si="6"/>
        <v>0.95086757990867565</v>
      </c>
      <c r="R10" s="619">
        <f>Q12</f>
        <v>0.95252357323607162</v>
      </c>
      <c r="S10" s="31">
        <v>8.3333333333333329E-2</v>
      </c>
      <c r="T10" s="31">
        <v>0.23541666666666666</v>
      </c>
      <c r="U10" s="414"/>
      <c r="V10" s="420">
        <f t="shared" ref="V10:V11" si="13">(T10-S10)*24*60</f>
        <v>219.00000000000003</v>
      </c>
      <c r="W10" s="17">
        <f>T10</f>
        <v>0.23541666666666666</v>
      </c>
      <c r="X10" s="17">
        <f>S11</f>
        <v>0.25277777777777777</v>
      </c>
      <c r="Y10" s="17"/>
      <c r="Z10" s="17"/>
      <c r="AA10" s="610"/>
      <c r="AB10" s="610"/>
      <c r="AC10" s="19">
        <v>2</v>
      </c>
      <c r="AD10" s="19"/>
      <c r="AE10" s="15">
        <f t="shared" si="8"/>
        <v>-73.698630136986594</v>
      </c>
      <c r="AF10" s="415">
        <f t="shared" si="9"/>
        <v>0.95086757990867565</v>
      </c>
      <c r="AG10" s="619">
        <f>AF12</f>
        <v>0.95252357323607162</v>
      </c>
    </row>
    <row r="11" spans="1:33" ht="15.75" customHeight="1">
      <c r="A11" s="645" t="s">
        <v>2054</v>
      </c>
      <c r="B11" s="33" t="s">
        <v>10</v>
      </c>
      <c r="C11" s="641" t="s">
        <v>11</v>
      </c>
      <c r="D11" s="642"/>
      <c r="E11" s="33">
        <v>39.799999999999997</v>
      </c>
      <c r="F11" s="421">
        <v>7705</v>
      </c>
      <c r="G11" s="414">
        <f t="shared" si="11"/>
        <v>306659</v>
      </c>
      <c r="H11" s="423" t="s">
        <v>5</v>
      </c>
      <c r="I11" s="419">
        <v>17</v>
      </c>
      <c r="J11" s="30">
        <v>1500</v>
      </c>
      <c r="K11" s="13">
        <f t="shared" si="1"/>
        <v>88.235294117647058</v>
      </c>
      <c r="L11" s="419">
        <v>17</v>
      </c>
      <c r="M11" s="14">
        <f t="shared" si="12"/>
        <v>1431.2693498452013</v>
      </c>
      <c r="N11" s="13">
        <f t="shared" si="3"/>
        <v>84.192314696776549</v>
      </c>
      <c r="O11" s="15">
        <f t="shared" si="4"/>
        <v>0</v>
      </c>
      <c r="P11" s="16">
        <f t="shared" si="5"/>
        <v>-4.042979420870509</v>
      </c>
      <c r="Q11" s="415">
        <f t="shared" si="6"/>
        <v>0.95417956656346758</v>
      </c>
      <c r="R11" s="619"/>
      <c r="S11" s="31">
        <v>0.25277777777777777</v>
      </c>
      <c r="T11" s="31">
        <v>0.4770833333333333</v>
      </c>
      <c r="U11" s="414">
        <f t="shared" ref="U11" si="14">IF(S11=TIME(17,0,0),"",(S11-T10)*24*60)</f>
        <v>24.999999999999993</v>
      </c>
      <c r="V11" s="420">
        <f t="shared" si="13"/>
        <v>323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-68.730650154798695</v>
      </c>
      <c r="AF11" s="415">
        <f t="shared" si="9"/>
        <v>0.95417956656346758</v>
      </c>
      <c r="AG11" s="619"/>
    </row>
    <row r="12" spans="1:33" ht="16.5" customHeight="1">
      <c r="A12" s="645" t="s">
        <v>2054</v>
      </c>
      <c r="B12" s="33" t="s">
        <v>2053</v>
      </c>
      <c r="C12" s="620"/>
      <c r="D12" s="620"/>
      <c r="E12" s="416"/>
      <c r="F12" s="30"/>
      <c r="G12" s="14"/>
      <c r="H12" s="421"/>
      <c r="I12" s="23">
        <v>18</v>
      </c>
      <c r="J12" s="30">
        <v>1500</v>
      </c>
      <c r="K12" s="13">
        <f t="shared" si="1"/>
        <v>83.333333333333329</v>
      </c>
      <c r="L12" s="23">
        <v>18</v>
      </c>
      <c r="M12" s="14">
        <f>AVERAGE(M10:M11)</f>
        <v>1428.7853598541074</v>
      </c>
      <c r="N12" s="13">
        <f t="shared" si="3"/>
        <v>79.376964436339293</v>
      </c>
      <c r="O12" s="15">
        <f t="shared" si="4"/>
        <v>0</v>
      </c>
      <c r="P12" s="16">
        <f t="shared" si="5"/>
        <v>-3.9563688969940358</v>
      </c>
      <c r="Q12" s="415">
        <f t="shared" si="6"/>
        <v>0.95252357323607162</v>
      </c>
      <c r="R12" s="619"/>
      <c r="S12" s="31"/>
      <c r="T12" s="31"/>
      <c r="U12" s="13"/>
      <c r="V12" s="420"/>
      <c r="W12" s="13"/>
      <c r="X12" s="13"/>
      <c r="Y12" s="24">
        <f>SUM(Y10:Y11)</f>
        <v>0</v>
      </c>
      <c r="Z12" s="24">
        <f>SUM(Z10:Z11)</f>
        <v>0</v>
      </c>
      <c r="AA12" s="609"/>
      <c r="AB12" s="609"/>
      <c r="AC12" s="24">
        <v>2</v>
      </c>
      <c r="AD12" s="24">
        <f>SUM(AD10:AD11)</f>
        <v>0</v>
      </c>
      <c r="AE12" s="15">
        <f t="shared" si="8"/>
        <v>-71.214640145892645</v>
      </c>
      <c r="AF12" s="415">
        <f t="shared" si="9"/>
        <v>0.95252357323607162</v>
      </c>
      <c r="AG12" s="619"/>
    </row>
    <row r="13" spans="1:33" ht="16.5" customHeight="1">
      <c r="A13" s="643" t="s">
        <v>2055</v>
      </c>
      <c r="B13" s="421" t="s">
        <v>15</v>
      </c>
      <c r="C13" s="635" t="s">
        <v>16</v>
      </c>
      <c r="D13" s="635"/>
      <c r="E13" s="33">
        <v>31.11</v>
      </c>
      <c r="F13" s="421">
        <v>2508</v>
      </c>
      <c r="G13" s="414">
        <f t="shared" ref="G13:G20" si="15">E13*F13</f>
        <v>78023.88</v>
      </c>
      <c r="H13" s="423" t="s">
        <v>5</v>
      </c>
      <c r="I13" s="419">
        <v>14</v>
      </c>
      <c r="J13" s="30">
        <v>2000</v>
      </c>
      <c r="K13" s="13">
        <f t="shared" si="1"/>
        <v>142.85714285714286</v>
      </c>
      <c r="L13" s="419">
        <v>14</v>
      </c>
      <c r="M13" s="14">
        <f t="shared" ref="M13:M20" si="16">F13/V13*60</f>
        <v>1904.8101265822784</v>
      </c>
      <c r="N13" s="13">
        <f t="shared" si="3"/>
        <v>136.05786618444844</v>
      </c>
      <c r="O13" s="15">
        <f t="shared" si="4"/>
        <v>0</v>
      </c>
      <c r="P13" s="16">
        <f t="shared" si="5"/>
        <v>-6.7992766726944183</v>
      </c>
      <c r="Q13" s="415">
        <f t="shared" si="6"/>
        <v>0.95240506329113905</v>
      </c>
      <c r="R13" s="619">
        <f>Q21</f>
        <v>0.9574953586192696</v>
      </c>
      <c r="S13" s="31">
        <v>0.20833333333333334</v>
      </c>
      <c r="T13" s="31">
        <v>0.26319444444444445</v>
      </c>
      <c r="U13" s="414"/>
      <c r="V13" s="420">
        <f t="shared" ref="V13:V20" si="17">(T13-S13)*24*60</f>
        <v>79</v>
      </c>
      <c r="W13" s="17"/>
      <c r="X13" s="17"/>
      <c r="Y13" s="22"/>
      <c r="Z13" s="22"/>
      <c r="AA13" s="610"/>
      <c r="AB13" s="610"/>
      <c r="AC13" s="19">
        <v>8</v>
      </c>
      <c r="AD13" s="19"/>
      <c r="AE13" s="15">
        <f t="shared" si="8"/>
        <v>-95.189873417721628</v>
      </c>
      <c r="AF13" s="415">
        <f t="shared" si="9"/>
        <v>0.95240506329113916</v>
      </c>
      <c r="AG13" s="619">
        <f>AF21</f>
        <v>0.9574953586192696</v>
      </c>
    </row>
    <row r="14" spans="1:33" ht="16.5" customHeight="1">
      <c r="A14" s="644" t="s">
        <v>2055</v>
      </c>
      <c r="B14" s="421" t="s">
        <v>17</v>
      </c>
      <c r="C14" s="635" t="s">
        <v>18</v>
      </c>
      <c r="D14" s="635"/>
      <c r="E14" s="33">
        <v>41</v>
      </c>
      <c r="F14" s="421">
        <v>1977</v>
      </c>
      <c r="G14" s="414">
        <f t="shared" si="15"/>
        <v>81057</v>
      </c>
      <c r="H14" s="423" t="s">
        <v>5</v>
      </c>
      <c r="I14" s="419">
        <v>26</v>
      </c>
      <c r="J14" s="30">
        <v>1500</v>
      </c>
      <c r="K14" s="13">
        <f t="shared" si="1"/>
        <v>57.692307692307693</v>
      </c>
      <c r="L14" s="419">
        <v>26</v>
      </c>
      <c r="M14" s="14">
        <f t="shared" si="16"/>
        <v>1429.1566265060237</v>
      </c>
      <c r="N14" s="13">
        <f t="shared" si="3"/>
        <v>54.967562557923991</v>
      </c>
      <c r="O14" s="15">
        <f t="shared" si="4"/>
        <v>0</v>
      </c>
      <c r="P14" s="16">
        <f t="shared" si="5"/>
        <v>-2.7247451343837028</v>
      </c>
      <c r="Q14" s="415">
        <f t="shared" si="6"/>
        <v>0.95277108433734914</v>
      </c>
      <c r="R14" s="619"/>
      <c r="S14" s="31">
        <v>0.26874999999999999</v>
      </c>
      <c r="T14" s="31">
        <v>0.3263888888888889</v>
      </c>
      <c r="U14" s="414">
        <f t="shared" ref="U14:U20" si="18">IF(S14=TIME(17,0,0),"",(S14-T13)*24*60)</f>
        <v>7.9999999999999716</v>
      </c>
      <c r="V14" s="420">
        <f t="shared" si="17"/>
        <v>83.000000000000028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-70.843373493976287</v>
      </c>
      <c r="AF14" s="415">
        <f t="shared" si="9"/>
        <v>0.95277108433734914</v>
      </c>
      <c r="AG14" s="619"/>
    </row>
    <row r="15" spans="1:33" ht="16.5" customHeight="1">
      <c r="A15" s="644" t="s">
        <v>2055</v>
      </c>
      <c r="B15" s="421" t="s">
        <v>15</v>
      </c>
      <c r="C15" s="635" t="s">
        <v>76</v>
      </c>
      <c r="D15" s="635"/>
      <c r="E15" s="33">
        <v>68.88</v>
      </c>
      <c r="F15" s="421">
        <v>1438</v>
      </c>
      <c r="G15" s="414">
        <f t="shared" si="15"/>
        <v>99049.439999999988</v>
      </c>
      <c r="H15" s="423" t="s">
        <v>5</v>
      </c>
      <c r="I15" s="419">
        <v>16</v>
      </c>
      <c r="J15" s="30">
        <v>2000</v>
      </c>
      <c r="K15" s="13">
        <f t="shared" si="1"/>
        <v>125</v>
      </c>
      <c r="L15" s="419">
        <v>16</v>
      </c>
      <c r="M15" s="14">
        <f t="shared" si="16"/>
        <v>1917.3333333333333</v>
      </c>
      <c r="N15" s="13">
        <f t="shared" si="3"/>
        <v>119.83333333333333</v>
      </c>
      <c r="O15" s="15">
        <f t="shared" si="4"/>
        <v>0</v>
      </c>
      <c r="P15" s="16">
        <f t="shared" si="5"/>
        <v>-5.1666666666666714</v>
      </c>
      <c r="Q15" s="415">
        <f t="shared" si="6"/>
        <v>0.95866666666666667</v>
      </c>
      <c r="R15" s="619"/>
      <c r="S15" s="31">
        <v>0.33055555555555555</v>
      </c>
      <c r="T15" s="31">
        <v>0.36180555555555555</v>
      </c>
      <c r="U15" s="414">
        <f t="shared" si="18"/>
        <v>5.9999999999999787</v>
      </c>
      <c r="V15" s="420">
        <f t="shared" si="17"/>
        <v>45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-82.666666666666742</v>
      </c>
      <c r="AF15" s="415">
        <f t="shared" si="9"/>
        <v>0.95866666666666667</v>
      </c>
      <c r="AG15" s="619"/>
    </row>
    <row r="16" spans="1:33" ht="16.5" customHeight="1">
      <c r="A16" s="644" t="s">
        <v>2055</v>
      </c>
      <c r="B16" s="421" t="s">
        <v>10</v>
      </c>
      <c r="C16" s="635" t="s">
        <v>12</v>
      </c>
      <c r="D16" s="635"/>
      <c r="E16" s="33">
        <v>39.46</v>
      </c>
      <c r="F16" s="421">
        <v>2527</v>
      </c>
      <c r="G16" s="414">
        <f t="shared" si="15"/>
        <v>99715.42</v>
      </c>
      <c r="H16" s="423" t="s">
        <v>5</v>
      </c>
      <c r="I16" s="419">
        <v>15</v>
      </c>
      <c r="J16" s="30">
        <v>1500</v>
      </c>
      <c r="K16" s="13">
        <f t="shared" si="1"/>
        <v>100</v>
      </c>
      <c r="L16" s="419">
        <v>15</v>
      </c>
      <c r="M16" s="14">
        <f t="shared" si="16"/>
        <v>1430.3773584905657</v>
      </c>
      <c r="N16" s="13">
        <f t="shared" si="3"/>
        <v>95.358490566037716</v>
      </c>
      <c r="O16" s="15">
        <f t="shared" si="4"/>
        <v>0</v>
      </c>
      <c r="P16" s="16">
        <f t="shared" si="5"/>
        <v>-4.641509433962284</v>
      </c>
      <c r="Q16" s="415">
        <f t="shared" si="6"/>
        <v>0.95358490566037712</v>
      </c>
      <c r="R16" s="619"/>
      <c r="S16" s="31">
        <v>0.36527777777777776</v>
      </c>
      <c r="T16" s="31">
        <v>0.43888888888888888</v>
      </c>
      <c r="U16" s="414">
        <f t="shared" si="18"/>
        <v>4.9999999999999822</v>
      </c>
      <c r="V16" s="420">
        <f t="shared" si="17"/>
        <v>106.00000000000003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-69.622641509434288</v>
      </c>
      <c r="AF16" s="415">
        <f t="shared" si="9"/>
        <v>0.95358490566037712</v>
      </c>
      <c r="AG16" s="619"/>
    </row>
    <row r="17" spans="1:33" ht="16.5" customHeight="1">
      <c r="A17" s="644" t="s">
        <v>2055</v>
      </c>
      <c r="B17" s="421" t="s">
        <v>10</v>
      </c>
      <c r="C17" s="635" t="s">
        <v>13</v>
      </c>
      <c r="D17" s="635"/>
      <c r="E17" s="33">
        <v>39.520000000000003</v>
      </c>
      <c r="F17" s="421">
        <v>2375</v>
      </c>
      <c r="G17" s="414">
        <f t="shared" si="15"/>
        <v>93860.000000000015</v>
      </c>
      <c r="H17" s="423" t="s">
        <v>5</v>
      </c>
      <c r="I17" s="419">
        <v>19</v>
      </c>
      <c r="J17" s="30">
        <v>1500</v>
      </c>
      <c r="K17" s="13">
        <f t="shared" si="1"/>
        <v>78.94736842105263</v>
      </c>
      <c r="L17" s="419">
        <v>19</v>
      </c>
      <c r="M17" s="14">
        <f t="shared" si="16"/>
        <v>1439.3939393939397</v>
      </c>
      <c r="N17" s="13">
        <f t="shared" si="3"/>
        <v>75.757575757575779</v>
      </c>
      <c r="O17" s="15">
        <f t="shared" si="4"/>
        <v>0</v>
      </c>
      <c r="P17" s="16">
        <f t="shared" si="5"/>
        <v>-3.189792663476851</v>
      </c>
      <c r="Q17" s="415">
        <f t="shared" si="6"/>
        <v>0.95959595959595989</v>
      </c>
      <c r="R17" s="619"/>
      <c r="S17" s="31">
        <v>0.44305555555555554</v>
      </c>
      <c r="T17" s="31">
        <v>0.51180555555555551</v>
      </c>
      <c r="U17" s="414">
        <f t="shared" si="18"/>
        <v>5.9999999999999787</v>
      </c>
      <c r="V17" s="420">
        <f t="shared" si="17"/>
        <v>98.999999999999972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-60.606060606060282</v>
      </c>
      <c r="AF17" s="415">
        <f t="shared" si="9"/>
        <v>0.95959595959595978</v>
      </c>
      <c r="AG17" s="619"/>
    </row>
    <row r="18" spans="1:33" ht="16.5" customHeight="1">
      <c r="A18" s="644" t="s">
        <v>2055</v>
      </c>
      <c r="B18" s="421" t="s">
        <v>6</v>
      </c>
      <c r="C18" s="417" t="s">
        <v>45</v>
      </c>
      <c r="D18" s="418"/>
      <c r="E18" s="33">
        <v>51.06</v>
      </c>
      <c r="F18" s="421">
        <v>3140</v>
      </c>
      <c r="G18" s="414">
        <f t="shared" si="15"/>
        <v>160328.4</v>
      </c>
      <c r="H18" s="423" t="s">
        <v>5</v>
      </c>
      <c r="I18" s="419">
        <v>13</v>
      </c>
      <c r="J18" s="30">
        <v>2000</v>
      </c>
      <c r="K18" s="13">
        <f t="shared" si="1"/>
        <v>153.84615384615384</v>
      </c>
      <c r="L18" s="419">
        <v>13</v>
      </c>
      <c r="M18" s="14">
        <f t="shared" si="16"/>
        <v>1903.0303030303037</v>
      </c>
      <c r="N18" s="13">
        <f t="shared" si="3"/>
        <v>146.38694638694645</v>
      </c>
      <c r="O18" s="15">
        <f t="shared" si="4"/>
        <v>0</v>
      </c>
      <c r="P18" s="16">
        <f t="shared" si="5"/>
        <v>-7.4592074592073914</v>
      </c>
      <c r="Q18" s="415">
        <f t="shared" si="6"/>
        <v>0.95151515151515198</v>
      </c>
      <c r="R18" s="619"/>
      <c r="S18" s="31">
        <v>0.70833333333333337</v>
      </c>
      <c r="T18" s="31">
        <v>0.77708333333333335</v>
      </c>
      <c r="U18" s="414" t="str">
        <f t="shared" si="18"/>
        <v/>
      </c>
      <c r="V18" s="420">
        <f t="shared" si="17"/>
        <v>98.999999999999972</v>
      </c>
      <c r="W18" s="17"/>
      <c r="X18" s="17"/>
      <c r="Y18" s="20"/>
      <c r="Z18" s="20"/>
      <c r="AA18" s="410"/>
      <c r="AB18" s="411"/>
      <c r="AC18" s="19"/>
      <c r="AD18" s="19"/>
      <c r="AE18" s="15">
        <f t="shared" si="8"/>
        <v>-96.969696969696315</v>
      </c>
      <c r="AF18" s="415">
        <f t="shared" si="9"/>
        <v>0.95151515151515187</v>
      </c>
      <c r="AG18" s="619"/>
    </row>
    <row r="19" spans="1:33" ht="16.5" customHeight="1">
      <c r="A19" s="644" t="s">
        <v>2055</v>
      </c>
      <c r="B19" s="421" t="s">
        <v>6</v>
      </c>
      <c r="C19" s="417" t="s">
        <v>25</v>
      </c>
      <c r="D19" s="418"/>
      <c r="E19" s="33">
        <v>56.43</v>
      </c>
      <c r="F19" s="421">
        <v>1285</v>
      </c>
      <c r="G19" s="414">
        <f t="shared" si="15"/>
        <v>72512.55</v>
      </c>
      <c r="H19" s="423" t="s">
        <v>5</v>
      </c>
      <c r="I19" s="419">
        <v>13</v>
      </c>
      <c r="J19" s="30">
        <v>2000</v>
      </c>
      <c r="K19" s="13">
        <f t="shared" si="1"/>
        <v>153.84615384615384</v>
      </c>
      <c r="L19" s="419">
        <v>13</v>
      </c>
      <c r="M19" s="14">
        <f t="shared" si="16"/>
        <v>1927.4999999999991</v>
      </c>
      <c r="N19" s="13">
        <f t="shared" si="3"/>
        <v>148.26923076923069</v>
      </c>
      <c r="O19" s="15">
        <f t="shared" si="4"/>
        <v>0</v>
      </c>
      <c r="P19" s="16">
        <f t="shared" si="5"/>
        <v>-5.5769230769231513</v>
      </c>
      <c r="Q19" s="415">
        <f t="shared" si="6"/>
        <v>0.96374999999999955</v>
      </c>
      <c r="R19" s="619"/>
      <c r="S19" s="31">
        <v>0.78125</v>
      </c>
      <c r="T19" s="31">
        <v>0.80902777777777779</v>
      </c>
      <c r="U19" s="414">
        <f t="shared" si="18"/>
        <v>5.9999999999999787</v>
      </c>
      <c r="V19" s="420">
        <f t="shared" si="17"/>
        <v>40.000000000000014</v>
      </c>
      <c r="W19" s="17"/>
      <c r="X19" s="17"/>
      <c r="Y19" s="20"/>
      <c r="Z19" s="20"/>
      <c r="AA19" s="410"/>
      <c r="AB19" s="411"/>
      <c r="AC19" s="19"/>
      <c r="AD19" s="19"/>
      <c r="AE19" s="15">
        <f t="shared" si="8"/>
        <v>-72.500000000000909</v>
      </c>
      <c r="AF19" s="415">
        <f t="shared" si="9"/>
        <v>0.96374999999999955</v>
      </c>
      <c r="AG19" s="619"/>
    </row>
    <row r="20" spans="1:33" ht="16.5" customHeight="1">
      <c r="A20" s="644" t="s">
        <v>2055</v>
      </c>
      <c r="B20" s="421" t="s">
        <v>6</v>
      </c>
      <c r="C20" s="417" t="s">
        <v>20</v>
      </c>
      <c r="D20" s="418"/>
      <c r="E20" s="33">
        <v>54.5</v>
      </c>
      <c r="F20" s="421">
        <v>872</v>
      </c>
      <c r="G20" s="414">
        <f t="shared" si="15"/>
        <v>47524</v>
      </c>
      <c r="H20" s="423" t="s">
        <v>5</v>
      </c>
      <c r="I20" s="419">
        <v>19</v>
      </c>
      <c r="J20" s="30">
        <v>1500</v>
      </c>
      <c r="K20" s="13">
        <f t="shared" si="1"/>
        <v>78.94736842105263</v>
      </c>
      <c r="L20" s="419">
        <v>19</v>
      </c>
      <c r="M20" s="14">
        <f t="shared" si="16"/>
        <v>1453.3333333333321</v>
      </c>
      <c r="N20" s="13">
        <f t="shared" si="3"/>
        <v>76.491228070175382</v>
      </c>
      <c r="O20" s="15">
        <f t="shared" si="4"/>
        <v>0</v>
      </c>
      <c r="P20" s="16">
        <f t="shared" si="5"/>
        <v>-2.4561403508772486</v>
      </c>
      <c r="Q20" s="415">
        <f t="shared" si="6"/>
        <v>0.96888888888888813</v>
      </c>
      <c r="R20" s="619"/>
      <c r="S20" s="31">
        <v>0.81458333333333333</v>
      </c>
      <c r="T20" s="31">
        <v>0.83958333333333335</v>
      </c>
      <c r="U20" s="414">
        <f t="shared" si="18"/>
        <v>7.9999999999999716</v>
      </c>
      <c r="V20" s="420">
        <f t="shared" si="17"/>
        <v>36.000000000000028</v>
      </c>
      <c r="W20" s="17"/>
      <c r="X20" s="17"/>
      <c r="Y20" s="20"/>
      <c r="Z20" s="20"/>
      <c r="AA20" s="410"/>
      <c r="AB20" s="411"/>
      <c r="AC20" s="19"/>
      <c r="AD20" s="19"/>
      <c r="AE20" s="15">
        <f t="shared" si="8"/>
        <v>-46.666666666667879</v>
      </c>
      <c r="AF20" s="415">
        <f t="shared" si="9"/>
        <v>0.96888888888888813</v>
      </c>
      <c r="AG20" s="619"/>
    </row>
    <row r="21" spans="1:33" ht="16.5" customHeight="1">
      <c r="A21" s="644" t="s">
        <v>2055</v>
      </c>
      <c r="B21" s="33" t="s">
        <v>2053</v>
      </c>
      <c r="C21" s="620"/>
      <c r="D21" s="620"/>
      <c r="E21" s="416"/>
      <c r="F21" s="34"/>
      <c r="G21" s="13"/>
      <c r="H21" s="421"/>
      <c r="I21" s="23">
        <v>16.875</v>
      </c>
      <c r="J21" s="30">
        <v>1750</v>
      </c>
      <c r="K21" s="13">
        <f t="shared" si="1"/>
        <v>103.70370370370371</v>
      </c>
      <c r="L21" s="23">
        <v>16.875</v>
      </c>
      <c r="M21" s="14">
        <f>AVERAGE(M13:M20)</f>
        <v>1675.6168775837218</v>
      </c>
      <c r="N21" s="13">
        <f t="shared" si="3"/>
        <v>99.295814967924258</v>
      </c>
      <c r="O21" s="15">
        <f t="shared" si="4"/>
        <v>0</v>
      </c>
      <c r="P21" s="16">
        <f t="shared" si="5"/>
        <v>-4.4078887357794514</v>
      </c>
      <c r="Q21" s="415">
        <f t="shared" si="6"/>
        <v>0.9574953586192696</v>
      </c>
      <c r="R21" s="619"/>
      <c r="S21" s="31"/>
      <c r="T21" s="31"/>
      <c r="U21" s="414"/>
      <c r="V21" s="420"/>
      <c r="W21" s="13"/>
      <c r="X21" s="13"/>
      <c r="Y21" s="24">
        <f>SUM(Y13:Y20)</f>
        <v>0</v>
      </c>
      <c r="Z21" s="24">
        <f>SUM(Z13:Z20)</f>
        <v>0</v>
      </c>
      <c r="AA21" s="609"/>
      <c r="AB21" s="609"/>
      <c r="AC21" s="24">
        <v>8</v>
      </c>
      <c r="AD21" s="24">
        <f>SUM(AD13:AD20)</f>
        <v>0</v>
      </c>
      <c r="AE21" s="15">
        <f t="shared" si="8"/>
        <v>-74.383122416278184</v>
      </c>
      <c r="AF21" s="415">
        <f t="shared" si="9"/>
        <v>0.9574953586192696</v>
      </c>
      <c r="AG21" s="619"/>
    </row>
    <row r="22" spans="1:33" ht="15.75" customHeight="1">
      <c r="A22" s="637" t="s">
        <v>2056</v>
      </c>
      <c r="B22" s="33" t="s">
        <v>6</v>
      </c>
      <c r="C22" s="635" t="s">
        <v>22</v>
      </c>
      <c r="D22" s="635"/>
      <c r="E22" s="33">
        <v>50.67</v>
      </c>
      <c r="F22" s="421">
        <v>2029</v>
      </c>
      <c r="G22" s="414">
        <f t="shared" ref="G22:G28" si="19">E22*F22</f>
        <v>102809.43000000001</v>
      </c>
      <c r="H22" s="423" t="s">
        <v>5</v>
      </c>
      <c r="I22" s="419">
        <v>17</v>
      </c>
      <c r="J22" s="30">
        <v>2000</v>
      </c>
      <c r="K22" s="13">
        <f t="shared" si="1"/>
        <v>117.64705882352941</v>
      </c>
      <c r="L22" s="419">
        <v>17</v>
      </c>
      <c r="M22" s="14">
        <f t="shared" ref="M22:M28" si="20">F22/V22*60</f>
        <v>1932.3809523809521</v>
      </c>
      <c r="N22" s="13">
        <f t="shared" si="3"/>
        <v>113.66946778711483</v>
      </c>
      <c r="O22" s="15">
        <f t="shared" si="4"/>
        <v>0</v>
      </c>
      <c r="P22" s="16">
        <f t="shared" si="5"/>
        <v>-3.9775910364145801</v>
      </c>
      <c r="Q22" s="415">
        <f t="shared" si="6"/>
        <v>0.96619047619047604</v>
      </c>
      <c r="R22" s="619">
        <f>Q29</f>
        <v>0.95840848608378859</v>
      </c>
      <c r="S22" s="31">
        <v>0.25</v>
      </c>
      <c r="T22" s="31">
        <v>0.29375000000000001</v>
      </c>
      <c r="U22" s="414"/>
      <c r="V22" s="420">
        <f t="shared" ref="V22:V28" si="21">(T22-S22)*24*60</f>
        <v>63.000000000000014</v>
      </c>
      <c r="W22" s="17"/>
      <c r="X22" s="17"/>
      <c r="Y22" s="22"/>
      <c r="Z22" s="22"/>
      <c r="AA22" s="610"/>
      <c r="AB22" s="610"/>
      <c r="AC22" s="19">
        <v>7</v>
      </c>
      <c r="AD22" s="19"/>
      <c r="AE22" s="15">
        <f t="shared" si="8"/>
        <v>-67.619047619047933</v>
      </c>
      <c r="AF22" s="415">
        <f t="shared" si="9"/>
        <v>0.96619047619047604</v>
      </c>
      <c r="AG22" s="619">
        <f>AF29</f>
        <v>0.95840848608378859</v>
      </c>
    </row>
    <row r="23" spans="1:33" ht="15.75" customHeight="1">
      <c r="A23" s="638" t="s">
        <v>2056</v>
      </c>
      <c r="B23" s="33" t="s">
        <v>6</v>
      </c>
      <c r="C23" s="635" t="s">
        <v>23</v>
      </c>
      <c r="D23" s="635"/>
      <c r="E23" s="33">
        <v>57.73</v>
      </c>
      <c r="F23" s="421">
        <v>3045</v>
      </c>
      <c r="G23" s="414">
        <f t="shared" si="19"/>
        <v>175787.84999999998</v>
      </c>
      <c r="H23" s="423" t="s">
        <v>5</v>
      </c>
      <c r="I23" s="419">
        <v>14</v>
      </c>
      <c r="J23" s="30">
        <v>2000</v>
      </c>
      <c r="K23" s="13">
        <f t="shared" si="1"/>
        <v>142.85714285714286</v>
      </c>
      <c r="L23" s="419">
        <v>14</v>
      </c>
      <c r="M23" s="14">
        <f t="shared" si="20"/>
        <v>1903.1250000000007</v>
      </c>
      <c r="N23" s="13">
        <f t="shared" si="3"/>
        <v>135.93750000000006</v>
      </c>
      <c r="O23" s="15">
        <f t="shared" si="4"/>
        <v>0</v>
      </c>
      <c r="P23" s="16">
        <f t="shared" si="5"/>
        <v>-6.9196428571428044</v>
      </c>
      <c r="Q23" s="415">
        <f t="shared" si="6"/>
        <v>0.95156250000000042</v>
      </c>
      <c r="R23" s="619"/>
      <c r="S23" s="31">
        <v>0.29791666666666666</v>
      </c>
      <c r="T23" s="31">
        <v>0.36458333333333331</v>
      </c>
      <c r="U23" s="414">
        <f t="shared" ref="U23:U28" si="22">IF(S23=TIME(17,0,0),"",(S23-T22)*24*60)</f>
        <v>5.9999999999999787</v>
      </c>
      <c r="V23" s="420">
        <f t="shared" si="21"/>
        <v>95.999999999999972</v>
      </c>
      <c r="W23" s="17"/>
      <c r="X23" s="414"/>
      <c r="Y23" s="414"/>
      <c r="Z23" s="414"/>
      <c r="AA23" s="610"/>
      <c r="AB23" s="610"/>
      <c r="AC23" s="19"/>
      <c r="AD23" s="19"/>
      <c r="AE23" s="15">
        <f t="shared" si="8"/>
        <v>-96.874999999999318</v>
      </c>
      <c r="AF23" s="415">
        <f t="shared" si="9"/>
        <v>0.95156250000000031</v>
      </c>
      <c r="AG23" s="619"/>
    </row>
    <row r="24" spans="1:33" ht="15.75" customHeight="1">
      <c r="A24" s="638" t="s">
        <v>2056</v>
      </c>
      <c r="B24" s="33" t="s">
        <v>6</v>
      </c>
      <c r="C24" s="635" t="s">
        <v>24</v>
      </c>
      <c r="D24" s="635"/>
      <c r="E24" s="33">
        <v>53.27</v>
      </c>
      <c r="F24" s="421">
        <v>1784</v>
      </c>
      <c r="G24" s="414">
        <f t="shared" si="19"/>
        <v>95033.680000000008</v>
      </c>
      <c r="H24" s="423" t="s">
        <v>5</v>
      </c>
      <c r="I24" s="419">
        <v>16</v>
      </c>
      <c r="J24" s="30">
        <v>2000</v>
      </c>
      <c r="K24" s="13">
        <f t="shared" si="1"/>
        <v>125</v>
      </c>
      <c r="L24" s="419">
        <v>16</v>
      </c>
      <c r="M24" s="14">
        <f t="shared" si="20"/>
        <v>1911.42857142857</v>
      </c>
      <c r="N24" s="13">
        <f t="shared" si="3"/>
        <v>119.46428571428562</v>
      </c>
      <c r="O24" s="15">
        <f t="shared" si="4"/>
        <v>0</v>
      </c>
      <c r="P24" s="16">
        <f t="shared" si="5"/>
        <v>-5.5357142857143771</v>
      </c>
      <c r="Q24" s="415">
        <f t="shared" si="6"/>
        <v>0.95571428571428496</v>
      </c>
      <c r="R24" s="619"/>
      <c r="S24" s="31">
        <v>0.36874999999999997</v>
      </c>
      <c r="T24" s="31">
        <v>0.40763888888888888</v>
      </c>
      <c r="U24" s="414">
        <f t="shared" si="22"/>
        <v>5.9999999999999787</v>
      </c>
      <c r="V24" s="420">
        <f t="shared" si="21"/>
        <v>56.000000000000043</v>
      </c>
      <c r="W24" s="17"/>
      <c r="X24" s="414"/>
      <c r="Y24" s="414"/>
      <c r="Z24" s="414"/>
      <c r="AA24" s="610"/>
      <c r="AB24" s="610"/>
      <c r="AC24" s="19"/>
      <c r="AD24" s="19"/>
      <c r="AE24" s="15">
        <f t="shared" si="8"/>
        <v>-88.571428571430033</v>
      </c>
      <c r="AF24" s="415">
        <f t="shared" si="9"/>
        <v>0.95571428571428496</v>
      </c>
      <c r="AG24" s="619"/>
    </row>
    <row r="25" spans="1:33" ht="15.75" customHeight="1">
      <c r="A25" s="638" t="s">
        <v>2056</v>
      </c>
      <c r="B25" s="33" t="s">
        <v>6</v>
      </c>
      <c r="C25" s="635" t="s">
        <v>21</v>
      </c>
      <c r="D25" s="635"/>
      <c r="E25" s="33">
        <v>50.49</v>
      </c>
      <c r="F25" s="421">
        <v>2260</v>
      </c>
      <c r="G25" s="414">
        <f t="shared" si="19"/>
        <v>114107.40000000001</v>
      </c>
      <c r="H25" s="423" t="s">
        <v>5</v>
      </c>
      <c r="I25" s="419">
        <v>15</v>
      </c>
      <c r="J25" s="30">
        <v>2000</v>
      </c>
      <c r="K25" s="13">
        <f t="shared" si="1"/>
        <v>133.33333333333334</v>
      </c>
      <c r="L25" s="419">
        <v>15</v>
      </c>
      <c r="M25" s="14">
        <f t="shared" si="20"/>
        <v>1909.8591549295754</v>
      </c>
      <c r="N25" s="13">
        <f t="shared" si="3"/>
        <v>127.3239436619717</v>
      </c>
      <c r="O25" s="15">
        <f t="shared" si="4"/>
        <v>0</v>
      </c>
      <c r="P25" s="16">
        <f t="shared" si="5"/>
        <v>-6.0093896713616459</v>
      </c>
      <c r="Q25" s="415">
        <f t="shared" si="6"/>
        <v>0.95492957746478768</v>
      </c>
      <c r="R25" s="619"/>
      <c r="S25" s="31">
        <v>0.70833333333333337</v>
      </c>
      <c r="T25" s="31">
        <v>0.75763888888888897</v>
      </c>
      <c r="U25" s="414" t="str">
        <f t="shared" si="22"/>
        <v/>
      </c>
      <c r="V25" s="420">
        <f t="shared" si="21"/>
        <v>71.000000000000071</v>
      </c>
      <c r="W25" s="17"/>
      <c r="X25" s="414"/>
      <c r="Y25" s="414"/>
      <c r="Z25" s="414"/>
      <c r="AA25" s="610"/>
      <c r="AB25" s="610"/>
      <c r="AC25" s="19"/>
      <c r="AD25" s="19"/>
      <c r="AE25" s="15">
        <f t="shared" si="8"/>
        <v>-90.140845070424575</v>
      </c>
      <c r="AF25" s="415">
        <f t="shared" si="9"/>
        <v>0.95492957746478768</v>
      </c>
      <c r="AG25" s="619"/>
    </row>
    <row r="26" spans="1:33" ht="15.75" customHeight="1">
      <c r="A26" s="638" t="s">
        <v>2056</v>
      </c>
      <c r="B26" s="33" t="s">
        <v>6</v>
      </c>
      <c r="C26" s="635" t="s">
        <v>26</v>
      </c>
      <c r="D26" s="635"/>
      <c r="E26" s="33">
        <v>54.09</v>
      </c>
      <c r="F26" s="421">
        <v>2155</v>
      </c>
      <c r="G26" s="414">
        <f t="shared" si="19"/>
        <v>116563.95000000001</v>
      </c>
      <c r="H26" s="423" t="s">
        <v>5</v>
      </c>
      <c r="I26" s="419">
        <v>18</v>
      </c>
      <c r="J26" s="30">
        <v>2000</v>
      </c>
      <c r="K26" s="13">
        <f t="shared" si="1"/>
        <v>111.11111111111111</v>
      </c>
      <c r="L26" s="419">
        <v>18</v>
      </c>
      <c r="M26" s="14">
        <f t="shared" si="20"/>
        <v>1929.8507462686541</v>
      </c>
      <c r="N26" s="13">
        <f t="shared" si="3"/>
        <v>107.21393034825856</v>
      </c>
      <c r="O26" s="15">
        <f t="shared" si="4"/>
        <v>0</v>
      </c>
      <c r="P26" s="16">
        <f t="shared" si="5"/>
        <v>-3.8971807628525568</v>
      </c>
      <c r="Q26" s="415">
        <f t="shared" si="6"/>
        <v>0.96492537313432702</v>
      </c>
      <c r="R26" s="619"/>
      <c r="S26" s="31">
        <v>0.76111111111111118</v>
      </c>
      <c r="T26" s="31">
        <v>0.80763888888888902</v>
      </c>
      <c r="U26" s="414">
        <f t="shared" si="22"/>
        <v>4.9999999999999822</v>
      </c>
      <c r="V26" s="420">
        <f t="shared" si="21"/>
        <v>67.000000000000085</v>
      </c>
      <c r="W26" s="17"/>
      <c r="X26" s="17"/>
      <c r="Y26" s="414"/>
      <c r="Z26" s="414"/>
      <c r="AA26" s="610"/>
      <c r="AB26" s="610"/>
      <c r="AC26" s="19"/>
      <c r="AD26" s="19"/>
      <c r="AE26" s="15">
        <f t="shared" si="8"/>
        <v>-70.14925373134588</v>
      </c>
      <c r="AF26" s="415">
        <f t="shared" si="9"/>
        <v>0.96492537313432702</v>
      </c>
      <c r="AG26" s="619"/>
    </row>
    <row r="27" spans="1:33" ht="15.75" customHeight="1">
      <c r="A27" s="638" t="s">
        <v>2056</v>
      </c>
      <c r="B27" s="33" t="s">
        <v>6</v>
      </c>
      <c r="C27" s="635" t="s">
        <v>2057</v>
      </c>
      <c r="D27" s="635"/>
      <c r="E27" s="33">
        <v>50.67</v>
      </c>
      <c r="F27" s="421">
        <v>1600</v>
      </c>
      <c r="G27" s="414">
        <f t="shared" si="19"/>
        <v>81072</v>
      </c>
      <c r="H27" s="423">
        <v>2</v>
      </c>
      <c r="I27" s="419">
        <v>15</v>
      </c>
      <c r="J27" s="30">
        <v>2000</v>
      </c>
      <c r="K27" s="13">
        <f t="shared" si="1"/>
        <v>133.33333333333334</v>
      </c>
      <c r="L27" s="419">
        <v>15</v>
      </c>
      <c r="M27" s="14">
        <f t="shared" si="20"/>
        <v>1920.0000000000005</v>
      </c>
      <c r="N27" s="13">
        <f t="shared" si="3"/>
        <v>128.00000000000003</v>
      </c>
      <c r="O27" s="15">
        <f t="shared" si="4"/>
        <v>0</v>
      </c>
      <c r="P27" s="16">
        <f t="shared" si="5"/>
        <v>-5.3333333333333144</v>
      </c>
      <c r="Q27" s="415">
        <f t="shared" si="6"/>
        <v>0.96000000000000019</v>
      </c>
      <c r="R27" s="619"/>
      <c r="S27" s="31">
        <v>0.81111111111111123</v>
      </c>
      <c r="T27" s="31">
        <v>0.84583333333333344</v>
      </c>
      <c r="U27" s="414">
        <f t="shared" si="22"/>
        <v>4.9999999999999822</v>
      </c>
      <c r="V27" s="420">
        <f t="shared" si="21"/>
        <v>49.999999999999986</v>
      </c>
      <c r="W27" s="17">
        <f>T27</f>
        <v>0.84583333333333344</v>
      </c>
      <c r="X27" s="17">
        <f>S28</f>
        <v>0.88680555555555562</v>
      </c>
      <c r="Y27" s="22"/>
      <c r="Z27" s="22"/>
      <c r="AA27" s="610"/>
      <c r="AB27" s="610"/>
      <c r="AC27" s="19"/>
      <c r="AD27" s="19"/>
      <c r="AE27" s="15">
        <f t="shared" si="8"/>
        <v>-79.999999999999545</v>
      </c>
      <c r="AF27" s="415">
        <f t="shared" si="9"/>
        <v>0.96000000000000019</v>
      </c>
      <c r="AG27" s="619"/>
    </row>
    <row r="28" spans="1:33" ht="15.75" customHeight="1">
      <c r="A28" s="638" t="s">
        <v>2056</v>
      </c>
      <c r="B28" s="33" t="s">
        <v>6</v>
      </c>
      <c r="C28" s="639" t="s">
        <v>2057</v>
      </c>
      <c r="D28" s="640"/>
      <c r="E28" s="33">
        <v>50.67</v>
      </c>
      <c r="F28" s="421">
        <v>3854</v>
      </c>
      <c r="G28" s="414">
        <f t="shared" si="19"/>
        <v>195282.18</v>
      </c>
      <c r="H28" s="423" t="s">
        <v>5</v>
      </c>
      <c r="I28" s="419">
        <v>15</v>
      </c>
      <c r="J28" s="30">
        <v>2000</v>
      </c>
      <c r="K28" s="13">
        <f t="shared" si="1"/>
        <v>133.33333333333334</v>
      </c>
      <c r="L28" s="419">
        <v>15</v>
      </c>
      <c r="M28" s="14">
        <f t="shared" si="20"/>
        <v>1911.0743801652884</v>
      </c>
      <c r="N28" s="13">
        <f t="shared" si="3"/>
        <v>127.4049586776859</v>
      </c>
      <c r="O28" s="15">
        <f t="shared" si="4"/>
        <v>0</v>
      </c>
      <c r="P28" s="16">
        <f t="shared" si="5"/>
        <v>-5.9283746556474455</v>
      </c>
      <c r="Q28" s="415">
        <f t="shared" si="6"/>
        <v>0.95553719008264415</v>
      </c>
      <c r="R28" s="619"/>
      <c r="S28" s="31">
        <v>0.88680555555555562</v>
      </c>
      <c r="T28" s="31">
        <v>0.97083333333333344</v>
      </c>
      <c r="U28" s="414">
        <f t="shared" si="22"/>
        <v>58.99999999999995</v>
      </c>
      <c r="V28" s="420">
        <f t="shared" si="21"/>
        <v>121.00000000000006</v>
      </c>
      <c r="W28" s="17"/>
      <c r="X28" s="22"/>
      <c r="Y28" s="94"/>
      <c r="Z28" s="94"/>
      <c r="AA28" s="614"/>
      <c r="AB28" s="615"/>
      <c r="AC28" s="19"/>
      <c r="AD28" s="19"/>
      <c r="AE28" s="15">
        <f t="shared" si="8"/>
        <v>-88.925619834711597</v>
      </c>
      <c r="AF28" s="415">
        <f t="shared" si="9"/>
        <v>0.95553719008264415</v>
      </c>
      <c r="AG28" s="619"/>
    </row>
    <row r="29" spans="1:33" ht="15.75" customHeight="1">
      <c r="A29" s="638" t="s">
        <v>2056</v>
      </c>
      <c r="B29" s="33" t="s">
        <v>2053</v>
      </c>
      <c r="C29" s="620"/>
      <c r="D29" s="620"/>
      <c r="E29" s="416"/>
      <c r="F29" s="421"/>
      <c r="G29" s="414"/>
      <c r="H29" s="421"/>
      <c r="I29" s="23">
        <v>15.714285714285714</v>
      </c>
      <c r="J29" s="30">
        <v>2000</v>
      </c>
      <c r="K29" s="13">
        <f t="shared" si="1"/>
        <v>127.27272727272728</v>
      </c>
      <c r="L29" s="23">
        <v>15.714285714285714</v>
      </c>
      <c r="M29" s="14">
        <f>AVERAGE(M22:M28)</f>
        <v>1916.8169721675772</v>
      </c>
      <c r="N29" s="13">
        <f t="shared" si="3"/>
        <v>121.97926186520947</v>
      </c>
      <c r="O29" s="15">
        <f t="shared" si="4"/>
        <v>0</v>
      </c>
      <c r="P29" s="16">
        <f t="shared" si="5"/>
        <v>-5.2934654075178145</v>
      </c>
      <c r="Q29" s="415">
        <f t="shared" si="6"/>
        <v>0.95840848608378859</v>
      </c>
      <c r="R29" s="619"/>
      <c r="S29" s="31"/>
      <c r="T29" s="31"/>
      <c r="U29" s="13"/>
      <c r="V29" s="420"/>
      <c r="W29" s="13"/>
      <c r="X29" s="13"/>
      <c r="Y29" s="24">
        <f>SUM(Y22:Y28)</f>
        <v>0</v>
      </c>
      <c r="Z29" s="24">
        <f>SUM(Z22:Z28)</f>
        <v>0</v>
      </c>
      <c r="AA29" s="609"/>
      <c r="AB29" s="609"/>
      <c r="AC29" s="24">
        <v>7</v>
      </c>
      <c r="AD29" s="24">
        <f>SUM(AD22:AD28)</f>
        <v>0</v>
      </c>
      <c r="AE29" s="15">
        <f t="shared" si="8"/>
        <v>-83.183027832422795</v>
      </c>
      <c r="AF29" s="415">
        <f t="shared" si="9"/>
        <v>0.95840848608378859</v>
      </c>
      <c r="AG29" s="619"/>
    </row>
    <row r="30" spans="1:33" ht="15.75" customHeight="1">
      <c r="A30" s="636" t="s">
        <v>2058</v>
      </c>
      <c r="B30" s="33" t="s">
        <v>27</v>
      </c>
      <c r="C30" s="635" t="s">
        <v>28</v>
      </c>
      <c r="D30" s="635"/>
      <c r="E30" s="33">
        <v>31.29</v>
      </c>
      <c r="F30" s="421">
        <v>6200</v>
      </c>
      <c r="G30" s="414">
        <f t="shared" ref="G30:G37" si="23">E30*F30</f>
        <v>193998</v>
      </c>
      <c r="H30" s="423">
        <v>2</v>
      </c>
      <c r="I30" s="419">
        <v>18</v>
      </c>
      <c r="J30" s="30">
        <v>2400</v>
      </c>
      <c r="K30" s="13">
        <f t="shared" si="1"/>
        <v>133.33333333333334</v>
      </c>
      <c r="L30" s="419">
        <v>18</v>
      </c>
      <c r="M30" s="14">
        <f t="shared" ref="M30:M37" si="24">F30/V30*60</f>
        <v>2282.2085889570549</v>
      </c>
      <c r="N30" s="13">
        <f t="shared" si="3"/>
        <v>126.78936605316972</v>
      </c>
      <c r="O30" s="15">
        <f t="shared" si="4"/>
        <v>0</v>
      </c>
      <c r="P30" s="16">
        <f t="shared" si="5"/>
        <v>-6.5439672801636277</v>
      </c>
      <c r="Q30" s="415">
        <f t="shared" si="6"/>
        <v>0.95092024539877285</v>
      </c>
      <c r="R30" s="619">
        <f>Q38</f>
        <v>0.95903820334093759</v>
      </c>
      <c r="S30" s="31">
        <v>8.3333333333333329E-2</v>
      </c>
      <c r="T30" s="31">
        <v>0.19652777777777777</v>
      </c>
      <c r="U30" s="414"/>
      <c r="V30" s="420">
        <f t="shared" ref="V30:V37" si="25">(T30-S30)*24*60</f>
        <v>163</v>
      </c>
      <c r="W30" s="17">
        <f>T30</f>
        <v>0.19652777777777777</v>
      </c>
      <c r="X30" s="17">
        <f>S31</f>
        <v>0.21527777777777779</v>
      </c>
      <c r="Y30" s="17"/>
      <c r="Z30" s="17"/>
      <c r="AA30" s="610"/>
      <c r="AB30" s="610"/>
      <c r="AC30" s="19">
        <v>8</v>
      </c>
      <c r="AD30" s="19"/>
      <c r="AE30" s="15">
        <f t="shared" si="8"/>
        <v>-117.79141104294513</v>
      </c>
      <c r="AF30" s="415">
        <f t="shared" si="9"/>
        <v>0.95092024539877285</v>
      </c>
      <c r="AG30" s="619">
        <f>AF38</f>
        <v>0.95903820334093781</v>
      </c>
    </row>
    <row r="31" spans="1:33" ht="15.75" customHeight="1">
      <c r="A31" s="636" t="s">
        <v>2058</v>
      </c>
      <c r="B31" s="33" t="s">
        <v>27</v>
      </c>
      <c r="C31" s="635" t="s">
        <v>29</v>
      </c>
      <c r="D31" s="635"/>
      <c r="E31" s="33">
        <v>26.37</v>
      </c>
      <c r="F31" s="421">
        <v>4500</v>
      </c>
      <c r="G31" s="414">
        <f t="shared" si="23"/>
        <v>118665</v>
      </c>
      <c r="H31" s="423">
        <v>2</v>
      </c>
      <c r="I31" s="419">
        <v>18</v>
      </c>
      <c r="J31" s="30">
        <v>2400</v>
      </c>
      <c r="K31" s="13">
        <f t="shared" si="1"/>
        <v>133.33333333333334</v>
      </c>
      <c r="L31" s="419">
        <v>18</v>
      </c>
      <c r="M31" s="14">
        <f t="shared" si="24"/>
        <v>2288.1355932203396</v>
      </c>
      <c r="N31" s="13">
        <f t="shared" si="3"/>
        <v>127.11864406779665</v>
      </c>
      <c r="O31" s="15">
        <f t="shared" si="4"/>
        <v>0</v>
      </c>
      <c r="P31" s="16">
        <f t="shared" si="5"/>
        <v>-6.2146892655366912</v>
      </c>
      <c r="Q31" s="415">
        <f t="shared" si="6"/>
        <v>0.95338983050847481</v>
      </c>
      <c r="R31" s="619"/>
      <c r="S31" s="31">
        <v>0.21527777777777779</v>
      </c>
      <c r="T31" s="31">
        <v>0.29722222222222222</v>
      </c>
      <c r="U31" s="414">
        <f t="shared" ref="U31:U37" si="26">(S31-T30)*24*60</f>
        <v>27.000000000000025</v>
      </c>
      <c r="V31" s="420">
        <f t="shared" si="25"/>
        <v>117.99999999999999</v>
      </c>
      <c r="W31" s="17"/>
      <c r="X31" s="17"/>
      <c r="Y31" s="17"/>
      <c r="Z31" s="17"/>
      <c r="AA31" s="610"/>
      <c r="AB31" s="610"/>
      <c r="AC31" s="19"/>
      <c r="AD31" s="19"/>
      <c r="AE31" s="15">
        <f t="shared" si="8"/>
        <v>-111.86440677966038</v>
      </c>
      <c r="AF31" s="415">
        <f t="shared" si="9"/>
        <v>0.95338983050847481</v>
      </c>
      <c r="AG31" s="619"/>
    </row>
    <row r="32" spans="1:33" ht="15.75" customHeight="1">
      <c r="A32" s="636" t="s">
        <v>2058</v>
      </c>
      <c r="B32" s="33" t="s">
        <v>27</v>
      </c>
      <c r="C32" s="635" t="s">
        <v>34</v>
      </c>
      <c r="D32" s="635"/>
      <c r="E32" s="33">
        <v>24.43</v>
      </c>
      <c r="F32" s="421">
        <v>5000</v>
      </c>
      <c r="G32" s="414">
        <f t="shared" si="23"/>
        <v>122150</v>
      </c>
      <c r="H32" s="423">
        <v>2</v>
      </c>
      <c r="I32" s="419">
        <v>14</v>
      </c>
      <c r="J32" s="30">
        <v>2400</v>
      </c>
      <c r="K32" s="13">
        <f t="shared" si="1"/>
        <v>171.42857142857142</v>
      </c>
      <c r="L32" s="419">
        <v>14</v>
      </c>
      <c r="M32" s="14">
        <f t="shared" si="24"/>
        <v>2290.0763358778627</v>
      </c>
      <c r="N32" s="13">
        <f t="shared" si="3"/>
        <v>163.57688113413306</v>
      </c>
      <c r="O32" s="15">
        <f t="shared" si="4"/>
        <v>0</v>
      </c>
      <c r="P32" s="16">
        <f t="shared" si="5"/>
        <v>-7.851690294438356</v>
      </c>
      <c r="Q32" s="415">
        <f t="shared" si="6"/>
        <v>0.95419847328244289</v>
      </c>
      <c r="R32" s="619"/>
      <c r="S32" s="31">
        <v>0.30208333333333331</v>
      </c>
      <c r="T32" s="31">
        <v>0.39305555555555555</v>
      </c>
      <c r="U32" s="414">
        <f t="shared" si="26"/>
        <v>6.9999999999999751</v>
      </c>
      <c r="V32" s="420">
        <f t="shared" si="25"/>
        <v>131</v>
      </c>
      <c r="W32" s="17"/>
      <c r="X32" s="17"/>
      <c r="Y32" s="17"/>
      <c r="Z32" s="17"/>
      <c r="AA32" s="610"/>
      <c r="AB32" s="610"/>
      <c r="AC32" s="19"/>
      <c r="AD32" s="19"/>
      <c r="AE32" s="15">
        <f t="shared" si="8"/>
        <v>-109.92366412213732</v>
      </c>
      <c r="AF32" s="415">
        <f t="shared" si="9"/>
        <v>0.95419847328244278</v>
      </c>
      <c r="AG32" s="619"/>
    </row>
    <row r="33" spans="1:33" ht="15.75" customHeight="1">
      <c r="A33" s="636" t="s">
        <v>2058</v>
      </c>
      <c r="B33" s="33" t="s">
        <v>27</v>
      </c>
      <c r="C33" s="635" t="s">
        <v>75</v>
      </c>
      <c r="D33" s="635"/>
      <c r="E33" s="33">
        <v>25.98</v>
      </c>
      <c r="F33" s="421">
        <v>4335</v>
      </c>
      <c r="G33" s="414">
        <f t="shared" si="23"/>
        <v>112623.3</v>
      </c>
      <c r="H33" s="423" t="s">
        <v>5</v>
      </c>
      <c r="I33" s="419">
        <v>19</v>
      </c>
      <c r="J33" s="30">
        <v>2400</v>
      </c>
      <c r="K33" s="13">
        <f t="shared" si="1"/>
        <v>126.31578947368421</v>
      </c>
      <c r="L33" s="419">
        <v>19</v>
      </c>
      <c r="M33" s="14">
        <f t="shared" si="24"/>
        <v>2281.5789473684213</v>
      </c>
      <c r="N33" s="13">
        <f t="shared" si="3"/>
        <v>120.0831024930748</v>
      </c>
      <c r="O33" s="15">
        <f t="shared" si="4"/>
        <v>0</v>
      </c>
      <c r="P33" s="16">
        <f t="shared" si="5"/>
        <v>-6.232686980609401</v>
      </c>
      <c r="Q33" s="415">
        <f t="shared" si="6"/>
        <v>0.95065789473684226</v>
      </c>
      <c r="R33" s="619"/>
      <c r="S33" s="31">
        <v>0.39861111111111108</v>
      </c>
      <c r="T33" s="31">
        <v>0.47777777777777775</v>
      </c>
      <c r="U33" s="414">
        <f t="shared" si="26"/>
        <v>7.9999999999999716</v>
      </c>
      <c r="V33" s="420">
        <f t="shared" si="25"/>
        <v>114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-118.42105263157873</v>
      </c>
      <c r="AF33" s="415">
        <f t="shared" si="9"/>
        <v>0.95065789473684215</v>
      </c>
      <c r="AG33" s="619"/>
    </row>
    <row r="34" spans="1:33" ht="15.75" customHeight="1">
      <c r="A34" s="636" t="s">
        <v>2058</v>
      </c>
      <c r="B34" s="33" t="s">
        <v>27</v>
      </c>
      <c r="C34" s="635" t="s">
        <v>55</v>
      </c>
      <c r="D34" s="635"/>
      <c r="E34" s="33">
        <v>23.89</v>
      </c>
      <c r="F34" s="421">
        <v>634</v>
      </c>
      <c r="G34" s="414">
        <f t="shared" si="23"/>
        <v>15146.26</v>
      </c>
      <c r="H34" s="423" t="s">
        <v>5</v>
      </c>
      <c r="I34" s="419">
        <v>13</v>
      </c>
      <c r="J34" s="30">
        <v>2400</v>
      </c>
      <c r="K34" s="13">
        <f t="shared" si="1"/>
        <v>184.61538461538461</v>
      </c>
      <c r="L34" s="419">
        <v>13</v>
      </c>
      <c r="M34" s="14">
        <f t="shared" si="24"/>
        <v>2377.4999999999968</v>
      </c>
      <c r="N34" s="13">
        <f t="shared" si="3"/>
        <v>182.88461538461513</v>
      </c>
      <c r="O34" s="15">
        <f t="shared" si="4"/>
        <v>0</v>
      </c>
      <c r="P34" s="16">
        <f t="shared" si="5"/>
        <v>-1.7307692307694822</v>
      </c>
      <c r="Q34" s="415">
        <f t="shared" si="6"/>
        <v>0.99062499999999865</v>
      </c>
      <c r="R34" s="619"/>
      <c r="S34" s="31">
        <v>0.48124999999999996</v>
      </c>
      <c r="T34" s="31">
        <v>0.49236111111111108</v>
      </c>
      <c r="U34" s="414">
        <f t="shared" si="26"/>
        <v>4.9999999999999822</v>
      </c>
      <c r="V34" s="420">
        <f t="shared" si="25"/>
        <v>16.000000000000021</v>
      </c>
      <c r="W34" s="17">
        <f>T34</f>
        <v>0.49236111111111108</v>
      </c>
      <c r="X34" s="17">
        <f>S35</f>
        <v>0.53263888888888877</v>
      </c>
      <c r="Y34" s="17"/>
      <c r="Z34" s="17"/>
      <c r="AA34" s="610"/>
      <c r="AB34" s="610"/>
      <c r="AC34" s="19"/>
      <c r="AD34" s="19"/>
      <c r="AE34" s="15">
        <f t="shared" si="8"/>
        <v>-22.500000000003183</v>
      </c>
      <c r="AF34" s="415">
        <f t="shared" si="9"/>
        <v>0.99062499999999865</v>
      </c>
      <c r="AG34" s="619"/>
    </row>
    <row r="35" spans="1:33" ht="15.75" customHeight="1">
      <c r="A35" s="636" t="s">
        <v>2058</v>
      </c>
      <c r="B35" s="33" t="s">
        <v>27</v>
      </c>
      <c r="C35" s="635" t="s">
        <v>28</v>
      </c>
      <c r="D35" s="635"/>
      <c r="E35" s="33">
        <v>31.29</v>
      </c>
      <c r="F35" s="421">
        <v>4633</v>
      </c>
      <c r="G35" s="414">
        <f t="shared" si="23"/>
        <v>144966.57</v>
      </c>
      <c r="H35" s="423" t="s">
        <v>5</v>
      </c>
      <c r="I35" s="419">
        <v>18</v>
      </c>
      <c r="J35" s="30">
        <v>2400</v>
      </c>
      <c r="K35" s="13">
        <f t="shared" si="1"/>
        <v>133.33333333333334</v>
      </c>
      <c r="L35" s="419">
        <v>18</v>
      </c>
      <c r="M35" s="14">
        <f t="shared" si="24"/>
        <v>2297.3553719008255</v>
      </c>
      <c r="N35" s="13">
        <f t="shared" si="3"/>
        <v>127.63085399449031</v>
      </c>
      <c r="O35" s="15">
        <f t="shared" si="4"/>
        <v>0</v>
      </c>
      <c r="P35" s="16">
        <f t="shared" si="5"/>
        <v>-5.7024793388430339</v>
      </c>
      <c r="Q35" s="415">
        <f t="shared" si="6"/>
        <v>0.9572314049586772</v>
      </c>
      <c r="R35" s="619"/>
      <c r="S35" s="31">
        <v>0.53263888888888877</v>
      </c>
      <c r="T35" s="31">
        <v>0.61666666666666659</v>
      </c>
      <c r="U35" s="414">
        <f t="shared" si="26"/>
        <v>57.999999999999872</v>
      </c>
      <c r="V35" s="420">
        <f t="shared" si="25"/>
        <v>121.00000000000006</v>
      </c>
      <c r="W35" s="17"/>
      <c r="X35" s="17"/>
      <c r="Y35" s="17"/>
      <c r="Z35" s="17"/>
      <c r="AA35" s="610"/>
      <c r="AB35" s="610"/>
      <c r="AC35" s="19"/>
      <c r="AD35" s="19"/>
      <c r="AE35" s="15">
        <f t="shared" si="8"/>
        <v>-102.6446280991745</v>
      </c>
      <c r="AF35" s="415">
        <f t="shared" si="9"/>
        <v>0.95723140495867731</v>
      </c>
      <c r="AG35" s="619"/>
    </row>
    <row r="36" spans="1:33" ht="15.75" customHeight="1">
      <c r="A36" s="636" t="s">
        <v>2058</v>
      </c>
      <c r="B36" s="33" t="s">
        <v>27</v>
      </c>
      <c r="C36" s="635" t="s">
        <v>29</v>
      </c>
      <c r="D36" s="635"/>
      <c r="E36" s="33">
        <v>26.37</v>
      </c>
      <c r="F36" s="421">
        <v>3030</v>
      </c>
      <c r="G36" s="414">
        <f t="shared" si="23"/>
        <v>79901.100000000006</v>
      </c>
      <c r="H36" s="423" t="s">
        <v>5</v>
      </c>
      <c r="I36" s="419">
        <v>18</v>
      </c>
      <c r="J36" s="30">
        <v>2400</v>
      </c>
      <c r="K36" s="13">
        <f t="shared" si="1"/>
        <v>133.33333333333334</v>
      </c>
      <c r="L36" s="419">
        <v>18</v>
      </c>
      <c r="M36" s="14">
        <f t="shared" si="24"/>
        <v>2301.2658227848087</v>
      </c>
      <c r="N36" s="13">
        <f t="shared" si="3"/>
        <v>127.84810126582271</v>
      </c>
      <c r="O36" s="15">
        <f t="shared" si="4"/>
        <v>0</v>
      </c>
      <c r="P36" s="16">
        <f t="shared" si="5"/>
        <v>-5.485232067510637</v>
      </c>
      <c r="Q36" s="415">
        <f t="shared" si="6"/>
        <v>0.95886075949367022</v>
      </c>
      <c r="R36" s="619"/>
      <c r="S36" s="31">
        <v>0.62083333333333324</v>
      </c>
      <c r="T36" s="31">
        <v>0.67569444444444438</v>
      </c>
      <c r="U36" s="414">
        <f t="shared" si="26"/>
        <v>5.9999999999999787</v>
      </c>
      <c r="V36" s="420">
        <f t="shared" si="25"/>
        <v>79.000000000000043</v>
      </c>
      <c r="W36" s="17"/>
      <c r="X36" s="17"/>
      <c r="Y36" s="17"/>
      <c r="Z36" s="17"/>
      <c r="AA36" s="610"/>
      <c r="AB36" s="610"/>
      <c r="AC36" s="19"/>
      <c r="AD36" s="19"/>
      <c r="AE36" s="15">
        <f t="shared" si="8"/>
        <v>-98.734177215191266</v>
      </c>
      <c r="AF36" s="415">
        <f t="shared" si="9"/>
        <v>0.95886075949367033</v>
      </c>
      <c r="AG36" s="619"/>
    </row>
    <row r="37" spans="1:33" ht="15.75" customHeight="1">
      <c r="A37" s="636" t="s">
        <v>2058</v>
      </c>
      <c r="B37" s="33" t="s">
        <v>27</v>
      </c>
      <c r="C37" s="417" t="s">
        <v>34</v>
      </c>
      <c r="D37" s="418"/>
      <c r="E37" s="33">
        <v>24.43</v>
      </c>
      <c r="F37" s="421">
        <v>4170</v>
      </c>
      <c r="G37" s="414">
        <f t="shared" si="23"/>
        <v>101873.1</v>
      </c>
      <c r="H37" s="423" t="s">
        <v>5</v>
      </c>
      <c r="I37" s="419">
        <v>14</v>
      </c>
      <c r="J37" s="30">
        <v>2400</v>
      </c>
      <c r="K37" s="13">
        <f t="shared" si="1"/>
        <v>171.42857142857142</v>
      </c>
      <c r="L37" s="419">
        <v>14</v>
      </c>
      <c r="M37" s="14">
        <f t="shared" si="24"/>
        <v>2295.412844036699</v>
      </c>
      <c r="N37" s="13">
        <f t="shared" si="3"/>
        <v>163.95806028833564</v>
      </c>
      <c r="O37" s="15">
        <f t="shared" si="4"/>
        <v>0</v>
      </c>
      <c r="P37" s="16">
        <f t="shared" si="5"/>
        <v>-7.4705111402357716</v>
      </c>
      <c r="Q37" s="415">
        <f t="shared" si="6"/>
        <v>0.95642201834862461</v>
      </c>
      <c r="R37" s="619"/>
      <c r="S37" s="31">
        <v>0.67986111111111103</v>
      </c>
      <c r="T37" s="31">
        <v>0.75555555555555542</v>
      </c>
      <c r="U37" s="414">
        <f t="shared" si="26"/>
        <v>5.9999999999999787</v>
      </c>
      <c r="V37" s="420">
        <f t="shared" si="25"/>
        <v>108.99999999999993</v>
      </c>
      <c r="W37" s="17"/>
      <c r="X37" s="17"/>
      <c r="Y37" s="17"/>
      <c r="Z37" s="17"/>
      <c r="AA37" s="410"/>
      <c r="AB37" s="411"/>
      <c r="AC37" s="19"/>
      <c r="AD37" s="19"/>
      <c r="AE37" s="15">
        <f t="shared" si="8"/>
        <v>-104.58715596330103</v>
      </c>
      <c r="AF37" s="415">
        <f t="shared" si="9"/>
        <v>0.95642201834862461</v>
      </c>
      <c r="AG37" s="619"/>
    </row>
    <row r="38" spans="1:33" ht="15.75" customHeight="1">
      <c r="A38" s="636" t="s">
        <v>2058</v>
      </c>
      <c r="B38" s="33" t="s">
        <v>2053</v>
      </c>
      <c r="C38" s="620"/>
      <c r="D38" s="620"/>
      <c r="E38" s="416"/>
      <c r="F38" s="421"/>
      <c r="G38" s="414"/>
      <c r="H38" s="421"/>
      <c r="I38" s="23">
        <v>16.5</v>
      </c>
      <c r="J38" s="30">
        <v>2400</v>
      </c>
      <c r="K38" s="13">
        <f t="shared" si="1"/>
        <v>145.45454545454547</v>
      </c>
      <c r="L38" s="23">
        <v>16.5</v>
      </c>
      <c r="M38" s="14">
        <f>AVERAGE(M30:M37)</f>
        <v>2301.6916880182507</v>
      </c>
      <c r="N38" s="13">
        <f t="shared" si="3"/>
        <v>139.49646594050003</v>
      </c>
      <c r="O38" s="15">
        <f t="shared" si="4"/>
        <v>0</v>
      </c>
      <c r="P38" s="16">
        <f t="shared" si="5"/>
        <v>-5.958079514045437</v>
      </c>
      <c r="Q38" s="415">
        <f t="shared" si="6"/>
        <v>0.95903820334093759</v>
      </c>
      <c r="R38" s="619"/>
      <c r="S38" s="31"/>
      <c r="T38" s="31"/>
      <c r="U38" s="414"/>
      <c r="V38" s="420"/>
      <c r="W38" s="414"/>
      <c r="X38" s="414"/>
      <c r="Y38" s="24">
        <f>SUM(Y30:Y37)</f>
        <v>0</v>
      </c>
      <c r="Z38" s="24">
        <f>SUM(Z30:Z37)</f>
        <v>0</v>
      </c>
      <c r="AA38" s="609"/>
      <c r="AB38" s="609"/>
      <c r="AC38" s="24">
        <v>8</v>
      </c>
      <c r="AD38" s="24">
        <f>SUM(AD30:AD37)</f>
        <v>0</v>
      </c>
      <c r="AE38" s="15">
        <f t="shared" si="8"/>
        <v>-98.308311981749284</v>
      </c>
      <c r="AF38" s="415">
        <f t="shared" si="9"/>
        <v>0.95903820334093781</v>
      </c>
      <c r="AG38" s="619"/>
    </row>
    <row r="39" spans="1:33" ht="15.75" customHeight="1">
      <c r="A39" s="633" t="s">
        <v>2059</v>
      </c>
      <c r="B39" s="33" t="s">
        <v>27</v>
      </c>
      <c r="C39" s="611" t="s">
        <v>33</v>
      </c>
      <c r="D39" s="611"/>
      <c r="E39" s="33">
        <v>26.18</v>
      </c>
      <c r="F39" s="421">
        <v>4100</v>
      </c>
      <c r="G39" s="414">
        <f t="shared" ref="G39:G46" si="27">E39*F39</f>
        <v>107338</v>
      </c>
      <c r="H39" s="423">
        <v>2</v>
      </c>
      <c r="I39" s="419">
        <v>20</v>
      </c>
      <c r="J39" s="30">
        <v>2400</v>
      </c>
      <c r="K39" s="13">
        <f t="shared" si="1"/>
        <v>120</v>
      </c>
      <c r="L39" s="419">
        <v>20</v>
      </c>
      <c r="M39" s="14">
        <f t="shared" ref="M39:M46" si="28">F39/V39*60</f>
        <v>2299.065420560748</v>
      </c>
      <c r="N39" s="13">
        <f t="shared" si="3"/>
        <v>114.95327102803739</v>
      </c>
      <c r="O39" s="15">
        <f t="shared" si="4"/>
        <v>0</v>
      </c>
      <c r="P39" s="16">
        <f t="shared" si="5"/>
        <v>-5.0467289719626081</v>
      </c>
      <c r="Q39" s="415">
        <f t="shared" si="6"/>
        <v>0.95794392523364491</v>
      </c>
      <c r="R39" s="619">
        <f>Q47</f>
        <v>0.95667702873420679</v>
      </c>
      <c r="S39" s="31">
        <v>8.3333333333333329E-2</v>
      </c>
      <c r="T39" s="31">
        <v>0.15763888888888888</v>
      </c>
      <c r="U39" s="414"/>
      <c r="V39" s="420">
        <f t="shared" ref="V39:V46" si="29">(T39-S39)*24*60</f>
        <v>107</v>
      </c>
      <c r="W39" s="22">
        <f>T39</f>
        <v>0.15763888888888888</v>
      </c>
      <c r="X39" s="22">
        <f>S40</f>
        <v>0.17569444444444443</v>
      </c>
      <c r="Y39" s="22"/>
      <c r="Z39" s="22"/>
      <c r="AA39" s="610"/>
      <c r="AB39" s="610"/>
      <c r="AC39" s="19">
        <v>8</v>
      </c>
      <c r="AD39" s="19"/>
      <c r="AE39" s="15">
        <f t="shared" si="8"/>
        <v>-100.93457943925205</v>
      </c>
      <c r="AF39" s="415">
        <f t="shared" si="9"/>
        <v>0.95794392523364502</v>
      </c>
      <c r="AG39" s="619">
        <f>AF47</f>
        <v>0.95667702873420668</v>
      </c>
    </row>
    <row r="40" spans="1:33" ht="15.75" customHeight="1">
      <c r="A40" s="633" t="s">
        <v>2059</v>
      </c>
      <c r="B40" s="33" t="s">
        <v>27</v>
      </c>
      <c r="C40" s="611" t="s">
        <v>30</v>
      </c>
      <c r="D40" s="611"/>
      <c r="E40" s="33">
        <v>26.18</v>
      </c>
      <c r="F40" s="421">
        <v>5300</v>
      </c>
      <c r="G40" s="414">
        <f t="shared" si="27"/>
        <v>138754</v>
      </c>
      <c r="H40" s="423">
        <v>2</v>
      </c>
      <c r="I40" s="419">
        <v>18</v>
      </c>
      <c r="J40" s="30">
        <v>2400</v>
      </c>
      <c r="K40" s="13">
        <f t="shared" si="1"/>
        <v>133.33333333333334</v>
      </c>
      <c r="L40" s="419">
        <v>18</v>
      </c>
      <c r="M40" s="14">
        <f t="shared" si="28"/>
        <v>2287.7697841726617</v>
      </c>
      <c r="N40" s="13">
        <f t="shared" si="3"/>
        <v>127.09832134292566</v>
      </c>
      <c r="O40" s="15">
        <f t="shared" si="4"/>
        <v>0</v>
      </c>
      <c r="P40" s="16">
        <f t="shared" si="5"/>
        <v>-6.2350119904076848</v>
      </c>
      <c r="Q40" s="415">
        <f t="shared" si="6"/>
        <v>0.9532374100719424</v>
      </c>
      <c r="R40" s="619"/>
      <c r="S40" s="31">
        <v>0.17569444444444443</v>
      </c>
      <c r="T40" s="31">
        <v>0.2722222222222222</v>
      </c>
      <c r="U40" s="414">
        <f t="shared" ref="U40:U46" si="30">(S40-T39)*24*60</f>
        <v>25.999999999999986</v>
      </c>
      <c r="V40" s="420">
        <f t="shared" si="29"/>
        <v>139</v>
      </c>
      <c r="W40" s="414"/>
      <c r="X40" s="414"/>
      <c r="Y40" s="414"/>
      <c r="Z40" s="414"/>
      <c r="AA40" s="610"/>
      <c r="AB40" s="610"/>
      <c r="AC40" s="19"/>
      <c r="AD40" s="19"/>
      <c r="AE40" s="15">
        <f t="shared" si="8"/>
        <v>-112.23021582733827</v>
      </c>
      <c r="AF40" s="415">
        <f t="shared" si="9"/>
        <v>0.9532374100719424</v>
      </c>
      <c r="AG40" s="619"/>
    </row>
    <row r="41" spans="1:33">
      <c r="A41" s="634" t="s">
        <v>2059</v>
      </c>
      <c r="B41" s="33" t="s">
        <v>27</v>
      </c>
      <c r="C41" s="611" t="s">
        <v>35</v>
      </c>
      <c r="D41" s="611"/>
      <c r="E41" s="33">
        <v>34.1</v>
      </c>
      <c r="F41" s="421">
        <v>4000</v>
      </c>
      <c r="G41" s="414">
        <f t="shared" si="27"/>
        <v>136400</v>
      </c>
      <c r="H41" s="423">
        <v>2</v>
      </c>
      <c r="I41" s="419">
        <v>17</v>
      </c>
      <c r="J41" s="30">
        <v>1600</v>
      </c>
      <c r="K41" s="13">
        <f t="shared" si="1"/>
        <v>94.117647058823536</v>
      </c>
      <c r="L41" s="419">
        <v>17</v>
      </c>
      <c r="M41" s="14">
        <f t="shared" si="28"/>
        <v>1528.6624203821657</v>
      </c>
      <c r="N41" s="13">
        <f t="shared" si="3"/>
        <v>89.92131884600974</v>
      </c>
      <c r="O41" s="15">
        <f t="shared" si="4"/>
        <v>0</v>
      </c>
      <c r="P41" s="16">
        <f t="shared" si="5"/>
        <v>-4.1963282128137962</v>
      </c>
      <c r="Q41" s="415">
        <f t="shared" si="6"/>
        <v>0.9554140127388534</v>
      </c>
      <c r="R41" s="619"/>
      <c r="S41" s="31">
        <v>0.27638888888888885</v>
      </c>
      <c r="T41" s="31">
        <v>0.38541666666666663</v>
      </c>
      <c r="U41" s="414">
        <f t="shared" si="30"/>
        <v>5.9999999999999787</v>
      </c>
      <c r="V41" s="420">
        <f t="shared" si="29"/>
        <v>157</v>
      </c>
      <c r="W41" s="414"/>
      <c r="X41" s="414"/>
      <c r="Y41" s="414"/>
      <c r="Z41" s="414"/>
      <c r="AA41" s="610"/>
      <c r="AB41" s="610"/>
      <c r="AC41" s="19"/>
      <c r="AD41" s="19"/>
      <c r="AE41" s="15">
        <f t="shared" si="8"/>
        <v>-71.337579617834308</v>
      </c>
      <c r="AF41" s="415">
        <f t="shared" si="9"/>
        <v>0.95541401273885351</v>
      </c>
      <c r="AG41" s="619"/>
    </row>
    <row r="42" spans="1:33">
      <c r="A42" s="634" t="s">
        <v>2059</v>
      </c>
      <c r="B42" s="33" t="s">
        <v>27</v>
      </c>
      <c r="C42" s="611" t="s">
        <v>54</v>
      </c>
      <c r="D42" s="611"/>
      <c r="E42" s="33">
        <v>24.25</v>
      </c>
      <c r="F42" s="421">
        <v>1892</v>
      </c>
      <c r="G42" s="414">
        <f t="shared" si="27"/>
        <v>45881</v>
      </c>
      <c r="H42" s="423" t="s">
        <v>5</v>
      </c>
      <c r="I42" s="419">
        <v>16</v>
      </c>
      <c r="J42" s="30">
        <v>2400</v>
      </c>
      <c r="K42" s="13">
        <f t="shared" si="1"/>
        <v>150</v>
      </c>
      <c r="L42" s="419">
        <v>16</v>
      </c>
      <c r="M42" s="14">
        <f t="shared" si="28"/>
        <v>2316.7346938775518</v>
      </c>
      <c r="N42" s="13">
        <f t="shared" si="3"/>
        <v>144.79591836734699</v>
      </c>
      <c r="O42" s="15">
        <f t="shared" si="4"/>
        <v>0</v>
      </c>
      <c r="P42" s="16">
        <f t="shared" si="5"/>
        <v>-5.2040816326530148</v>
      </c>
      <c r="Q42" s="415">
        <f t="shared" si="6"/>
        <v>0.96530612244897995</v>
      </c>
      <c r="R42" s="619"/>
      <c r="S42" s="31">
        <v>0.38888888888888884</v>
      </c>
      <c r="T42" s="31">
        <v>0.42291666666666661</v>
      </c>
      <c r="U42" s="414">
        <f t="shared" si="30"/>
        <v>4.9999999999999822</v>
      </c>
      <c r="V42" s="420">
        <f t="shared" si="29"/>
        <v>48.999999999999986</v>
      </c>
      <c r="W42" s="17"/>
      <c r="X42" s="17"/>
      <c r="Y42" s="17"/>
      <c r="Z42" s="17"/>
      <c r="AA42" s="610"/>
      <c r="AB42" s="610"/>
      <c r="AC42" s="19"/>
      <c r="AD42" s="19"/>
      <c r="AE42" s="15">
        <f t="shared" si="8"/>
        <v>-83.265306122448237</v>
      </c>
      <c r="AF42" s="415">
        <f t="shared" si="9"/>
        <v>0.96530612244897995</v>
      </c>
      <c r="AG42" s="619"/>
    </row>
    <row r="43" spans="1:33">
      <c r="A43" s="634" t="s">
        <v>2059</v>
      </c>
      <c r="B43" s="33" t="s">
        <v>27</v>
      </c>
      <c r="C43" s="611" t="s">
        <v>32</v>
      </c>
      <c r="D43" s="611"/>
      <c r="E43" s="33">
        <v>25.99</v>
      </c>
      <c r="F43" s="421">
        <v>4296</v>
      </c>
      <c r="G43" s="414">
        <f t="shared" si="27"/>
        <v>111653.04</v>
      </c>
      <c r="H43" s="423" t="s">
        <v>5</v>
      </c>
      <c r="I43" s="419">
        <v>14</v>
      </c>
      <c r="J43" s="30">
        <v>2400</v>
      </c>
      <c r="K43" s="13">
        <f t="shared" si="1"/>
        <v>171.42857142857142</v>
      </c>
      <c r="L43" s="419">
        <v>14</v>
      </c>
      <c r="M43" s="14">
        <f t="shared" si="28"/>
        <v>2301.4285714285697</v>
      </c>
      <c r="N43" s="13">
        <f t="shared" si="3"/>
        <v>164.3877551020407</v>
      </c>
      <c r="O43" s="15">
        <f t="shared" si="4"/>
        <v>0</v>
      </c>
      <c r="P43" s="16">
        <f t="shared" si="5"/>
        <v>-7.0408163265307167</v>
      </c>
      <c r="Q43" s="415">
        <f t="shared" si="6"/>
        <v>0.9589285714285708</v>
      </c>
      <c r="R43" s="619"/>
      <c r="S43" s="31">
        <v>0.42638888888888882</v>
      </c>
      <c r="T43" s="31">
        <v>0.50416666666666665</v>
      </c>
      <c r="U43" s="414">
        <f t="shared" si="30"/>
        <v>4.9999999999999822</v>
      </c>
      <c r="V43" s="420">
        <f t="shared" si="29"/>
        <v>112.00000000000009</v>
      </c>
      <c r="W43" s="17">
        <f>T43</f>
        <v>0.50416666666666665</v>
      </c>
      <c r="X43" s="17">
        <f>S44</f>
        <v>0.54374999999999996</v>
      </c>
      <c r="Y43" s="17"/>
      <c r="Z43" s="17"/>
      <c r="AA43" s="610"/>
      <c r="AB43" s="610"/>
      <c r="AC43" s="19"/>
      <c r="AD43" s="19"/>
      <c r="AE43" s="15">
        <f t="shared" si="8"/>
        <v>-98.57142857143026</v>
      </c>
      <c r="AF43" s="415">
        <f t="shared" si="9"/>
        <v>0.95892857142857069</v>
      </c>
      <c r="AG43" s="619"/>
    </row>
    <row r="44" spans="1:33">
      <c r="A44" s="634" t="s">
        <v>2059</v>
      </c>
      <c r="B44" s="33" t="s">
        <v>27</v>
      </c>
      <c r="C44" s="611" t="s">
        <v>33</v>
      </c>
      <c r="D44" s="611"/>
      <c r="E44" s="33">
        <v>26.18</v>
      </c>
      <c r="F44" s="421">
        <v>2974</v>
      </c>
      <c r="G44" s="414">
        <f t="shared" si="27"/>
        <v>77859.319999999992</v>
      </c>
      <c r="H44" s="423" t="s">
        <v>5</v>
      </c>
      <c r="I44" s="419">
        <v>20</v>
      </c>
      <c r="J44" s="30">
        <v>2400</v>
      </c>
      <c r="K44" s="13">
        <f t="shared" si="1"/>
        <v>120</v>
      </c>
      <c r="L44" s="419">
        <v>20</v>
      </c>
      <c r="M44" s="14">
        <f t="shared" si="28"/>
        <v>2287.6923076923067</v>
      </c>
      <c r="N44" s="13">
        <f t="shared" si="3"/>
        <v>114.38461538461533</v>
      </c>
      <c r="O44" s="15">
        <f t="shared" si="4"/>
        <v>0</v>
      </c>
      <c r="P44" s="16">
        <f t="shared" si="5"/>
        <v>-5.61538461538467</v>
      </c>
      <c r="Q44" s="415">
        <f t="shared" si="6"/>
        <v>0.95320512820512771</v>
      </c>
      <c r="R44" s="619"/>
      <c r="S44" s="31">
        <v>0.54374999999999996</v>
      </c>
      <c r="T44" s="31">
        <v>0.59791666666666665</v>
      </c>
      <c r="U44" s="414">
        <f t="shared" si="30"/>
        <v>56.999999999999957</v>
      </c>
      <c r="V44" s="420">
        <f t="shared" si="29"/>
        <v>78.000000000000043</v>
      </c>
      <c r="W44" s="17"/>
      <c r="X44" s="17"/>
      <c r="Y44" s="17"/>
      <c r="Z44" s="17"/>
      <c r="AA44" s="610"/>
      <c r="AB44" s="610"/>
      <c r="AC44" s="19"/>
      <c r="AD44" s="19"/>
      <c r="AE44" s="15">
        <f t="shared" si="8"/>
        <v>-112.30769230769329</v>
      </c>
      <c r="AF44" s="415">
        <f t="shared" si="9"/>
        <v>0.95320512820512782</v>
      </c>
      <c r="AG44" s="619"/>
    </row>
    <row r="45" spans="1:33">
      <c r="A45" s="634" t="s">
        <v>2059</v>
      </c>
      <c r="B45" s="33" t="s">
        <v>27</v>
      </c>
      <c r="C45" s="611" t="s">
        <v>30</v>
      </c>
      <c r="D45" s="611"/>
      <c r="E45" s="33">
        <v>26.18</v>
      </c>
      <c r="F45" s="421">
        <v>4050</v>
      </c>
      <c r="G45" s="414">
        <f t="shared" si="27"/>
        <v>106029</v>
      </c>
      <c r="H45" s="423" t="s">
        <v>5</v>
      </c>
      <c r="I45" s="419">
        <v>18</v>
      </c>
      <c r="J45" s="30">
        <v>2400</v>
      </c>
      <c r="K45" s="13">
        <f t="shared" si="1"/>
        <v>133.33333333333334</v>
      </c>
      <c r="L45" s="419">
        <v>18</v>
      </c>
      <c r="M45" s="14">
        <f t="shared" si="28"/>
        <v>2292.4528301886803</v>
      </c>
      <c r="N45" s="13">
        <f t="shared" si="3"/>
        <v>127.3584905660378</v>
      </c>
      <c r="O45" s="15">
        <f t="shared" si="4"/>
        <v>0</v>
      </c>
      <c r="P45" s="16">
        <f t="shared" si="5"/>
        <v>-5.9748427672955415</v>
      </c>
      <c r="Q45" s="415">
        <f t="shared" si="6"/>
        <v>0.95518867924528339</v>
      </c>
      <c r="R45" s="619"/>
      <c r="S45" s="31">
        <v>0.60138888888888886</v>
      </c>
      <c r="T45" s="31">
        <v>0.67499999999999993</v>
      </c>
      <c r="U45" s="414">
        <f t="shared" si="30"/>
        <v>4.9999999999999822</v>
      </c>
      <c r="V45" s="420">
        <f t="shared" si="29"/>
        <v>105.99999999999994</v>
      </c>
      <c r="W45" s="17"/>
      <c r="X45" s="17"/>
      <c r="Y45" s="20"/>
      <c r="Z45" s="20"/>
      <c r="AA45" s="614"/>
      <c r="AB45" s="615"/>
      <c r="AC45" s="19"/>
      <c r="AD45" s="19"/>
      <c r="AE45" s="15">
        <f t="shared" si="8"/>
        <v>-107.54716981131969</v>
      </c>
      <c r="AF45" s="415">
        <f t="shared" si="9"/>
        <v>0.9551886792452835</v>
      </c>
      <c r="AG45" s="619"/>
    </row>
    <row r="46" spans="1:33">
      <c r="A46" s="634" t="s">
        <v>2059</v>
      </c>
      <c r="B46" s="33" t="s">
        <v>27</v>
      </c>
      <c r="C46" s="611" t="s">
        <v>35</v>
      </c>
      <c r="D46" s="611"/>
      <c r="E46" s="33">
        <v>34.1</v>
      </c>
      <c r="F46" s="421">
        <v>3149</v>
      </c>
      <c r="G46" s="414">
        <f t="shared" si="27"/>
        <v>107380.90000000001</v>
      </c>
      <c r="H46" s="423" t="s">
        <v>5</v>
      </c>
      <c r="I46" s="419">
        <v>17</v>
      </c>
      <c r="J46" s="30">
        <v>1600</v>
      </c>
      <c r="K46" s="13">
        <f t="shared" si="1"/>
        <v>94.117647058823536</v>
      </c>
      <c r="L46" s="419">
        <v>17</v>
      </c>
      <c r="M46" s="14">
        <f t="shared" si="28"/>
        <v>1523.7096774193544</v>
      </c>
      <c r="N46" s="13">
        <f t="shared" si="3"/>
        <v>89.629981024667913</v>
      </c>
      <c r="O46" s="15">
        <f t="shared" si="4"/>
        <v>0</v>
      </c>
      <c r="P46" s="16">
        <f t="shared" si="5"/>
        <v>-4.4876660341556232</v>
      </c>
      <c r="Q46" s="415">
        <f t="shared" si="6"/>
        <v>0.95231854838709651</v>
      </c>
      <c r="R46" s="619"/>
      <c r="S46" s="31">
        <v>0.67986111111111103</v>
      </c>
      <c r="T46" s="31">
        <v>0.76597222222222217</v>
      </c>
      <c r="U46" s="414">
        <f t="shared" si="30"/>
        <v>6.9999999999999751</v>
      </c>
      <c r="V46" s="420">
        <f t="shared" si="29"/>
        <v>124.00000000000004</v>
      </c>
      <c r="W46" s="17"/>
      <c r="X46" s="17"/>
      <c r="Y46" s="20"/>
      <c r="Z46" s="20"/>
      <c r="AA46" s="614"/>
      <c r="AB46" s="615"/>
      <c r="AC46" s="19"/>
      <c r="AD46" s="19"/>
      <c r="AE46" s="15">
        <f t="shared" si="8"/>
        <v>-76.290322580645579</v>
      </c>
      <c r="AF46" s="415">
        <f t="shared" si="9"/>
        <v>0.95231854838709651</v>
      </c>
      <c r="AG46" s="619"/>
    </row>
    <row r="47" spans="1:33">
      <c r="A47" s="634" t="s">
        <v>2059</v>
      </c>
      <c r="B47" s="34" t="s">
        <v>2053</v>
      </c>
      <c r="C47" s="620"/>
      <c r="D47" s="620"/>
      <c r="E47" s="416"/>
      <c r="F47" s="34"/>
      <c r="G47" s="13"/>
      <c r="H47" s="421"/>
      <c r="I47" s="23">
        <v>17.5</v>
      </c>
      <c r="J47" s="30">
        <v>2200</v>
      </c>
      <c r="K47" s="13">
        <f t="shared" si="1"/>
        <v>125.71428571428571</v>
      </c>
      <c r="L47" s="23">
        <v>17.5</v>
      </c>
      <c r="M47" s="14">
        <f>AVERAGE(M39:M46)</f>
        <v>2104.6894632152548</v>
      </c>
      <c r="N47" s="13">
        <f t="shared" si="3"/>
        <v>120.26796932658598</v>
      </c>
      <c r="O47" s="15">
        <f t="shared" si="4"/>
        <v>0</v>
      </c>
      <c r="P47" s="16">
        <f t="shared" si="5"/>
        <v>-5.4463163876997243</v>
      </c>
      <c r="Q47" s="415">
        <f t="shared" si="6"/>
        <v>0.95667702873420679</v>
      </c>
      <c r="R47" s="619"/>
      <c r="S47" s="31"/>
      <c r="T47" s="31"/>
      <c r="U47" s="13"/>
      <c r="V47" s="420"/>
      <c r="W47" s="13"/>
      <c r="X47" s="13"/>
      <c r="Y47" s="24">
        <f>SUM(Y39:Y46)</f>
        <v>0</v>
      </c>
      <c r="Z47" s="24">
        <f>SUM(Z39:Z46)</f>
        <v>0</v>
      </c>
      <c r="AA47" s="609"/>
      <c r="AB47" s="609"/>
      <c r="AC47" s="24">
        <v>8</v>
      </c>
      <c r="AD47" s="24">
        <f>SUM(AD39:AD46)</f>
        <v>0</v>
      </c>
      <c r="AE47" s="15">
        <f t="shared" si="8"/>
        <v>-95.310536784745182</v>
      </c>
      <c r="AF47" s="415">
        <f t="shared" si="9"/>
        <v>0.95667702873420668</v>
      </c>
      <c r="AG47" s="619"/>
    </row>
    <row r="48" spans="1:33" ht="15.75" customHeight="1">
      <c r="A48" s="630" t="s">
        <v>2060</v>
      </c>
      <c r="B48" s="33" t="s">
        <v>36</v>
      </c>
      <c r="C48" s="612" t="s">
        <v>37</v>
      </c>
      <c r="D48" s="613"/>
      <c r="E48" s="33">
        <v>21.13</v>
      </c>
      <c r="F48" s="421">
        <v>6498</v>
      </c>
      <c r="G48" s="414">
        <f t="shared" ref="G48:G50" si="31">E48*F48</f>
        <v>137302.74</v>
      </c>
      <c r="H48" s="423" t="s">
        <v>5</v>
      </c>
      <c r="I48" s="419">
        <v>10</v>
      </c>
      <c r="J48" s="30">
        <v>3000</v>
      </c>
      <c r="K48" s="13">
        <f t="shared" si="1"/>
        <v>300</v>
      </c>
      <c r="L48" s="419">
        <v>10</v>
      </c>
      <c r="M48" s="14">
        <f t="shared" ref="M48:M50" si="32">F48/V48*60</f>
        <v>2866.7647058823518</v>
      </c>
      <c r="N48" s="14">
        <f t="shared" si="3"/>
        <v>286.67647058823519</v>
      </c>
      <c r="O48" s="15">
        <f t="shared" si="4"/>
        <v>0</v>
      </c>
      <c r="P48" s="16">
        <f t="shared" si="5"/>
        <v>-13.32352941176481</v>
      </c>
      <c r="Q48" s="415">
        <f t="shared" si="6"/>
        <v>0.95558823529411729</v>
      </c>
      <c r="R48" s="625">
        <f>Q51</f>
        <v>0.95510344987051421</v>
      </c>
      <c r="S48" s="31">
        <v>0.20833333333333334</v>
      </c>
      <c r="T48" s="31">
        <v>0.30277777777777781</v>
      </c>
      <c r="U48" s="22"/>
      <c r="V48" s="420">
        <f t="shared" ref="V48:V50" si="33">(T48-S48)*24*60</f>
        <v>136.00000000000006</v>
      </c>
      <c r="W48" s="17"/>
      <c r="X48" s="17"/>
      <c r="Y48" s="20"/>
      <c r="Z48" s="20"/>
      <c r="AA48" s="614"/>
      <c r="AB48" s="615"/>
      <c r="AC48" s="19">
        <v>3</v>
      </c>
      <c r="AD48" s="19"/>
      <c r="AE48" s="15">
        <f t="shared" si="8"/>
        <v>-133.23529411764821</v>
      </c>
      <c r="AF48" s="415">
        <f t="shared" si="9"/>
        <v>0.95558823529411729</v>
      </c>
      <c r="AG48" s="625">
        <f>AF51</f>
        <v>0.95510344987051421</v>
      </c>
    </row>
    <row r="49" spans="1:33" ht="15.75" customHeight="1">
      <c r="A49" s="631" t="s">
        <v>2060</v>
      </c>
      <c r="B49" s="33" t="s">
        <v>36</v>
      </c>
      <c r="C49" s="612" t="s">
        <v>38</v>
      </c>
      <c r="D49" s="613"/>
      <c r="E49" s="33">
        <v>27.17</v>
      </c>
      <c r="F49" s="421">
        <v>7588</v>
      </c>
      <c r="G49" s="414">
        <f t="shared" si="31"/>
        <v>206165.96000000002</v>
      </c>
      <c r="H49" s="423" t="s">
        <v>5</v>
      </c>
      <c r="I49" s="419">
        <v>10</v>
      </c>
      <c r="J49" s="30">
        <v>3000</v>
      </c>
      <c r="K49" s="13">
        <f t="shared" si="1"/>
        <v>300</v>
      </c>
      <c r="L49" s="419">
        <v>10</v>
      </c>
      <c r="M49" s="14">
        <f t="shared" si="32"/>
        <v>2863.3962264150946</v>
      </c>
      <c r="N49" s="14">
        <f t="shared" si="3"/>
        <v>286.33962264150944</v>
      </c>
      <c r="O49" s="15">
        <f t="shared" si="4"/>
        <v>0</v>
      </c>
      <c r="P49" s="16">
        <f t="shared" si="5"/>
        <v>-13.660377358490564</v>
      </c>
      <c r="Q49" s="415">
        <f t="shared" si="6"/>
        <v>0.9544654088050315</v>
      </c>
      <c r="R49" s="626"/>
      <c r="S49" s="31">
        <v>0.30694444444444446</v>
      </c>
      <c r="T49" s="31">
        <v>0.41736111111111113</v>
      </c>
      <c r="U49" s="414">
        <f t="shared" ref="U49:U50" si="34">(S49-T48)*24*60</f>
        <v>5.9999999999999787</v>
      </c>
      <c r="V49" s="420">
        <f t="shared" si="33"/>
        <v>159</v>
      </c>
      <c r="W49" s="17"/>
      <c r="X49" s="17"/>
      <c r="Y49" s="20"/>
      <c r="Z49" s="20"/>
      <c r="AA49" s="614"/>
      <c r="AB49" s="615"/>
      <c r="AC49" s="19"/>
      <c r="AD49" s="19"/>
      <c r="AE49" s="15">
        <f t="shared" si="8"/>
        <v>-136.60377358490541</v>
      </c>
      <c r="AF49" s="415">
        <f t="shared" si="9"/>
        <v>0.9544654088050315</v>
      </c>
      <c r="AG49" s="626"/>
    </row>
    <row r="50" spans="1:33" ht="15.75" customHeight="1">
      <c r="A50" s="631" t="s">
        <v>2060</v>
      </c>
      <c r="B50" s="33" t="s">
        <v>36</v>
      </c>
      <c r="C50" s="612" t="s">
        <v>1511</v>
      </c>
      <c r="D50" s="613"/>
      <c r="E50" s="33">
        <v>37.880000000000003</v>
      </c>
      <c r="F50" s="421">
        <v>2866</v>
      </c>
      <c r="G50" s="414">
        <f t="shared" si="31"/>
        <v>108564.08</v>
      </c>
      <c r="H50" s="423" t="s">
        <v>5</v>
      </c>
      <c r="I50" s="419">
        <v>13</v>
      </c>
      <c r="J50" s="30">
        <v>2000</v>
      </c>
      <c r="K50" s="13">
        <f t="shared" si="1"/>
        <v>153.84615384615384</v>
      </c>
      <c r="L50" s="419">
        <v>13</v>
      </c>
      <c r="M50" s="14">
        <f t="shared" si="32"/>
        <v>1910.6666666666667</v>
      </c>
      <c r="N50" s="14">
        <f t="shared" si="3"/>
        <v>146.97435897435898</v>
      </c>
      <c r="O50" s="15">
        <f t="shared" si="4"/>
        <v>0</v>
      </c>
      <c r="P50" s="16">
        <f t="shared" si="5"/>
        <v>-6.8717948717948616</v>
      </c>
      <c r="Q50" s="415">
        <f t="shared" si="6"/>
        <v>0.95533333333333337</v>
      </c>
      <c r="R50" s="626"/>
      <c r="S50" s="31">
        <v>0.42083333333333334</v>
      </c>
      <c r="T50" s="31">
        <v>0.48333333333333334</v>
      </c>
      <c r="U50" s="414">
        <f t="shared" si="34"/>
        <v>4.9999999999999822</v>
      </c>
      <c r="V50" s="420">
        <f t="shared" si="33"/>
        <v>90</v>
      </c>
      <c r="W50" s="17"/>
      <c r="X50" s="17"/>
      <c r="Y50" s="20"/>
      <c r="Z50" s="20"/>
      <c r="AA50" s="614"/>
      <c r="AB50" s="615"/>
      <c r="AC50" s="19"/>
      <c r="AD50" s="19"/>
      <c r="AE50" s="15">
        <f t="shared" si="8"/>
        <v>-89.333333333333258</v>
      </c>
      <c r="AF50" s="415">
        <f t="shared" si="9"/>
        <v>0.95533333333333337</v>
      </c>
      <c r="AG50" s="626"/>
    </row>
    <row r="51" spans="1:33" ht="15.75" customHeight="1">
      <c r="A51" s="632" t="s">
        <v>2060</v>
      </c>
      <c r="B51" s="33" t="s">
        <v>2053</v>
      </c>
      <c r="C51" s="607"/>
      <c r="D51" s="608"/>
      <c r="E51" s="412"/>
      <c r="F51" s="421"/>
      <c r="G51" s="414"/>
      <c r="H51" s="421"/>
      <c r="I51" s="23">
        <v>11</v>
      </c>
      <c r="J51" s="30">
        <v>2666.6666666666665</v>
      </c>
      <c r="K51" s="13">
        <f t="shared" si="1"/>
        <v>242.42424242424241</v>
      </c>
      <c r="L51" s="23">
        <v>11</v>
      </c>
      <c r="M51" s="14">
        <f>AVERAGE(M48:M50)</f>
        <v>2546.9425329880378</v>
      </c>
      <c r="N51" s="13">
        <f t="shared" si="3"/>
        <v>231.54023027163979</v>
      </c>
      <c r="O51" s="15">
        <f t="shared" si="4"/>
        <v>0</v>
      </c>
      <c r="P51" s="16">
        <f t="shared" si="5"/>
        <v>-10.884012152602622</v>
      </c>
      <c r="Q51" s="415">
        <f t="shared" si="6"/>
        <v>0.95510344987051421</v>
      </c>
      <c r="R51" s="627"/>
      <c r="S51" s="31"/>
      <c r="T51" s="31"/>
      <c r="U51" s="414"/>
      <c r="V51" s="420"/>
      <c r="W51" s="17"/>
      <c r="X51" s="17"/>
      <c r="Y51" s="24">
        <f>SUM(Y48:Y50)</f>
        <v>0</v>
      </c>
      <c r="Z51" s="24">
        <f>SUM(Z48:Z50)</f>
        <v>0</v>
      </c>
      <c r="AA51" s="628"/>
      <c r="AB51" s="629"/>
      <c r="AC51" s="24">
        <v>3</v>
      </c>
      <c r="AD51" s="24">
        <f>SUM(AD48:AD50)</f>
        <v>0</v>
      </c>
      <c r="AE51" s="15">
        <f t="shared" si="8"/>
        <v>-119.72413367862873</v>
      </c>
      <c r="AF51" s="415">
        <f t="shared" si="9"/>
        <v>0.95510344987051421</v>
      </c>
      <c r="AG51" s="627"/>
    </row>
    <row r="52" spans="1:33" ht="15.75" customHeight="1">
      <c r="A52" s="623" t="s">
        <v>2061</v>
      </c>
      <c r="B52" s="33" t="s">
        <v>10</v>
      </c>
      <c r="C52" s="611" t="s">
        <v>42</v>
      </c>
      <c r="D52" s="611"/>
      <c r="E52" s="33">
        <v>46</v>
      </c>
      <c r="F52" s="35">
        <v>1540</v>
      </c>
      <c r="G52" s="414">
        <f t="shared" ref="G52:G59" si="35">E52*F52</f>
        <v>70840</v>
      </c>
      <c r="H52" s="423" t="s">
        <v>5</v>
      </c>
      <c r="I52" s="419">
        <v>16</v>
      </c>
      <c r="J52" s="30">
        <v>2000</v>
      </c>
      <c r="K52" s="13">
        <f t="shared" si="1"/>
        <v>125</v>
      </c>
      <c r="L52" s="419">
        <v>16</v>
      </c>
      <c r="M52" s="14">
        <f t="shared" ref="M52" si="36">F52/V52*60</f>
        <v>1925.0000000000005</v>
      </c>
      <c r="N52" s="14">
        <f t="shared" si="3"/>
        <v>120.31250000000003</v>
      </c>
      <c r="O52" s="15">
        <f t="shared" si="4"/>
        <v>0</v>
      </c>
      <c r="P52" s="16">
        <f t="shared" si="5"/>
        <v>-4.6874999999999716</v>
      </c>
      <c r="Q52" s="415">
        <f t="shared" si="6"/>
        <v>0.96250000000000024</v>
      </c>
      <c r="R52" s="619">
        <f>Q60</f>
        <v>0.96068081343943446</v>
      </c>
      <c r="S52" s="31">
        <v>0.20833333333333334</v>
      </c>
      <c r="T52" s="31">
        <v>0.24166666666666667</v>
      </c>
      <c r="U52" s="22"/>
      <c r="V52" s="420">
        <f t="shared" ref="V52:V59" si="37">(T52-S52)*24*60</f>
        <v>47.999999999999986</v>
      </c>
      <c r="W52" s="17"/>
      <c r="X52" s="17"/>
      <c r="Y52" s="22"/>
      <c r="Z52" s="22"/>
      <c r="AA52" s="610"/>
      <c r="AB52" s="610"/>
      <c r="AC52" s="19">
        <v>8</v>
      </c>
      <c r="AD52" s="19"/>
      <c r="AE52" s="15">
        <f t="shared" si="8"/>
        <v>-74.999999999999545</v>
      </c>
      <c r="AF52" s="415">
        <f t="shared" si="9"/>
        <v>0.96250000000000024</v>
      </c>
      <c r="AG52" s="619">
        <f>AF60</f>
        <v>0.96068081343943446</v>
      </c>
    </row>
    <row r="53" spans="1:33" ht="15.75" customHeight="1">
      <c r="A53" s="623" t="s">
        <v>2061</v>
      </c>
      <c r="B53" s="33" t="s">
        <v>10</v>
      </c>
      <c r="C53" s="611" t="s">
        <v>43</v>
      </c>
      <c r="D53" s="611"/>
      <c r="E53" s="33">
        <v>46</v>
      </c>
      <c r="F53" s="35">
        <v>1600</v>
      </c>
      <c r="G53" s="414">
        <f t="shared" si="35"/>
        <v>73600</v>
      </c>
      <c r="H53" s="423" t="s">
        <v>5</v>
      </c>
      <c r="I53" s="419">
        <v>17</v>
      </c>
      <c r="J53" s="30">
        <v>2000</v>
      </c>
      <c r="K53" s="13">
        <f t="shared" si="1"/>
        <v>117.64705882352941</v>
      </c>
      <c r="L53" s="419">
        <v>17</v>
      </c>
      <c r="M53" s="14">
        <f>F53/V53*60</f>
        <v>1920.0000000000005</v>
      </c>
      <c r="N53" s="14">
        <f t="shared" si="3"/>
        <v>112.94117647058826</v>
      </c>
      <c r="O53" s="15">
        <f t="shared" si="4"/>
        <v>0</v>
      </c>
      <c r="P53" s="16">
        <f t="shared" si="5"/>
        <v>-4.7058823529411455</v>
      </c>
      <c r="Q53" s="415">
        <f t="shared" si="6"/>
        <v>0.9600000000000003</v>
      </c>
      <c r="R53" s="619"/>
      <c r="S53" s="31">
        <v>0.24722222222222223</v>
      </c>
      <c r="T53" s="31">
        <v>0.28194444444444444</v>
      </c>
      <c r="U53" s="414">
        <f t="shared" ref="U53:U59" si="38">IF(S53=TIME(17,0,0),"",(S53-T52)*24*60)</f>
        <v>8.0000000000000107</v>
      </c>
      <c r="V53" s="420">
        <f t="shared" si="37"/>
        <v>49.999999999999986</v>
      </c>
      <c r="W53" s="17"/>
      <c r="X53" s="17"/>
      <c r="Y53" s="17"/>
      <c r="Z53" s="17"/>
      <c r="AA53" s="610"/>
      <c r="AB53" s="610"/>
      <c r="AC53" s="19"/>
      <c r="AD53" s="19"/>
      <c r="AE53" s="15">
        <f t="shared" si="8"/>
        <v>-79.999999999999545</v>
      </c>
      <c r="AF53" s="415">
        <f t="shared" si="9"/>
        <v>0.96000000000000019</v>
      </c>
      <c r="AG53" s="619"/>
    </row>
    <row r="54" spans="1:33" ht="15.75" customHeight="1">
      <c r="A54" s="623" t="s">
        <v>2061</v>
      </c>
      <c r="B54" s="33" t="s">
        <v>6</v>
      </c>
      <c r="C54" s="612" t="s">
        <v>41</v>
      </c>
      <c r="D54" s="613"/>
      <c r="E54" s="33">
        <v>51.44</v>
      </c>
      <c r="F54" s="35">
        <v>1679</v>
      </c>
      <c r="G54" s="414">
        <f t="shared" si="35"/>
        <v>86367.76</v>
      </c>
      <c r="H54" s="423" t="s">
        <v>5</v>
      </c>
      <c r="I54" s="419">
        <v>25</v>
      </c>
      <c r="J54" s="30">
        <v>2000</v>
      </c>
      <c r="K54" s="13">
        <f t="shared" si="1"/>
        <v>80</v>
      </c>
      <c r="L54" s="419">
        <v>25</v>
      </c>
      <c r="M54" s="14">
        <f t="shared" ref="M54:M59" si="39">F54/V54*60</f>
        <v>1937.3076923076933</v>
      </c>
      <c r="N54" s="14">
        <f t="shared" si="3"/>
        <v>77.492307692307733</v>
      </c>
      <c r="O54" s="15">
        <f t="shared" si="4"/>
        <v>0</v>
      </c>
      <c r="P54" s="16">
        <f t="shared" si="5"/>
        <v>-2.5076923076922668</v>
      </c>
      <c r="Q54" s="415">
        <f t="shared" si="6"/>
        <v>0.96865384615384664</v>
      </c>
      <c r="R54" s="619"/>
      <c r="S54" s="31">
        <v>0.28749999999999998</v>
      </c>
      <c r="T54" s="31">
        <v>0.32361111111111107</v>
      </c>
      <c r="U54" s="414">
        <f t="shared" si="38"/>
        <v>7.9999999999999716</v>
      </c>
      <c r="V54" s="420">
        <f t="shared" si="37"/>
        <v>51.999999999999972</v>
      </c>
      <c r="W54" s="17"/>
      <c r="X54" s="17"/>
      <c r="Y54" s="20"/>
      <c r="Z54" s="20"/>
      <c r="AA54" s="610"/>
      <c r="AB54" s="610"/>
      <c r="AC54" s="19"/>
      <c r="AD54" s="19"/>
      <c r="AE54" s="15">
        <f t="shared" si="8"/>
        <v>-62.692307692306713</v>
      </c>
      <c r="AF54" s="415">
        <f t="shared" si="9"/>
        <v>0.96865384615384664</v>
      </c>
      <c r="AG54" s="619"/>
    </row>
    <row r="55" spans="1:33" ht="15.75" customHeight="1">
      <c r="A55" s="623" t="s">
        <v>2061</v>
      </c>
      <c r="B55" s="33" t="s">
        <v>6</v>
      </c>
      <c r="C55" s="408" t="s">
        <v>77</v>
      </c>
      <c r="D55" s="409"/>
      <c r="E55" s="33">
        <v>56.43</v>
      </c>
      <c r="F55" s="35">
        <v>1537</v>
      </c>
      <c r="G55" s="414">
        <f t="shared" si="35"/>
        <v>86732.91</v>
      </c>
      <c r="H55" s="423" t="s">
        <v>5</v>
      </c>
      <c r="I55" s="419">
        <v>23</v>
      </c>
      <c r="J55" s="30">
        <v>2000</v>
      </c>
      <c r="K55" s="13">
        <f t="shared" si="1"/>
        <v>86.956521739130437</v>
      </c>
      <c r="L55" s="419">
        <v>23</v>
      </c>
      <c r="M55" s="14">
        <f t="shared" si="39"/>
        <v>1921.2500000000005</v>
      </c>
      <c r="N55" s="14">
        <f t="shared" si="3"/>
        <v>83.5326086956522</v>
      </c>
      <c r="O55" s="15">
        <f t="shared" si="4"/>
        <v>0</v>
      </c>
      <c r="P55" s="16">
        <f t="shared" si="5"/>
        <v>-3.4239130434782368</v>
      </c>
      <c r="Q55" s="415">
        <f t="shared" si="6"/>
        <v>0.96062500000000028</v>
      </c>
      <c r="R55" s="619"/>
      <c r="S55" s="31">
        <v>0.32708333333333328</v>
      </c>
      <c r="T55" s="31">
        <v>0.36041666666666661</v>
      </c>
      <c r="U55" s="414">
        <f t="shared" si="38"/>
        <v>4.9999999999999822</v>
      </c>
      <c r="V55" s="420">
        <f t="shared" si="37"/>
        <v>47.999999999999986</v>
      </c>
      <c r="W55" s="17"/>
      <c r="X55" s="17"/>
      <c r="Y55" s="20"/>
      <c r="Z55" s="20"/>
      <c r="AA55" s="610"/>
      <c r="AB55" s="610"/>
      <c r="AC55" s="19"/>
      <c r="AD55" s="19"/>
      <c r="AE55" s="15">
        <f t="shared" si="8"/>
        <v>-78.749999999999545</v>
      </c>
      <c r="AF55" s="415">
        <f t="shared" si="9"/>
        <v>0.96062500000000017</v>
      </c>
      <c r="AG55" s="619"/>
    </row>
    <row r="56" spans="1:33" ht="15.75" customHeight="1">
      <c r="A56" s="623" t="s">
        <v>2061</v>
      </c>
      <c r="B56" s="33" t="s">
        <v>6</v>
      </c>
      <c r="C56" s="408" t="s">
        <v>1513</v>
      </c>
      <c r="D56" s="409"/>
      <c r="E56" s="33">
        <v>56.43</v>
      </c>
      <c r="F56" s="35">
        <v>2036</v>
      </c>
      <c r="G56" s="414">
        <f t="shared" si="35"/>
        <v>114891.48</v>
      </c>
      <c r="H56" s="423" t="s">
        <v>5</v>
      </c>
      <c r="I56" s="419">
        <v>21</v>
      </c>
      <c r="J56" s="30">
        <v>2000</v>
      </c>
      <c r="K56" s="13">
        <f t="shared" si="1"/>
        <v>95.238095238095241</v>
      </c>
      <c r="L56" s="419">
        <v>21</v>
      </c>
      <c r="M56" s="14">
        <f t="shared" si="39"/>
        <v>1908.7499999999995</v>
      </c>
      <c r="N56" s="14">
        <f t="shared" si="3"/>
        <v>90.892857142857125</v>
      </c>
      <c r="O56" s="15">
        <f t="shared" si="4"/>
        <v>0</v>
      </c>
      <c r="P56" s="16">
        <f t="shared" si="5"/>
        <v>-4.3452380952381162</v>
      </c>
      <c r="Q56" s="415">
        <f t="shared" si="6"/>
        <v>0.95437499999999975</v>
      </c>
      <c r="R56" s="619"/>
      <c r="S56" s="31">
        <v>0.36388888888888882</v>
      </c>
      <c r="T56" s="31">
        <v>0.40833333333333327</v>
      </c>
      <c r="U56" s="414">
        <f t="shared" si="38"/>
        <v>4.9999999999999822</v>
      </c>
      <c r="V56" s="420">
        <f t="shared" si="37"/>
        <v>64.000000000000014</v>
      </c>
      <c r="W56" s="17"/>
      <c r="X56" s="17"/>
      <c r="Y56" s="20"/>
      <c r="Z56" s="20"/>
      <c r="AA56" s="610"/>
      <c r="AB56" s="610"/>
      <c r="AC56" s="19"/>
      <c r="AD56" s="19"/>
      <c r="AE56" s="15">
        <f t="shared" si="8"/>
        <v>-91.250000000000455</v>
      </c>
      <c r="AF56" s="415">
        <f t="shared" si="9"/>
        <v>0.95437499999999975</v>
      </c>
      <c r="AG56" s="619"/>
    </row>
    <row r="57" spans="1:33" ht="15.75" customHeight="1">
      <c r="A57" s="623" t="s">
        <v>2061</v>
      </c>
      <c r="B57" s="33" t="s">
        <v>6</v>
      </c>
      <c r="C57" s="612" t="s">
        <v>44</v>
      </c>
      <c r="D57" s="613"/>
      <c r="E57" s="33">
        <v>55.56</v>
      </c>
      <c r="F57" s="35">
        <v>2776</v>
      </c>
      <c r="G57" s="414">
        <f t="shared" si="35"/>
        <v>154234.56</v>
      </c>
      <c r="H57" s="423" t="s">
        <v>5</v>
      </c>
      <c r="I57" s="419">
        <v>17</v>
      </c>
      <c r="J57" s="30">
        <v>2000</v>
      </c>
      <c r="K57" s="13">
        <f t="shared" si="1"/>
        <v>117.64705882352941</v>
      </c>
      <c r="L57" s="419">
        <v>17</v>
      </c>
      <c r="M57" s="14">
        <f t="shared" si="39"/>
        <v>1914.4827586206893</v>
      </c>
      <c r="N57" s="14">
        <f t="shared" si="3"/>
        <v>112.61663286004055</v>
      </c>
      <c r="O57" s="15">
        <f t="shared" si="4"/>
        <v>0</v>
      </c>
      <c r="P57" s="16">
        <f t="shared" si="5"/>
        <v>-5.0304259634888524</v>
      </c>
      <c r="Q57" s="415">
        <f t="shared" si="6"/>
        <v>0.9572413793103447</v>
      </c>
      <c r="R57" s="619"/>
      <c r="S57" s="31">
        <v>0.70833333333333337</v>
      </c>
      <c r="T57" s="31">
        <v>0.76875000000000004</v>
      </c>
      <c r="U57" s="414" t="str">
        <f t="shared" si="38"/>
        <v/>
      </c>
      <c r="V57" s="420">
        <f t="shared" si="37"/>
        <v>87.000000000000014</v>
      </c>
      <c r="W57" s="17"/>
      <c r="X57" s="17"/>
      <c r="Y57" s="20"/>
      <c r="Z57" s="20"/>
      <c r="AA57" s="614"/>
      <c r="AB57" s="615"/>
      <c r="AC57" s="19"/>
      <c r="AD57" s="19"/>
      <c r="AE57" s="15">
        <f t="shared" si="8"/>
        <v>-85.51724137931069</v>
      </c>
      <c r="AF57" s="415">
        <f t="shared" si="9"/>
        <v>0.9572413793103447</v>
      </c>
      <c r="AG57" s="619"/>
    </row>
    <row r="58" spans="1:33" ht="15.75" customHeight="1">
      <c r="A58" s="623" t="s">
        <v>2061</v>
      </c>
      <c r="B58" s="33" t="s">
        <v>6</v>
      </c>
      <c r="C58" s="612" t="s">
        <v>72</v>
      </c>
      <c r="D58" s="613"/>
      <c r="E58" s="33">
        <v>58.17</v>
      </c>
      <c r="F58" s="35">
        <v>2030</v>
      </c>
      <c r="G58" s="414">
        <f t="shared" si="35"/>
        <v>118085.1</v>
      </c>
      <c r="H58" s="423" t="s">
        <v>5</v>
      </c>
      <c r="I58" s="419">
        <v>13</v>
      </c>
      <c r="J58" s="30">
        <v>2000</v>
      </c>
      <c r="K58" s="13">
        <f t="shared" si="1"/>
        <v>153.84615384615384</v>
      </c>
      <c r="L58" s="419">
        <v>13</v>
      </c>
      <c r="M58" s="14">
        <f t="shared" si="39"/>
        <v>1933.3333333333353</v>
      </c>
      <c r="N58" s="14">
        <f t="shared" si="3"/>
        <v>148.71794871794887</v>
      </c>
      <c r="O58" s="15">
        <f t="shared" si="4"/>
        <v>0</v>
      </c>
      <c r="P58" s="16">
        <f t="shared" si="5"/>
        <v>-5.1282051282049679</v>
      </c>
      <c r="Q58" s="415">
        <f t="shared" si="6"/>
        <v>0.96666666666666767</v>
      </c>
      <c r="R58" s="619"/>
      <c r="S58" s="31">
        <v>0.77222222222222225</v>
      </c>
      <c r="T58" s="31">
        <v>0.81597222222222221</v>
      </c>
      <c r="U58" s="414">
        <f t="shared" si="38"/>
        <v>4.9999999999999822</v>
      </c>
      <c r="V58" s="420">
        <f t="shared" si="37"/>
        <v>62.999999999999936</v>
      </c>
      <c r="W58" s="17"/>
      <c r="X58" s="17"/>
      <c r="Y58" s="20"/>
      <c r="Z58" s="20"/>
      <c r="AA58" s="614"/>
      <c r="AB58" s="615"/>
      <c r="AC58" s="19"/>
      <c r="AD58" s="19"/>
      <c r="AE58" s="15">
        <f t="shared" si="8"/>
        <v>-66.666666666664696</v>
      </c>
      <c r="AF58" s="415">
        <f t="shared" si="9"/>
        <v>0.96666666666666767</v>
      </c>
      <c r="AG58" s="619"/>
    </row>
    <row r="59" spans="1:33" ht="15.75" customHeight="1">
      <c r="A59" s="623" t="s">
        <v>2061</v>
      </c>
      <c r="B59" s="33" t="s">
        <v>6</v>
      </c>
      <c r="C59" s="612" t="s">
        <v>82</v>
      </c>
      <c r="D59" s="613"/>
      <c r="E59" s="33">
        <v>54.09</v>
      </c>
      <c r="F59" s="35">
        <v>1656</v>
      </c>
      <c r="G59" s="414">
        <f t="shared" si="35"/>
        <v>89573.040000000008</v>
      </c>
      <c r="H59" s="423" t="s">
        <v>5</v>
      </c>
      <c r="I59" s="419">
        <v>14</v>
      </c>
      <c r="J59" s="30">
        <v>2000</v>
      </c>
      <c r="K59" s="13">
        <f t="shared" si="1"/>
        <v>142.85714285714286</v>
      </c>
      <c r="L59" s="419">
        <v>14</v>
      </c>
      <c r="M59" s="14">
        <f t="shared" si="39"/>
        <v>1910.7692307692319</v>
      </c>
      <c r="N59" s="14">
        <f t="shared" si="3"/>
        <v>136.48351648351655</v>
      </c>
      <c r="O59" s="15">
        <f t="shared" si="4"/>
        <v>0</v>
      </c>
      <c r="P59" s="16">
        <f t="shared" si="5"/>
        <v>-6.3736263736263084</v>
      </c>
      <c r="Q59" s="415">
        <f t="shared" si="6"/>
        <v>0.95538461538461583</v>
      </c>
      <c r="R59" s="619"/>
      <c r="S59" s="31">
        <v>0.81944444444444442</v>
      </c>
      <c r="T59" s="31">
        <v>0.85555555555555551</v>
      </c>
      <c r="U59" s="414">
        <f t="shared" si="38"/>
        <v>4.9999999999999822</v>
      </c>
      <c r="V59" s="420">
        <f t="shared" si="37"/>
        <v>51.999999999999972</v>
      </c>
      <c r="W59" s="17"/>
      <c r="X59" s="17"/>
      <c r="Y59" s="20"/>
      <c r="Z59" s="20"/>
      <c r="AA59" s="614"/>
      <c r="AB59" s="615"/>
      <c r="AC59" s="19"/>
      <c r="AD59" s="19"/>
      <c r="AE59" s="15">
        <f t="shared" si="8"/>
        <v>-89.230769230768146</v>
      </c>
      <c r="AF59" s="415">
        <f t="shared" si="9"/>
        <v>0.95538461538461594</v>
      </c>
      <c r="AG59" s="619"/>
    </row>
    <row r="60" spans="1:33">
      <c r="A60" s="624" t="s">
        <v>2061</v>
      </c>
      <c r="B60" s="33" t="s">
        <v>2053</v>
      </c>
      <c r="C60" s="620"/>
      <c r="D60" s="620"/>
      <c r="E60" s="416"/>
      <c r="F60" s="34"/>
      <c r="G60" s="13"/>
      <c r="H60" s="421"/>
      <c r="I60" s="23">
        <v>18.25</v>
      </c>
      <c r="J60" s="30">
        <v>2000</v>
      </c>
      <c r="K60" s="13">
        <f t="shared" si="1"/>
        <v>109.58904109589041</v>
      </c>
      <c r="L60" s="23">
        <v>18.25</v>
      </c>
      <c r="M60" s="14">
        <f>AVERAGE(M52:M59)</f>
        <v>1921.3616268788689</v>
      </c>
      <c r="N60" s="13">
        <f t="shared" si="3"/>
        <v>105.28008914404761</v>
      </c>
      <c r="O60" s="15">
        <f t="shared" si="4"/>
        <v>0</v>
      </c>
      <c r="P60" s="16">
        <f t="shared" si="5"/>
        <v>-4.3089519518428006</v>
      </c>
      <c r="Q60" s="415">
        <f t="shared" si="6"/>
        <v>0.96068081343943446</v>
      </c>
      <c r="R60" s="619"/>
      <c r="S60" s="31"/>
      <c r="T60" s="31"/>
      <c r="U60" s="414"/>
      <c r="V60" s="420"/>
      <c r="W60" s="13"/>
      <c r="X60" s="13"/>
      <c r="Y60" s="24">
        <f>SUM(Y52:Y59)</f>
        <v>0</v>
      </c>
      <c r="Z60" s="24">
        <f>SUM(Z52:Z59)</f>
        <v>0</v>
      </c>
      <c r="AA60" s="609"/>
      <c r="AB60" s="609"/>
      <c r="AC60" s="24">
        <v>8</v>
      </c>
      <c r="AD60" s="24">
        <f>SUM(AD52:AD59)</f>
        <v>0</v>
      </c>
      <c r="AE60" s="15">
        <f>M60-J60</f>
        <v>-78.638373121131053</v>
      </c>
      <c r="AF60" s="415">
        <f t="shared" si="9"/>
        <v>0.96068081343943446</v>
      </c>
      <c r="AG60" s="619"/>
    </row>
    <row r="61" spans="1:33" ht="15.75" customHeight="1">
      <c r="A61" s="621" t="s">
        <v>2062</v>
      </c>
      <c r="B61" s="421" t="s">
        <v>36</v>
      </c>
      <c r="C61" s="611" t="s">
        <v>46</v>
      </c>
      <c r="D61" s="611"/>
      <c r="E61" s="33">
        <v>35.119999999999997</v>
      </c>
      <c r="F61" s="35">
        <v>6132</v>
      </c>
      <c r="G61" s="414">
        <f t="shared" ref="G61:G65" si="40">E61*F61</f>
        <v>215355.84</v>
      </c>
      <c r="H61" s="423" t="s">
        <v>5</v>
      </c>
      <c r="I61" s="419">
        <v>10</v>
      </c>
      <c r="J61" s="30">
        <v>3000</v>
      </c>
      <c r="K61" s="13">
        <f t="shared" si="1"/>
        <v>300</v>
      </c>
      <c r="L61" s="419">
        <v>10</v>
      </c>
      <c r="M61" s="14">
        <f t="shared" ref="M61:M65" si="41">F61/V61*60</f>
        <v>2852.0930232558148</v>
      </c>
      <c r="N61" s="13">
        <f t="shared" si="3"/>
        <v>285.20930232558146</v>
      </c>
      <c r="O61" s="15">
        <f t="shared" si="4"/>
        <v>0</v>
      </c>
      <c r="P61" s="16">
        <f t="shared" si="5"/>
        <v>-14.790697674418539</v>
      </c>
      <c r="Q61" s="415">
        <f t="shared" si="6"/>
        <v>0.95069767441860487</v>
      </c>
      <c r="R61" s="619">
        <f>Q66</f>
        <v>0.95964624849874491</v>
      </c>
      <c r="S61" s="31">
        <v>0.20833333333333334</v>
      </c>
      <c r="T61" s="31">
        <v>0.29791666666666666</v>
      </c>
      <c r="U61" s="414"/>
      <c r="V61" s="420">
        <f t="shared" ref="V61:V65" si="42">(T61-S61)*24*60</f>
        <v>128.99999999999997</v>
      </c>
      <c r="W61" s="17"/>
      <c r="X61" s="17"/>
      <c r="Y61" s="22"/>
      <c r="Z61" s="22"/>
      <c r="AA61" s="610"/>
      <c r="AB61" s="610"/>
      <c r="AC61" s="19">
        <v>5</v>
      </c>
      <c r="AD61" s="19"/>
      <c r="AE61" s="15">
        <f t="shared" ref="AE61:AE78" si="43">M61-J61</f>
        <v>-147.90697674418516</v>
      </c>
      <c r="AF61" s="415">
        <f t="shared" si="9"/>
        <v>0.95069767441860498</v>
      </c>
      <c r="AG61" s="619">
        <f>AF66</f>
        <v>0.9596462484987448</v>
      </c>
    </row>
    <row r="62" spans="1:33" ht="15.75" customHeight="1">
      <c r="A62" s="621" t="s">
        <v>2062</v>
      </c>
      <c r="B62" s="421" t="s">
        <v>36</v>
      </c>
      <c r="C62" s="611" t="s">
        <v>47</v>
      </c>
      <c r="D62" s="611"/>
      <c r="E62" s="33">
        <v>26.78</v>
      </c>
      <c r="F62" s="35">
        <v>3084</v>
      </c>
      <c r="G62" s="414">
        <f t="shared" si="40"/>
        <v>82589.52</v>
      </c>
      <c r="H62" s="423" t="s">
        <v>5</v>
      </c>
      <c r="I62" s="419">
        <v>10</v>
      </c>
      <c r="J62" s="30">
        <v>3000</v>
      </c>
      <c r="K62" s="13">
        <f t="shared" si="1"/>
        <v>300</v>
      </c>
      <c r="L62" s="419">
        <v>10</v>
      </c>
      <c r="M62" s="14">
        <f t="shared" si="41"/>
        <v>2891.2499999999991</v>
      </c>
      <c r="N62" s="13">
        <f t="shared" si="3"/>
        <v>289.12499999999989</v>
      </c>
      <c r="O62" s="15">
        <f t="shared" si="4"/>
        <v>0</v>
      </c>
      <c r="P62" s="16">
        <f t="shared" si="5"/>
        <v>-10.875000000000114</v>
      </c>
      <c r="Q62" s="415">
        <f t="shared" si="6"/>
        <v>0.96374999999999966</v>
      </c>
      <c r="R62" s="619"/>
      <c r="S62" s="31">
        <v>0.3034722222222222</v>
      </c>
      <c r="T62" s="31">
        <v>0.34791666666666665</v>
      </c>
      <c r="U62" s="414">
        <f t="shared" ref="U62:U65" si="44">(S62-T61)*24*60</f>
        <v>7.9999999999999716</v>
      </c>
      <c r="V62" s="420">
        <f t="shared" si="42"/>
        <v>64.000000000000014</v>
      </c>
      <c r="W62" s="414"/>
      <c r="X62" s="414"/>
      <c r="Y62" s="414"/>
      <c r="Z62" s="414"/>
      <c r="AA62" s="610"/>
      <c r="AB62" s="610"/>
      <c r="AC62" s="19"/>
      <c r="AD62" s="19"/>
      <c r="AE62" s="15">
        <f t="shared" si="43"/>
        <v>-108.75000000000091</v>
      </c>
      <c r="AF62" s="415">
        <f t="shared" si="9"/>
        <v>0.96374999999999966</v>
      </c>
      <c r="AG62" s="619"/>
    </row>
    <row r="63" spans="1:33" ht="15.75" customHeight="1">
      <c r="A63" s="621" t="s">
        <v>2062</v>
      </c>
      <c r="B63" s="421" t="s">
        <v>36</v>
      </c>
      <c r="C63" s="611" t="s">
        <v>49</v>
      </c>
      <c r="D63" s="611"/>
      <c r="E63" s="33">
        <v>35.869999999999997</v>
      </c>
      <c r="F63" s="35">
        <v>3418</v>
      </c>
      <c r="G63" s="414">
        <f t="shared" si="40"/>
        <v>122603.65999999999</v>
      </c>
      <c r="H63" s="423" t="s">
        <v>5</v>
      </c>
      <c r="I63" s="419">
        <v>10</v>
      </c>
      <c r="J63" s="30">
        <v>3000</v>
      </c>
      <c r="K63" s="13">
        <f t="shared" si="1"/>
        <v>300</v>
      </c>
      <c r="L63" s="419">
        <v>10</v>
      </c>
      <c r="M63" s="14">
        <f t="shared" si="41"/>
        <v>2888.4507042253526</v>
      </c>
      <c r="N63" s="13">
        <f t="shared" si="3"/>
        <v>288.84507042253529</v>
      </c>
      <c r="O63" s="15">
        <f t="shared" si="4"/>
        <v>0</v>
      </c>
      <c r="P63" s="16">
        <f t="shared" si="5"/>
        <v>-11.154929577464713</v>
      </c>
      <c r="Q63" s="415">
        <f t="shared" si="6"/>
        <v>0.962816901408451</v>
      </c>
      <c r="R63" s="619"/>
      <c r="S63" s="31">
        <v>0.35277777777777775</v>
      </c>
      <c r="T63" s="31">
        <v>0.40208333333333329</v>
      </c>
      <c r="U63" s="414">
        <f t="shared" si="44"/>
        <v>6.9999999999999751</v>
      </c>
      <c r="V63" s="420">
        <f t="shared" si="42"/>
        <v>70.999999999999986</v>
      </c>
      <c r="W63" s="414"/>
      <c r="X63" s="414"/>
      <c r="Y63" s="414"/>
      <c r="Z63" s="414"/>
      <c r="AA63" s="610"/>
      <c r="AB63" s="610"/>
      <c r="AC63" s="19"/>
      <c r="AD63" s="19"/>
      <c r="AE63" s="15">
        <f t="shared" si="43"/>
        <v>-111.54929577464736</v>
      </c>
      <c r="AF63" s="415">
        <f t="shared" si="9"/>
        <v>0.96281690140845089</v>
      </c>
      <c r="AG63" s="619"/>
    </row>
    <row r="64" spans="1:33" ht="15.75" customHeight="1">
      <c r="A64" s="621" t="s">
        <v>2062</v>
      </c>
      <c r="B64" s="421" t="s">
        <v>36</v>
      </c>
      <c r="C64" s="611" t="s">
        <v>39</v>
      </c>
      <c r="D64" s="611"/>
      <c r="E64" s="33">
        <v>35.869999999999997</v>
      </c>
      <c r="F64" s="35">
        <v>1532</v>
      </c>
      <c r="G64" s="414">
        <f t="shared" si="40"/>
        <v>54952.84</v>
      </c>
      <c r="H64" s="423" t="s">
        <v>5</v>
      </c>
      <c r="I64" s="419">
        <v>9</v>
      </c>
      <c r="J64" s="30">
        <v>3000</v>
      </c>
      <c r="K64" s="13">
        <f t="shared" si="1"/>
        <v>333.33333333333331</v>
      </c>
      <c r="L64" s="419">
        <v>9</v>
      </c>
      <c r="M64" s="14">
        <f t="shared" si="41"/>
        <v>2872.5000000000032</v>
      </c>
      <c r="N64" s="13">
        <f t="shared" si="3"/>
        <v>319.16666666666703</v>
      </c>
      <c r="O64" s="15">
        <f t="shared" si="4"/>
        <v>0</v>
      </c>
      <c r="P64" s="16">
        <f t="shared" si="5"/>
        <v>-14.166666666666288</v>
      </c>
      <c r="Q64" s="415">
        <f t="shared" si="6"/>
        <v>0.95750000000000113</v>
      </c>
      <c r="R64" s="619"/>
      <c r="S64" s="31">
        <v>0.4055555555555555</v>
      </c>
      <c r="T64" s="31">
        <v>0.4277777777777777</v>
      </c>
      <c r="U64" s="414">
        <f t="shared" si="44"/>
        <v>4.9999999999999822</v>
      </c>
      <c r="V64" s="420">
        <f t="shared" si="42"/>
        <v>31.999999999999964</v>
      </c>
      <c r="W64" s="414"/>
      <c r="X64" s="414"/>
      <c r="Y64" s="414"/>
      <c r="Z64" s="414"/>
      <c r="AA64" s="610"/>
      <c r="AB64" s="610"/>
      <c r="AC64" s="19"/>
      <c r="AD64" s="19"/>
      <c r="AE64" s="15">
        <f t="shared" si="43"/>
        <v>-127.49999999999682</v>
      </c>
      <c r="AF64" s="415">
        <f t="shared" si="9"/>
        <v>0.95750000000000102</v>
      </c>
      <c r="AG64" s="619"/>
    </row>
    <row r="65" spans="1:33">
      <c r="A65" s="622" t="s">
        <v>2062</v>
      </c>
      <c r="B65" s="421" t="s">
        <v>36</v>
      </c>
      <c r="C65" s="611" t="s">
        <v>74</v>
      </c>
      <c r="D65" s="611"/>
      <c r="E65" s="33">
        <v>33.770000000000003</v>
      </c>
      <c r="F65" s="35">
        <v>3613</v>
      </c>
      <c r="G65" s="414">
        <f t="shared" si="40"/>
        <v>122011.01000000001</v>
      </c>
      <c r="H65" s="423" t="s">
        <v>5</v>
      </c>
      <c r="I65" s="419">
        <v>12</v>
      </c>
      <c r="J65" s="30">
        <v>3000</v>
      </c>
      <c r="K65" s="13">
        <f t="shared" si="1"/>
        <v>250</v>
      </c>
      <c r="L65" s="419">
        <v>12</v>
      </c>
      <c r="M65" s="14">
        <f t="shared" si="41"/>
        <v>2890.400000000001</v>
      </c>
      <c r="N65" s="13">
        <f t="shared" si="3"/>
        <v>240.86666666666676</v>
      </c>
      <c r="O65" s="15">
        <f t="shared" si="4"/>
        <v>0</v>
      </c>
      <c r="P65" s="16">
        <f t="shared" si="5"/>
        <v>-9.1333333333332405</v>
      </c>
      <c r="Q65" s="415">
        <f t="shared" si="6"/>
        <v>0.96346666666666703</v>
      </c>
      <c r="R65" s="619"/>
      <c r="S65" s="31">
        <v>0.43194444444444435</v>
      </c>
      <c r="T65" s="31">
        <v>0.48402777777777767</v>
      </c>
      <c r="U65" s="414">
        <f t="shared" si="44"/>
        <v>5.9999999999999787</v>
      </c>
      <c r="V65" s="420">
        <f t="shared" si="42"/>
        <v>74.999999999999972</v>
      </c>
      <c r="W65" s="17"/>
      <c r="X65" s="17"/>
      <c r="Y65" s="17"/>
      <c r="Z65" s="17"/>
      <c r="AA65" s="610"/>
      <c r="AB65" s="610"/>
      <c r="AC65" s="19"/>
      <c r="AD65" s="19"/>
      <c r="AE65" s="15">
        <f t="shared" si="43"/>
        <v>-109.599999999999</v>
      </c>
      <c r="AF65" s="415">
        <f t="shared" si="9"/>
        <v>0.96346666666666703</v>
      </c>
      <c r="AG65" s="619"/>
    </row>
    <row r="66" spans="1:33">
      <c r="A66" s="622" t="s">
        <v>2062</v>
      </c>
      <c r="B66" s="33" t="s">
        <v>2053</v>
      </c>
      <c r="C66" s="620"/>
      <c r="D66" s="620"/>
      <c r="E66" s="416"/>
      <c r="F66" s="34"/>
      <c r="G66" s="13"/>
      <c r="H66" s="421"/>
      <c r="I66" s="23">
        <v>10.199999999999999</v>
      </c>
      <c r="J66" s="30">
        <v>3000</v>
      </c>
      <c r="K66" s="13">
        <f t="shared" si="1"/>
        <v>294.11764705882354</v>
      </c>
      <c r="L66" s="23">
        <v>10.199999999999999</v>
      </c>
      <c r="M66" s="14">
        <f>AVERAGE(M61:M65)</f>
        <v>2878.9387454962343</v>
      </c>
      <c r="N66" s="13">
        <f t="shared" si="3"/>
        <v>282.24889661727792</v>
      </c>
      <c r="O66" s="15">
        <f t="shared" si="4"/>
        <v>0</v>
      </c>
      <c r="P66" s="16">
        <f t="shared" si="5"/>
        <v>-11.868750441545615</v>
      </c>
      <c r="Q66" s="415">
        <f t="shared" si="6"/>
        <v>0.95964624849874491</v>
      </c>
      <c r="R66" s="619"/>
      <c r="S66" s="31"/>
      <c r="T66" s="31"/>
      <c r="U66" s="13"/>
      <c r="V66" s="420"/>
      <c r="W66" s="13"/>
      <c r="X66" s="13"/>
      <c r="Y66" s="24">
        <f>SUM(Y61:Y65)</f>
        <v>0</v>
      </c>
      <c r="Z66" s="24">
        <f>SUM(Z61:Z65)</f>
        <v>0</v>
      </c>
      <c r="AA66" s="609"/>
      <c r="AB66" s="609"/>
      <c r="AC66" s="24">
        <v>5</v>
      </c>
      <c r="AD66" s="24">
        <f>SUM(AD61:AD65)</f>
        <v>0</v>
      </c>
      <c r="AE66" s="15">
        <f t="shared" si="43"/>
        <v>-121.06125450376567</v>
      </c>
      <c r="AF66" s="415">
        <f t="shared" si="9"/>
        <v>0.9596462484987448</v>
      </c>
      <c r="AG66" s="619"/>
    </row>
    <row r="67" spans="1:33" ht="15.75" customHeight="1">
      <c r="A67" s="616" t="s">
        <v>2063</v>
      </c>
      <c r="B67" s="421" t="s">
        <v>27</v>
      </c>
      <c r="C67" s="611" t="s">
        <v>50</v>
      </c>
      <c r="D67" s="611"/>
      <c r="E67" s="33">
        <v>19.02</v>
      </c>
      <c r="F67" s="421">
        <v>6700</v>
      </c>
      <c r="G67" s="414">
        <f t="shared" ref="G67:G77" si="45">E67*F67</f>
        <v>127434</v>
      </c>
      <c r="H67" s="423">
        <v>2</v>
      </c>
      <c r="I67" s="419">
        <v>14</v>
      </c>
      <c r="J67" s="30">
        <v>2400</v>
      </c>
      <c r="K67" s="13">
        <f t="shared" si="1"/>
        <v>171.42857142857142</v>
      </c>
      <c r="L67" s="419">
        <v>14</v>
      </c>
      <c r="M67" s="14">
        <f t="shared" ref="M67:M77" si="46">F67/V67*60</f>
        <v>2297.1428571428569</v>
      </c>
      <c r="N67" s="13">
        <f t="shared" si="3"/>
        <v>164.08163265306121</v>
      </c>
      <c r="O67" s="15">
        <f t="shared" si="4"/>
        <v>0</v>
      </c>
      <c r="P67" s="16">
        <f t="shared" si="5"/>
        <v>-7.3469387755102105</v>
      </c>
      <c r="Q67" s="415">
        <f t="shared" si="6"/>
        <v>0.95714285714285707</v>
      </c>
      <c r="R67" s="619">
        <f>Q78</f>
        <v>0.95770700727857427</v>
      </c>
      <c r="S67" s="31">
        <v>8.3333333333333329E-2</v>
      </c>
      <c r="T67" s="31">
        <v>0.2048611111111111</v>
      </c>
      <c r="U67" s="22"/>
      <c r="V67" s="420">
        <f t="shared" ref="V67:V77" si="47">(T67-S67)*24*60</f>
        <v>175</v>
      </c>
      <c r="W67" s="17">
        <f>T67</f>
        <v>0.2048611111111111</v>
      </c>
      <c r="X67" s="17">
        <f>S68</f>
        <v>0.22569444444444445</v>
      </c>
      <c r="Y67" s="17"/>
      <c r="Z67" s="17"/>
      <c r="AA67" s="610"/>
      <c r="AB67" s="610"/>
      <c r="AC67" s="19">
        <v>11</v>
      </c>
      <c r="AD67" s="19"/>
      <c r="AE67" s="15">
        <f t="shared" si="43"/>
        <v>-102.85714285714312</v>
      </c>
      <c r="AF67" s="415">
        <f t="shared" si="9"/>
        <v>0.95714285714285707</v>
      </c>
      <c r="AG67" s="619">
        <f>AF78</f>
        <v>0.9577070072785745</v>
      </c>
    </row>
    <row r="68" spans="1:33" ht="15.75" customHeight="1">
      <c r="A68" s="617" t="s">
        <v>2063</v>
      </c>
      <c r="B68" s="421" t="s">
        <v>27</v>
      </c>
      <c r="C68" s="611" t="s">
        <v>51</v>
      </c>
      <c r="D68" s="611"/>
      <c r="E68" s="33">
        <v>20.36</v>
      </c>
      <c r="F68" s="421">
        <v>2700</v>
      </c>
      <c r="G68" s="414">
        <f t="shared" si="45"/>
        <v>54972</v>
      </c>
      <c r="H68" s="423">
        <v>2</v>
      </c>
      <c r="I68" s="419">
        <v>17</v>
      </c>
      <c r="J68" s="30">
        <v>2400</v>
      </c>
      <c r="K68" s="13">
        <f t="shared" si="1"/>
        <v>141.1764705882353</v>
      </c>
      <c r="L68" s="419">
        <v>17</v>
      </c>
      <c r="M68" s="14">
        <f t="shared" si="46"/>
        <v>2281.6901408450694</v>
      </c>
      <c r="N68" s="13">
        <f t="shared" si="3"/>
        <v>134.21706710853348</v>
      </c>
      <c r="O68" s="15">
        <f t="shared" si="4"/>
        <v>0</v>
      </c>
      <c r="P68" s="16">
        <f t="shared" si="5"/>
        <v>-6.9594034797018196</v>
      </c>
      <c r="Q68" s="415">
        <f t="shared" si="6"/>
        <v>0.95070422535211208</v>
      </c>
      <c r="R68" s="619"/>
      <c r="S68" s="31">
        <v>0.22569444444444445</v>
      </c>
      <c r="T68" s="31">
        <v>0.27500000000000002</v>
      </c>
      <c r="U68" s="414">
        <f t="shared" ref="U68:U77" si="48">(S68-T67)*24*60</f>
        <v>30.000000000000014</v>
      </c>
      <c r="V68" s="420">
        <f t="shared" si="47"/>
        <v>71.000000000000028</v>
      </c>
      <c r="W68" s="17"/>
      <c r="X68" s="17"/>
      <c r="Y68" s="17"/>
      <c r="Z68" s="17"/>
      <c r="AA68" s="610"/>
      <c r="AB68" s="610"/>
      <c r="AC68" s="19"/>
      <c r="AD68" s="19"/>
      <c r="AE68" s="15">
        <f t="shared" si="43"/>
        <v>-118.30985915493056</v>
      </c>
      <c r="AF68" s="415">
        <f t="shared" si="9"/>
        <v>0.9507042253521123</v>
      </c>
      <c r="AG68" s="619"/>
    </row>
    <row r="69" spans="1:33" ht="15.75" customHeight="1">
      <c r="A69" s="617" t="s">
        <v>2063</v>
      </c>
      <c r="B69" s="421" t="s">
        <v>27</v>
      </c>
      <c r="C69" s="611" t="s">
        <v>876</v>
      </c>
      <c r="D69" s="611"/>
      <c r="E69" s="33">
        <v>23.8</v>
      </c>
      <c r="F69" s="421">
        <v>2600</v>
      </c>
      <c r="G69" s="414">
        <f t="shared" si="45"/>
        <v>61880</v>
      </c>
      <c r="H69" s="423">
        <v>2</v>
      </c>
      <c r="I69" s="419">
        <v>16</v>
      </c>
      <c r="J69" s="30">
        <v>2400</v>
      </c>
      <c r="K69" s="13">
        <f t="shared" ref="K69:K78" si="49">J69/I69</f>
        <v>150</v>
      </c>
      <c r="L69" s="419">
        <v>16</v>
      </c>
      <c r="M69" s="14">
        <f t="shared" si="46"/>
        <v>2294.1176470588234</v>
      </c>
      <c r="N69" s="13">
        <f t="shared" ref="N69:N78" si="50">M69/L69</f>
        <v>143.38235294117646</v>
      </c>
      <c r="O69" s="15">
        <f t="shared" ref="O69:O78" si="51">L69-I69</f>
        <v>0</v>
      </c>
      <c r="P69" s="16">
        <f t="shared" ref="P69:P78" si="52">N69-K69</f>
        <v>-6.6176470588235361</v>
      </c>
      <c r="Q69" s="415">
        <f t="shared" ref="Q69:Q78" si="53">N69/K69</f>
        <v>0.95588235294117641</v>
      </c>
      <c r="R69" s="619"/>
      <c r="S69" s="31">
        <v>0.28055555555555556</v>
      </c>
      <c r="T69" s="31">
        <v>0.32777777777777778</v>
      </c>
      <c r="U69" s="414">
        <f t="shared" si="48"/>
        <v>7.9999999999999716</v>
      </c>
      <c r="V69" s="420">
        <f t="shared" si="47"/>
        <v>68</v>
      </c>
      <c r="W69" s="17"/>
      <c r="X69" s="17"/>
      <c r="Y69" s="17"/>
      <c r="Z69" s="17"/>
      <c r="AA69" s="610"/>
      <c r="AB69" s="610"/>
      <c r="AC69" s="19"/>
      <c r="AD69" s="19"/>
      <c r="AE69" s="15">
        <f t="shared" si="43"/>
        <v>-105.88235294117658</v>
      </c>
      <c r="AF69" s="415">
        <f t="shared" ref="AF69:AF78" si="54">M69/J69</f>
        <v>0.95588235294117641</v>
      </c>
      <c r="AG69" s="619"/>
    </row>
    <row r="70" spans="1:33" ht="15.75" customHeight="1">
      <c r="A70" s="617" t="s">
        <v>2063</v>
      </c>
      <c r="B70" s="421" t="s">
        <v>27</v>
      </c>
      <c r="C70" s="611" t="s">
        <v>31</v>
      </c>
      <c r="D70" s="611"/>
      <c r="E70" s="33">
        <v>25.99</v>
      </c>
      <c r="F70" s="421">
        <v>1494</v>
      </c>
      <c r="G70" s="414">
        <f t="shared" si="45"/>
        <v>38829.06</v>
      </c>
      <c r="H70" s="423" t="s">
        <v>5</v>
      </c>
      <c r="I70" s="419">
        <v>18</v>
      </c>
      <c r="J70" s="30">
        <v>2400</v>
      </c>
      <c r="K70" s="13">
        <f t="shared" si="49"/>
        <v>133.33333333333334</v>
      </c>
      <c r="L70" s="419">
        <v>18</v>
      </c>
      <c r="M70" s="14">
        <f t="shared" si="46"/>
        <v>2298.4615384615372</v>
      </c>
      <c r="N70" s="13">
        <f t="shared" si="50"/>
        <v>127.69230769230762</v>
      </c>
      <c r="O70" s="15">
        <f t="shared" si="51"/>
        <v>0</v>
      </c>
      <c r="P70" s="16">
        <f t="shared" si="52"/>
        <v>-5.6410256410257205</v>
      </c>
      <c r="Q70" s="415">
        <f t="shared" si="53"/>
        <v>0.95769230769230707</v>
      </c>
      <c r="R70" s="619"/>
      <c r="S70" s="31">
        <v>0.33333333333333331</v>
      </c>
      <c r="T70" s="31">
        <v>0.36041666666666666</v>
      </c>
      <c r="U70" s="414">
        <f t="shared" si="48"/>
        <v>7.9999999999999716</v>
      </c>
      <c r="V70" s="420">
        <f t="shared" si="47"/>
        <v>39.000000000000021</v>
      </c>
      <c r="W70" s="17"/>
      <c r="X70" s="17"/>
      <c r="Y70" s="17"/>
      <c r="Z70" s="17"/>
      <c r="AA70" s="610"/>
      <c r="AB70" s="610"/>
      <c r="AC70" s="19"/>
      <c r="AD70" s="19"/>
      <c r="AE70" s="15">
        <f t="shared" si="43"/>
        <v>-101.5384615384628</v>
      </c>
      <c r="AF70" s="415">
        <f t="shared" si="54"/>
        <v>0.95769230769230718</v>
      </c>
      <c r="AG70" s="619"/>
    </row>
    <row r="71" spans="1:33" ht="15.75" customHeight="1">
      <c r="A71" s="617" t="s">
        <v>2063</v>
      </c>
      <c r="B71" s="421" t="s">
        <v>27</v>
      </c>
      <c r="C71" s="611" t="s">
        <v>53</v>
      </c>
      <c r="D71" s="611"/>
      <c r="E71" s="33">
        <v>28.29</v>
      </c>
      <c r="F71" s="421">
        <v>2939</v>
      </c>
      <c r="G71" s="414">
        <f t="shared" si="45"/>
        <v>83144.31</v>
      </c>
      <c r="H71" s="423" t="s">
        <v>5</v>
      </c>
      <c r="I71" s="419">
        <v>19</v>
      </c>
      <c r="J71" s="30">
        <v>2400</v>
      </c>
      <c r="K71" s="13">
        <f t="shared" si="49"/>
        <v>126.31578947368421</v>
      </c>
      <c r="L71" s="419">
        <v>19</v>
      </c>
      <c r="M71" s="14">
        <f t="shared" si="46"/>
        <v>2290.1298701298711</v>
      </c>
      <c r="N71" s="13">
        <f t="shared" si="50"/>
        <v>120.5331510594669</v>
      </c>
      <c r="O71" s="15">
        <f t="shared" si="51"/>
        <v>0</v>
      </c>
      <c r="P71" s="16">
        <f t="shared" si="52"/>
        <v>-5.7826384142173026</v>
      </c>
      <c r="Q71" s="415">
        <f t="shared" si="53"/>
        <v>0.95422077922077964</v>
      </c>
      <c r="R71" s="619"/>
      <c r="S71" s="31">
        <v>0.3659722222222222</v>
      </c>
      <c r="T71" s="31">
        <v>0.4194444444444444</v>
      </c>
      <c r="U71" s="414">
        <f t="shared" si="48"/>
        <v>7.9999999999999716</v>
      </c>
      <c r="V71" s="420">
        <f t="shared" si="47"/>
        <v>76.999999999999972</v>
      </c>
      <c r="W71" s="17"/>
      <c r="X71" s="17"/>
      <c r="Y71" s="17"/>
      <c r="Z71" s="17"/>
      <c r="AA71" s="610"/>
      <c r="AB71" s="610"/>
      <c r="AC71" s="19"/>
      <c r="AD71" s="19"/>
      <c r="AE71" s="15">
        <f t="shared" si="43"/>
        <v>-109.87012987012895</v>
      </c>
      <c r="AF71" s="415">
        <f t="shared" si="54"/>
        <v>0.95422077922077964</v>
      </c>
      <c r="AG71" s="619"/>
    </row>
    <row r="72" spans="1:33" ht="15.75" customHeight="1">
      <c r="A72" s="617" t="s">
        <v>2063</v>
      </c>
      <c r="B72" s="421" t="s">
        <v>27</v>
      </c>
      <c r="C72" s="611" t="s">
        <v>52</v>
      </c>
      <c r="D72" s="611"/>
      <c r="E72" s="33">
        <v>25.98</v>
      </c>
      <c r="F72" s="421">
        <v>2014</v>
      </c>
      <c r="G72" s="414">
        <f t="shared" si="45"/>
        <v>52323.72</v>
      </c>
      <c r="H72" s="423" t="s">
        <v>5</v>
      </c>
      <c r="I72" s="419">
        <v>17</v>
      </c>
      <c r="J72" s="30">
        <v>2400</v>
      </c>
      <c r="K72" s="13">
        <f t="shared" si="49"/>
        <v>141.1764705882353</v>
      </c>
      <c r="L72" s="419">
        <v>17</v>
      </c>
      <c r="M72" s="14">
        <f t="shared" si="46"/>
        <v>2323.8461538461552</v>
      </c>
      <c r="N72" s="13">
        <f t="shared" si="50"/>
        <v>136.69683257918561</v>
      </c>
      <c r="O72" s="15">
        <f t="shared" si="51"/>
        <v>0</v>
      </c>
      <c r="P72" s="16">
        <f t="shared" si="52"/>
        <v>-4.4796380090496939</v>
      </c>
      <c r="Q72" s="415">
        <f t="shared" si="53"/>
        <v>0.96826923076923133</v>
      </c>
      <c r="R72" s="619"/>
      <c r="S72" s="31">
        <v>0.42361111111111105</v>
      </c>
      <c r="T72" s="31">
        <v>0.45972222222222214</v>
      </c>
      <c r="U72" s="414">
        <f t="shared" si="48"/>
        <v>5.9999999999999787</v>
      </c>
      <c r="V72" s="420">
        <f t="shared" si="47"/>
        <v>51.999999999999972</v>
      </c>
      <c r="W72" s="17"/>
      <c r="X72" s="17"/>
      <c r="Y72" s="17"/>
      <c r="Z72" s="17"/>
      <c r="AA72" s="610"/>
      <c r="AB72" s="610"/>
      <c r="AC72" s="19"/>
      <c r="AD72" s="19"/>
      <c r="AE72" s="15">
        <f t="shared" si="43"/>
        <v>-76.153846153844825</v>
      </c>
      <c r="AF72" s="415">
        <f t="shared" si="54"/>
        <v>0.96826923076923133</v>
      </c>
      <c r="AG72" s="619"/>
    </row>
    <row r="73" spans="1:33" ht="15.75" customHeight="1">
      <c r="A73" s="617" t="s">
        <v>2063</v>
      </c>
      <c r="B73" s="421" t="s">
        <v>27</v>
      </c>
      <c r="C73" s="612" t="s">
        <v>197</v>
      </c>
      <c r="D73" s="613"/>
      <c r="E73" s="33">
        <v>23.89</v>
      </c>
      <c r="F73" s="421">
        <v>2100</v>
      </c>
      <c r="G73" s="414">
        <f t="shared" si="45"/>
        <v>50169</v>
      </c>
      <c r="H73" s="423">
        <v>2</v>
      </c>
      <c r="I73" s="419">
        <v>17</v>
      </c>
      <c r="J73" s="30">
        <v>2400</v>
      </c>
      <c r="K73" s="13">
        <f t="shared" si="49"/>
        <v>141.1764705882353</v>
      </c>
      <c r="L73" s="419">
        <v>17</v>
      </c>
      <c r="M73" s="14">
        <f t="shared" si="46"/>
        <v>2290.9090909090924</v>
      </c>
      <c r="N73" s="13">
        <f t="shared" si="50"/>
        <v>134.75935828877013</v>
      </c>
      <c r="O73" s="15">
        <f t="shared" si="51"/>
        <v>0</v>
      </c>
      <c r="P73" s="16">
        <f t="shared" si="52"/>
        <v>-6.4171122994651739</v>
      </c>
      <c r="Q73" s="415">
        <f t="shared" si="53"/>
        <v>0.95454545454545503</v>
      </c>
      <c r="R73" s="619"/>
      <c r="S73" s="31">
        <v>0.46458333333333324</v>
      </c>
      <c r="T73" s="31">
        <v>0.50277777777777766</v>
      </c>
      <c r="U73" s="414">
        <f t="shared" si="48"/>
        <v>6.9999999999999751</v>
      </c>
      <c r="V73" s="420">
        <f t="shared" si="47"/>
        <v>54.999999999999964</v>
      </c>
      <c r="W73" s="17">
        <f>T73</f>
        <v>0.50277777777777766</v>
      </c>
      <c r="X73" s="17">
        <f>S74</f>
        <v>0.5430555555555554</v>
      </c>
      <c r="Y73" s="20"/>
      <c r="Z73" s="20"/>
      <c r="AA73" s="614"/>
      <c r="AB73" s="615"/>
      <c r="AC73" s="19"/>
      <c r="AD73" s="19"/>
      <c r="AE73" s="15">
        <f t="shared" si="43"/>
        <v>-109.09090909090764</v>
      </c>
      <c r="AF73" s="415">
        <f t="shared" si="54"/>
        <v>0.95454545454545514</v>
      </c>
      <c r="AG73" s="619"/>
    </row>
    <row r="74" spans="1:33" ht="15.75" customHeight="1">
      <c r="A74" s="617" t="s">
        <v>2063</v>
      </c>
      <c r="B74" s="421" t="s">
        <v>27</v>
      </c>
      <c r="C74" s="612" t="s">
        <v>50</v>
      </c>
      <c r="D74" s="613"/>
      <c r="E74" s="33">
        <v>19.02</v>
      </c>
      <c r="F74" s="421">
        <v>5370</v>
      </c>
      <c r="G74" s="414">
        <f t="shared" si="45"/>
        <v>102137.4</v>
      </c>
      <c r="H74" s="423" t="s">
        <v>5</v>
      </c>
      <c r="I74" s="419">
        <v>14</v>
      </c>
      <c r="J74" s="30">
        <v>2400</v>
      </c>
      <c r="K74" s="13">
        <f t="shared" si="49"/>
        <v>171.42857142857142</v>
      </c>
      <c r="L74" s="419">
        <v>14</v>
      </c>
      <c r="M74" s="14">
        <f t="shared" si="46"/>
        <v>2285.1063829787236</v>
      </c>
      <c r="N74" s="13">
        <f t="shared" si="50"/>
        <v>163.22188449848025</v>
      </c>
      <c r="O74" s="15">
        <f t="shared" si="51"/>
        <v>0</v>
      </c>
      <c r="P74" s="16">
        <f t="shared" si="52"/>
        <v>-8.2066869300911662</v>
      </c>
      <c r="Q74" s="415">
        <f t="shared" si="53"/>
        <v>0.95212765957446821</v>
      </c>
      <c r="R74" s="619"/>
      <c r="S74" s="31">
        <v>0.5430555555555554</v>
      </c>
      <c r="T74" s="31">
        <v>0.64097222222222205</v>
      </c>
      <c r="U74" s="414">
        <f t="shared" si="48"/>
        <v>57.999999999999957</v>
      </c>
      <c r="V74" s="420">
        <f t="shared" si="47"/>
        <v>140.99999999999997</v>
      </c>
      <c r="W74" s="17"/>
      <c r="X74" s="17"/>
      <c r="Y74" s="20"/>
      <c r="Z74" s="20"/>
      <c r="AA74" s="614"/>
      <c r="AB74" s="615"/>
      <c r="AC74" s="19"/>
      <c r="AD74" s="19"/>
      <c r="AE74" s="15">
        <f t="shared" si="43"/>
        <v>-114.89361702127644</v>
      </c>
      <c r="AF74" s="415">
        <f t="shared" si="54"/>
        <v>0.9521276595744681</v>
      </c>
      <c r="AG74" s="619"/>
    </row>
    <row r="75" spans="1:33" ht="15.75" customHeight="1">
      <c r="A75" s="617" t="s">
        <v>2063</v>
      </c>
      <c r="B75" s="421" t="s">
        <v>27</v>
      </c>
      <c r="C75" s="612" t="s">
        <v>51</v>
      </c>
      <c r="D75" s="613"/>
      <c r="E75" s="33">
        <v>20.36</v>
      </c>
      <c r="F75" s="421">
        <v>2105</v>
      </c>
      <c r="G75" s="414">
        <f t="shared" si="45"/>
        <v>42857.799999999996</v>
      </c>
      <c r="H75" s="423" t="s">
        <v>5</v>
      </c>
      <c r="I75" s="419">
        <v>17</v>
      </c>
      <c r="J75" s="30">
        <v>2400</v>
      </c>
      <c r="K75" s="13">
        <f t="shared" si="49"/>
        <v>141.1764705882353</v>
      </c>
      <c r="L75" s="419">
        <v>17</v>
      </c>
      <c r="M75" s="14">
        <f t="shared" si="46"/>
        <v>2296.3636363636379</v>
      </c>
      <c r="N75" s="13">
        <f t="shared" si="50"/>
        <v>135.08021390374341</v>
      </c>
      <c r="O75" s="15">
        <f t="shared" si="51"/>
        <v>0</v>
      </c>
      <c r="P75" s="16">
        <f t="shared" si="52"/>
        <v>-6.0962566844918911</v>
      </c>
      <c r="Q75" s="415">
        <f t="shared" si="53"/>
        <v>0.95681818181818246</v>
      </c>
      <c r="R75" s="619"/>
      <c r="S75" s="31">
        <v>0.64513888888888871</v>
      </c>
      <c r="T75" s="31">
        <v>0.68333333333333313</v>
      </c>
      <c r="U75" s="414">
        <f t="shared" si="48"/>
        <v>5.9999999999999787</v>
      </c>
      <c r="V75" s="420">
        <f t="shared" si="47"/>
        <v>54.999999999999964</v>
      </c>
      <c r="W75" s="17"/>
      <c r="X75" s="17"/>
      <c r="Y75" s="20"/>
      <c r="Z75" s="20"/>
      <c r="AA75" s="614"/>
      <c r="AB75" s="615"/>
      <c r="AC75" s="19"/>
      <c r="AD75" s="19"/>
      <c r="AE75" s="15">
        <f t="shared" si="43"/>
        <v>-103.63636363636215</v>
      </c>
      <c r="AF75" s="415">
        <f t="shared" si="54"/>
        <v>0.95681818181818246</v>
      </c>
      <c r="AG75" s="619"/>
    </row>
    <row r="76" spans="1:33" ht="15.75" customHeight="1">
      <c r="A76" s="617" t="s">
        <v>2063</v>
      </c>
      <c r="B76" s="421" t="s">
        <v>27</v>
      </c>
      <c r="C76" s="612" t="s">
        <v>876</v>
      </c>
      <c r="D76" s="613"/>
      <c r="E76" s="33">
        <v>23.8</v>
      </c>
      <c r="F76" s="421">
        <v>1852</v>
      </c>
      <c r="G76" s="414">
        <f t="shared" si="45"/>
        <v>44077.599999999999</v>
      </c>
      <c r="H76" s="423" t="s">
        <v>5</v>
      </c>
      <c r="I76" s="419">
        <v>16</v>
      </c>
      <c r="J76" s="30">
        <v>2400</v>
      </c>
      <c r="K76" s="13">
        <f t="shared" si="49"/>
        <v>150</v>
      </c>
      <c r="L76" s="419">
        <v>16</v>
      </c>
      <c r="M76" s="14">
        <f t="shared" si="46"/>
        <v>2315.0000000000005</v>
      </c>
      <c r="N76" s="13">
        <f t="shared" si="50"/>
        <v>144.68750000000003</v>
      </c>
      <c r="O76" s="15">
        <f t="shared" si="51"/>
        <v>0</v>
      </c>
      <c r="P76" s="16">
        <f t="shared" si="52"/>
        <v>-5.3124999999999716</v>
      </c>
      <c r="Q76" s="415">
        <f t="shared" si="53"/>
        <v>0.96458333333333357</v>
      </c>
      <c r="R76" s="619"/>
      <c r="S76" s="31">
        <v>0.68749999999999978</v>
      </c>
      <c r="T76" s="31">
        <v>0.7208333333333331</v>
      </c>
      <c r="U76" s="414">
        <f t="shared" si="48"/>
        <v>5.9999999999999787</v>
      </c>
      <c r="V76" s="420">
        <f t="shared" si="47"/>
        <v>47.999999999999986</v>
      </c>
      <c r="W76" s="17"/>
      <c r="X76" s="17"/>
      <c r="Y76" s="20"/>
      <c r="Z76" s="20"/>
      <c r="AA76" s="614"/>
      <c r="AB76" s="615"/>
      <c r="AC76" s="19"/>
      <c r="AD76" s="19"/>
      <c r="AE76" s="15">
        <f t="shared" si="43"/>
        <v>-84.999999999999545</v>
      </c>
      <c r="AF76" s="415">
        <f t="shared" si="54"/>
        <v>0.96458333333333357</v>
      </c>
      <c r="AG76" s="619"/>
    </row>
    <row r="77" spans="1:33" ht="15.75" customHeight="1">
      <c r="A77" s="617" t="s">
        <v>2063</v>
      </c>
      <c r="B77" s="421" t="s">
        <v>27</v>
      </c>
      <c r="C77" s="612" t="s">
        <v>197</v>
      </c>
      <c r="D77" s="613"/>
      <c r="E77" s="33">
        <v>23.89</v>
      </c>
      <c r="F77" s="421">
        <v>1656</v>
      </c>
      <c r="G77" s="414">
        <f t="shared" si="45"/>
        <v>39561.840000000004</v>
      </c>
      <c r="H77" s="423" t="s">
        <v>5</v>
      </c>
      <c r="I77" s="419">
        <v>17</v>
      </c>
      <c r="J77" s="30">
        <v>2400</v>
      </c>
      <c r="K77" s="13">
        <f t="shared" si="49"/>
        <v>141.1764705882353</v>
      </c>
      <c r="L77" s="419">
        <v>17</v>
      </c>
      <c r="M77" s="14">
        <f t="shared" si="46"/>
        <v>2310.697674418604</v>
      </c>
      <c r="N77" s="13">
        <f t="shared" si="50"/>
        <v>135.92339261285906</v>
      </c>
      <c r="O77" s="15">
        <f t="shared" si="51"/>
        <v>0</v>
      </c>
      <c r="P77" s="16">
        <f t="shared" si="52"/>
        <v>-5.2530779753762431</v>
      </c>
      <c r="Q77" s="415">
        <f t="shared" si="53"/>
        <v>0.96279069767441827</v>
      </c>
      <c r="R77" s="619"/>
      <c r="S77" s="31">
        <v>0.72430555555555531</v>
      </c>
      <c r="T77" s="31">
        <v>0.75416666666666643</v>
      </c>
      <c r="U77" s="414">
        <f t="shared" si="48"/>
        <v>4.9999999999999822</v>
      </c>
      <c r="V77" s="420">
        <f t="shared" si="47"/>
        <v>43.000000000000007</v>
      </c>
      <c r="W77" s="17"/>
      <c r="X77" s="17"/>
      <c r="Y77" s="20"/>
      <c r="Z77" s="20"/>
      <c r="AA77" s="614"/>
      <c r="AB77" s="615"/>
      <c r="AC77" s="19"/>
      <c r="AD77" s="19"/>
      <c r="AE77" s="15">
        <f t="shared" si="43"/>
        <v>-89.302325581395962</v>
      </c>
      <c r="AF77" s="415">
        <f t="shared" si="54"/>
        <v>0.96279069767441838</v>
      </c>
      <c r="AG77" s="619"/>
    </row>
    <row r="78" spans="1:33" ht="16.5" customHeight="1">
      <c r="A78" s="618" t="s">
        <v>2063</v>
      </c>
      <c r="B78" s="33" t="s">
        <v>2053</v>
      </c>
      <c r="C78" s="607"/>
      <c r="D78" s="608"/>
      <c r="E78" s="416"/>
      <c r="F78" s="34"/>
      <c r="G78" s="13"/>
      <c r="H78" s="421"/>
      <c r="I78" s="23">
        <v>16.545454545454547</v>
      </c>
      <c r="J78" s="30">
        <v>2400</v>
      </c>
      <c r="K78" s="13">
        <f t="shared" si="49"/>
        <v>145.05494505494505</v>
      </c>
      <c r="L78" s="23">
        <v>16.545454545454547</v>
      </c>
      <c r="M78" s="14">
        <f>AVERAGE(M67:M77)</f>
        <v>2298.4968174685787</v>
      </c>
      <c r="N78" s="13">
        <f t="shared" si="50"/>
        <v>138.92013731952946</v>
      </c>
      <c r="O78" s="15">
        <f t="shared" si="51"/>
        <v>0</v>
      </c>
      <c r="P78" s="16">
        <f t="shared" si="52"/>
        <v>-6.1348077354155919</v>
      </c>
      <c r="Q78" s="415">
        <f t="shared" si="53"/>
        <v>0.95770700727857427</v>
      </c>
      <c r="R78" s="619"/>
      <c r="S78" s="31"/>
      <c r="T78" s="31"/>
      <c r="U78" s="13"/>
      <c r="V78" s="420"/>
      <c r="W78" s="13"/>
      <c r="X78" s="13"/>
      <c r="Y78" s="24">
        <f>SUM(Y67:Y77)</f>
        <v>0</v>
      </c>
      <c r="Z78" s="24">
        <f>SUM(Z67:Z77)</f>
        <v>0</v>
      </c>
      <c r="AA78" s="609"/>
      <c r="AB78" s="609"/>
      <c r="AC78" s="24">
        <v>11</v>
      </c>
      <c r="AD78" s="24">
        <f>SUM(AD67:AD77)</f>
        <v>0</v>
      </c>
      <c r="AE78" s="15">
        <f t="shared" si="43"/>
        <v>-101.50318253142132</v>
      </c>
      <c r="AF78" s="415">
        <f t="shared" si="54"/>
        <v>0.9577070072785745</v>
      </c>
      <c r="AG78" s="619"/>
    </row>
    <row r="79" spans="1:33">
      <c r="D79" s="25"/>
      <c r="E79" s="25"/>
    </row>
  </sheetData>
  <mergeCells count="201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21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1:D21"/>
    <mergeCell ref="AA21:AB21"/>
    <mergeCell ref="A22:A29"/>
    <mergeCell ref="C22:D22"/>
    <mergeCell ref="R22:R29"/>
    <mergeCell ref="AA22:AB22"/>
    <mergeCell ref="AA27:AB27"/>
    <mergeCell ref="A13:A21"/>
    <mergeCell ref="C13:D13"/>
    <mergeCell ref="R13:R21"/>
    <mergeCell ref="AA13:AB13"/>
    <mergeCell ref="AG22:AG29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C29:D29"/>
    <mergeCell ref="AA29:AB29"/>
    <mergeCell ref="AA47:AB47"/>
    <mergeCell ref="A30:A38"/>
    <mergeCell ref="C30:D30"/>
    <mergeCell ref="R30:R38"/>
    <mergeCell ref="AA30:AB30"/>
    <mergeCell ref="AA35:AB35"/>
    <mergeCell ref="C36:D36"/>
    <mergeCell ref="AG30:AG38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6:AB36"/>
    <mergeCell ref="C38:D38"/>
    <mergeCell ref="AA38:AB38"/>
    <mergeCell ref="A48:A51"/>
    <mergeCell ref="C48:D48"/>
    <mergeCell ref="R48:R51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G52:AG60"/>
    <mergeCell ref="C53:D53"/>
    <mergeCell ref="AA53:AB53"/>
    <mergeCell ref="C54:D54"/>
    <mergeCell ref="AA54:AB54"/>
    <mergeCell ref="AA55:AB55"/>
    <mergeCell ref="AG48:AG51"/>
    <mergeCell ref="C49:D49"/>
    <mergeCell ref="AA49:AB49"/>
    <mergeCell ref="C50:D50"/>
    <mergeCell ref="AA50:AB50"/>
    <mergeCell ref="C51:D51"/>
    <mergeCell ref="AA51:AB51"/>
    <mergeCell ref="C60:D60"/>
    <mergeCell ref="AA60:AB60"/>
    <mergeCell ref="A61:A66"/>
    <mergeCell ref="C61:D61"/>
    <mergeCell ref="R61:R66"/>
    <mergeCell ref="AA61:AB61"/>
    <mergeCell ref="AA66:AB66"/>
    <mergeCell ref="AA56:AB56"/>
    <mergeCell ref="C57:D57"/>
    <mergeCell ref="AA57:AB57"/>
    <mergeCell ref="C58:D58"/>
    <mergeCell ref="AA58:AB58"/>
    <mergeCell ref="C59:D59"/>
    <mergeCell ref="AA59:AB59"/>
    <mergeCell ref="A52:A60"/>
    <mergeCell ref="C52:D52"/>
    <mergeCell ref="R52:R60"/>
    <mergeCell ref="AA52:AB52"/>
    <mergeCell ref="AG67:AG78"/>
    <mergeCell ref="C68:D68"/>
    <mergeCell ref="AA68:AB68"/>
    <mergeCell ref="C69:D69"/>
    <mergeCell ref="AA69:AB69"/>
    <mergeCell ref="C70:D70"/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A70:AB70"/>
    <mergeCell ref="C71:D71"/>
    <mergeCell ref="AA71:AB71"/>
    <mergeCell ref="C72:D72"/>
    <mergeCell ref="AA72:AB72"/>
    <mergeCell ref="C73:D73"/>
    <mergeCell ref="AA73:AB73"/>
    <mergeCell ref="A67:A78"/>
    <mergeCell ref="C67:D67"/>
    <mergeCell ref="R67:R78"/>
    <mergeCell ref="AA67:AB67"/>
    <mergeCell ref="C77:D77"/>
    <mergeCell ref="AA77:AB77"/>
    <mergeCell ref="C78:D78"/>
    <mergeCell ref="AA78:AB78"/>
    <mergeCell ref="C74:D74"/>
    <mergeCell ref="AA74:AB74"/>
    <mergeCell ref="C75:D75"/>
    <mergeCell ref="AA75:AB75"/>
    <mergeCell ref="C76:D76"/>
    <mergeCell ref="AA76:AB76"/>
  </mergeCells>
  <phoneticPr fontId="3" type="noConversion"/>
  <conditionalFormatting sqref="O64:O72 O60:O61 O78 O5:O10 O12:O14 O21:O57">
    <cfRule type="cellIs" dxfId="1723" priority="78" operator="greaterThan">
      <formula>0</formula>
    </cfRule>
  </conditionalFormatting>
  <conditionalFormatting sqref="P5:P8 P64:P65 AE64:AE65 P67:P72 P30:P37 P61 P10 P12:P14 P22:P28 P52:P57 P39:P50 AE5:AE61 AE67:AE78">
    <cfRule type="cellIs" dxfId="1722" priority="82" operator="lessThan">
      <formula>0</formula>
    </cfRule>
  </conditionalFormatting>
  <conditionalFormatting sqref="AF64:AF65 Q64:Q72 Q60:Q61 Q78 Q5:Q10 Q12:Q14 Q21:Q57 AF5:AF61 AF67:AF78">
    <cfRule type="cellIs" dxfId="1721" priority="79" operator="greaterThan">
      <formula>1</formula>
    </cfRule>
    <cfRule type="cellIs" dxfId="1720" priority="80" operator="lessThan">
      <formula>0.8</formula>
    </cfRule>
  </conditionalFormatting>
  <conditionalFormatting sqref="AG13:AG14 R13:R14 AG64 R64:R72 R21:R27 AG21:AG27 AG60:AG61 R60:R61 R78 AG5:AG10 R5:R10 AG29:AG57 R29:R57">
    <cfRule type="cellIs" dxfId="1719" priority="84" operator="lessThan">
      <formula>0.8</formula>
    </cfRule>
  </conditionalFormatting>
  <conditionalFormatting sqref="AG48">
    <cfRule type="cellIs" dxfId="1718" priority="86" operator="lessThan">
      <formula>0.8</formula>
    </cfRule>
  </conditionalFormatting>
  <conditionalFormatting sqref="AG22:AG27">
    <cfRule type="cellIs" dxfId="1717" priority="83" operator="lessThan">
      <formula>0.8</formula>
    </cfRule>
  </conditionalFormatting>
  <conditionalFormatting sqref="AG30">
    <cfRule type="cellIs" dxfId="1716" priority="85" operator="lessThan">
      <formula>0.8</formula>
    </cfRule>
  </conditionalFormatting>
  <conditionalFormatting sqref="AG39:AG46">
    <cfRule type="cellIs" dxfId="1715" priority="81" operator="lessThan">
      <formula>0.8</formula>
    </cfRule>
  </conditionalFormatting>
  <conditionalFormatting sqref="AE66">
    <cfRule type="cellIs" dxfId="1714" priority="77" operator="lessThan">
      <formula>0</formula>
    </cfRule>
  </conditionalFormatting>
  <conditionalFormatting sqref="AF66">
    <cfRule type="cellIs" dxfId="1713" priority="75" operator="greaterThan">
      <formula>1</formula>
    </cfRule>
    <cfRule type="cellIs" dxfId="1712" priority="76" operator="lessThan">
      <formula>0.8</formula>
    </cfRule>
  </conditionalFormatting>
  <conditionalFormatting sqref="O15:O16">
    <cfRule type="cellIs" dxfId="1711" priority="70" operator="greaterThan">
      <formula>0</formula>
    </cfRule>
  </conditionalFormatting>
  <conditionalFormatting sqref="P15:P16">
    <cfRule type="cellIs" dxfId="1710" priority="73" operator="lessThan">
      <formula>0</formula>
    </cfRule>
  </conditionalFormatting>
  <conditionalFormatting sqref="Q15:Q16">
    <cfRule type="cellIs" dxfId="1709" priority="71" operator="greaterThan">
      <formula>1</formula>
    </cfRule>
    <cfRule type="cellIs" dxfId="1708" priority="72" operator="lessThan">
      <formula>0.8</formula>
    </cfRule>
  </conditionalFormatting>
  <conditionalFormatting sqref="R15:R16 AG15:AG16">
    <cfRule type="cellIs" dxfId="1707" priority="74" operator="lessThan">
      <formula>0.8</formula>
    </cfRule>
  </conditionalFormatting>
  <conditionalFormatting sqref="O11">
    <cfRule type="cellIs" dxfId="1706" priority="66" operator="greaterThan">
      <formula>0</formula>
    </cfRule>
  </conditionalFormatting>
  <conditionalFormatting sqref="P11">
    <cfRule type="cellIs" dxfId="1705" priority="69" operator="lessThan">
      <formula>0</formula>
    </cfRule>
  </conditionalFormatting>
  <conditionalFormatting sqref="Q11">
    <cfRule type="cellIs" dxfId="1704" priority="67" operator="greaterThan">
      <formula>1</formula>
    </cfRule>
    <cfRule type="cellIs" dxfId="1703" priority="68" operator="lessThan">
      <formula>0.8</formula>
    </cfRule>
  </conditionalFormatting>
  <conditionalFormatting sqref="O58">
    <cfRule type="cellIs" dxfId="1702" priority="61" operator="greaterThan">
      <formula>0</formula>
    </cfRule>
  </conditionalFormatting>
  <conditionalFormatting sqref="P58">
    <cfRule type="cellIs" dxfId="1701" priority="64" operator="lessThan">
      <formula>0</formula>
    </cfRule>
  </conditionalFormatting>
  <conditionalFormatting sqref="Q58">
    <cfRule type="cellIs" dxfId="1700" priority="62" operator="greaterThan">
      <formula>1</formula>
    </cfRule>
    <cfRule type="cellIs" dxfId="1699" priority="63" operator="lessThan">
      <formula>0.8</formula>
    </cfRule>
  </conditionalFormatting>
  <conditionalFormatting sqref="R58 AG58">
    <cfRule type="cellIs" dxfId="1698" priority="65" operator="lessThan">
      <formula>0.8</formula>
    </cfRule>
  </conditionalFormatting>
  <conditionalFormatting sqref="O63">
    <cfRule type="cellIs" dxfId="1697" priority="56" operator="greaterThan">
      <formula>0</formula>
    </cfRule>
  </conditionalFormatting>
  <conditionalFormatting sqref="P63 AE63">
    <cfRule type="cellIs" dxfId="1696" priority="59" operator="lessThan">
      <formula>0</formula>
    </cfRule>
  </conditionalFormatting>
  <conditionalFormatting sqref="Q63 AF63">
    <cfRule type="cellIs" dxfId="1695" priority="57" operator="greaterThan">
      <formula>1</formula>
    </cfRule>
    <cfRule type="cellIs" dxfId="1694" priority="58" operator="lessThan">
      <formula>0.8</formula>
    </cfRule>
  </conditionalFormatting>
  <conditionalFormatting sqref="R63 AG63">
    <cfRule type="cellIs" dxfId="1693" priority="60" operator="lessThan">
      <formula>0.8</formula>
    </cfRule>
  </conditionalFormatting>
  <conditionalFormatting sqref="O73">
    <cfRule type="cellIs" dxfId="1692" priority="51" operator="greaterThan">
      <formula>0</formula>
    </cfRule>
  </conditionalFormatting>
  <conditionalFormatting sqref="P73">
    <cfRule type="cellIs" dxfId="1691" priority="54" operator="lessThan">
      <formula>0</formula>
    </cfRule>
  </conditionalFormatting>
  <conditionalFormatting sqref="Q73">
    <cfRule type="cellIs" dxfId="1690" priority="52" operator="greaterThan">
      <formula>1</formula>
    </cfRule>
    <cfRule type="cellIs" dxfId="1689" priority="53" operator="lessThan">
      <formula>0.8</formula>
    </cfRule>
  </conditionalFormatting>
  <conditionalFormatting sqref="R73">
    <cfRule type="cellIs" dxfId="1688" priority="55" operator="lessThan">
      <formula>0.8</formula>
    </cfRule>
  </conditionalFormatting>
  <conditionalFormatting sqref="O17:O18">
    <cfRule type="cellIs" dxfId="1687" priority="46" operator="greaterThan">
      <formula>0</formula>
    </cfRule>
  </conditionalFormatting>
  <conditionalFormatting sqref="P17:P18">
    <cfRule type="cellIs" dxfId="1686" priority="49" operator="lessThan">
      <formula>0</formula>
    </cfRule>
  </conditionalFormatting>
  <conditionalFormatting sqref="Q17:Q18">
    <cfRule type="cellIs" dxfId="1685" priority="47" operator="greaterThan">
      <formula>1</formula>
    </cfRule>
    <cfRule type="cellIs" dxfId="1684" priority="48" operator="lessThan">
      <formula>0.8</formula>
    </cfRule>
  </conditionalFormatting>
  <conditionalFormatting sqref="R17:R18 AG17:AG18">
    <cfRule type="cellIs" dxfId="1683" priority="50" operator="lessThan">
      <formula>0.8</formula>
    </cfRule>
  </conditionalFormatting>
  <conditionalFormatting sqref="O59">
    <cfRule type="cellIs" dxfId="1682" priority="41" operator="greaterThan">
      <formula>0</formula>
    </cfRule>
  </conditionalFormatting>
  <conditionalFormatting sqref="P59">
    <cfRule type="cellIs" dxfId="1681" priority="44" operator="lessThan">
      <formula>0</formula>
    </cfRule>
  </conditionalFormatting>
  <conditionalFormatting sqref="Q59">
    <cfRule type="cellIs" dxfId="1680" priority="42" operator="greaterThan">
      <formula>1</formula>
    </cfRule>
    <cfRule type="cellIs" dxfId="1679" priority="43" operator="lessThan">
      <formula>0.8</formula>
    </cfRule>
  </conditionalFormatting>
  <conditionalFormatting sqref="AG59 R59">
    <cfRule type="cellIs" dxfId="1678" priority="45" operator="lessThan">
      <formula>0.8</formula>
    </cfRule>
  </conditionalFormatting>
  <conditionalFormatting sqref="R28 AG28">
    <cfRule type="cellIs" dxfId="1677" priority="40" operator="lessThan">
      <formula>0.8</formula>
    </cfRule>
  </conditionalFormatting>
  <conditionalFormatting sqref="AG28">
    <cfRule type="cellIs" dxfId="1676" priority="39" operator="lessThan">
      <formula>0.8</formula>
    </cfRule>
  </conditionalFormatting>
  <conditionalFormatting sqref="O62">
    <cfRule type="cellIs" dxfId="1675" priority="34" operator="greaterThan">
      <formula>0</formula>
    </cfRule>
  </conditionalFormatting>
  <conditionalFormatting sqref="P62 AE62">
    <cfRule type="cellIs" dxfId="1674" priority="37" operator="lessThan">
      <formula>0</formula>
    </cfRule>
  </conditionalFormatting>
  <conditionalFormatting sqref="Q62 AF62">
    <cfRule type="cellIs" dxfId="1673" priority="35" operator="greaterThan">
      <formula>1</formula>
    </cfRule>
    <cfRule type="cellIs" dxfId="1672" priority="36" operator="lessThan">
      <formula>0.8</formula>
    </cfRule>
  </conditionalFormatting>
  <conditionalFormatting sqref="R62 AG62">
    <cfRule type="cellIs" dxfId="1671" priority="38" operator="lessThan">
      <formula>0.8</formula>
    </cfRule>
  </conditionalFormatting>
  <conditionalFormatting sqref="O19">
    <cfRule type="cellIs" dxfId="1670" priority="29" operator="greaterThan">
      <formula>0</formula>
    </cfRule>
  </conditionalFormatting>
  <conditionalFormatting sqref="P19">
    <cfRule type="cellIs" dxfId="1669" priority="32" operator="lessThan">
      <formula>0</formula>
    </cfRule>
  </conditionalFormatting>
  <conditionalFormatting sqref="Q19">
    <cfRule type="cellIs" dxfId="1668" priority="30" operator="greaterThan">
      <formula>1</formula>
    </cfRule>
    <cfRule type="cellIs" dxfId="1667" priority="31" operator="lessThan">
      <formula>0.8</formula>
    </cfRule>
  </conditionalFormatting>
  <conditionalFormatting sqref="AG19 R19">
    <cfRule type="cellIs" dxfId="1666" priority="33" operator="lessThan">
      <formula>0.8</formula>
    </cfRule>
  </conditionalFormatting>
  <conditionalFormatting sqref="O20">
    <cfRule type="cellIs" dxfId="1665" priority="24" operator="greaterThan">
      <formula>0</formula>
    </cfRule>
  </conditionalFormatting>
  <conditionalFormatting sqref="P20">
    <cfRule type="cellIs" dxfId="1664" priority="27" operator="lessThan">
      <formula>0</formula>
    </cfRule>
  </conditionalFormatting>
  <conditionalFormatting sqref="Q20">
    <cfRule type="cellIs" dxfId="1663" priority="25" operator="greaterThan">
      <formula>1</formula>
    </cfRule>
    <cfRule type="cellIs" dxfId="1662" priority="26" operator="lessThan">
      <formula>0.8</formula>
    </cfRule>
  </conditionalFormatting>
  <conditionalFormatting sqref="AG20 R20">
    <cfRule type="cellIs" dxfId="1661" priority="28" operator="lessThan">
      <formula>0.8</formula>
    </cfRule>
  </conditionalFormatting>
  <conditionalFormatting sqref="P9">
    <cfRule type="cellIs" dxfId="1660" priority="23" operator="lessThan">
      <formula>0</formula>
    </cfRule>
  </conditionalFormatting>
  <conditionalFormatting sqref="P21">
    <cfRule type="cellIs" dxfId="1659" priority="22" operator="lessThan">
      <formula>0</formula>
    </cfRule>
  </conditionalFormatting>
  <conditionalFormatting sqref="P29">
    <cfRule type="cellIs" dxfId="1658" priority="21" operator="lessThan">
      <formula>0</formula>
    </cfRule>
  </conditionalFormatting>
  <conditionalFormatting sqref="P38">
    <cfRule type="cellIs" dxfId="1657" priority="20" operator="lessThan">
      <formula>0</formula>
    </cfRule>
  </conditionalFormatting>
  <conditionalFormatting sqref="P51">
    <cfRule type="cellIs" dxfId="1656" priority="19" operator="lessThan">
      <formula>0</formula>
    </cfRule>
  </conditionalFormatting>
  <conditionalFormatting sqref="P60">
    <cfRule type="cellIs" dxfId="1655" priority="18" operator="lessThan">
      <formula>0</formula>
    </cfRule>
  </conditionalFormatting>
  <conditionalFormatting sqref="P66">
    <cfRule type="cellIs" dxfId="1654" priority="17" operator="lessThan">
      <formula>0</formula>
    </cfRule>
  </conditionalFormatting>
  <conditionalFormatting sqref="P78">
    <cfRule type="cellIs" dxfId="1653" priority="16" operator="lessThan">
      <formula>0</formula>
    </cfRule>
  </conditionalFormatting>
  <conditionalFormatting sqref="O74">
    <cfRule type="cellIs" dxfId="1652" priority="11" operator="greaterThan">
      <formula>0</formula>
    </cfRule>
  </conditionalFormatting>
  <conditionalFormatting sqref="P74">
    <cfRule type="cellIs" dxfId="1651" priority="14" operator="lessThan">
      <formula>0</formula>
    </cfRule>
  </conditionalFormatting>
  <conditionalFormatting sqref="Q74">
    <cfRule type="cellIs" dxfId="1650" priority="12" operator="greaterThan">
      <formula>1</formula>
    </cfRule>
    <cfRule type="cellIs" dxfId="1649" priority="13" operator="lessThan">
      <formula>0.8</formula>
    </cfRule>
  </conditionalFormatting>
  <conditionalFormatting sqref="R74">
    <cfRule type="cellIs" dxfId="1648" priority="15" operator="lessThan">
      <formula>0.8</formula>
    </cfRule>
  </conditionalFormatting>
  <conditionalFormatting sqref="O75">
    <cfRule type="cellIs" dxfId="1647" priority="6" operator="greaterThan">
      <formula>0</formula>
    </cfRule>
  </conditionalFormatting>
  <conditionalFormatting sqref="P75">
    <cfRule type="cellIs" dxfId="1646" priority="9" operator="lessThan">
      <formula>0</formula>
    </cfRule>
  </conditionalFormatting>
  <conditionalFormatting sqref="Q75">
    <cfRule type="cellIs" dxfId="1645" priority="7" operator="greaterThan">
      <formula>1</formula>
    </cfRule>
    <cfRule type="cellIs" dxfId="1644" priority="8" operator="lessThan">
      <formula>0.8</formula>
    </cfRule>
  </conditionalFormatting>
  <conditionalFormatting sqref="R75">
    <cfRule type="cellIs" dxfId="1643" priority="10" operator="lessThan">
      <formula>0.8</formula>
    </cfRule>
  </conditionalFormatting>
  <conditionalFormatting sqref="O76:O77">
    <cfRule type="cellIs" dxfId="1642" priority="1" operator="greaterThan">
      <formula>0</formula>
    </cfRule>
  </conditionalFormatting>
  <conditionalFormatting sqref="P76:P77">
    <cfRule type="cellIs" dxfId="1641" priority="4" operator="lessThan">
      <formula>0</formula>
    </cfRule>
  </conditionalFormatting>
  <conditionalFormatting sqref="Q76:Q77">
    <cfRule type="cellIs" dxfId="1640" priority="2" operator="greaterThan">
      <formula>1</formula>
    </cfRule>
    <cfRule type="cellIs" dxfId="1639" priority="3" operator="lessThan">
      <formula>0.8</formula>
    </cfRule>
  </conditionalFormatting>
  <conditionalFormatting sqref="R76:R77">
    <cfRule type="cellIs" dxfId="1638" priority="5" operator="lessThan">
      <formula>0.8</formula>
    </cfRule>
  </conditionalFormatting>
  <dataValidations count="1">
    <dataValidation type="list" allowBlank="1" showInputMessage="1" showErrorMessage="1" sqref="AB9 AA5:AB8 AB65 AA9:AA65 AB11:AB61 AA66:AB78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17" sqref="R1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1873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1874</v>
      </c>
      <c r="C3" s="596" t="str">
        <f>TEXT('0920 4度C'!A2,"yyyy.mm.ddaaaa")</f>
        <v>2026.09.20星期日</v>
      </c>
      <c r="D3" s="597"/>
      <c r="E3" s="39" t="s">
        <v>1875</v>
      </c>
      <c r="F3" s="598">
        <f>'0920 4度C'!D1</f>
        <v>203365</v>
      </c>
      <c r="G3" s="599"/>
      <c r="H3" s="39" t="s">
        <v>1876</v>
      </c>
      <c r="I3" s="600">
        <f>'0920 4度C'!F1</f>
        <v>6887646.450000003</v>
      </c>
      <c r="J3" s="601"/>
      <c r="K3" s="40"/>
      <c r="L3" s="41"/>
      <c r="M3" s="42"/>
      <c r="N3" s="42"/>
    </row>
    <row r="4" spans="2:17" ht="28.5" customHeight="1">
      <c r="B4" s="602" t="s">
        <v>1877</v>
      </c>
      <c r="C4" s="588" t="s">
        <v>1878</v>
      </c>
      <c r="D4" s="589"/>
      <c r="E4" s="605" t="s">
        <v>1879</v>
      </c>
      <c r="F4" s="606"/>
      <c r="G4" s="605" t="s">
        <v>1880</v>
      </c>
      <c r="H4" s="606"/>
      <c r="I4" s="605" t="s">
        <v>1881</v>
      </c>
      <c r="J4" s="606"/>
      <c r="K4" s="586" t="s">
        <v>1882</v>
      </c>
      <c r="L4" s="587"/>
      <c r="M4" s="587" t="s">
        <v>1883</v>
      </c>
      <c r="N4" s="587"/>
    </row>
    <row r="5" spans="2:17" ht="28.5" customHeight="1">
      <c r="B5" s="603"/>
      <c r="C5" s="588" t="s">
        <v>1884</v>
      </c>
      <c r="D5" s="589"/>
      <c r="E5" s="588" t="s">
        <v>1885</v>
      </c>
      <c r="F5" s="589"/>
      <c r="G5" s="590" t="s">
        <v>1886</v>
      </c>
      <c r="H5" s="591"/>
      <c r="I5" s="592" t="s">
        <v>1887</v>
      </c>
      <c r="J5" s="593"/>
      <c r="K5" s="43" t="s">
        <v>1888</v>
      </c>
      <c r="L5" s="44" t="s">
        <v>1889</v>
      </c>
      <c r="M5" s="43" t="s">
        <v>1888</v>
      </c>
      <c r="N5" s="44" t="s">
        <v>1890</v>
      </c>
    </row>
    <row r="6" spans="2:17" ht="28.5" customHeight="1">
      <c r="B6" s="603"/>
      <c r="C6" s="588" t="s">
        <v>56</v>
      </c>
      <c r="D6" s="589"/>
      <c r="E6" s="580">
        <f>AVERAGE(D13:M13)</f>
        <v>152.64354905034543</v>
      </c>
      <c r="F6" s="581">
        <f>AVERAGE(D31:O31,D13:J13)</f>
        <v>158.24158589316465</v>
      </c>
      <c r="G6" s="582">
        <f>AVERAGE(D13:J13)</f>
        <v>158.24158589316465</v>
      </c>
      <c r="H6" s="583"/>
      <c r="I6" s="582">
        <f>AVERAGE(K13:M13)</f>
        <v>139.58146308376723</v>
      </c>
      <c r="J6" s="583"/>
      <c r="K6" s="584">
        <f>'0920 4度C'!Y2</f>
        <v>0</v>
      </c>
      <c r="L6" s="569">
        <f>'0920 4度C'!Z2</f>
        <v>0</v>
      </c>
      <c r="M6" s="585">
        <f>'0920 4度C'!AC2</f>
        <v>66</v>
      </c>
      <c r="N6" s="569">
        <f>'0920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146.34783241475211</v>
      </c>
      <c r="F7" s="573">
        <f>AVERAGE(D32:O32,D14:J14)</f>
        <v>151.73496083211396</v>
      </c>
      <c r="G7" s="574">
        <f>AVERAGE(D14:J14)</f>
        <v>151.73496083211396</v>
      </c>
      <c r="H7" s="575"/>
      <c r="I7" s="574">
        <f>AVERAGE(K14:M14)</f>
        <v>133.77786610757451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0.95824315585215847</v>
      </c>
      <c r="F8" s="577">
        <f>AVERAGE(D15:J15,D33:O33)</f>
        <v>0.95817757990652463</v>
      </c>
      <c r="G8" s="578">
        <f>AVERAGE(D15:J15)</f>
        <v>0.95817757990652463</v>
      </c>
      <c r="H8" s="579"/>
      <c r="I8" s="578">
        <f>AVERAGE(K15:M15)</f>
        <v>0.95839616639197089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1891</v>
      </c>
      <c r="N9" s="42"/>
      <c r="O9" s="42"/>
      <c r="P9" s="42"/>
      <c r="Q9" s="42"/>
    </row>
    <row r="10" spans="2:17" ht="30" customHeight="1">
      <c r="B10" s="552" t="s">
        <v>1892</v>
      </c>
      <c r="C10" s="553"/>
      <c r="D10" s="554" t="s">
        <v>1893</v>
      </c>
      <c r="E10" s="555"/>
      <c r="F10" s="555"/>
      <c r="G10" s="555"/>
      <c r="H10" s="555"/>
      <c r="I10" s="555"/>
      <c r="J10" s="556"/>
      <c r="K10" s="557" t="s">
        <v>1894</v>
      </c>
      <c r="L10" s="558"/>
      <c r="M10" s="559"/>
      <c r="P10" s="48"/>
      <c r="Q10" s="48"/>
    </row>
    <row r="11" spans="2:17" ht="17.25" customHeight="1">
      <c r="B11" s="560" t="s">
        <v>1895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1896</v>
      </c>
      <c r="C13" s="55" t="s">
        <v>1897</v>
      </c>
      <c r="D13" s="56">
        <f>SUMIFS('0920 4度C'!$K:$K,'0920 4度C'!$A:$A,"新豐6線",'0920 4度C'!$B:$B,"平均")</f>
        <v>129.03225806451613</v>
      </c>
      <c r="E13" s="57">
        <f>SUMIFS('0920 4度C'!$K:$K,'0920 4度C'!$A:$A,"新豐2線",'0920 4度C'!$B:$B,"平均")</f>
        <v>83.333333333333329</v>
      </c>
      <c r="F13" s="58">
        <f>SUMIFS('0920 4度C'!$K:$K,'0920 4度C'!$A:$A,"新豐5線",'0920 4度C'!$B:$B,"平均")</f>
        <v>105.93220338983051</v>
      </c>
      <c r="G13" s="58">
        <f>SUMIFS('0920 4度C'!$K:$K,'0920 4度C'!$A:$A,"新豐7線",'0920 4度C'!$B:$B,"平均")</f>
        <v>129.03225806451613</v>
      </c>
      <c r="H13" s="58">
        <f>SUMIFS('0920 4度C'!$K:$K,'0920 4度C'!$A:$A,"新豐3線",'0920 4度C'!$B:$B,"平均")</f>
        <v>255.81395348837211</v>
      </c>
      <c r="I13" s="58">
        <f>SUMIFS('0920 4度C'!$K:$K,'0920 4度C'!$A:$A,"新豐1線",'0920 4度C'!$B:$B,"平均")</f>
        <v>110.42944785276075</v>
      </c>
      <c r="J13" s="59">
        <f>SUMIFS('0920 4度C'!$K:$K,'0920 4度C'!$A:$A,"新豐10線",'0920 4度C'!$B:$B,"平均")</f>
        <v>294.11764705882354</v>
      </c>
      <c r="K13" s="60">
        <f>SUMIFS('0920 4度C'!$K:$K,'0920 4度C'!$A:$A,"新豐8線",'0920 4度C'!$B:$B,"平均")</f>
        <v>146.9387755102041</v>
      </c>
      <c r="L13" s="61">
        <f>SUMIFS('0920 4度C'!$K:$K,'0920 4度C'!$A:$A,"新豐9線",'0920 4度C'!$B:$B,"平均")</f>
        <v>129.87012987012986</v>
      </c>
      <c r="M13" s="59">
        <f>SUMIFS('0920 4度C'!$K:$K,'0920 4度C'!$A:$A,"新豐4線",'0920 4度C'!$B:$B,"平均")</f>
        <v>141.93548387096774</v>
      </c>
    </row>
    <row r="14" spans="2:17" ht="39.6" customHeight="1">
      <c r="B14" s="565"/>
      <c r="C14" s="62" t="s">
        <v>1898</v>
      </c>
      <c r="D14" s="63">
        <f>SUMIFS('0920 4度C'!$N:$N,'0920 4度C'!$A:$A,"新豐6線",'0920 4度C'!$B:$B,"平均")</f>
        <v>123.44739349394307</v>
      </c>
      <c r="E14" s="64">
        <f>SUMIFS('0920 4度C'!$N:$N,'0920 4度C'!$A:$A,"新豐2線",'0920 4度C'!$B:$B,"平均")</f>
        <v>79.352165530489401</v>
      </c>
      <c r="F14" s="64">
        <f>SUMIFS('0920 4度C'!$N:$N,'0920 4度C'!$A:$A,"新豐5線",'0920 4度C'!$B:$B,"平均")</f>
        <v>101.60568253539503</v>
      </c>
      <c r="G14" s="64">
        <f>SUMIFS('0920 4度C'!$N:$N,'0920 4度C'!$A:$A,"新豐7線",'0920 4度C'!$B:$B,"平均")</f>
        <v>123.630962176019</v>
      </c>
      <c r="H14" s="64">
        <f>SUMIFS('0920 4度C'!$N:$N,'0920 4度C'!$A:$A,"新豐3線",'0920 4度C'!$B:$B,"平均")</f>
        <v>244.61706401546829</v>
      </c>
      <c r="I14" s="64">
        <f>SUMIFS('0920 4度C'!$N:$N,'0920 4度C'!$A:$A,"新豐1線",'0920 4度C'!$B:$B,"平均")</f>
        <v>106.17893660550524</v>
      </c>
      <c r="J14" s="65">
        <f>SUMIFS('0920 4度C'!$N:$N,'0920 4度C'!$A:$A,"新豐10線",'0920 4度C'!$B:$B,"平均")</f>
        <v>283.3125214679776</v>
      </c>
      <c r="K14" s="66">
        <f>SUMIFS('0920 4度C'!$N:$N,'0920 4度C'!$A:$A,"新豐8線",'0920 4度C'!$B:$B,"平均")</f>
        <v>140.7637060740129</v>
      </c>
      <c r="L14" s="67">
        <f>SUMIFS('0920 4度C'!$N:$N,'0920 4度C'!$A:$A,"新豐9線",'0920 4度C'!$B:$B,"平均")</f>
        <v>124.33047233909737</v>
      </c>
      <c r="M14" s="65">
        <f>SUMIFS('0920 4度C'!$N:$N,'0920 4度C'!$A:$A,"新豐4線",'0920 4度C'!$B:$B,"平均")</f>
        <v>136.23941990961328</v>
      </c>
    </row>
    <row r="15" spans="2:17" ht="40.15" customHeight="1">
      <c r="B15" s="566"/>
      <c r="C15" s="68" t="s">
        <v>1899</v>
      </c>
      <c r="D15" s="69">
        <f t="shared" ref="D15:M15" si="0">D14/D13</f>
        <v>0.95671729957805873</v>
      </c>
      <c r="E15" s="70">
        <f t="shared" si="0"/>
        <v>0.95222598636587286</v>
      </c>
      <c r="F15" s="70">
        <f t="shared" si="0"/>
        <v>0.9591576431341291</v>
      </c>
      <c r="G15" s="70">
        <f t="shared" si="0"/>
        <v>0.95813995686414721</v>
      </c>
      <c r="H15" s="70">
        <f t="shared" si="0"/>
        <v>0.95623034115137595</v>
      </c>
      <c r="I15" s="70">
        <f t="shared" si="0"/>
        <v>0.96150925926096409</v>
      </c>
      <c r="J15" s="71">
        <f t="shared" si="0"/>
        <v>0.96326257299112383</v>
      </c>
      <c r="K15" s="69">
        <f t="shared" si="0"/>
        <v>0.95797522189258766</v>
      </c>
      <c r="L15" s="70">
        <f t="shared" si="0"/>
        <v>0.95734463701104988</v>
      </c>
      <c r="M15" s="71">
        <f t="shared" si="0"/>
        <v>0.95986864027227536</v>
      </c>
    </row>
    <row r="16" spans="2:17" ht="17.25" customHeight="1">
      <c r="B16" s="567" t="s">
        <v>1900</v>
      </c>
      <c r="C16" s="72" t="s">
        <v>1901</v>
      </c>
      <c r="D16" s="73">
        <f>VLOOKUP("新豐6線",'0920 4度C'!$A:$T,19,0)</f>
        <v>0.70833333333333337</v>
      </c>
      <c r="E16" s="74">
        <f>VLOOKUP("新豐2線",'0920 4度C'!$A:$T,19,0)</f>
        <v>8.3333333333333329E-2</v>
      </c>
      <c r="F16" s="74">
        <f>VLOOKUP("新豐5線",'0920 4度C'!$A:$T,19,0)</f>
        <v>0.25</v>
      </c>
      <c r="G16" s="74">
        <f>VLOOKUP("新豐7線",'0920 4度C'!$A:$T,19,0)</f>
        <v>0.25</v>
      </c>
      <c r="H16" s="74">
        <f>VLOOKUP("新豐3線",'0920 4度C'!$A:$T,19,0)</f>
        <v>0.20833333333333334</v>
      </c>
      <c r="I16" s="74">
        <f>VLOOKUP("新豐1線",'0920 4度C'!$A:$T,19,0)</f>
        <v>0.20833333333333334</v>
      </c>
      <c r="J16" s="75">
        <f>VLOOKUP("新豐10線",'0920 4度C'!$A:$T,19,0)</f>
        <v>0.20833333333333334</v>
      </c>
      <c r="K16" s="76">
        <f>VLOOKUP("新豐8線",'0920 4度C'!$A:$T,19,0)</f>
        <v>8.3333333333333329E-2</v>
      </c>
      <c r="L16" s="77">
        <f>VLOOKUP("新豐9線",'0920 4度C'!$A:$T,19,0)</f>
        <v>8.3333333333333329E-2</v>
      </c>
      <c r="M16" s="78">
        <f>VLOOKUP("新豐4線",'0920 4度C'!$A:$T,19,0)</f>
        <v>8.3333333333333329E-2</v>
      </c>
    </row>
    <row r="17" spans="2:13" ht="17.25" customHeight="1">
      <c r="B17" s="568"/>
      <c r="C17" s="72" t="s">
        <v>1902</v>
      </c>
      <c r="D17" s="76">
        <f>LOOKUP(2,1/(('0920 4度C'!$A:$A="新豐6線")*('0920 4度C'!$T:$T&lt;&gt;"")),'0920 4度C'!$T:$T)</f>
        <v>0.82986111111111116</v>
      </c>
      <c r="E17" s="74">
        <f>LOOKUP(2,1/(('0920 4度C'!$A:$A="新豐2線")*('0920 4度C'!$T:$T&lt;&gt;"")),'0920 4度C'!$T:$T)</f>
        <v>0.65624999999999989</v>
      </c>
      <c r="F17" s="74">
        <f>LOOKUP(2,1/(('0920 4度C'!$A:$A="新豐5線")*('0920 4度C'!$T:$T&lt;&gt;"")),'0920 4度C'!$T:$T)</f>
        <v>0.8520833333333333</v>
      </c>
      <c r="G17" s="74">
        <f>LOOKUP(2,1/(('0920 4度C'!$A:$A="新豐7線")*('0920 4度C'!$T:$T&lt;&gt;"")),'0920 4度C'!$T:$T)</f>
        <v>0.85208333333333341</v>
      </c>
      <c r="H17" s="74">
        <f>LOOKUP(2,1/(('0920 4度C'!$A:$A="新豐3線")*('0920 4度C'!$T:$T&lt;&gt;"")),'0920 4度C'!$T:$T)</f>
        <v>0.62916666666666665</v>
      </c>
      <c r="I17" s="74">
        <f>LOOKUP(2,1/(('0920 4度C'!$A:$A="新豐1線")*('0920 4度C'!$T:$T&lt;&gt;"")),'0920 4度C'!$T:$T)</f>
        <v>0.90624999999999989</v>
      </c>
      <c r="J17" s="75">
        <f>LOOKUP(2,1/(('0920 4度C'!$A:$A="新豐10線")*('0920 4度C'!$T:$T&lt;&gt;"")),'0920 4度C'!$T:$T)</f>
        <v>0.47569444444444442</v>
      </c>
      <c r="K17" s="73">
        <f>LOOKUP(2,1/(('0920 4度C'!$A:$A="新豐8線")*('0920 4度C'!$T:$T&lt;&gt;"")),'0920 4度C'!$T:$T)</f>
        <v>0.78194444444444433</v>
      </c>
      <c r="L17" s="74">
        <f>LOOKUP(2,1/(('0920 4度C'!$A:$A="新豐9線")*('0920 4度C'!$T:$T&lt;&gt;"")),'0920 4度C'!$T:$T)</f>
        <v>0.78263888888888877</v>
      </c>
      <c r="M17" s="75">
        <f>LOOKUP(2,1/(('0920 4度C'!$A:$A="新豐4線")*('0920 4度C'!$T:$T&lt;&gt;"")),'0920 4度C'!$T:$T)</f>
        <v>0.78194444444444422</v>
      </c>
    </row>
    <row r="18" spans="2:13" ht="17.25" customHeight="1">
      <c r="B18" s="546" t="s">
        <v>1903</v>
      </c>
      <c r="C18" s="79" t="s">
        <v>1904</v>
      </c>
      <c r="D18" s="80">
        <f>SUMIFS('0920 4度C'!$Y:$Y,'0920 4度C'!$A:$A,"新豐6線",'0920 4度C'!$B:$B,"平均")</f>
        <v>0</v>
      </c>
      <c r="E18" s="81">
        <f>SUMIFS('0920 4度C'!$Y:$Y,'0920 4度C'!$A:$A,"新豐2線",'0920 4度C'!$B:$B,"平均")</f>
        <v>0</v>
      </c>
      <c r="F18" s="81">
        <f>SUMIFS('0920 4度C'!$Y:$Y,'0920 4度C'!$A:$A,"新豐5線",'0920 4度C'!$B:$B,"平均")</f>
        <v>0</v>
      </c>
      <c r="G18" s="81">
        <f>SUMIFS('0920 4度C'!$Y:$Y,'0920 4度C'!$A:$A,"新豐7線",'0920 4度C'!$B:$B,"平均")</f>
        <v>0</v>
      </c>
      <c r="H18" s="81">
        <f>SUMIFS('0920 4度C'!$Y:$Y,'0920 4度C'!$A:$A,"新豐3線",'0920 4度C'!$B:$B,"平均")</f>
        <v>0</v>
      </c>
      <c r="I18" s="81">
        <f>SUMIFS('0920 4度C'!$Y:$Y,'0920 4度C'!$A:$A,"新豐1線",'0920 4度C'!$B:$B,"平均")</f>
        <v>0</v>
      </c>
      <c r="J18" s="82">
        <f>SUMIFS('0920 4度C'!$Y:$Y,'0920 4度C'!$A:$A,"新豐10線",'0920 4度C'!$B:$B,"平均")</f>
        <v>0</v>
      </c>
      <c r="K18" s="83">
        <f>SUMIFS('0920 4度C'!$Y:$Y,'0920 4度C'!$A:$A,"新豐8線",'0920 4度C'!$B:$B,"平均")</f>
        <v>0</v>
      </c>
      <c r="L18" s="81">
        <f>SUMIFS('0920 4度C'!$Y:$Y,'0920 4度C'!$A:$A,"新豐9線",'0920 4度C'!$B:$B,"平均")</f>
        <v>0</v>
      </c>
      <c r="M18" s="82">
        <f>SUMIFS('0920 4度C'!$Y:$Y,'0920 4度C'!$A:$A,"新豐4線",'0920 4度C'!$B:$B,"平均")</f>
        <v>0</v>
      </c>
    </row>
    <row r="19" spans="2:13" ht="17.25" customHeight="1">
      <c r="B19" s="547"/>
      <c r="C19" s="79" t="s">
        <v>1905</v>
      </c>
      <c r="D19" s="80">
        <f>SUMIFS('0920 4度C'!$Z:$Z,'0920 4度C'!$A:$A,"新豐6線",'0920 4度C'!$B:$B,"平均")</f>
        <v>0</v>
      </c>
      <c r="E19" s="81">
        <f>SUMIFS('0920 4度C'!$Z:$Z,'0920 4度C'!$A:$A,"新豐2線",'0920 4度C'!$B:$B,"平均")</f>
        <v>0</v>
      </c>
      <c r="F19" s="81">
        <f>SUMIFS('0920 4度C'!$Z:$Z,'0920 4度C'!$A:$A,"新豐5線",'0920 4度C'!$B:$B,"平均")</f>
        <v>0</v>
      </c>
      <c r="G19" s="81">
        <f>SUMIFS('0920 4度C'!$Z:$Z,'0920 4度C'!$A:$A,"新豐7線",'0920 4度C'!$B:$B,"平均")</f>
        <v>0</v>
      </c>
      <c r="H19" s="81">
        <f>SUMIFS('0920 4度C'!$Z:$Z,'0920 4度C'!$A:$A,"新豐3線",'0920 4度C'!$B:$B,"平均")</f>
        <v>0</v>
      </c>
      <c r="I19" s="81">
        <f>SUMIFS('0920 4度C'!$Z:$Z,'0920 4度C'!$A:$A,"新豐1線",'0920 4度C'!$B:$B,"平均")</f>
        <v>0</v>
      </c>
      <c r="J19" s="82">
        <f>SUMIFS('0920 4度C'!$Z:$Z,'0920 4度C'!$A:$A,"新豐10線",'0920 4度C'!$B:$B,"平均")</f>
        <v>0</v>
      </c>
      <c r="K19" s="83">
        <f>SUMIFS('0920 4度C'!$Z:$Z,'0920 4度C'!$A:$A,"新豐8線",'0920 4度C'!$B:$B,"平均")</f>
        <v>0</v>
      </c>
      <c r="L19" s="81">
        <f>SUMIFS('0920 4度C'!$Z:$Z,'0920 4度C'!$A:$A,"新豐9線",'0920 4度C'!$B:$B,"平均")</f>
        <v>0</v>
      </c>
      <c r="M19" s="82">
        <f>SUMIFS('0920 4度C'!$Z:$Z,'0920 4度C'!$A:$A,"新豐4線",'0920 4度C'!$B:$B,"平均")</f>
        <v>0</v>
      </c>
    </row>
    <row r="20" spans="2:13" ht="17.25" customHeight="1">
      <c r="B20" s="546" t="s">
        <v>1906</v>
      </c>
      <c r="C20" s="79" t="s">
        <v>1904</v>
      </c>
      <c r="D20" s="80">
        <f>SUMIFS('0920 4度C'!$AC:$AC,'0920 4度C'!$A:$A,"新豐6線",'0920 4度C'!$B:$B,"平均")</f>
        <v>2</v>
      </c>
      <c r="E20" s="81">
        <f>SUMIFS('0920 4度C'!$AC:$AC,'0920 4度C'!$A:$A,"新豐2線",'0920 4度C'!$B:$B,"平均")</f>
        <v>4</v>
      </c>
      <c r="F20" s="81">
        <f>SUMIFS('0920 4度C'!$AC:$AC,'0920 4度C'!$A:$A,"新豐5線",'0920 4度C'!$B:$B,"平均")</f>
        <v>7</v>
      </c>
      <c r="G20" s="81">
        <f>SUMIFS('0920 4度C'!$AC:$AC,'0920 4度C'!$A:$A,"新豐7線",'0920 4度C'!$B:$B,"平均")</f>
        <v>6</v>
      </c>
      <c r="H20" s="81">
        <f>SUMIFS('0920 4度C'!$AC:$AC,'0920 4度C'!$A:$A,"新豐3線",'0920 4度C'!$B:$B,"平均")</f>
        <v>4</v>
      </c>
      <c r="I20" s="81">
        <f>SUMIFS('0920 4度C'!$AC:$AC,'0920 4度C'!$A:$A,"新豐1線",'0920 4度C'!$B:$B,"平均")</f>
        <v>9</v>
      </c>
      <c r="J20" s="82">
        <f>SUMIFS('0920 4度C'!$AC:$AC,'0920 4度C'!$A:$A,"新豐10線",'0920 4度C'!$B:$B,"平均")</f>
        <v>5</v>
      </c>
      <c r="K20" s="83">
        <f>SUMIFS('0920 4度C'!$AC:$AC,'0920 4度C'!$A:$A,"新豐8線",'0920 4度C'!$B:$B,"平均")</f>
        <v>9</v>
      </c>
      <c r="L20" s="81">
        <f>SUMIFS('0920 4度C'!$AC:$AC,'0920 4度C'!$A:$A,"新豐9線",'0920 4度C'!$B:$B,"平均")</f>
        <v>9</v>
      </c>
      <c r="M20" s="82">
        <f>SUMIFS('0920 4度C'!$AC:$AC,'0920 4度C'!$A:$A,"新豐4線",'0920 4度C'!$B:$B,"平均")</f>
        <v>11</v>
      </c>
    </row>
    <row r="21" spans="2:13" ht="17.25" customHeight="1">
      <c r="B21" s="547"/>
      <c r="C21" s="79" t="s">
        <v>1907</v>
      </c>
      <c r="D21" s="80">
        <f>SUMIFS('0920 4度C'!$AD:$AD,'0920 4度C'!$A:$A,"新豐6線",'0920 4度C'!$B:$B,"平均")</f>
        <v>0</v>
      </c>
      <c r="E21" s="81">
        <f>SUMIFS('0920 4度C'!$AD:$AD,'0920 4度C'!$A:$A,"新豐2線",'0920 4度C'!$B:$B,"平均")</f>
        <v>0</v>
      </c>
      <c r="F21" s="81">
        <f>SUMIFS('0920 4度C'!$AD:$AD,'0920 4度C'!$A:$A,"新豐5線",'0920 4度C'!$B:$B,"平均")</f>
        <v>0</v>
      </c>
      <c r="G21" s="81">
        <f>SUMIFS('0920 4度C'!$AD:$AD,'0920 4度C'!$A:$A,"新豐7線",'0920 4度C'!$B:$B,"平均")</f>
        <v>0</v>
      </c>
      <c r="H21" s="81">
        <f>SUMIFS('0920 4度C'!$AD:$AD,'0920 4度C'!$A:$A,"新豐3線",'0920 4度C'!$B:$B,"平均")</f>
        <v>0</v>
      </c>
      <c r="I21" s="81">
        <f>SUMIFS('0920 4度C'!$AD:$AD,'0920 4度C'!$A:$A,"新豐1線",'0920 4度C'!$B:$B,"平均")</f>
        <v>0</v>
      </c>
      <c r="J21" s="82">
        <f>SUMIFS('0920 4度C'!$AD:$AD,'0920 4度C'!$A:$A,"新豐10線",'0920 4度C'!$B:$B,"平均")</f>
        <v>0</v>
      </c>
      <c r="K21" s="83">
        <f>SUMIFS('0920 4度C'!$AD:$AD,'0920 4度C'!$A:$A,"新豐8線",'0920 4度C'!$B:$B,"平均")</f>
        <v>0</v>
      </c>
      <c r="L21" s="81">
        <f>SUMIFS('0920 4度C'!$AD:$AD,'0920 4度C'!$A:$A,"新豐9線",'0920 4度C'!$B:$B,"平均")</f>
        <v>0</v>
      </c>
      <c r="M21" s="82">
        <f>SUMIFS('0920 4度C'!$AD:$AD,'0920 4度C'!$A:$A,"新豐4線",'0920 4度C'!$B:$B,"平均")</f>
        <v>0</v>
      </c>
    </row>
    <row r="22" spans="2:13" ht="17.25" customHeight="1">
      <c r="B22" s="548" t="s">
        <v>1908</v>
      </c>
      <c r="C22" s="549"/>
      <c r="D22" s="84">
        <f>SUMIFS('0920 4度C'!$I:$I,'0920 4度C'!$A:$A,"新豐6線",'0920 4度C'!$B:$B,"平均")</f>
        <v>15.5</v>
      </c>
      <c r="E22" s="85">
        <f>SUMIFS('0920 4度C'!$I:$I,'0920 4度C'!$A:$A,"新豐2線",'0920 4度C'!$B:$B,"平均")</f>
        <v>18</v>
      </c>
      <c r="F22" s="85">
        <f>SUMIFS('0920 4度C'!$I:$I,'0920 4度C'!$A:$A,"新豐5線",'0920 4度C'!$B:$B,"平均")</f>
        <v>16.857142857142858</v>
      </c>
      <c r="G22" s="85">
        <f>SUMIFS('0920 4度C'!$I:$I,'0920 4度C'!$A:$A,"新豐7線",'0920 4度C'!$B:$B,"平均")</f>
        <v>15.5</v>
      </c>
      <c r="H22" s="85">
        <f>SUMIFS('0920 4度C'!$I:$I,'0920 4度C'!$A:$A,"新豐3線",'0920 4度C'!$B:$B,"平均")</f>
        <v>10.75</v>
      </c>
      <c r="I22" s="85">
        <f>SUMIFS('0920 4度C'!$I:$I,'0920 4度C'!$A:$A,"新豐1線",'0920 4度C'!$B:$B,"平均")</f>
        <v>18.111111111111111</v>
      </c>
      <c r="J22" s="86">
        <f>SUMIFS('0920 4度C'!$I:$I,'0920 4度C'!$A:$A,"新豐10線",'0920 4度C'!$B:$B,"平均")</f>
        <v>10.199999999999999</v>
      </c>
      <c r="K22" s="84">
        <f>SUMIFS('0920 4度C'!$I:$I,'0920 4度C'!$A:$A,"新豐8線",'0920 4度C'!$B:$B,"平均")</f>
        <v>16.333333333333332</v>
      </c>
      <c r="L22" s="85">
        <f>SUMIFS('0920 4度C'!$I:$I,'0920 4度C'!$A:$A,"新豐9線",'0920 4度C'!$B:$B,"平均")</f>
        <v>17.111111111111111</v>
      </c>
      <c r="M22" s="86">
        <f>SUMIFS('0920 4度C'!$I:$I,'0920 4度C'!$A:$A,"新豐4線",'0920 4度C'!$B:$B,"平均")</f>
        <v>16.90909090909091</v>
      </c>
    </row>
    <row r="23" spans="2:13" ht="17.25" customHeight="1">
      <c r="B23" s="548" t="s">
        <v>122</v>
      </c>
      <c r="C23" s="549"/>
      <c r="D23" s="87" t="s">
        <v>69</v>
      </c>
      <c r="E23" s="88" t="s">
        <v>70</v>
      </c>
      <c r="F23" s="88" t="s">
        <v>1909</v>
      </c>
      <c r="G23" s="88" t="s">
        <v>1909</v>
      </c>
      <c r="H23" s="88" t="s">
        <v>71</v>
      </c>
      <c r="I23" s="88" t="s">
        <v>69</v>
      </c>
      <c r="J23" s="89" t="s">
        <v>71</v>
      </c>
      <c r="K23" s="87" t="s">
        <v>1910</v>
      </c>
      <c r="L23" s="88" t="s">
        <v>1910</v>
      </c>
      <c r="M23" s="89" t="s">
        <v>1910</v>
      </c>
    </row>
    <row r="24" spans="2:13" ht="17.25" customHeight="1">
      <c r="B24" s="548" t="s">
        <v>125</v>
      </c>
      <c r="C24" s="549"/>
      <c r="D24" s="87"/>
      <c r="E24" s="88"/>
      <c r="F24" s="88" t="s">
        <v>1911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1912</v>
      </c>
      <c r="C25" s="551"/>
      <c r="D25" s="90"/>
      <c r="E25" s="91" t="s">
        <v>1913</v>
      </c>
      <c r="F25" s="544" t="s">
        <v>1914</v>
      </c>
      <c r="G25" s="545"/>
      <c r="H25" s="91" t="s">
        <v>1915</v>
      </c>
      <c r="I25" s="91" t="s">
        <v>1916</v>
      </c>
      <c r="J25" s="92" t="s">
        <v>1915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3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zoomScale="80" zoomScaleNormal="80" workbookViewId="0">
      <pane ySplit="4" topLeftCell="A5" activePane="bottomLeft" state="frozen"/>
      <selection activeCell="A10" sqref="A10"/>
      <selection pane="bottomLeft" activeCell="A8" sqref="A8:A1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1917</v>
      </c>
      <c r="B1" s="1"/>
      <c r="C1" s="2" t="s">
        <v>133</v>
      </c>
      <c r="D1" s="3">
        <f>SUM(F5:F80)</f>
        <v>203365</v>
      </c>
      <c r="E1" s="398" t="s">
        <v>1918</v>
      </c>
      <c r="F1" s="1">
        <f>SUM(G5:G80)</f>
        <v>6887646.450000003</v>
      </c>
      <c r="G1" s="1" t="s">
        <v>1919</v>
      </c>
      <c r="H1" s="4">
        <f>L7+L12+L52+L62+L20+L68+L37+L47+L27+L80</f>
        <v>155.27178932178933</v>
      </c>
      <c r="I1" s="660" t="s">
        <v>1920</v>
      </c>
      <c r="J1" s="660"/>
      <c r="K1" s="660"/>
      <c r="L1" s="660" t="s">
        <v>1921</v>
      </c>
      <c r="M1" s="660"/>
      <c r="N1" s="660"/>
      <c r="O1" s="660" t="s">
        <v>1922</v>
      </c>
      <c r="P1" s="660"/>
      <c r="Q1" s="660"/>
      <c r="R1" s="660"/>
      <c r="S1" s="660" t="s">
        <v>1923</v>
      </c>
      <c r="T1" s="660"/>
      <c r="U1" s="660"/>
      <c r="V1" s="660"/>
      <c r="W1" s="660"/>
      <c r="X1" s="660"/>
      <c r="Y1" s="5" t="s">
        <v>1924</v>
      </c>
      <c r="Z1" s="6" t="s">
        <v>1925</v>
      </c>
      <c r="AA1" s="661" t="s">
        <v>1926</v>
      </c>
      <c r="AB1" s="661"/>
      <c r="AC1" s="7" t="s">
        <v>1924</v>
      </c>
      <c r="AD1" s="6" t="s">
        <v>144</v>
      </c>
      <c r="AE1" s="660" t="s">
        <v>1927</v>
      </c>
      <c r="AF1" s="662"/>
      <c r="AG1" s="662"/>
    </row>
    <row r="2" spans="1:33" ht="26.25" customHeight="1">
      <c r="A2" s="27">
        <v>46285</v>
      </c>
      <c r="B2" s="28" t="s">
        <v>580</v>
      </c>
      <c r="C2" s="2" t="s">
        <v>1896</v>
      </c>
      <c r="D2" s="9">
        <f>AVERAGE(N7,N12,N52,N62,N20,N68,N27,N37,N47,N80)</f>
        <v>146.34783241475211</v>
      </c>
      <c r="E2" s="10" t="s">
        <v>0</v>
      </c>
      <c r="F2" s="11">
        <f>F1/D1</f>
        <v>33.868396479236857</v>
      </c>
      <c r="G2" s="1" t="s">
        <v>1928</v>
      </c>
      <c r="H2" s="404">
        <f>COUNT(H5:H80)</f>
        <v>15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SUM(Y7+Y12+Y20+Y27+Y37+Y47+Y52+Y62+Y68+Y80)</f>
        <v>0</v>
      </c>
      <c r="Z2" s="12">
        <f>SUM(Z7+Z12+Z20+Z27+Z37+Z47+Z52+Z62+Z68+Z80)</f>
        <v>0</v>
      </c>
      <c r="AA2" s="661"/>
      <c r="AB2" s="661"/>
      <c r="AC2" s="12">
        <v>66</v>
      </c>
      <c r="AD2" s="12">
        <f>SUM(AD7+AD12+AD20+AD27+AD37+AD47+AD52+AD62+AD68+AD80)</f>
        <v>0</v>
      </c>
      <c r="AE2" s="662"/>
      <c r="AF2" s="662"/>
      <c r="AG2" s="662"/>
    </row>
    <row r="3" spans="1:33" ht="40.5" customHeight="1">
      <c r="A3" s="610" t="s">
        <v>1929</v>
      </c>
      <c r="B3" s="610" t="s">
        <v>1930</v>
      </c>
      <c r="C3" s="610" t="s">
        <v>1931</v>
      </c>
      <c r="D3" s="610"/>
      <c r="E3" s="658" t="s">
        <v>1932</v>
      </c>
      <c r="F3" s="610" t="s">
        <v>1933</v>
      </c>
      <c r="G3" s="658" t="s">
        <v>1934</v>
      </c>
      <c r="H3" s="651" t="s">
        <v>1935</v>
      </c>
      <c r="I3" s="649" t="s">
        <v>1936</v>
      </c>
      <c r="J3" s="646" t="s">
        <v>1937</v>
      </c>
      <c r="K3" s="656" t="s">
        <v>1896</v>
      </c>
      <c r="L3" s="649" t="s">
        <v>1936</v>
      </c>
      <c r="M3" s="646" t="s">
        <v>1937</v>
      </c>
      <c r="N3" s="656" t="s">
        <v>1896</v>
      </c>
      <c r="O3" s="649" t="s">
        <v>1936</v>
      </c>
      <c r="P3" s="656" t="s">
        <v>1896</v>
      </c>
      <c r="Q3" s="647" t="s">
        <v>1938</v>
      </c>
      <c r="R3" s="623" t="s">
        <v>1939</v>
      </c>
      <c r="S3" s="657" t="s">
        <v>1</v>
      </c>
      <c r="T3" s="657"/>
      <c r="U3" s="651" t="s">
        <v>2</v>
      </c>
      <c r="V3" s="651" t="s">
        <v>1940</v>
      </c>
      <c r="W3" s="610" t="s">
        <v>1941</v>
      </c>
      <c r="X3" s="610"/>
      <c r="Y3" s="652" t="s">
        <v>1942</v>
      </c>
      <c r="Z3" s="609"/>
      <c r="AA3" s="653" t="s">
        <v>1943</v>
      </c>
      <c r="AB3" s="654"/>
      <c r="AC3" s="652" t="s">
        <v>1944</v>
      </c>
      <c r="AD3" s="609"/>
      <c r="AE3" s="646" t="s">
        <v>1945</v>
      </c>
      <c r="AF3" s="647" t="s">
        <v>1946</v>
      </c>
      <c r="AG3" s="623" t="s">
        <v>1947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403" t="s">
        <v>3</v>
      </c>
      <c r="T4" s="403" t="s">
        <v>4</v>
      </c>
      <c r="U4" s="651"/>
      <c r="V4" s="651"/>
      <c r="W4" s="398" t="s">
        <v>1948</v>
      </c>
      <c r="X4" s="398" t="s">
        <v>1949</v>
      </c>
      <c r="Y4" s="397" t="s">
        <v>1950</v>
      </c>
      <c r="Z4" s="397" t="s">
        <v>1951</v>
      </c>
      <c r="AA4" s="655"/>
      <c r="AB4" s="654"/>
      <c r="AC4" s="397" t="s">
        <v>1952</v>
      </c>
      <c r="AD4" s="397" t="s">
        <v>1953</v>
      </c>
      <c r="AE4" s="646"/>
      <c r="AF4" s="647"/>
      <c r="AG4" s="623"/>
    </row>
    <row r="5" spans="1:33">
      <c r="A5" s="648" t="s">
        <v>1954</v>
      </c>
      <c r="B5" s="33" t="s">
        <v>6</v>
      </c>
      <c r="C5" s="650" t="s">
        <v>7</v>
      </c>
      <c r="D5" s="650"/>
      <c r="E5" s="33">
        <v>50.92</v>
      </c>
      <c r="F5" s="403">
        <v>2523</v>
      </c>
      <c r="G5" s="398">
        <f t="shared" ref="G5:G6" si="0">E5*F5</f>
        <v>128471.16</v>
      </c>
      <c r="H5" s="405" t="s">
        <v>5</v>
      </c>
      <c r="I5" s="401">
        <v>15</v>
      </c>
      <c r="J5" s="30">
        <v>2000</v>
      </c>
      <c r="K5" s="13">
        <f t="shared" ref="K5:K68" si="1">J5/I5</f>
        <v>133.33333333333334</v>
      </c>
      <c r="L5" s="401">
        <v>15</v>
      </c>
      <c r="M5" s="14">
        <f t="shared" ref="M5:M6" si="2">F5/V5*60</f>
        <v>1916.2025316455686</v>
      </c>
      <c r="N5" s="13">
        <f t="shared" ref="N5:N68" si="3">M5/L5</f>
        <v>127.74683544303791</v>
      </c>
      <c r="O5" s="15">
        <f t="shared" ref="O5:O68" si="4">L5-I5</f>
        <v>0</v>
      </c>
      <c r="P5" s="16">
        <f t="shared" ref="P5:P68" si="5">N5-K5</f>
        <v>-5.5864978902954334</v>
      </c>
      <c r="Q5" s="399">
        <f t="shared" ref="Q5:Q68" si="6">N5/K5</f>
        <v>0.95810126582278421</v>
      </c>
      <c r="R5" s="619">
        <f>Q7</f>
        <v>0.95671729957805873</v>
      </c>
      <c r="S5" s="31">
        <v>0.70833333333333337</v>
      </c>
      <c r="T5" s="31">
        <v>0.76319444444444451</v>
      </c>
      <c r="U5" s="398"/>
      <c r="V5" s="402">
        <f t="shared" ref="V5:V6" si="7">(T5-S5)*24*60</f>
        <v>79.000000000000043</v>
      </c>
      <c r="W5" s="17"/>
      <c r="X5" s="17"/>
      <c r="Y5" s="18"/>
      <c r="Z5" s="18"/>
      <c r="AA5" s="610"/>
      <c r="AB5" s="610"/>
      <c r="AC5" s="19">
        <v>2</v>
      </c>
      <c r="AD5" s="19"/>
      <c r="AE5" s="15">
        <f t="shared" ref="AE5:AE61" si="8">M5-J5</f>
        <v>-83.79746835443143</v>
      </c>
      <c r="AF5" s="399">
        <f t="shared" ref="AF5:AF68" si="9">M5/J5</f>
        <v>0.95810126582278432</v>
      </c>
      <c r="AG5" s="619">
        <f>AF7</f>
        <v>0.95671729957805884</v>
      </c>
    </row>
    <row r="6" spans="1:33">
      <c r="A6" s="649" t="s">
        <v>1955</v>
      </c>
      <c r="B6" s="33" t="s">
        <v>6</v>
      </c>
      <c r="C6" s="650" t="s">
        <v>8</v>
      </c>
      <c r="D6" s="650"/>
      <c r="E6" s="33">
        <v>50.98</v>
      </c>
      <c r="F6" s="403">
        <v>2866</v>
      </c>
      <c r="G6" s="398">
        <f t="shared" si="0"/>
        <v>146108.68</v>
      </c>
      <c r="H6" s="405" t="s">
        <v>5</v>
      </c>
      <c r="I6" s="401">
        <v>16</v>
      </c>
      <c r="J6" s="30">
        <v>2000</v>
      </c>
      <c r="K6" s="13">
        <f t="shared" si="1"/>
        <v>125</v>
      </c>
      <c r="L6" s="401">
        <v>16</v>
      </c>
      <c r="M6" s="14">
        <f t="shared" si="2"/>
        <v>1910.6666666666667</v>
      </c>
      <c r="N6" s="13">
        <f t="shared" si="3"/>
        <v>119.41666666666667</v>
      </c>
      <c r="O6" s="15">
        <f t="shared" si="4"/>
        <v>0</v>
      </c>
      <c r="P6" s="16">
        <f t="shared" si="5"/>
        <v>-5.5833333333333286</v>
      </c>
      <c r="Q6" s="399">
        <f t="shared" si="6"/>
        <v>0.95533333333333337</v>
      </c>
      <c r="R6" s="619"/>
      <c r="S6" s="31">
        <v>0.76736111111111116</v>
      </c>
      <c r="T6" s="31">
        <v>0.82986111111111116</v>
      </c>
      <c r="U6" s="398">
        <f t="shared" ref="U6" si="10">IF(S6=TIME(17,0,0),"",(S6-T5)*24*60)</f>
        <v>5.9999999999999787</v>
      </c>
      <c r="V6" s="402">
        <f t="shared" si="7"/>
        <v>90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-89.333333333333258</v>
      </c>
      <c r="AF6" s="399">
        <f t="shared" si="9"/>
        <v>0.95533333333333337</v>
      </c>
      <c r="AG6" s="619"/>
    </row>
    <row r="7" spans="1:33">
      <c r="A7" s="649" t="s">
        <v>1955</v>
      </c>
      <c r="B7" s="33" t="s">
        <v>180</v>
      </c>
      <c r="C7" s="620"/>
      <c r="D7" s="620"/>
      <c r="E7" s="400"/>
      <c r="F7" s="34"/>
      <c r="G7" s="13"/>
      <c r="H7" s="403"/>
      <c r="I7" s="23">
        <v>15.5</v>
      </c>
      <c r="J7" s="30">
        <v>2000</v>
      </c>
      <c r="K7" s="13">
        <f t="shared" si="1"/>
        <v>129.03225806451613</v>
      </c>
      <c r="L7" s="23">
        <v>15.5</v>
      </c>
      <c r="M7" s="14">
        <f>AVERAGE(M5:M6)</f>
        <v>1913.4345991561177</v>
      </c>
      <c r="N7" s="13">
        <f t="shared" si="3"/>
        <v>123.44739349394307</v>
      </c>
      <c r="O7" s="15">
        <f t="shared" si="4"/>
        <v>0</v>
      </c>
      <c r="P7" s="16">
        <f t="shared" si="5"/>
        <v>-5.5848645705730604</v>
      </c>
      <c r="Q7" s="399">
        <f t="shared" si="6"/>
        <v>0.95671729957805873</v>
      </c>
      <c r="R7" s="619"/>
      <c r="S7" s="31"/>
      <c r="T7" s="31"/>
      <c r="U7" s="398"/>
      <c r="V7" s="402"/>
      <c r="W7" s="13"/>
      <c r="X7" s="13"/>
      <c r="Y7" s="24">
        <f>SUM(Y5:Y6)</f>
        <v>0</v>
      </c>
      <c r="Z7" s="24">
        <f>SUM(Z5:Z6)</f>
        <v>0</v>
      </c>
      <c r="AA7" s="609"/>
      <c r="AB7" s="609"/>
      <c r="AC7" s="24">
        <v>2</v>
      </c>
      <c r="AD7" s="24">
        <f>SUM(AD5:AD6)</f>
        <v>0</v>
      </c>
      <c r="AE7" s="15">
        <f t="shared" si="8"/>
        <v>-86.565400843882344</v>
      </c>
      <c r="AF7" s="399">
        <f t="shared" si="9"/>
        <v>0.95671729957805884</v>
      </c>
      <c r="AG7" s="619"/>
    </row>
    <row r="8" spans="1:33" ht="15.75" customHeight="1">
      <c r="A8" s="645" t="s">
        <v>1956</v>
      </c>
      <c r="B8" s="33" t="s">
        <v>10</v>
      </c>
      <c r="C8" s="641" t="s">
        <v>14</v>
      </c>
      <c r="D8" s="642"/>
      <c r="E8" s="33">
        <v>39.619999999999997</v>
      </c>
      <c r="F8" s="403">
        <v>5443</v>
      </c>
      <c r="G8" s="398">
        <f t="shared" ref="G8:G11" si="11">E8*F8</f>
        <v>215651.65999999997</v>
      </c>
      <c r="H8" s="405" t="s">
        <v>5</v>
      </c>
      <c r="I8" s="401">
        <v>19</v>
      </c>
      <c r="J8" s="30">
        <v>1500</v>
      </c>
      <c r="K8" s="13">
        <f t="shared" si="1"/>
        <v>78.94736842105263</v>
      </c>
      <c r="L8" s="401">
        <v>19</v>
      </c>
      <c r="M8" s="14">
        <f t="shared" ref="M8:M11" si="12">F8/V8*60</f>
        <v>1426.1135371179034</v>
      </c>
      <c r="N8" s="13">
        <f t="shared" si="3"/>
        <v>75.058607216731758</v>
      </c>
      <c r="O8" s="15">
        <f t="shared" si="4"/>
        <v>0</v>
      </c>
      <c r="P8" s="16">
        <f t="shared" si="5"/>
        <v>-3.8887612043208719</v>
      </c>
      <c r="Q8" s="399">
        <f t="shared" si="6"/>
        <v>0.9507423580786023</v>
      </c>
      <c r="R8" s="619">
        <f>Q12</f>
        <v>0.95222598636587286</v>
      </c>
      <c r="S8" s="31">
        <v>8.3333333333333329E-2</v>
      </c>
      <c r="T8" s="31">
        <v>0.24236111111111114</v>
      </c>
      <c r="U8" s="398"/>
      <c r="V8" s="402">
        <f t="shared" ref="V8:V11" si="13">(T8-S8)*24*60</f>
        <v>229.00000000000006</v>
      </c>
      <c r="W8" s="17">
        <f>T8</f>
        <v>0.24236111111111114</v>
      </c>
      <c r="X8" s="17">
        <f>S9</f>
        <v>0.26180555555555557</v>
      </c>
      <c r="Y8" s="17"/>
      <c r="Z8" s="17"/>
      <c r="AA8" s="610"/>
      <c r="AB8" s="610"/>
      <c r="AC8" s="19">
        <v>4</v>
      </c>
      <c r="AD8" s="19"/>
      <c r="AE8" s="15">
        <f t="shared" si="8"/>
        <v>-73.886462882096566</v>
      </c>
      <c r="AF8" s="399">
        <f t="shared" si="9"/>
        <v>0.9507423580786023</v>
      </c>
      <c r="AG8" s="619">
        <f>AF12</f>
        <v>0.95222598636587286</v>
      </c>
    </row>
    <row r="9" spans="1:33" ht="15.75" customHeight="1">
      <c r="A9" s="645" t="s">
        <v>1956</v>
      </c>
      <c r="B9" s="33" t="s">
        <v>10</v>
      </c>
      <c r="C9" s="641" t="s">
        <v>11</v>
      </c>
      <c r="D9" s="642"/>
      <c r="E9" s="33">
        <v>39.799999999999997</v>
      </c>
      <c r="F9" s="403">
        <v>4500</v>
      </c>
      <c r="G9" s="398">
        <f t="shared" si="11"/>
        <v>179100</v>
      </c>
      <c r="H9" s="405">
        <v>2</v>
      </c>
      <c r="I9" s="401">
        <v>17</v>
      </c>
      <c r="J9" s="30">
        <v>1500</v>
      </c>
      <c r="K9" s="13">
        <f t="shared" si="1"/>
        <v>88.235294117647058</v>
      </c>
      <c r="L9" s="401">
        <v>17</v>
      </c>
      <c r="M9" s="14">
        <f t="shared" si="12"/>
        <v>1428.5714285714282</v>
      </c>
      <c r="N9" s="13">
        <f t="shared" si="3"/>
        <v>84.033613445378137</v>
      </c>
      <c r="O9" s="15">
        <f t="shared" si="4"/>
        <v>0</v>
      </c>
      <c r="P9" s="16">
        <f t="shared" si="5"/>
        <v>-4.2016806722689211</v>
      </c>
      <c r="Q9" s="399">
        <f t="shared" si="6"/>
        <v>0.95238095238095222</v>
      </c>
      <c r="R9" s="619"/>
      <c r="S9" s="31">
        <v>0.26180555555555557</v>
      </c>
      <c r="T9" s="31">
        <v>0.3930555555555556</v>
      </c>
      <c r="U9" s="398">
        <f t="shared" ref="U9:U11" si="14">IF(S9=TIME(17,0,0),"",(S9-T8)*24*60)</f>
        <v>27.999999999999979</v>
      </c>
      <c r="V9" s="402">
        <f t="shared" si="13"/>
        <v>189.00000000000006</v>
      </c>
      <c r="W9" s="17"/>
      <c r="X9" s="17"/>
      <c r="Y9" s="17"/>
      <c r="Z9" s="17"/>
      <c r="AA9" s="610"/>
      <c r="AB9" s="610"/>
      <c r="AC9" s="19"/>
      <c r="AD9" s="19"/>
      <c r="AE9" s="15">
        <f t="shared" si="8"/>
        <v>-71.428571428571786</v>
      </c>
      <c r="AF9" s="399">
        <f t="shared" si="9"/>
        <v>0.95238095238095211</v>
      </c>
      <c r="AG9" s="619"/>
    </row>
    <row r="10" spans="1:33" ht="15.75" customHeight="1">
      <c r="A10" s="645" t="s">
        <v>1956</v>
      </c>
      <c r="B10" s="33" t="s">
        <v>10</v>
      </c>
      <c r="C10" s="641" t="s">
        <v>13</v>
      </c>
      <c r="D10" s="642"/>
      <c r="E10" s="33">
        <v>39.520000000000003</v>
      </c>
      <c r="F10" s="403">
        <v>2450</v>
      </c>
      <c r="G10" s="398">
        <f t="shared" si="11"/>
        <v>96824.000000000015</v>
      </c>
      <c r="H10" s="405" t="s">
        <v>5</v>
      </c>
      <c r="I10" s="401">
        <v>19</v>
      </c>
      <c r="J10" s="30">
        <v>1500</v>
      </c>
      <c r="K10" s="13">
        <f t="shared" si="1"/>
        <v>78.94736842105263</v>
      </c>
      <c r="L10" s="401">
        <v>19</v>
      </c>
      <c r="M10" s="14">
        <f t="shared" si="12"/>
        <v>1427.1844660194181</v>
      </c>
      <c r="N10" s="13">
        <f t="shared" si="3"/>
        <v>75.114971895758842</v>
      </c>
      <c r="O10" s="15">
        <f t="shared" si="4"/>
        <v>0</v>
      </c>
      <c r="P10" s="16">
        <f t="shared" si="5"/>
        <v>-3.8323965252937882</v>
      </c>
      <c r="Q10" s="399">
        <f t="shared" si="6"/>
        <v>0.95145631067961201</v>
      </c>
      <c r="R10" s="619"/>
      <c r="S10" s="31">
        <v>0.39861111111111114</v>
      </c>
      <c r="T10" s="31">
        <v>0.47013888888888888</v>
      </c>
      <c r="U10" s="398">
        <f t="shared" si="14"/>
        <v>7.9999999999999716</v>
      </c>
      <c r="V10" s="402">
        <f t="shared" si="13"/>
        <v>102.99999999999996</v>
      </c>
      <c r="W10" s="17">
        <f>T10</f>
        <v>0.47013888888888888</v>
      </c>
      <c r="X10" s="17">
        <f>S11</f>
        <v>0.55347222222222214</v>
      </c>
      <c r="Y10" s="17"/>
      <c r="Z10" s="17"/>
      <c r="AA10" s="610"/>
      <c r="AB10" s="610"/>
      <c r="AC10" s="19"/>
      <c r="AD10" s="19"/>
      <c r="AE10" s="15">
        <f t="shared" si="8"/>
        <v>-72.815533980581904</v>
      </c>
      <c r="AF10" s="399">
        <f t="shared" si="9"/>
        <v>0.95145631067961212</v>
      </c>
      <c r="AG10" s="619"/>
    </row>
    <row r="11" spans="1:33" ht="15.75" customHeight="1">
      <c r="A11" s="645" t="s">
        <v>1956</v>
      </c>
      <c r="B11" s="33" t="s">
        <v>10</v>
      </c>
      <c r="C11" s="641" t="s">
        <v>11</v>
      </c>
      <c r="D11" s="642"/>
      <c r="E11" s="33">
        <v>39.799999999999997</v>
      </c>
      <c r="F11" s="403">
        <v>3531</v>
      </c>
      <c r="G11" s="398">
        <f t="shared" si="11"/>
        <v>140533.79999999999</v>
      </c>
      <c r="H11" s="405" t="s">
        <v>5</v>
      </c>
      <c r="I11" s="401">
        <v>17</v>
      </c>
      <c r="J11" s="30">
        <v>1500</v>
      </c>
      <c r="K11" s="13">
        <f t="shared" si="1"/>
        <v>88.235294117647058</v>
      </c>
      <c r="L11" s="401">
        <v>17</v>
      </c>
      <c r="M11" s="14">
        <f t="shared" si="12"/>
        <v>1431.4864864864869</v>
      </c>
      <c r="N11" s="13">
        <f t="shared" si="3"/>
        <v>84.20508744038159</v>
      </c>
      <c r="O11" s="15">
        <f t="shared" si="4"/>
        <v>0</v>
      </c>
      <c r="P11" s="16">
        <f t="shared" si="5"/>
        <v>-4.0302066772654683</v>
      </c>
      <c r="Q11" s="399">
        <f t="shared" si="6"/>
        <v>0.95432432432432468</v>
      </c>
      <c r="R11" s="619"/>
      <c r="S11" s="31">
        <v>0.55347222222222214</v>
      </c>
      <c r="T11" s="31">
        <v>0.65624999999999989</v>
      </c>
      <c r="U11" s="398">
        <f t="shared" si="14"/>
        <v>119.99999999999989</v>
      </c>
      <c r="V11" s="402">
        <f t="shared" si="13"/>
        <v>147.99999999999994</v>
      </c>
      <c r="W11" s="17"/>
      <c r="X11" s="17"/>
      <c r="Y11" s="17"/>
      <c r="Z11" s="17"/>
      <c r="AA11" s="614"/>
      <c r="AB11" s="615"/>
      <c r="AC11" s="19"/>
      <c r="AD11" s="19"/>
      <c r="AE11" s="15">
        <f t="shared" si="8"/>
        <v>-68.513513513513089</v>
      </c>
      <c r="AF11" s="399">
        <f t="shared" si="9"/>
        <v>0.95432432432432457</v>
      </c>
      <c r="AG11" s="619"/>
    </row>
    <row r="12" spans="1:33" ht="16.5" customHeight="1">
      <c r="A12" s="645" t="s">
        <v>1956</v>
      </c>
      <c r="B12" s="33" t="s">
        <v>180</v>
      </c>
      <c r="C12" s="620"/>
      <c r="D12" s="620"/>
      <c r="E12" s="400"/>
      <c r="F12" s="30"/>
      <c r="G12" s="14"/>
      <c r="H12" s="403"/>
      <c r="I12" s="23">
        <v>18</v>
      </c>
      <c r="J12" s="30">
        <v>1500</v>
      </c>
      <c r="K12" s="13">
        <f t="shared" si="1"/>
        <v>83.333333333333329</v>
      </c>
      <c r="L12" s="23">
        <v>18</v>
      </c>
      <c r="M12" s="14">
        <f>AVERAGE(M8:M11)</f>
        <v>1428.3389795488092</v>
      </c>
      <c r="N12" s="13">
        <f t="shared" si="3"/>
        <v>79.352165530489401</v>
      </c>
      <c r="O12" s="15">
        <f t="shared" si="4"/>
        <v>0</v>
      </c>
      <c r="P12" s="16">
        <f t="shared" si="5"/>
        <v>-3.9811678028439275</v>
      </c>
      <c r="Q12" s="399">
        <f t="shared" si="6"/>
        <v>0.95222598636587286</v>
      </c>
      <c r="R12" s="619"/>
      <c r="S12" s="31"/>
      <c r="T12" s="31"/>
      <c r="U12" s="13"/>
      <c r="V12" s="402"/>
      <c r="W12" s="13"/>
      <c r="X12" s="13"/>
      <c r="Y12" s="24">
        <f>SUM(Y8:Y11)</f>
        <v>0</v>
      </c>
      <c r="Z12" s="24">
        <f>SUM(Z8:Z11)</f>
        <v>0</v>
      </c>
      <c r="AA12" s="609"/>
      <c r="AB12" s="609"/>
      <c r="AC12" s="24">
        <v>4</v>
      </c>
      <c r="AD12" s="24">
        <f>SUM(AD8:AD11)</f>
        <v>0</v>
      </c>
      <c r="AE12" s="15">
        <f t="shared" si="8"/>
        <v>-71.66102045119078</v>
      </c>
      <c r="AF12" s="399">
        <f t="shared" si="9"/>
        <v>0.95222598636587286</v>
      </c>
      <c r="AG12" s="619"/>
    </row>
    <row r="13" spans="1:33" ht="16.5" customHeight="1">
      <c r="A13" s="643" t="s">
        <v>1957</v>
      </c>
      <c r="B13" s="403" t="s">
        <v>15</v>
      </c>
      <c r="C13" s="635" t="s">
        <v>16</v>
      </c>
      <c r="D13" s="635"/>
      <c r="E13" s="33">
        <v>31.11</v>
      </c>
      <c r="F13" s="403">
        <v>2587</v>
      </c>
      <c r="G13" s="398">
        <f t="shared" ref="G13:G19" si="15">E13*F13</f>
        <v>80481.569999999992</v>
      </c>
      <c r="H13" s="405" t="s">
        <v>5</v>
      </c>
      <c r="I13" s="401">
        <v>14</v>
      </c>
      <c r="J13" s="30">
        <v>2000</v>
      </c>
      <c r="K13" s="13">
        <f t="shared" si="1"/>
        <v>142.85714285714286</v>
      </c>
      <c r="L13" s="401">
        <v>14</v>
      </c>
      <c r="M13" s="14">
        <f t="shared" ref="M13:M19" si="16">F13/V13*60</f>
        <v>1916.2962962962956</v>
      </c>
      <c r="N13" s="13">
        <f t="shared" si="3"/>
        <v>136.87830687830683</v>
      </c>
      <c r="O13" s="15">
        <f t="shared" si="4"/>
        <v>0</v>
      </c>
      <c r="P13" s="16">
        <f t="shared" si="5"/>
        <v>-5.978835978836031</v>
      </c>
      <c r="Q13" s="399">
        <f t="shared" si="6"/>
        <v>0.95814814814814775</v>
      </c>
      <c r="R13" s="619">
        <f>Q20</f>
        <v>0.9591576431341291</v>
      </c>
      <c r="S13" s="31">
        <v>0.25</v>
      </c>
      <c r="T13" s="31">
        <v>0.30625000000000002</v>
      </c>
      <c r="U13" s="398"/>
      <c r="V13" s="402">
        <f t="shared" ref="V13:V19" si="17">(T13-S13)*24*60</f>
        <v>81.000000000000028</v>
      </c>
      <c r="W13" s="17"/>
      <c r="X13" s="17"/>
      <c r="Y13" s="22"/>
      <c r="Z13" s="22"/>
      <c r="AA13" s="610"/>
      <c r="AB13" s="610"/>
      <c r="AC13" s="19">
        <v>7</v>
      </c>
      <c r="AD13" s="19"/>
      <c r="AE13" s="15">
        <f t="shared" si="8"/>
        <v>-83.703703703704377</v>
      </c>
      <c r="AF13" s="399">
        <f t="shared" si="9"/>
        <v>0.95814814814814786</v>
      </c>
      <c r="AG13" s="619">
        <f>AF20</f>
        <v>0.9591576431341291</v>
      </c>
    </row>
    <row r="14" spans="1:33" ht="16.5" customHeight="1">
      <c r="A14" s="644" t="s">
        <v>1957</v>
      </c>
      <c r="B14" s="403" t="s">
        <v>17</v>
      </c>
      <c r="C14" s="635" t="s">
        <v>18</v>
      </c>
      <c r="D14" s="635"/>
      <c r="E14" s="33">
        <v>41</v>
      </c>
      <c r="F14" s="403">
        <v>1713</v>
      </c>
      <c r="G14" s="398">
        <f t="shared" si="15"/>
        <v>70233</v>
      </c>
      <c r="H14" s="405" t="s">
        <v>5</v>
      </c>
      <c r="I14" s="401">
        <v>26</v>
      </c>
      <c r="J14" s="30">
        <v>1500</v>
      </c>
      <c r="K14" s="13">
        <f t="shared" si="1"/>
        <v>57.692307692307693</v>
      </c>
      <c r="L14" s="401">
        <v>26</v>
      </c>
      <c r="M14" s="14">
        <f t="shared" si="16"/>
        <v>1447.6056338028172</v>
      </c>
      <c r="N14" s="13">
        <f t="shared" si="3"/>
        <v>55.677139761646814</v>
      </c>
      <c r="O14" s="15">
        <f t="shared" si="4"/>
        <v>0</v>
      </c>
      <c r="P14" s="16">
        <f t="shared" si="5"/>
        <v>-2.0151679306608798</v>
      </c>
      <c r="Q14" s="399">
        <f t="shared" si="6"/>
        <v>0.96507042253521147</v>
      </c>
      <c r="R14" s="619"/>
      <c r="S14" s="31">
        <v>0.31041666666666667</v>
      </c>
      <c r="T14" s="31">
        <v>0.35972222222222222</v>
      </c>
      <c r="U14" s="398">
        <f t="shared" ref="U14:U19" si="18">IF(S14=TIME(17,0,0),"",(S14-T13)*24*60)</f>
        <v>5.9999999999999787</v>
      </c>
      <c r="V14" s="402">
        <f t="shared" si="17"/>
        <v>70.999999999999986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-52.394366197182762</v>
      </c>
      <c r="AF14" s="399">
        <f t="shared" si="9"/>
        <v>0.96507042253521147</v>
      </c>
      <c r="AG14" s="619"/>
    </row>
    <row r="15" spans="1:33" ht="16.5" customHeight="1">
      <c r="A15" s="644" t="s">
        <v>1957</v>
      </c>
      <c r="B15" s="403" t="s">
        <v>15</v>
      </c>
      <c r="C15" s="635" t="s">
        <v>76</v>
      </c>
      <c r="D15" s="635"/>
      <c r="E15" s="33">
        <v>68.88</v>
      </c>
      <c r="F15" s="403">
        <v>1389</v>
      </c>
      <c r="G15" s="398">
        <f t="shared" si="15"/>
        <v>95674.319999999992</v>
      </c>
      <c r="H15" s="405" t="s">
        <v>5</v>
      </c>
      <c r="I15" s="401">
        <v>16</v>
      </c>
      <c r="J15" s="30">
        <v>2000</v>
      </c>
      <c r="K15" s="13">
        <f t="shared" si="1"/>
        <v>125</v>
      </c>
      <c r="L15" s="401">
        <v>16</v>
      </c>
      <c r="M15" s="14">
        <f t="shared" si="16"/>
        <v>1938.1395348837207</v>
      </c>
      <c r="N15" s="13">
        <f t="shared" si="3"/>
        <v>121.13372093023254</v>
      </c>
      <c r="O15" s="15">
        <f t="shared" si="4"/>
        <v>0</v>
      </c>
      <c r="P15" s="16">
        <f t="shared" si="5"/>
        <v>-3.8662790697674581</v>
      </c>
      <c r="Q15" s="399">
        <f t="shared" si="6"/>
        <v>0.96906976744186035</v>
      </c>
      <c r="R15" s="619"/>
      <c r="S15" s="31">
        <v>0.36319444444444443</v>
      </c>
      <c r="T15" s="31">
        <v>0.39305555555555555</v>
      </c>
      <c r="U15" s="398">
        <f t="shared" si="18"/>
        <v>4.9999999999999822</v>
      </c>
      <c r="V15" s="402">
        <f t="shared" si="17"/>
        <v>43.000000000000007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-61.860465116279329</v>
      </c>
      <c r="AF15" s="399">
        <f t="shared" si="9"/>
        <v>0.96906976744186035</v>
      </c>
      <c r="AG15" s="619"/>
    </row>
    <row r="16" spans="1:33" ht="16.5" customHeight="1">
      <c r="A16" s="644" t="s">
        <v>1957</v>
      </c>
      <c r="B16" s="403" t="s">
        <v>10</v>
      </c>
      <c r="C16" s="635" t="s">
        <v>12</v>
      </c>
      <c r="D16" s="635"/>
      <c r="E16" s="33">
        <v>39.46</v>
      </c>
      <c r="F16" s="403">
        <v>2578</v>
      </c>
      <c r="G16" s="398">
        <f t="shared" si="15"/>
        <v>101727.88</v>
      </c>
      <c r="H16" s="405" t="s">
        <v>5</v>
      </c>
      <c r="I16" s="401">
        <v>15</v>
      </c>
      <c r="J16" s="30">
        <v>1500</v>
      </c>
      <c r="K16" s="13">
        <f t="shared" si="1"/>
        <v>100</v>
      </c>
      <c r="L16" s="401">
        <v>15</v>
      </c>
      <c r="M16" s="14">
        <f t="shared" si="16"/>
        <v>1432.2222222222219</v>
      </c>
      <c r="N16" s="13">
        <f t="shared" si="3"/>
        <v>95.481481481481467</v>
      </c>
      <c r="O16" s="15">
        <f t="shared" si="4"/>
        <v>0</v>
      </c>
      <c r="P16" s="16">
        <f t="shared" si="5"/>
        <v>-4.5185185185185333</v>
      </c>
      <c r="Q16" s="399">
        <f t="shared" si="6"/>
        <v>0.95481481481481467</v>
      </c>
      <c r="R16" s="619"/>
      <c r="S16" s="31">
        <v>0.3972222222222222</v>
      </c>
      <c r="T16" s="31">
        <v>0.47222222222222221</v>
      </c>
      <c r="U16" s="398">
        <f t="shared" si="18"/>
        <v>5.9999999999999787</v>
      </c>
      <c r="V16" s="402">
        <f t="shared" si="17"/>
        <v>108.00000000000001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-67.777777777778056</v>
      </c>
      <c r="AF16" s="399">
        <f t="shared" si="9"/>
        <v>0.95481481481481467</v>
      </c>
      <c r="AG16" s="619"/>
    </row>
    <row r="17" spans="1:33" ht="16.5" customHeight="1">
      <c r="A17" s="644" t="s">
        <v>1957</v>
      </c>
      <c r="B17" s="403" t="s">
        <v>6</v>
      </c>
      <c r="C17" s="635" t="s">
        <v>20</v>
      </c>
      <c r="D17" s="635"/>
      <c r="E17" s="33">
        <v>54.5</v>
      </c>
      <c r="F17" s="403">
        <v>1009</v>
      </c>
      <c r="G17" s="398">
        <f t="shared" si="15"/>
        <v>54990.5</v>
      </c>
      <c r="H17" s="405" t="s">
        <v>5</v>
      </c>
      <c r="I17" s="401">
        <v>19</v>
      </c>
      <c r="J17" s="30">
        <v>1500</v>
      </c>
      <c r="K17" s="13">
        <f t="shared" si="1"/>
        <v>78.94736842105263</v>
      </c>
      <c r="L17" s="401">
        <v>19</v>
      </c>
      <c r="M17" s="14">
        <f t="shared" si="16"/>
        <v>1441.4285714285709</v>
      </c>
      <c r="N17" s="13">
        <f t="shared" si="3"/>
        <v>75.864661654135304</v>
      </c>
      <c r="O17" s="15">
        <f t="shared" si="4"/>
        <v>0</v>
      </c>
      <c r="P17" s="16">
        <f t="shared" si="5"/>
        <v>-3.082706766917326</v>
      </c>
      <c r="Q17" s="399">
        <f t="shared" si="6"/>
        <v>0.96095238095238056</v>
      </c>
      <c r="R17" s="619"/>
      <c r="S17" s="31">
        <v>0.70833333333333337</v>
      </c>
      <c r="T17" s="31">
        <v>0.73750000000000004</v>
      </c>
      <c r="U17" s="398" t="str">
        <f t="shared" si="18"/>
        <v/>
      </c>
      <c r="V17" s="402">
        <f t="shared" si="17"/>
        <v>42.000000000000014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-58.571428571429124</v>
      </c>
      <c r="AF17" s="399">
        <f t="shared" si="9"/>
        <v>0.96095238095238056</v>
      </c>
      <c r="AG17" s="619"/>
    </row>
    <row r="18" spans="1:33" ht="16.5" customHeight="1">
      <c r="A18" s="644" t="s">
        <v>1957</v>
      </c>
      <c r="B18" s="403" t="s">
        <v>6</v>
      </c>
      <c r="C18" s="406" t="s">
        <v>45</v>
      </c>
      <c r="D18" s="407"/>
      <c r="E18" s="33">
        <v>51.06</v>
      </c>
      <c r="F18" s="403">
        <v>3241</v>
      </c>
      <c r="G18" s="398">
        <f t="shared" si="15"/>
        <v>165485.46000000002</v>
      </c>
      <c r="H18" s="405" t="s">
        <v>5</v>
      </c>
      <c r="I18" s="401">
        <v>13</v>
      </c>
      <c r="J18" s="30">
        <v>2000</v>
      </c>
      <c r="K18" s="13">
        <f t="shared" si="1"/>
        <v>153.84615384615384</v>
      </c>
      <c r="L18" s="401">
        <v>13</v>
      </c>
      <c r="M18" s="14">
        <f t="shared" si="16"/>
        <v>1906.4705882352948</v>
      </c>
      <c r="N18" s="13">
        <f t="shared" si="3"/>
        <v>146.65158371040729</v>
      </c>
      <c r="O18" s="15">
        <f t="shared" si="4"/>
        <v>0</v>
      </c>
      <c r="P18" s="16">
        <f t="shared" si="5"/>
        <v>-7.1945701357465452</v>
      </c>
      <c r="Q18" s="399">
        <f t="shared" si="6"/>
        <v>0.9532352941176474</v>
      </c>
      <c r="R18" s="619"/>
      <c r="S18" s="31">
        <v>0.7416666666666667</v>
      </c>
      <c r="T18" s="31">
        <v>0.8125</v>
      </c>
      <c r="U18" s="398">
        <f t="shared" si="18"/>
        <v>5.9999999999999787</v>
      </c>
      <c r="V18" s="402">
        <f t="shared" si="17"/>
        <v>101.99999999999996</v>
      </c>
      <c r="W18" s="17"/>
      <c r="X18" s="17"/>
      <c r="Y18" s="20"/>
      <c r="Z18" s="20"/>
      <c r="AA18" s="394"/>
      <c r="AB18" s="395"/>
      <c r="AC18" s="19"/>
      <c r="AD18" s="19"/>
      <c r="AE18" s="15">
        <f t="shared" si="8"/>
        <v>-93.529411764705173</v>
      </c>
      <c r="AF18" s="399">
        <f t="shared" si="9"/>
        <v>0.9532352941176474</v>
      </c>
      <c r="AG18" s="619"/>
    </row>
    <row r="19" spans="1:33" ht="16.5" customHeight="1">
      <c r="A19" s="644" t="s">
        <v>1957</v>
      </c>
      <c r="B19" s="403" t="s">
        <v>6</v>
      </c>
      <c r="C19" s="406" t="s">
        <v>9</v>
      </c>
      <c r="D19" s="407"/>
      <c r="E19" s="33">
        <v>50.67</v>
      </c>
      <c r="F19" s="403">
        <v>1653</v>
      </c>
      <c r="G19" s="398">
        <f t="shared" si="15"/>
        <v>83757.510000000009</v>
      </c>
      <c r="H19" s="405" t="s">
        <v>5</v>
      </c>
      <c r="I19" s="401">
        <v>15</v>
      </c>
      <c r="J19" s="30">
        <v>2000</v>
      </c>
      <c r="K19" s="13">
        <f t="shared" si="1"/>
        <v>133.33333333333334</v>
      </c>
      <c r="L19" s="401">
        <v>15</v>
      </c>
      <c r="M19" s="14">
        <f t="shared" si="16"/>
        <v>1907.3076923076933</v>
      </c>
      <c r="N19" s="13">
        <f t="shared" si="3"/>
        <v>127.15384615384622</v>
      </c>
      <c r="O19" s="15">
        <f t="shared" si="4"/>
        <v>0</v>
      </c>
      <c r="P19" s="16">
        <f t="shared" si="5"/>
        <v>-6.1794871794871256</v>
      </c>
      <c r="Q19" s="399">
        <f t="shared" si="6"/>
        <v>0.95365384615384652</v>
      </c>
      <c r="R19" s="619"/>
      <c r="S19" s="31">
        <v>0.81597222222222221</v>
      </c>
      <c r="T19" s="31">
        <v>0.8520833333333333</v>
      </c>
      <c r="U19" s="398">
        <f t="shared" si="18"/>
        <v>4.9999999999999822</v>
      </c>
      <c r="V19" s="402">
        <f t="shared" si="17"/>
        <v>51.999999999999972</v>
      </c>
      <c r="W19" s="17"/>
      <c r="X19" s="17"/>
      <c r="Y19" s="20"/>
      <c r="Z19" s="20"/>
      <c r="AA19" s="394"/>
      <c r="AB19" s="395"/>
      <c r="AC19" s="19"/>
      <c r="AD19" s="19"/>
      <c r="AE19" s="15">
        <f t="shared" si="8"/>
        <v>-92.692307692306713</v>
      </c>
      <c r="AF19" s="399">
        <f t="shared" si="9"/>
        <v>0.95365384615384663</v>
      </c>
      <c r="AG19" s="619"/>
    </row>
    <row r="20" spans="1:33" ht="16.5" customHeight="1">
      <c r="A20" s="644" t="s">
        <v>1957</v>
      </c>
      <c r="B20" s="33" t="s">
        <v>180</v>
      </c>
      <c r="C20" s="620"/>
      <c r="D20" s="620"/>
      <c r="E20" s="400"/>
      <c r="F20" s="34"/>
      <c r="G20" s="13"/>
      <c r="H20" s="403"/>
      <c r="I20" s="23">
        <v>16.857142857142858</v>
      </c>
      <c r="J20" s="30">
        <v>1785.7142857142858</v>
      </c>
      <c r="K20" s="13">
        <f t="shared" si="1"/>
        <v>105.93220338983051</v>
      </c>
      <c r="L20" s="23">
        <v>16.857142857142858</v>
      </c>
      <c r="M20" s="14">
        <f>AVERAGE(M13:M19)</f>
        <v>1712.7815055966591</v>
      </c>
      <c r="N20" s="13">
        <f t="shared" si="3"/>
        <v>101.60568253539503</v>
      </c>
      <c r="O20" s="15">
        <f t="shared" si="4"/>
        <v>0</v>
      </c>
      <c r="P20" s="16">
        <f t="shared" si="5"/>
        <v>-4.3265208544354721</v>
      </c>
      <c r="Q20" s="399">
        <f t="shared" si="6"/>
        <v>0.9591576431341291</v>
      </c>
      <c r="R20" s="619"/>
      <c r="S20" s="31"/>
      <c r="T20" s="31"/>
      <c r="U20" s="398"/>
      <c r="V20" s="402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-72.932780117626635</v>
      </c>
      <c r="AF20" s="399">
        <f t="shared" si="9"/>
        <v>0.9591576431341291</v>
      </c>
      <c r="AG20" s="619"/>
    </row>
    <row r="21" spans="1:33" ht="15.75" customHeight="1">
      <c r="A21" s="637" t="s">
        <v>1958</v>
      </c>
      <c r="B21" s="33" t="s">
        <v>6</v>
      </c>
      <c r="C21" s="635" t="s">
        <v>22</v>
      </c>
      <c r="D21" s="635"/>
      <c r="E21" s="33">
        <v>50.67</v>
      </c>
      <c r="F21" s="403">
        <v>1912</v>
      </c>
      <c r="G21" s="398">
        <f t="shared" ref="G21:G26" si="19">E21*F21</f>
        <v>96881.040000000008</v>
      </c>
      <c r="H21" s="405" t="s">
        <v>5</v>
      </c>
      <c r="I21" s="401">
        <v>17</v>
      </c>
      <c r="J21" s="30">
        <v>2000</v>
      </c>
      <c r="K21" s="13">
        <f t="shared" si="1"/>
        <v>117.64705882352941</v>
      </c>
      <c r="L21" s="401">
        <v>17</v>
      </c>
      <c r="M21" s="14">
        <f t="shared" ref="M21:M26" si="20">F21/V21*60</f>
        <v>1911.9999999999991</v>
      </c>
      <c r="N21" s="13">
        <f t="shared" si="3"/>
        <v>112.47058823529406</v>
      </c>
      <c r="O21" s="15">
        <f t="shared" si="4"/>
        <v>0</v>
      </c>
      <c r="P21" s="16">
        <f t="shared" si="5"/>
        <v>-5.1764705882353468</v>
      </c>
      <c r="Q21" s="399">
        <f t="shared" si="6"/>
        <v>0.95599999999999952</v>
      </c>
      <c r="R21" s="619">
        <f>Q27</f>
        <v>0.95813995686414721</v>
      </c>
      <c r="S21" s="31">
        <v>0.25</v>
      </c>
      <c r="T21" s="31">
        <v>0.29166666666666669</v>
      </c>
      <c r="U21" s="398"/>
      <c r="V21" s="402">
        <f t="shared" ref="V21:V26" si="21">(T21-S21)*24*60</f>
        <v>60.000000000000028</v>
      </c>
      <c r="W21" s="17"/>
      <c r="X21" s="17"/>
      <c r="Y21" s="22"/>
      <c r="Z21" s="22"/>
      <c r="AA21" s="610"/>
      <c r="AB21" s="610"/>
      <c r="AC21" s="19">
        <v>6</v>
      </c>
      <c r="AD21" s="19"/>
      <c r="AE21" s="15">
        <f t="shared" si="8"/>
        <v>-88.000000000000909</v>
      </c>
      <c r="AF21" s="399">
        <f t="shared" si="9"/>
        <v>0.95599999999999952</v>
      </c>
      <c r="AG21" s="619">
        <f>AF27</f>
        <v>0.95813995686414732</v>
      </c>
    </row>
    <row r="22" spans="1:33" ht="15.75" customHeight="1">
      <c r="A22" s="638" t="s">
        <v>1958</v>
      </c>
      <c r="B22" s="33" t="s">
        <v>6</v>
      </c>
      <c r="C22" s="635" t="s">
        <v>23</v>
      </c>
      <c r="D22" s="635"/>
      <c r="E22" s="33">
        <v>57.73</v>
      </c>
      <c r="F22" s="403">
        <v>3082</v>
      </c>
      <c r="G22" s="398">
        <f t="shared" si="19"/>
        <v>177923.86</v>
      </c>
      <c r="H22" s="405" t="s">
        <v>5</v>
      </c>
      <c r="I22" s="401">
        <v>14</v>
      </c>
      <c r="J22" s="30">
        <v>2000</v>
      </c>
      <c r="K22" s="13">
        <f t="shared" si="1"/>
        <v>142.85714285714286</v>
      </c>
      <c r="L22" s="401">
        <v>14</v>
      </c>
      <c r="M22" s="14">
        <f t="shared" si="20"/>
        <v>1906.3917525773199</v>
      </c>
      <c r="N22" s="13">
        <f t="shared" si="3"/>
        <v>136.17083946980856</v>
      </c>
      <c r="O22" s="15">
        <f t="shared" si="4"/>
        <v>0</v>
      </c>
      <c r="P22" s="16">
        <f t="shared" si="5"/>
        <v>-6.6863033873343056</v>
      </c>
      <c r="Q22" s="399">
        <f t="shared" si="6"/>
        <v>0.95319587628865987</v>
      </c>
      <c r="R22" s="619"/>
      <c r="S22" s="31">
        <v>0.2951388888888889</v>
      </c>
      <c r="T22" s="31">
        <v>0.36249999999999999</v>
      </c>
      <c r="U22" s="398">
        <f t="shared" ref="U22:U26" si="22">IF(S22=TIME(17,0,0),"",(S22-T21)*24*60)</f>
        <v>4.9999999999999822</v>
      </c>
      <c r="V22" s="402">
        <f t="shared" si="21"/>
        <v>96.999999999999972</v>
      </c>
      <c r="W22" s="17"/>
      <c r="X22" s="398"/>
      <c r="Y22" s="398"/>
      <c r="Z22" s="398"/>
      <c r="AA22" s="610"/>
      <c r="AB22" s="610"/>
      <c r="AC22" s="19"/>
      <c r="AD22" s="19"/>
      <c r="AE22" s="15">
        <f t="shared" si="8"/>
        <v>-93.608247422680051</v>
      </c>
      <c r="AF22" s="399">
        <f t="shared" si="9"/>
        <v>0.95319587628865998</v>
      </c>
      <c r="AG22" s="619"/>
    </row>
    <row r="23" spans="1:33" ht="15.75" customHeight="1">
      <c r="A23" s="638" t="s">
        <v>1958</v>
      </c>
      <c r="B23" s="33" t="s">
        <v>6</v>
      </c>
      <c r="C23" s="635" t="s">
        <v>24</v>
      </c>
      <c r="D23" s="635"/>
      <c r="E23" s="33">
        <v>53.27</v>
      </c>
      <c r="F23" s="403">
        <v>1707</v>
      </c>
      <c r="G23" s="398">
        <f t="shared" si="19"/>
        <v>90931.89</v>
      </c>
      <c r="H23" s="405" t="s">
        <v>5</v>
      </c>
      <c r="I23" s="401">
        <v>16</v>
      </c>
      <c r="J23" s="30">
        <v>2000</v>
      </c>
      <c r="K23" s="13">
        <f t="shared" si="1"/>
        <v>125</v>
      </c>
      <c r="L23" s="401">
        <v>16</v>
      </c>
      <c r="M23" s="14">
        <f t="shared" si="20"/>
        <v>1932.4528301886801</v>
      </c>
      <c r="N23" s="13">
        <f t="shared" si="3"/>
        <v>120.77830188679251</v>
      </c>
      <c r="O23" s="15">
        <f t="shared" si="4"/>
        <v>0</v>
      </c>
      <c r="P23" s="16">
        <f t="shared" si="5"/>
        <v>-4.2216981132074949</v>
      </c>
      <c r="Q23" s="399">
        <f t="shared" si="6"/>
        <v>0.96622641509434004</v>
      </c>
      <c r="R23" s="619"/>
      <c r="S23" s="31">
        <v>0.36736111111111108</v>
      </c>
      <c r="T23" s="31">
        <v>0.40416666666666662</v>
      </c>
      <c r="U23" s="398">
        <f t="shared" si="22"/>
        <v>6.9999999999999751</v>
      </c>
      <c r="V23" s="402">
        <f t="shared" si="21"/>
        <v>52.999999999999972</v>
      </c>
      <c r="W23" s="17"/>
      <c r="X23" s="398"/>
      <c r="Y23" s="398"/>
      <c r="Z23" s="398"/>
      <c r="AA23" s="610"/>
      <c r="AB23" s="610"/>
      <c r="AC23" s="19"/>
      <c r="AD23" s="19"/>
      <c r="AE23" s="15">
        <f t="shared" si="8"/>
        <v>-67.547169811319918</v>
      </c>
      <c r="AF23" s="399">
        <f t="shared" si="9"/>
        <v>0.96622641509434004</v>
      </c>
      <c r="AG23" s="619"/>
    </row>
    <row r="24" spans="1:33" ht="15.75" customHeight="1">
      <c r="A24" s="638" t="s">
        <v>1958</v>
      </c>
      <c r="B24" s="33" t="s">
        <v>6</v>
      </c>
      <c r="C24" s="635" t="s">
        <v>21</v>
      </c>
      <c r="D24" s="635"/>
      <c r="E24" s="33">
        <v>50.49</v>
      </c>
      <c r="F24" s="403">
        <v>2342</v>
      </c>
      <c r="G24" s="398">
        <f t="shared" si="19"/>
        <v>118247.58</v>
      </c>
      <c r="H24" s="405" t="s">
        <v>5</v>
      </c>
      <c r="I24" s="401">
        <v>15</v>
      </c>
      <c r="J24" s="30">
        <v>2000</v>
      </c>
      <c r="K24" s="13">
        <f t="shared" si="1"/>
        <v>133.33333333333334</v>
      </c>
      <c r="L24" s="401">
        <v>15</v>
      </c>
      <c r="M24" s="14">
        <f t="shared" si="20"/>
        <v>1924.9315068493136</v>
      </c>
      <c r="N24" s="13">
        <f t="shared" si="3"/>
        <v>128.32876712328758</v>
      </c>
      <c r="O24" s="15">
        <f t="shared" si="4"/>
        <v>0</v>
      </c>
      <c r="P24" s="16">
        <f t="shared" si="5"/>
        <v>-5.0045662100457662</v>
      </c>
      <c r="Q24" s="399">
        <f t="shared" si="6"/>
        <v>0.96246575342465679</v>
      </c>
      <c r="R24" s="619"/>
      <c r="S24" s="31">
        <v>0.70833333333333337</v>
      </c>
      <c r="T24" s="31">
        <v>0.75902777777777786</v>
      </c>
      <c r="U24" s="398" t="str">
        <f t="shared" si="22"/>
        <v/>
      </c>
      <c r="V24" s="402">
        <f t="shared" si="21"/>
        <v>73.000000000000057</v>
      </c>
      <c r="W24" s="17"/>
      <c r="X24" s="398"/>
      <c r="Y24" s="398"/>
      <c r="Z24" s="398"/>
      <c r="AA24" s="610"/>
      <c r="AB24" s="610"/>
      <c r="AC24" s="19"/>
      <c r="AD24" s="19"/>
      <c r="AE24" s="15">
        <f t="shared" si="8"/>
        <v>-75.068493150686436</v>
      </c>
      <c r="AF24" s="399">
        <f t="shared" si="9"/>
        <v>0.96246575342465679</v>
      </c>
      <c r="AG24" s="619"/>
    </row>
    <row r="25" spans="1:33" ht="15.75" customHeight="1">
      <c r="A25" s="638" t="s">
        <v>1958</v>
      </c>
      <c r="B25" s="33" t="s">
        <v>6</v>
      </c>
      <c r="C25" s="635" t="s">
        <v>26</v>
      </c>
      <c r="D25" s="635"/>
      <c r="E25" s="33">
        <v>54.09</v>
      </c>
      <c r="F25" s="403">
        <v>2363</v>
      </c>
      <c r="G25" s="398">
        <f t="shared" si="19"/>
        <v>127814.67000000001</v>
      </c>
      <c r="H25" s="405" t="s">
        <v>5</v>
      </c>
      <c r="I25" s="401">
        <v>18</v>
      </c>
      <c r="J25" s="30">
        <v>2000</v>
      </c>
      <c r="K25" s="13">
        <f t="shared" si="1"/>
        <v>111.11111111111111</v>
      </c>
      <c r="L25" s="401">
        <v>18</v>
      </c>
      <c r="M25" s="14">
        <f t="shared" si="20"/>
        <v>1915.9459459459445</v>
      </c>
      <c r="N25" s="13">
        <f t="shared" si="3"/>
        <v>106.44144144144136</v>
      </c>
      <c r="O25" s="15">
        <f t="shared" si="4"/>
        <v>0</v>
      </c>
      <c r="P25" s="16">
        <f t="shared" si="5"/>
        <v>-4.6696696696697586</v>
      </c>
      <c r="Q25" s="399">
        <f t="shared" si="6"/>
        <v>0.95797297297297213</v>
      </c>
      <c r="R25" s="619"/>
      <c r="S25" s="31">
        <v>0.76458333333333339</v>
      </c>
      <c r="T25" s="31">
        <v>0.81597222222222232</v>
      </c>
      <c r="U25" s="398">
        <f t="shared" si="22"/>
        <v>7.9999999999999716</v>
      </c>
      <c r="V25" s="402">
        <f t="shared" si="21"/>
        <v>74.000000000000057</v>
      </c>
      <c r="W25" s="17"/>
      <c r="X25" s="17"/>
      <c r="Y25" s="398"/>
      <c r="Z25" s="398"/>
      <c r="AA25" s="610"/>
      <c r="AB25" s="610"/>
      <c r="AC25" s="19"/>
      <c r="AD25" s="19"/>
      <c r="AE25" s="15">
        <f t="shared" si="8"/>
        <v>-84.054054054055541</v>
      </c>
      <c r="AF25" s="399">
        <f t="shared" si="9"/>
        <v>0.95797297297297224</v>
      </c>
      <c r="AG25" s="619"/>
    </row>
    <row r="26" spans="1:33" ht="15.75" customHeight="1">
      <c r="A26" s="638" t="s">
        <v>1958</v>
      </c>
      <c r="B26" s="33" t="s">
        <v>6</v>
      </c>
      <c r="C26" s="635" t="s">
        <v>25</v>
      </c>
      <c r="D26" s="635"/>
      <c r="E26" s="33">
        <v>56.43</v>
      </c>
      <c r="F26" s="403">
        <v>1493</v>
      </c>
      <c r="G26" s="398">
        <f t="shared" si="19"/>
        <v>84249.99</v>
      </c>
      <c r="H26" s="405" t="s">
        <v>5</v>
      </c>
      <c r="I26" s="401">
        <v>13</v>
      </c>
      <c r="J26" s="30">
        <v>2000</v>
      </c>
      <c r="K26" s="13">
        <f t="shared" si="1"/>
        <v>153.84615384615384</v>
      </c>
      <c r="L26" s="401">
        <v>13</v>
      </c>
      <c r="M26" s="14">
        <f t="shared" si="20"/>
        <v>1905.9574468085109</v>
      </c>
      <c r="N26" s="13">
        <f t="shared" si="3"/>
        <v>146.61211129296237</v>
      </c>
      <c r="O26" s="15">
        <f t="shared" si="4"/>
        <v>0</v>
      </c>
      <c r="P26" s="16">
        <f t="shared" si="5"/>
        <v>-7.2340425531914718</v>
      </c>
      <c r="Q26" s="399">
        <f t="shared" si="6"/>
        <v>0.95297872340425538</v>
      </c>
      <c r="R26" s="619"/>
      <c r="S26" s="31">
        <v>0.81944444444444453</v>
      </c>
      <c r="T26" s="31">
        <v>0.85208333333333341</v>
      </c>
      <c r="U26" s="398">
        <f t="shared" si="22"/>
        <v>4.9999999999999822</v>
      </c>
      <c r="V26" s="402">
        <f t="shared" si="21"/>
        <v>46.999999999999993</v>
      </c>
      <c r="W26" s="17"/>
      <c r="X26" s="22"/>
      <c r="Y26" s="22"/>
      <c r="Z26" s="22"/>
      <c r="AA26" s="610"/>
      <c r="AB26" s="610"/>
      <c r="AC26" s="19"/>
      <c r="AD26" s="19"/>
      <c r="AE26" s="15">
        <f t="shared" si="8"/>
        <v>-94.042553191489105</v>
      </c>
      <c r="AF26" s="399">
        <f t="shared" si="9"/>
        <v>0.95297872340425549</v>
      </c>
      <c r="AG26" s="619"/>
    </row>
    <row r="27" spans="1:33" ht="15.75" customHeight="1">
      <c r="A27" s="638" t="s">
        <v>1958</v>
      </c>
      <c r="B27" s="33" t="s">
        <v>180</v>
      </c>
      <c r="C27" s="620"/>
      <c r="D27" s="620"/>
      <c r="E27" s="400"/>
      <c r="F27" s="403"/>
      <c r="G27" s="398"/>
      <c r="H27" s="403"/>
      <c r="I27" s="23">
        <v>15.5</v>
      </c>
      <c r="J27" s="30">
        <v>2000</v>
      </c>
      <c r="K27" s="13">
        <f t="shared" si="1"/>
        <v>129.03225806451613</v>
      </c>
      <c r="L27" s="23">
        <v>15.5</v>
      </c>
      <c r="M27" s="14">
        <f>AVERAGE(M21:M26)</f>
        <v>1916.2799137282946</v>
      </c>
      <c r="N27" s="13">
        <f t="shared" si="3"/>
        <v>123.630962176019</v>
      </c>
      <c r="O27" s="15">
        <f t="shared" si="4"/>
        <v>0</v>
      </c>
      <c r="P27" s="16">
        <f t="shared" si="5"/>
        <v>-5.4012958884971312</v>
      </c>
      <c r="Q27" s="399">
        <f t="shared" si="6"/>
        <v>0.95813995686414721</v>
      </c>
      <c r="R27" s="619"/>
      <c r="S27" s="31"/>
      <c r="T27" s="31"/>
      <c r="U27" s="13"/>
      <c r="V27" s="402"/>
      <c r="W27" s="13"/>
      <c r="X27" s="13"/>
      <c r="Y27" s="24">
        <f>SUM(Y21:Y26)</f>
        <v>0</v>
      </c>
      <c r="Z27" s="24">
        <f>SUM(Z21:Z26)</f>
        <v>0</v>
      </c>
      <c r="AA27" s="609"/>
      <c r="AB27" s="609"/>
      <c r="AC27" s="24">
        <v>6</v>
      </c>
      <c r="AD27" s="24">
        <f>SUM(AD21:AD26)</f>
        <v>0</v>
      </c>
      <c r="AE27" s="15">
        <f t="shared" si="8"/>
        <v>-83.720086271705441</v>
      </c>
      <c r="AF27" s="399">
        <f t="shared" si="9"/>
        <v>0.95813995686414732</v>
      </c>
      <c r="AG27" s="619"/>
    </row>
    <row r="28" spans="1:33" ht="15.75" customHeight="1">
      <c r="A28" s="636" t="s">
        <v>1959</v>
      </c>
      <c r="B28" s="33" t="s">
        <v>27</v>
      </c>
      <c r="C28" s="635" t="s">
        <v>28</v>
      </c>
      <c r="D28" s="635"/>
      <c r="E28" s="33">
        <v>31.29</v>
      </c>
      <c r="F28" s="403">
        <v>6700</v>
      </c>
      <c r="G28" s="398">
        <f t="shared" ref="G28:G36" si="23">E28*F28</f>
        <v>209643</v>
      </c>
      <c r="H28" s="405">
        <v>2</v>
      </c>
      <c r="I28" s="401">
        <v>18</v>
      </c>
      <c r="J28" s="30">
        <v>2400</v>
      </c>
      <c r="K28" s="13">
        <f t="shared" si="1"/>
        <v>133.33333333333334</v>
      </c>
      <c r="L28" s="401">
        <v>18</v>
      </c>
      <c r="M28" s="14">
        <f t="shared" ref="M28:M36" si="24">F28/V28*60</f>
        <v>2284.090909090909</v>
      </c>
      <c r="N28" s="13">
        <f t="shared" si="3"/>
        <v>126.89393939393939</v>
      </c>
      <c r="O28" s="15">
        <f t="shared" si="4"/>
        <v>0</v>
      </c>
      <c r="P28" s="16">
        <f t="shared" si="5"/>
        <v>-6.4393939393939519</v>
      </c>
      <c r="Q28" s="399">
        <f t="shared" si="6"/>
        <v>0.95170454545454541</v>
      </c>
      <c r="R28" s="619">
        <f>Q37</f>
        <v>0.95797522189258766</v>
      </c>
      <c r="S28" s="31">
        <v>8.3333333333333329E-2</v>
      </c>
      <c r="T28" s="31">
        <v>0.20555555555555555</v>
      </c>
      <c r="U28" s="398"/>
      <c r="V28" s="402">
        <f t="shared" ref="V28:V36" si="25">(T28-S28)*24*60</f>
        <v>176</v>
      </c>
      <c r="W28" s="17">
        <f>T28</f>
        <v>0.20555555555555555</v>
      </c>
      <c r="X28" s="17">
        <f>S29</f>
        <v>0.22430555555555556</v>
      </c>
      <c r="Y28" s="17"/>
      <c r="Z28" s="17"/>
      <c r="AA28" s="610"/>
      <c r="AB28" s="610"/>
      <c r="AC28" s="19">
        <v>9</v>
      </c>
      <c r="AD28" s="19"/>
      <c r="AE28" s="15">
        <f t="shared" si="8"/>
        <v>-115.90909090909099</v>
      </c>
      <c r="AF28" s="399">
        <f t="shared" si="9"/>
        <v>0.95170454545454541</v>
      </c>
      <c r="AG28" s="619">
        <f>AF37</f>
        <v>0.95797522189258777</v>
      </c>
    </row>
    <row r="29" spans="1:33" ht="15.75" customHeight="1">
      <c r="A29" s="636" t="s">
        <v>1959</v>
      </c>
      <c r="B29" s="33" t="s">
        <v>27</v>
      </c>
      <c r="C29" s="635" t="s">
        <v>29</v>
      </c>
      <c r="D29" s="635"/>
      <c r="E29" s="33">
        <v>26.37</v>
      </c>
      <c r="F29" s="403">
        <v>4700</v>
      </c>
      <c r="G29" s="398">
        <f t="shared" si="23"/>
        <v>123939</v>
      </c>
      <c r="H29" s="405">
        <v>2</v>
      </c>
      <c r="I29" s="401">
        <v>18</v>
      </c>
      <c r="J29" s="30">
        <v>2400</v>
      </c>
      <c r="K29" s="13">
        <f t="shared" si="1"/>
        <v>133.33333333333334</v>
      </c>
      <c r="L29" s="401">
        <v>18</v>
      </c>
      <c r="M29" s="14">
        <f t="shared" si="24"/>
        <v>2292.6829268292686</v>
      </c>
      <c r="N29" s="13">
        <f t="shared" si="3"/>
        <v>127.37127371273715</v>
      </c>
      <c r="O29" s="15">
        <f t="shared" si="4"/>
        <v>0</v>
      </c>
      <c r="P29" s="16">
        <f t="shared" si="5"/>
        <v>-5.9620596205961931</v>
      </c>
      <c r="Q29" s="399">
        <f t="shared" si="6"/>
        <v>0.9552845528455286</v>
      </c>
      <c r="R29" s="619"/>
      <c r="S29" s="31">
        <v>0.22430555555555556</v>
      </c>
      <c r="T29" s="31">
        <v>0.30972222222222223</v>
      </c>
      <c r="U29" s="398">
        <f t="shared" ref="U29:U36" si="26">(S29-T28)*24*60</f>
        <v>27.000000000000025</v>
      </c>
      <c r="V29" s="402">
        <f t="shared" si="25"/>
        <v>122.99999999999999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-107.31707317073142</v>
      </c>
      <c r="AF29" s="399">
        <f t="shared" si="9"/>
        <v>0.9552845528455286</v>
      </c>
      <c r="AG29" s="619"/>
    </row>
    <row r="30" spans="1:33" ht="15.75" customHeight="1">
      <c r="A30" s="636" t="s">
        <v>1959</v>
      </c>
      <c r="B30" s="33" t="s">
        <v>27</v>
      </c>
      <c r="C30" s="635" t="s">
        <v>34</v>
      </c>
      <c r="D30" s="635"/>
      <c r="E30" s="33">
        <v>24.43</v>
      </c>
      <c r="F30" s="403">
        <v>5500</v>
      </c>
      <c r="G30" s="398">
        <f t="shared" si="23"/>
        <v>134365</v>
      </c>
      <c r="H30" s="405">
        <v>2</v>
      </c>
      <c r="I30" s="401">
        <v>14</v>
      </c>
      <c r="J30" s="30">
        <v>2400</v>
      </c>
      <c r="K30" s="13">
        <f t="shared" si="1"/>
        <v>171.42857142857142</v>
      </c>
      <c r="L30" s="401">
        <v>14</v>
      </c>
      <c r="M30" s="14">
        <f t="shared" si="24"/>
        <v>2291.666666666667</v>
      </c>
      <c r="N30" s="13">
        <f t="shared" si="3"/>
        <v>163.6904761904762</v>
      </c>
      <c r="O30" s="15">
        <f t="shared" si="4"/>
        <v>0</v>
      </c>
      <c r="P30" s="16">
        <f t="shared" si="5"/>
        <v>-7.7380952380952124</v>
      </c>
      <c r="Q30" s="399">
        <f t="shared" si="6"/>
        <v>0.95486111111111127</v>
      </c>
      <c r="R30" s="619"/>
      <c r="S30" s="31">
        <v>0.31458333333333333</v>
      </c>
      <c r="T30" s="31">
        <v>0.4145833333333333</v>
      </c>
      <c r="U30" s="398">
        <f t="shared" si="26"/>
        <v>6.9999999999999751</v>
      </c>
      <c r="V30" s="402">
        <f t="shared" si="25"/>
        <v>143.99999999999997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-108.33333333333303</v>
      </c>
      <c r="AF30" s="399">
        <f t="shared" si="9"/>
        <v>0.95486111111111127</v>
      </c>
      <c r="AG30" s="619"/>
    </row>
    <row r="31" spans="1:33" ht="15.75" customHeight="1">
      <c r="A31" s="636" t="s">
        <v>1959</v>
      </c>
      <c r="B31" s="33" t="s">
        <v>27</v>
      </c>
      <c r="C31" s="635" t="s">
        <v>75</v>
      </c>
      <c r="D31" s="635"/>
      <c r="E31" s="33">
        <v>25.98</v>
      </c>
      <c r="F31" s="403">
        <v>4808</v>
      </c>
      <c r="G31" s="398">
        <f t="shared" si="23"/>
        <v>124911.84</v>
      </c>
      <c r="H31" s="405" t="s">
        <v>5</v>
      </c>
      <c r="I31" s="401">
        <v>19</v>
      </c>
      <c r="J31" s="30">
        <v>2400</v>
      </c>
      <c r="K31" s="13">
        <f t="shared" si="1"/>
        <v>126.31578947368421</v>
      </c>
      <c r="L31" s="401">
        <v>19</v>
      </c>
      <c r="M31" s="14">
        <f t="shared" si="24"/>
        <v>2289.5238095238092</v>
      </c>
      <c r="N31" s="13">
        <f t="shared" si="3"/>
        <v>120.50125313283206</v>
      </c>
      <c r="O31" s="15">
        <f t="shared" si="4"/>
        <v>0</v>
      </c>
      <c r="P31" s="16">
        <f t="shared" si="5"/>
        <v>-5.8145363408521433</v>
      </c>
      <c r="Q31" s="399">
        <f t="shared" si="6"/>
        <v>0.95396825396825391</v>
      </c>
      <c r="R31" s="619"/>
      <c r="S31" s="31">
        <v>0.41805555555555551</v>
      </c>
      <c r="T31" s="31">
        <v>0.50555555555555554</v>
      </c>
      <c r="U31" s="398">
        <f t="shared" si="26"/>
        <v>4.9999999999999822</v>
      </c>
      <c r="V31" s="402">
        <f t="shared" si="25"/>
        <v>126.00000000000003</v>
      </c>
      <c r="W31" s="17"/>
      <c r="X31" s="17"/>
      <c r="Y31" s="17"/>
      <c r="Z31" s="17"/>
      <c r="AA31" s="610"/>
      <c r="AB31" s="610"/>
      <c r="AC31" s="19"/>
      <c r="AD31" s="19"/>
      <c r="AE31" s="15">
        <f t="shared" si="8"/>
        <v>-110.47619047619082</v>
      </c>
      <c r="AF31" s="399">
        <f t="shared" si="9"/>
        <v>0.9539682539682538</v>
      </c>
      <c r="AG31" s="619"/>
    </row>
    <row r="32" spans="1:33" ht="15.75" customHeight="1">
      <c r="A32" s="636" t="s">
        <v>1959</v>
      </c>
      <c r="B32" s="33" t="s">
        <v>27</v>
      </c>
      <c r="C32" s="635" t="s">
        <v>55</v>
      </c>
      <c r="D32" s="635"/>
      <c r="E32" s="33">
        <v>23.89</v>
      </c>
      <c r="F32" s="403">
        <v>705</v>
      </c>
      <c r="G32" s="398">
        <f t="shared" si="23"/>
        <v>16842.45</v>
      </c>
      <c r="H32" s="405" t="s">
        <v>5</v>
      </c>
      <c r="I32" s="401">
        <v>13</v>
      </c>
      <c r="J32" s="30">
        <v>2400</v>
      </c>
      <c r="K32" s="13">
        <f t="shared" si="1"/>
        <v>184.61538461538461</v>
      </c>
      <c r="L32" s="401">
        <v>13</v>
      </c>
      <c r="M32" s="14">
        <f t="shared" si="24"/>
        <v>2350.0000000000082</v>
      </c>
      <c r="N32" s="13">
        <f t="shared" si="3"/>
        <v>180.7692307692314</v>
      </c>
      <c r="O32" s="15">
        <f t="shared" si="4"/>
        <v>0</v>
      </c>
      <c r="P32" s="16">
        <f t="shared" si="5"/>
        <v>-3.8461538461532143</v>
      </c>
      <c r="Q32" s="399">
        <f t="shared" si="6"/>
        <v>0.97916666666667007</v>
      </c>
      <c r="R32" s="619"/>
      <c r="S32" s="31">
        <v>0.50972222222222219</v>
      </c>
      <c r="T32" s="31">
        <v>0.52222222222222214</v>
      </c>
      <c r="U32" s="398">
        <f t="shared" si="26"/>
        <v>5.9999999999999787</v>
      </c>
      <c r="V32" s="402">
        <f t="shared" si="25"/>
        <v>17.999999999999936</v>
      </c>
      <c r="W32" s="17"/>
      <c r="X32" s="17"/>
      <c r="Y32" s="17"/>
      <c r="Z32" s="17"/>
      <c r="AA32" s="610"/>
      <c r="AB32" s="610"/>
      <c r="AC32" s="19"/>
      <c r="AD32" s="19"/>
      <c r="AE32" s="15">
        <f t="shared" si="8"/>
        <v>-49.999999999991815</v>
      </c>
      <c r="AF32" s="399">
        <f t="shared" si="9"/>
        <v>0.97916666666667007</v>
      </c>
      <c r="AG32" s="619"/>
    </row>
    <row r="33" spans="1:33" ht="15.75" customHeight="1">
      <c r="A33" s="636" t="s">
        <v>1959</v>
      </c>
      <c r="B33" s="33" t="s">
        <v>27</v>
      </c>
      <c r="C33" s="635" t="s">
        <v>28</v>
      </c>
      <c r="D33" s="635"/>
      <c r="E33" s="33">
        <v>31.29</v>
      </c>
      <c r="F33" s="403">
        <v>4879</v>
      </c>
      <c r="G33" s="398">
        <f t="shared" si="23"/>
        <v>152663.91</v>
      </c>
      <c r="H33" s="405" t="s">
        <v>5</v>
      </c>
      <c r="I33" s="401">
        <v>18</v>
      </c>
      <c r="J33" s="30">
        <v>2400</v>
      </c>
      <c r="K33" s="13">
        <f t="shared" si="1"/>
        <v>133.33333333333334</v>
      </c>
      <c r="L33" s="401">
        <v>18</v>
      </c>
      <c r="M33" s="14">
        <f t="shared" si="24"/>
        <v>2287.0312499999995</v>
      </c>
      <c r="N33" s="13">
        <f t="shared" si="3"/>
        <v>127.05729166666664</v>
      </c>
      <c r="O33" s="15">
        <f t="shared" si="4"/>
        <v>0</v>
      </c>
      <c r="P33" s="16">
        <f t="shared" si="5"/>
        <v>-6.2760416666666998</v>
      </c>
      <c r="Q33" s="399">
        <f t="shared" si="6"/>
        <v>0.95292968749999973</v>
      </c>
      <c r="R33" s="619"/>
      <c r="S33" s="31">
        <v>0.52569444444444435</v>
      </c>
      <c r="T33" s="31">
        <v>0.61458333333333326</v>
      </c>
      <c r="U33" s="398">
        <f t="shared" si="26"/>
        <v>4.9999999999999822</v>
      </c>
      <c r="V33" s="402">
        <f t="shared" si="25"/>
        <v>128.00000000000003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-112.96875000000045</v>
      </c>
      <c r="AF33" s="399">
        <f t="shared" si="9"/>
        <v>0.95292968749999984</v>
      </c>
      <c r="AG33" s="619"/>
    </row>
    <row r="34" spans="1:33" ht="15.75" customHeight="1">
      <c r="A34" s="636" t="s">
        <v>1959</v>
      </c>
      <c r="B34" s="33" t="s">
        <v>27</v>
      </c>
      <c r="C34" s="635" t="s">
        <v>34</v>
      </c>
      <c r="D34" s="635"/>
      <c r="E34" s="33">
        <v>24.43</v>
      </c>
      <c r="F34" s="403">
        <v>4467</v>
      </c>
      <c r="G34" s="398">
        <f t="shared" si="23"/>
        <v>109128.81</v>
      </c>
      <c r="H34" s="405" t="s">
        <v>5</v>
      </c>
      <c r="I34" s="401">
        <v>14</v>
      </c>
      <c r="J34" s="30">
        <v>2400</v>
      </c>
      <c r="K34" s="13">
        <f t="shared" si="1"/>
        <v>171.42857142857142</v>
      </c>
      <c r="L34" s="401">
        <v>14</v>
      </c>
      <c r="M34" s="14">
        <f t="shared" si="24"/>
        <v>2290.7692307692296</v>
      </c>
      <c r="N34" s="13">
        <f t="shared" si="3"/>
        <v>163.62637362637355</v>
      </c>
      <c r="O34" s="15">
        <f t="shared" si="4"/>
        <v>0</v>
      </c>
      <c r="P34" s="16">
        <f t="shared" si="5"/>
        <v>-7.8021978021978668</v>
      </c>
      <c r="Q34" s="399">
        <f t="shared" si="6"/>
        <v>0.95448717948717909</v>
      </c>
      <c r="R34" s="619"/>
      <c r="S34" s="31">
        <v>0.61805555555555547</v>
      </c>
      <c r="T34" s="31">
        <v>0.69930555555555551</v>
      </c>
      <c r="U34" s="398">
        <f t="shared" si="26"/>
        <v>4.9999999999999822</v>
      </c>
      <c r="V34" s="402">
        <f t="shared" si="25"/>
        <v>117.00000000000006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-109.23076923077042</v>
      </c>
      <c r="AF34" s="399">
        <f t="shared" si="9"/>
        <v>0.95448717948717898</v>
      </c>
      <c r="AG34" s="619"/>
    </row>
    <row r="35" spans="1:33" ht="15.75" customHeight="1">
      <c r="A35" s="636" t="s">
        <v>1959</v>
      </c>
      <c r="B35" s="33" t="s">
        <v>27</v>
      </c>
      <c r="C35" s="406" t="s">
        <v>51</v>
      </c>
      <c r="D35" s="407"/>
      <c r="E35" s="33">
        <v>20.36</v>
      </c>
      <c r="F35" s="403">
        <v>2284</v>
      </c>
      <c r="G35" s="398">
        <f t="shared" si="23"/>
        <v>46502.239999999998</v>
      </c>
      <c r="H35" s="405" t="s">
        <v>5</v>
      </c>
      <c r="I35" s="401">
        <v>17</v>
      </c>
      <c r="J35" s="30">
        <v>2400</v>
      </c>
      <c r="K35" s="13">
        <f t="shared" si="1"/>
        <v>141.1764705882353</v>
      </c>
      <c r="L35" s="401">
        <v>17</v>
      </c>
      <c r="M35" s="14">
        <f t="shared" si="24"/>
        <v>2284.0000000000023</v>
      </c>
      <c r="N35" s="13">
        <f t="shared" si="3"/>
        <v>134.35294117647072</v>
      </c>
      <c r="O35" s="15">
        <f t="shared" si="4"/>
        <v>0</v>
      </c>
      <c r="P35" s="16">
        <f t="shared" si="5"/>
        <v>-6.8235294117645822</v>
      </c>
      <c r="Q35" s="399">
        <f t="shared" si="6"/>
        <v>0.95166666666666755</v>
      </c>
      <c r="R35" s="619"/>
      <c r="S35" s="31">
        <v>0.70277777777777772</v>
      </c>
      <c r="T35" s="31">
        <v>0.74444444444444435</v>
      </c>
      <c r="U35" s="398">
        <f t="shared" si="26"/>
        <v>4.9999999999999822</v>
      </c>
      <c r="V35" s="402">
        <f t="shared" si="25"/>
        <v>59.999999999999943</v>
      </c>
      <c r="W35" s="17"/>
      <c r="X35" s="17"/>
      <c r="Y35" s="17"/>
      <c r="Z35" s="17"/>
      <c r="AA35" s="394"/>
      <c r="AB35" s="395"/>
      <c r="AC35" s="19"/>
      <c r="AD35" s="19"/>
      <c r="AE35" s="15">
        <f t="shared" si="8"/>
        <v>-115.99999999999773</v>
      </c>
      <c r="AF35" s="399">
        <f t="shared" si="9"/>
        <v>0.95166666666666766</v>
      </c>
      <c r="AG35" s="619"/>
    </row>
    <row r="36" spans="1:33" ht="15.75" customHeight="1">
      <c r="A36" s="636" t="s">
        <v>1959</v>
      </c>
      <c r="B36" s="33" t="s">
        <v>27</v>
      </c>
      <c r="C36" s="639" t="s">
        <v>876</v>
      </c>
      <c r="D36" s="640"/>
      <c r="E36" s="33">
        <v>23.8</v>
      </c>
      <c r="F36" s="403">
        <v>1858</v>
      </c>
      <c r="G36" s="398">
        <f t="shared" si="23"/>
        <v>44220.4</v>
      </c>
      <c r="H36" s="405" t="s">
        <v>5</v>
      </c>
      <c r="I36" s="401">
        <v>16</v>
      </c>
      <c r="J36" s="30">
        <v>2400</v>
      </c>
      <c r="K36" s="13">
        <f t="shared" si="1"/>
        <v>150</v>
      </c>
      <c r="L36" s="401">
        <v>16</v>
      </c>
      <c r="M36" s="14">
        <f t="shared" si="24"/>
        <v>2322.5000000000005</v>
      </c>
      <c r="N36" s="13">
        <f t="shared" si="3"/>
        <v>145.15625000000003</v>
      </c>
      <c r="O36" s="15">
        <f t="shared" si="4"/>
        <v>0</v>
      </c>
      <c r="P36" s="16">
        <f t="shared" si="5"/>
        <v>-4.8437499999999716</v>
      </c>
      <c r="Q36" s="399">
        <f t="shared" si="6"/>
        <v>0.9677083333333335</v>
      </c>
      <c r="R36" s="619"/>
      <c r="S36" s="31">
        <v>0.74861111111111101</v>
      </c>
      <c r="T36" s="31">
        <v>0.78194444444444433</v>
      </c>
      <c r="U36" s="398">
        <f t="shared" si="26"/>
        <v>5.9999999999999787</v>
      </c>
      <c r="V36" s="402">
        <f t="shared" si="25"/>
        <v>47.999999999999986</v>
      </c>
      <c r="W36" s="17"/>
      <c r="X36" s="17"/>
      <c r="Y36" s="20"/>
      <c r="Z36" s="20"/>
      <c r="AA36" s="394"/>
      <c r="AB36" s="395"/>
      <c r="AC36" s="19"/>
      <c r="AD36" s="19"/>
      <c r="AE36" s="15">
        <f t="shared" si="8"/>
        <v>-77.499999999999545</v>
      </c>
      <c r="AF36" s="399">
        <f t="shared" si="9"/>
        <v>0.9677083333333335</v>
      </c>
      <c r="AG36" s="619"/>
    </row>
    <row r="37" spans="1:33" ht="15.75" customHeight="1">
      <c r="A37" s="636" t="s">
        <v>1959</v>
      </c>
      <c r="B37" s="33" t="s">
        <v>180</v>
      </c>
      <c r="C37" s="620"/>
      <c r="D37" s="620"/>
      <c r="E37" s="400"/>
      <c r="F37" s="403"/>
      <c r="G37" s="398"/>
      <c r="H37" s="403"/>
      <c r="I37" s="23">
        <v>16.333333333333332</v>
      </c>
      <c r="J37" s="30">
        <v>2400</v>
      </c>
      <c r="K37" s="13">
        <f t="shared" si="1"/>
        <v>146.9387755102041</v>
      </c>
      <c r="L37" s="23">
        <v>16.333333333333332</v>
      </c>
      <c r="M37" s="14">
        <f>AVERAGE(M28:M36)</f>
        <v>2299.1405325422106</v>
      </c>
      <c r="N37" s="13">
        <f t="shared" si="3"/>
        <v>140.7637060740129</v>
      </c>
      <c r="O37" s="15">
        <f t="shared" si="4"/>
        <v>0</v>
      </c>
      <c r="P37" s="16">
        <f t="shared" si="5"/>
        <v>-6.175069436191194</v>
      </c>
      <c r="Q37" s="399">
        <f t="shared" si="6"/>
        <v>0.95797522189258766</v>
      </c>
      <c r="R37" s="619"/>
      <c r="S37" s="31"/>
      <c r="T37" s="31"/>
      <c r="U37" s="398"/>
      <c r="V37" s="402"/>
      <c r="W37" s="398"/>
      <c r="X37" s="398"/>
      <c r="Y37" s="24">
        <f>SUM(Y28:Y36)</f>
        <v>0</v>
      </c>
      <c r="Z37" s="24">
        <f>SUM(Z28:Z36)</f>
        <v>0</v>
      </c>
      <c r="AA37" s="609"/>
      <c r="AB37" s="609"/>
      <c r="AC37" s="24">
        <v>9</v>
      </c>
      <c r="AD37" s="24">
        <f>SUM(AD28:AD36)</f>
        <v>0</v>
      </c>
      <c r="AE37" s="15">
        <f t="shared" si="8"/>
        <v>-100.85946745778938</v>
      </c>
      <c r="AF37" s="399">
        <f t="shared" si="9"/>
        <v>0.95797522189258777</v>
      </c>
      <c r="AG37" s="619"/>
    </row>
    <row r="38" spans="1:33" ht="15.75" customHeight="1">
      <c r="A38" s="633" t="s">
        <v>1960</v>
      </c>
      <c r="B38" s="33" t="s">
        <v>27</v>
      </c>
      <c r="C38" s="611" t="s">
        <v>33</v>
      </c>
      <c r="D38" s="611"/>
      <c r="E38" s="33">
        <v>26.18</v>
      </c>
      <c r="F38" s="403">
        <v>4400</v>
      </c>
      <c r="G38" s="398">
        <f t="shared" ref="G38:G46" si="27">E38*F38</f>
        <v>115192</v>
      </c>
      <c r="H38" s="405">
        <v>2</v>
      </c>
      <c r="I38" s="401">
        <v>20</v>
      </c>
      <c r="J38" s="30">
        <v>2400</v>
      </c>
      <c r="K38" s="13">
        <f t="shared" si="1"/>
        <v>120</v>
      </c>
      <c r="L38" s="401">
        <v>20</v>
      </c>
      <c r="M38" s="14">
        <f t="shared" ref="M38:M46" si="28">F38/V38*60</f>
        <v>2295.652173913043</v>
      </c>
      <c r="N38" s="13">
        <f t="shared" si="3"/>
        <v>114.78260869565216</v>
      </c>
      <c r="O38" s="15">
        <f t="shared" si="4"/>
        <v>0</v>
      </c>
      <c r="P38" s="16">
        <f t="shared" si="5"/>
        <v>-5.2173913043478422</v>
      </c>
      <c r="Q38" s="399">
        <f t="shared" si="6"/>
        <v>0.9565217391304347</v>
      </c>
      <c r="R38" s="619">
        <f>Q47</f>
        <v>0.95734463701104988</v>
      </c>
      <c r="S38" s="31">
        <v>8.3333333333333329E-2</v>
      </c>
      <c r="T38" s="31">
        <v>0.16319444444444445</v>
      </c>
      <c r="U38" s="398"/>
      <c r="V38" s="402">
        <f t="shared" ref="V38:V46" si="29">(T38-S38)*24*60</f>
        <v>115.00000000000001</v>
      </c>
      <c r="W38" s="22">
        <f>T38</f>
        <v>0.16319444444444445</v>
      </c>
      <c r="X38" s="22">
        <f>S39</f>
        <v>0.18055555555555552</v>
      </c>
      <c r="Y38" s="22"/>
      <c r="Z38" s="22"/>
      <c r="AA38" s="610"/>
      <c r="AB38" s="610"/>
      <c r="AC38" s="19">
        <v>9</v>
      </c>
      <c r="AD38" s="19"/>
      <c r="AE38" s="15">
        <f t="shared" si="8"/>
        <v>-104.34782608695696</v>
      </c>
      <c r="AF38" s="399">
        <f t="shared" si="9"/>
        <v>0.95652173913043459</v>
      </c>
      <c r="AG38" s="619">
        <f>AF47</f>
        <v>0.95734463701104966</v>
      </c>
    </row>
    <row r="39" spans="1:33" ht="15.75" customHeight="1">
      <c r="A39" s="633" t="s">
        <v>1960</v>
      </c>
      <c r="B39" s="33" t="s">
        <v>27</v>
      </c>
      <c r="C39" s="611" t="s">
        <v>30</v>
      </c>
      <c r="D39" s="611"/>
      <c r="E39" s="33">
        <v>26.18</v>
      </c>
      <c r="F39" s="403">
        <v>5700</v>
      </c>
      <c r="G39" s="398">
        <f t="shared" si="27"/>
        <v>149226</v>
      </c>
      <c r="H39" s="405">
        <v>2</v>
      </c>
      <c r="I39" s="401">
        <v>18</v>
      </c>
      <c r="J39" s="30">
        <v>2400</v>
      </c>
      <c r="K39" s="13">
        <f t="shared" si="1"/>
        <v>133.33333333333334</v>
      </c>
      <c r="L39" s="401">
        <v>18</v>
      </c>
      <c r="M39" s="14">
        <f t="shared" si="28"/>
        <v>2295.3020134228182</v>
      </c>
      <c r="N39" s="13">
        <f t="shared" si="3"/>
        <v>127.5167785234899</v>
      </c>
      <c r="O39" s="15">
        <f t="shared" si="4"/>
        <v>0</v>
      </c>
      <c r="P39" s="16">
        <f t="shared" si="5"/>
        <v>-5.8165548098434385</v>
      </c>
      <c r="Q39" s="399">
        <f t="shared" si="6"/>
        <v>0.95637583892617417</v>
      </c>
      <c r="R39" s="619"/>
      <c r="S39" s="31">
        <v>0.18055555555555552</v>
      </c>
      <c r="T39" s="31">
        <v>0.28402777777777777</v>
      </c>
      <c r="U39" s="398">
        <f t="shared" ref="U39:U46" si="30">(S39-T38)*24*60</f>
        <v>24.99999999999995</v>
      </c>
      <c r="V39" s="402">
        <f t="shared" si="29"/>
        <v>149.00000000000003</v>
      </c>
      <c r="W39" s="398"/>
      <c r="X39" s="398"/>
      <c r="Y39" s="398"/>
      <c r="Z39" s="398"/>
      <c r="AA39" s="610"/>
      <c r="AB39" s="610"/>
      <c r="AC39" s="19"/>
      <c r="AD39" s="19"/>
      <c r="AE39" s="15">
        <f t="shared" si="8"/>
        <v>-104.69798657718184</v>
      </c>
      <c r="AF39" s="399">
        <f t="shared" si="9"/>
        <v>0.95637583892617428</v>
      </c>
      <c r="AG39" s="619"/>
    </row>
    <row r="40" spans="1:33">
      <c r="A40" s="634" t="s">
        <v>1960</v>
      </c>
      <c r="B40" s="33" t="s">
        <v>27</v>
      </c>
      <c r="C40" s="611" t="s">
        <v>35</v>
      </c>
      <c r="D40" s="611"/>
      <c r="E40" s="33">
        <v>34.1</v>
      </c>
      <c r="F40" s="403">
        <v>4200</v>
      </c>
      <c r="G40" s="398">
        <f t="shared" si="27"/>
        <v>143220</v>
      </c>
      <c r="H40" s="405">
        <v>2</v>
      </c>
      <c r="I40" s="401">
        <v>17</v>
      </c>
      <c r="J40" s="30">
        <v>1600</v>
      </c>
      <c r="K40" s="13">
        <f t="shared" si="1"/>
        <v>94.117647058823536</v>
      </c>
      <c r="L40" s="401">
        <v>17</v>
      </c>
      <c r="M40" s="14">
        <f t="shared" si="28"/>
        <v>1527.2727272727277</v>
      </c>
      <c r="N40" s="13">
        <f t="shared" si="3"/>
        <v>89.839572192513401</v>
      </c>
      <c r="O40" s="15">
        <f t="shared" si="4"/>
        <v>0</v>
      </c>
      <c r="P40" s="16">
        <f t="shared" si="5"/>
        <v>-4.2780748663101349</v>
      </c>
      <c r="Q40" s="399">
        <f t="shared" si="6"/>
        <v>0.95454545454545481</v>
      </c>
      <c r="R40" s="619"/>
      <c r="S40" s="31">
        <v>0.28888888888888886</v>
      </c>
      <c r="T40" s="31">
        <v>0.40347222222222218</v>
      </c>
      <c r="U40" s="398">
        <f t="shared" si="30"/>
        <v>6.9999999999999751</v>
      </c>
      <c r="V40" s="402">
        <f t="shared" si="29"/>
        <v>164.99999999999997</v>
      </c>
      <c r="W40" s="398"/>
      <c r="X40" s="398"/>
      <c r="Y40" s="398"/>
      <c r="Z40" s="398"/>
      <c r="AA40" s="610"/>
      <c r="AB40" s="610"/>
      <c r="AC40" s="19"/>
      <c r="AD40" s="19"/>
      <c r="AE40" s="15">
        <f t="shared" si="8"/>
        <v>-72.727272727272293</v>
      </c>
      <c r="AF40" s="399">
        <f t="shared" si="9"/>
        <v>0.95454545454545481</v>
      </c>
      <c r="AG40" s="619"/>
    </row>
    <row r="41" spans="1:33">
      <c r="A41" s="634" t="s">
        <v>1960</v>
      </c>
      <c r="B41" s="33" t="s">
        <v>27</v>
      </c>
      <c r="C41" s="611" t="s">
        <v>54</v>
      </c>
      <c r="D41" s="611"/>
      <c r="E41" s="33">
        <v>24.25</v>
      </c>
      <c r="F41" s="403">
        <v>2031</v>
      </c>
      <c r="G41" s="398">
        <f t="shared" si="27"/>
        <v>49251.75</v>
      </c>
      <c r="H41" s="405" t="s">
        <v>5</v>
      </c>
      <c r="I41" s="401">
        <v>16</v>
      </c>
      <c r="J41" s="30">
        <v>2400</v>
      </c>
      <c r="K41" s="13">
        <f t="shared" si="1"/>
        <v>150</v>
      </c>
      <c r="L41" s="401">
        <v>16</v>
      </c>
      <c r="M41" s="14">
        <f t="shared" si="28"/>
        <v>2299.245283018869</v>
      </c>
      <c r="N41" s="13">
        <f t="shared" si="3"/>
        <v>143.70283018867931</v>
      </c>
      <c r="O41" s="15">
        <f t="shared" si="4"/>
        <v>0</v>
      </c>
      <c r="P41" s="16">
        <f t="shared" si="5"/>
        <v>-6.2971698113206855</v>
      </c>
      <c r="Q41" s="399">
        <f t="shared" si="6"/>
        <v>0.95801886792452873</v>
      </c>
      <c r="R41" s="619"/>
      <c r="S41" s="31">
        <v>0.40763888888888883</v>
      </c>
      <c r="T41" s="31">
        <v>0.44444444444444436</v>
      </c>
      <c r="U41" s="398">
        <f t="shared" si="30"/>
        <v>5.9999999999999787</v>
      </c>
      <c r="V41" s="402">
        <f t="shared" si="29"/>
        <v>52.999999999999972</v>
      </c>
      <c r="W41" s="17"/>
      <c r="X41" s="17"/>
      <c r="Y41" s="17"/>
      <c r="Z41" s="17"/>
      <c r="AA41" s="610"/>
      <c r="AB41" s="610"/>
      <c r="AC41" s="19"/>
      <c r="AD41" s="19"/>
      <c r="AE41" s="15">
        <f t="shared" si="8"/>
        <v>-100.75471698113097</v>
      </c>
      <c r="AF41" s="399">
        <f t="shared" si="9"/>
        <v>0.95801886792452873</v>
      </c>
      <c r="AG41" s="619"/>
    </row>
    <row r="42" spans="1:33">
      <c r="A42" s="634" t="s">
        <v>1960</v>
      </c>
      <c r="B42" s="33" t="s">
        <v>27</v>
      </c>
      <c r="C42" s="611" t="s">
        <v>32</v>
      </c>
      <c r="D42" s="611"/>
      <c r="E42" s="33">
        <v>25.99</v>
      </c>
      <c r="F42" s="403">
        <v>2500</v>
      </c>
      <c r="G42" s="398">
        <f t="shared" si="27"/>
        <v>64974.999999999993</v>
      </c>
      <c r="H42" s="405">
        <v>2</v>
      </c>
      <c r="I42" s="401">
        <v>14</v>
      </c>
      <c r="J42" s="30">
        <v>2400</v>
      </c>
      <c r="K42" s="13">
        <f t="shared" si="1"/>
        <v>171.42857142857142</v>
      </c>
      <c r="L42" s="401">
        <v>14</v>
      </c>
      <c r="M42" s="14">
        <f t="shared" si="28"/>
        <v>2307.6923076923072</v>
      </c>
      <c r="N42" s="13">
        <f t="shared" si="3"/>
        <v>164.83516483516479</v>
      </c>
      <c r="O42" s="15">
        <f t="shared" si="4"/>
        <v>0</v>
      </c>
      <c r="P42" s="16">
        <f t="shared" si="5"/>
        <v>-6.5934065934066268</v>
      </c>
      <c r="Q42" s="399">
        <f t="shared" si="6"/>
        <v>0.96153846153846134</v>
      </c>
      <c r="R42" s="619"/>
      <c r="S42" s="31">
        <v>0.44791666666666657</v>
      </c>
      <c r="T42" s="31">
        <v>0.49305555555555547</v>
      </c>
      <c r="U42" s="398">
        <f t="shared" si="30"/>
        <v>4.9999999999999822</v>
      </c>
      <c r="V42" s="402">
        <f t="shared" si="29"/>
        <v>65.000000000000014</v>
      </c>
      <c r="W42" s="17"/>
      <c r="X42" s="17"/>
      <c r="Y42" s="17"/>
      <c r="Z42" s="17"/>
      <c r="AA42" s="610"/>
      <c r="AB42" s="610"/>
      <c r="AC42" s="19"/>
      <c r="AD42" s="19"/>
      <c r="AE42" s="15">
        <f t="shared" si="8"/>
        <v>-92.307692307692832</v>
      </c>
      <c r="AF42" s="399">
        <f t="shared" si="9"/>
        <v>0.96153846153846134</v>
      </c>
      <c r="AG42" s="619"/>
    </row>
    <row r="43" spans="1:33">
      <c r="A43" s="634" t="s">
        <v>1960</v>
      </c>
      <c r="B43" s="33" t="s">
        <v>27</v>
      </c>
      <c r="C43" s="611" t="s">
        <v>33</v>
      </c>
      <c r="D43" s="611"/>
      <c r="E43" s="33">
        <v>26.18</v>
      </c>
      <c r="F43" s="403">
        <v>3169</v>
      </c>
      <c r="G43" s="398">
        <f t="shared" si="27"/>
        <v>82964.42</v>
      </c>
      <c r="H43" s="405" t="s">
        <v>5</v>
      </c>
      <c r="I43" s="401">
        <v>20</v>
      </c>
      <c r="J43" s="30">
        <v>2400</v>
      </c>
      <c r="K43" s="13">
        <f t="shared" si="1"/>
        <v>120</v>
      </c>
      <c r="L43" s="401">
        <v>20</v>
      </c>
      <c r="M43" s="14">
        <f t="shared" si="28"/>
        <v>2290.8433734939754</v>
      </c>
      <c r="N43" s="13">
        <f t="shared" si="3"/>
        <v>114.54216867469877</v>
      </c>
      <c r="O43" s="15">
        <f t="shared" si="4"/>
        <v>0</v>
      </c>
      <c r="P43" s="16">
        <f t="shared" si="5"/>
        <v>-5.4578313253012283</v>
      </c>
      <c r="Q43" s="399">
        <f t="shared" si="6"/>
        <v>0.95451807228915642</v>
      </c>
      <c r="R43" s="619"/>
      <c r="S43" s="31">
        <v>0.49861111111111101</v>
      </c>
      <c r="T43" s="31">
        <v>0.55624999999999991</v>
      </c>
      <c r="U43" s="398">
        <f t="shared" si="30"/>
        <v>7.9999999999999716</v>
      </c>
      <c r="V43" s="402">
        <f t="shared" si="29"/>
        <v>83.000000000000028</v>
      </c>
      <c r="W43" s="17"/>
      <c r="X43" s="17"/>
      <c r="Y43" s="17"/>
      <c r="Z43" s="17"/>
      <c r="AA43" s="610"/>
      <c r="AB43" s="610"/>
      <c r="AC43" s="19"/>
      <c r="AD43" s="19"/>
      <c r="AE43" s="15">
        <f t="shared" si="8"/>
        <v>-109.15662650602462</v>
      </c>
      <c r="AF43" s="399">
        <f t="shared" si="9"/>
        <v>0.95451807228915642</v>
      </c>
      <c r="AG43" s="619"/>
    </row>
    <row r="44" spans="1:33">
      <c r="A44" s="634" t="s">
        <v>1960</v>
      </c>
      <c r="B44" s="33" t="s">
        <v>27</v>
      </c>
      <c r="C44" s="611" t="s">
        <v>30</v>
      </c>
      <c r="D44" s="611"/>
      <c r="E44" s="33">
        <v>26.18</v>
      </c>
      <c r="F44" s="403">
        <v>4585</v>
      </c>
      <c r="G44" s="398">
        <f t="shared" si="27"/>
        <v>120035.3</v>
      </c>
      <c r="H44" s="405" t="s">
        <v>5</v>
      </c>
      <c r="I44" s="401">
        <v>18</v>
      </c>
      <c r="J44" s="30">
        <v>2400</v>
      </c>
      <c r="K44" s="13">
        <f t="shared" si="1"/>
        <v>133.33333333333334</v>
      </c>
      <c r="L44" s="401">
        <v>18</v>
      </c>
      <c r="M44" s="14">
        <f t="shared" si="28"/>
        <v>2292.4999999999991</v>
      </c>
      <c r="N44" s="13">
        <f t="shared" si="3"/>
        <v>127.36111111111106</v>
      </c>
      <c r="O44" s="15">
        <f t="shared" si="4"/>
        <v>0</v>
      </c>
      <c r="P44" s="16">
        <f t="shared" si="5"/>
        <v>-5.9722222222222854</v>
      </c>
      <c r="Q44" s="399">
        <f t="shared" si="6"/>
        <v>0.95520833333333288</v>
      </c>
      <c r="R44" s="619"/>
      <c r="S44" s="31">
        <v>0.55972222222222212</v>
      </c>
      <c r="T44" s="31">
        <v>0.64305555555555549</v>
      </c>
      <c r="U44" s="398">
        <f t="shared" si="30"/>
        <v>4.9999999999999822</v>
      </c>
      <c r="V44" s="402">
        <f t="shared" si="29"/>
        <v>120.00000000000006</v>
      </c>
      <c r="W44" s="17"/>
      <c r="X44" s="17"/>
      <c r="Y44" s="20"/>
      <c r="Z44" s="20"/>
      <c r="AA44" s="614"/>
      <c r="AB44" s="615"/>
      <c r="AC44" s="19"/>
      <c r="AD44" s="19"/>
      <c r="AE44" s="15">
        <f t="shared" si="8"/>
        <v>-107.50000000000091</v>
      </c>
      <c r="AF44" s="399">
        <f t="shared" si="9"/>
        <v>0.95520833333333299</v>
      </c>
      <c r="AG44" s="619"/>
    </row>
    <row r="45" spans="1:33">
      <c r="A45" s="634" t="s">
        <v>1960</v>
      </c>
      <c r="B45" s="33" t="s">
        <v>27</v>
      </c>
      <c r="C45" s="611" t="s">
        <v>32</v>
      </c>
      <c r="D45" s="611"/>
      <c r="E45" s="33">
        <v>25.99</v>
      </c>
      <c r="F45" s="403">
        <v>2157</v>
      </c>
      <c r="G45" s="398">
        <f t="shared" si="27"/>
        <v>56060.429999999993</v>
      </c>
      <c r="H45" s="405" t="s">
        <v>5</v>
      </c>
      <c r="I45" s="401">
        <v>14</v>
      </c>
      <c r="J45" s="30">
        <v>2400</v>
      </c>
      <c r="K45" s="13">
        <f t="shared" si="1"/>
        <v>171.42857142857142</v>
      </c>
      <c r="L45" s="401">
        <v>14</v>
      </c>
      <c r="M45" s="14">
        <f t="shared" si="28"/>
        <v>2311.0714285714303</v>
      </c>
      <c r="N45" s="13">
        <f t="shared" si="3"/>
        <v>165.07653061224502</v>
      </c>
      <c r="O45" s="15">
        <f t="shared" si="4"/>
        <v>0</v>
      </c>
      <c r="P45" s="16">
        <f t="shared" si="5"/>
        <v>-6.3520408163263937</v>
      </c>
      <c r="Q45" s="399">
        <f t="shared" si="6"/>
        <v>0.96294642857142931</v>
      </c>
      <c r="R45" s="619"/>
      <c r="S45" s="31">
        <v>0.6465277777777777</v>
      </c>
      <c r="T45" s="31">
        <v>0.68541666666666656</v>
      </c>
      <c r="U45" s="398">
        <f t="shared" si="30"/>
        <v>4.9999999999999822</v>
      </c>
      <c r="V45" s="402">
        <f t="shared" si="29"/>
        <v>55.999999999999957</v>
      </c>
      <c r="W45" s="17"/>
      <c r="X45" s="17"/>
      <c r="Y45" s="20"/>
      <c r="Z45" s="20"/>
      <c r="AA45" s="614"/>
      <c r="AB45" s="615"/>
      <c r="AC45" s="19"/>
      <c r="AD45" s="19"/>
      <c r="AE45" s="15">
        <f t="shared" si="8"/>
        <v>-88.92857142856974</v>
      </c>
      <c r="AF45" s="399">
        <f t="shared" si="9"/>
        <v>0.96294642857142931</v>
      </c>
      <c r="AG45" s="619"/>
    </row>
    <row r="46" spans="1:33">
      <c r="A46" s="634" t="s">
        <v>1960</v>
      </c>
      <c r="B46" s="33" t="s">
        <v>27</v>
      </c>
      <c r="C46" s="612" t="s">
        <v>35</v>
      </c>
      <c r="D46" s="613"/>
      <c r="E46" s="33">
        <v>34.1</v>
      </c>
      <c r="F46" s="403">
        <v>3411</v>
      </c>
      <c r="G46" s="398">
        <f t="shared" si="27"/>
        <v>116315.1</v>
      </c>
      <c r="H46" s="405" t="s">
        <v>5</v>
      </c>
      <c r="I46" s="401">
        <v>17</v>
      </c>
      <c r="J46" s="30">
        <v>1600</v>
      </c>
      <c r="K46" s="13">
        <f t="shared" si="1"/>
        <v>94.117647058823536</v>
      </c>
      <c r="L46" s="401">
        <v>17</v>
      </c>
      <c r="M46" s="14">
        <f t="shared" si="28"/>
        <v>1527.3134328358208</v>
      </c>
      <c r="N46" s="13">
        <f t="shared" si="3"/>
        <v>89.841966637401228</v>
      </c>
      <c r="O46" s="15">
        <f t="shared" si="4"/>
        <v>0</v>
      </c>
      <c r="P46" s="16">
        <f t="shared" si="5"/>
        <v>-4.2756804214223081</v>
      </c>
      <c r="Q46" s="399">
        <f t="shared" si="6"/>
        <v>0.95457089552238794</v>
      </c>
      <c r="R46" s="619"/>
      <c r="S46" s="31">
        <v>0.68958333333333321</v>
      </c>
      <c r="T46" s="31">
        <v>0.78263888888888877</v>
      </c>
      <c r="U46" s="398">
        <f t="shared" si="30"/>
        <v>5.9999999999999787</v>
      </c>
      <c r="V46" s="402">
        <f t="shared" si="29"/>
        <v>134</v>
      </c>
      <c r="W46" s="17"/>
      <c r="X46" s="17"/>
      <c r="Y46" s="20"/>
      <c r="Z46" s="20"/>
      <c r="AA46" s="394"/>
      <c r="AB46" s="395"/>
      <c r="AC46" s="19"/>
      <c r="AD46" s="19"/>
      <c r="AE46" s="15">
        <f t="shared" si="8"/>
        <v>-72.686567164179223</v>
      </c>
      <c r="AF46" s="399">
        <f t="shared" si="9"/>
        <v>0.95457089552238794</v>
      </c>
      <c r="AG46" s="619"/>
    </row>
    <row r="47" spans="1:33">
      <c r="A47" s="634" t="s">
        <v>1960</v>
      </c>
      <c r="B47" s="34" t="s">
        <v>1961</v>
      </c>
      <c r="C47" s="620"/>
      <c r="D47" s="620"/>
      <c r="E47" s="400"/>
      <c r="F47" s="34"/>
      <c r="G47" s="13"/>
      <c r="H47" s="403"/>
      <c r="I47" s="23">
        <v>17.111111111111111</v>
      </c>
      <c r="J47" s="30">
        <v>2222.2222222222222</v>
      </c>
      <c r="K47" s="13">
        <f t="shared" si="1"/>
        <v>129.87012987012986</v>
      </c>
      <c r="L47" s="23">
        <v>17.111111111111111</v>
      </c>
      <c r="M47" s="14">
        <f>AVERAGE(M38:M46)</f>
        <v>2127.4325266912215</v>
      </c>
      <c r="N47" s="13">
        <f t="shared" si="3"/>
        <v>124.33047233909737</v>
      </c>
      <c r="O47" s="15">
        <f t="shared" si="4"/>
        <v>0</v>
      </c>
      <c r="P47" s="16">
        <f t="shared" si="5"/>
        <v>-5.5396575310324891</v>
      </c>
      <c r="Q47" s="399">
        <f t="shared" si="6"/>
        <v>0.95734463701104988</v>
      </c>
      <c r="R47" s="619"/>
      <c r="S47" s="31"/>
      <c r="T47" s="31"/>
      <c r="U47" s="13"/>
      <c r="V47" s="402"/>
      <c r="W47" s="13"/>
      <c r="X47" s="13"/>
      <c r="Y47" s="24">
        <f>SUM(Y38:Y46)</f>
        <v>0</v>
      </c>
      <c r="Z47" s="24">
        <f>SUM(Z38:Z46)</f>
        <v>0</v>
      </c>
      <c r="AA47" s="609"/>
      <c r="AB47" s="609"/>
      <c r="AC47" s="24">
        <v>9</v>
      </c>
      <c r="AD47" s="24">
        <f>SUM(AD38:AD46)</f>
        <v>0</v>
      </c>
      <c r="AE47" s="15">
        <f t="shared" si="8"/>
        <v>-94.789695531000689</v>
      </c>
      <c r="AF47" s="399">
        <f t="shared" si="9"/>
        <v>0.95734463701104966</v>
      </c>
      <c r="AG47" s="619"/>
    </row>
    <row r="48" spans="1:33" ht="15.75" customHeight="1">
      <c r="A48" s="630" t="s">
        <v>1962</v>
      </c>
      <c r="B48" s="33" t="s">
        <v>36</v>
      </c>
      <c r="C48" s="612" t="s">
        <v>37</v>
      </c>
      <c r="D48" s="613"/>
      <c r="E48" s="33">
        <v>21.13</v>
      </c>
      <c r="F48" s="403">
        <v>6567</v>
      </c>
      <c r="G48" s="398">
        <f t="shared" ref="G48:G51" si="31">E48*F48</f>
        <v>138760.71</v>
      </c>
      <c r="H48" s="405" t="s">
        <v>5</v>
      </c>
      <c r="I48" s="401">
        <v>10</v>
      </c>
      <c r="J48" s="30">
        <v>3000</v>
      </c>
      <c r="K48" s="13">
        <f t="shared" si="1"/>
        <v>300</v>
      </c>
      <c r="L48" s="401">
        <v>10</v>
      </c>
      <c r="M48" s="14">
        <f t="shared" ref="M48:M51" si="32">F48/V48*60</f>
        <v>2855.2173913043466</v>
      </c>
      <c r="N48" s="14">
        <f t="shared" si="3"/>
        <v>285.52173913043464</v>
      </c>
      <c r="O48" s="15">
        <f t="shared" si="4"/>
        <v>0</v>
      </c>
      <c r="P48" s="16">
        <f t="shared" si="5"/>
        <v>-14.478260869565361</v>
      </c>
      <c r="Q48" s="399">
        <f t="shared" si="6"/>
        <v>0.95173913043478209</v>
      </c>
      <c r="R48" s="625">
        <f>Q52</f>
        <v>0.95623034115137595</v>
      </c>
      <c r="S48" s="31">
        <v>0.20833333333333334</v>
      </c>
      <c r="T48" s="31">
        <v>0.3041666666666667</v>
      </c>
      <c r="U48" s="22"/>
      <c r="V48" s="402">
        <f t="shared" ref="V48:V51" si="33">(T48-S48)*24*60</f>
        <v>138.00000000000006</v>
      </c>
      <c r="W48" s="17"/>
      <c r="X48" s="17"/>
      <c r="Y48" s="20"/>
      <c r="Z48" s="20"/>
      <c r="AA48" s="614"/>
      <c r="AB48" s="615"/>
      <c r="AC48" s="19">
        <v>4</v>
      </c>
      <c r="AD48" s="19"/>
      <c r="AE48" s="15">
        <f t="shared" si="8"/>
        <v>-144.78260869565338</v>
      </c>
      <c r="AF48" s="399">
        <f t="shared" si="9"/>
        <v>0.9517391304347822</v>
      </c>
      <c r="AG48" s="625">
        <f>AF52</f>
        <v>0.95623034115137606</v>
      </c>
    </row>
    <row r="49" spans="1:33" ht="15.75" customHeight="1">
      <c r="A49" s="631" t="s">
        <v>1962</v>
      </c>
      <c r="B49" s="33" t="s">
        <v>36</v>
      </c>
      <c r="C49" s="612" t="s">
        <v>38</v>
      </c>
      <c r="D49" s="613"/>
      <c r="E49" s="33">
        <v>27.17</v>
      </c>
      <c r="F49" s="403">
        <v>4500</v>
      </c>
      <c r="G49" s="398">
        <f t="shared" si="31"/>
        <v>122265.00000000001</v>
      </c>
      <c r="H49" s="405">
        <v>2</v>
      </c>
      <c r="I49" s="401">
        <v>10</v>
      </c>
      <c r="J49" s="30">
        <v>3000</v>
      </c>
      <c r="K49" s="13">
        <f t="shared" si="1"/>
        <v>300</v>
      </c>
      <c r="L49" s="401">
        <v>10</v>
      </c>
      <c r="M49" s="14">
        <f t="shared" si="32"/>
        <v>2872.3404255319156</v>
      </c>
      <c r="N49" s="14">
        <f t="shared" si="3"/>
        <v>287.23404255319156</v>
      </c>
      <c r="O49" s="15">
        <f t="shared" si="4"/>
        <v>0</v>
      </c>
      <c r="P49" s="16">
        <f t="shared" si="5"/>
        <v>-12.765957446808443</v>
      </c>
      <c r="Q49" s="399">
        <f t="shared" si="6"/>
        <v>0.95744680851063857</v>
      </c>
      <c r="R49" s="626"/>
      <c r="S49" s="31">
        <v>0.30763888888888891</v>
      </c>
      <c r="T49" s="31">
        <v>0.37291666666666667</v>
      </c>
      <c r="U49" s="398">
        <f t="shared" ref="U49:U51" si="34">(S49-T48)*24*60</f>
        <v>4.9999999999999822</v>
      </c>
      <c r="V49" s="402">
        <f t="shared" si="33"/>
        <v>93.999999999999986</v>
      </c>
      <c r="W49" s="17"/>
      <c r="X49" s="17"/>
      <c r="Y49" s="20"/>
      <c r="Z49" s="20"/>
      <c r="AA49" s="614"/>
      <c r="AB49" s="615"/>
      <c r="AC49" s="19"/>
      <c r="AD49" s="19"/>
      <c r="AE49" s="15">
        <f t="shared" si="8"/>
        <v>-127.65957446808443</v>
      </c>
      <c r="AF49" s="399">
        <f t="shared" si="9"/>
        <v>0.95744680851063857</v>
      </c>
      <c r="AG49" s="626"/>
    </row>
    <row r="50" spans="1:33" ht="15.75" customHeight="1">
      <c r="A50" s="631" t="s">
        <v>1962</v>
      </c>
      <c r="B50" s="33" t="s">
        <v>36</v>
      </c>
      <c r="C50" s="612" t="s">
        <v>1511</v>
      </c>
      <c r="D50" s="613"/>
      <c r="E50" s="33">
        <v>37.880000000000003</v>
      </c>
      <c r="F50" s="403">
        <v>5590</v>
      </c>
      <c r="G50" s="398">
        <f t="shared" si="31"/>
        <v>211749.2</v>
      </c>
      <c r="H50" s="405" t="s">
        <v>5</v>
      </c>
      <c r="I50" s="401">
        <v>13</v>
      </c>
      <c r="J50" s="30">
        <v>2000</v>
      </c>
      <c r="K50" s="13">
        <f t="shared" si="1"/>
        <v>153.84615384615384</v>
      </c>
      <c r="L50" s="401">
        <v>13</v>
      </c>
      <c r="M50" s="14">
        <f t="shared" si="32"/>
        <v>1905.6818181818182</v>
      </c>
      <c r="N50" s="14">
        <f t="shared" si="3"/>
        <v>146.59090909090909</v>
      </c>
      <c r="O50" s="15">
        <f t="shared" si="4"/>
        <v>0</v>
      </c>
      <c r="P50" s="16">
        <f t="shared" si="5"/>
        <v>-7.2552447552447461</v>
      </c>
      <c r="Q50" s="399">
        <f t="shared" si="6"/>
        <v>0.95284090909090913</v>
      </c>
      <c r="R50" s="626"/>
      <c r="S50" s="31">
        <v>0.37708333333333333</v>
      </c>
      <c r="T50" s="31">
        <v>0.49930555555555556</v>
      </c>
      <c r="U50" s="398">
        <f t="shared" si="34"/>
        <v>5.9999999999999787</v>
      </c>
      <c r="V50" s="402">
        <f t="shared" si="33"/>
        <v>176</v>
      </c>
      <c r="W50" s="17">
        <f>T50</f>
        <v>0.49930555555555556</v>
      </c>
      <c r="X50" s="17">
        <f>S51</f>
        <v>0.58194444444444438</v>
      </c>
      <c r="Y50" s="20"/>
      <c r="Z50" s="20"/>
      <c r="AA50" s="614"/>
      <c r="AB50" s="615"/>
      <c r="AC50" s="19"/>
      <c r="AD50" s="19"/>
      <c r="AE50" s="15">
        <f t="shared" si="8"/>
        <v>-94.318181818181756</v>
      </c>
      <c r="AF50" s="399">
        <f t="shared" si="9"/>
        <v>0.95284090909090913</v>
      </c>
      <c r="AG50" s="626"/>
    </row>
    <row r="51" spans="1:33" ht="15.75" customHeight="1">
      <c r="A51" s="631" t="s">
        <v>1962</v>
      </c>
      <c r="B51" s="33" t="s">
        <v>36</v>
      </c>
      <c r="C51" s="612" t="s">
        <v>38</v>
      </c>
      <c r="D51" s="613"/>
      <c r="E51" s="33">
        <v>27.17</v>
      </c>
      <c r="F51" s="403">
        <v>3270</v>
      </c>
      <c r="G51" s="398">
        <f t="shared" si="31"/>
        <v>88845.900000000009</v>
      </c>
      <c r="H51" s="405" t="s">
        <v>5</v>
      </c>
      <c r="I51" s="401">
        <v>10</v>
      </c>
      <c r="J51" s="30">
        <v>3000</v>
      </c>
      <c r="K51" s="13">
        <f t="shared" si="1"/>
        <v>300</v>
      </c>
      <c r="L51" s="401">
        <v>10</v>
      </c>
      <c r="M51" s="14">
        <f t="shared" si="32"/>
        <v>2885.2941176470554</v>
      </c>
      <c r="N51" s="14">
        <f t="shared" si="3"/>
        <v>288.52941176470551</v>
      </c>
      <c r="O51" s="15">
        <f t="shared" si="4"/>
        <v>0</v>
      </c>
      <c r="P51" s="16">
        <f t="shared" si="5"/>
        <v>-11.470588235294485</v>
      </c>
      <c r="Q51" s="399">
        <f t="shared" si="6"/>
        <v>0.96176470588235174</v>
      </c>
      <c r="R51" s="626"/>
      <c r="S51" s="31">
        <v>0.58194444444444438</v>
      </c>
      <c r="T51" s="31">
        <v>0.62916666666666665</v>
      </c>
      <c r="U51" s="398">
        <f t="shared" si="34"/>
        <v>118.9999999999999</v>
      </c>
      <c r="V51" s="402">
        <f t="shared" si="33"/>
        <v>68.000000000000085</v>
      </c>
      <c r="W51" s="17"/>
      <c r="X51" s="17"/>
      <c r="Y51" s="20"/>
      <c r="Z51" s="20"/>
      <c r="AA51" s="614"/>
      <c r="AB51" s="615"/>
      <c r="AC51" s="19"/>
      <c r="AD51" s="19"/>
      <c r="AE51" s="15">
        <f t="shared" si="8"/>
        <v>-114.70588235294463</v>
      </c>
      <c r="AF51" s="399">
        <f t="shared" si="9"/>
        <v>0.96176470588235174</v>
      </c>
      <c r="AG51" s="626"/>
    </row>
    <row r="52" spans="1:33" ht="15.75" customHeight="1">
      <c r="A52" s="632" t="s">
        <v>1962</v>
      </c>
      <c r="B52" s="33" t="s">
        <v>1961</v>
      </c>
      <c r="C52" s="607"/>
      <c r="D52" s="608"/>
      <c r="E52" s="396"/>
      <c r="F52" s="403"/>
      <c r="G52" s="398"/>
      <c r="H52" s="403"/>
      <c r="I52" s="23">
        <v>10.75</v>
      </c>
      <c r="J52" s="30">
        <v>2750</v>
      </c>
      <c r="K52" s="13">
        <f t="shared" si="1"/>
        <v>255.81395348837211</v>
      </c>
      <c r="L52" s="23">
        <v>10.75</v>
      </c>
      <c r="M52" s="14">
        <f>AVERAGE(M48:M51)</f>
        <v>2629.6334381662841</v>
      </c>
      <c r="N52" s="13">
        <f t="shared" si="3"/>
        <v>244.61706401546829</v>
      </c>
      <c r="O52" s="15">
        <f t="shared" si="4"/>
        <v>0</v>
      </c>
      <c r="P52" s="16">
        <f t="shared" si="5"/>
        <v>-11.19688947290382</v>
      </c>
      <c r="Q52" s="399">
        <f t="shared" si="6"/>
        <v>0.95623034115137595</v>
      </c>
      <c r="R52" s="627"/>
      <c r="S52" s="31"/>
      <c r="T52" s="31"/>
      <c r="U52" s="398"/>
      <c r="V52" s="402"/>
      <c r="W52" s="17"/>
      <c r="X52" s="17"/>
      <c r="Y52" s="24">
        <f>SUM(Y48:Y51)</f>
        <v>0</v>
      </c>
      <c r="Z52" s="24">
        <f>SUM(Z48:Z51)</f>
        <v>0</v>
      </c>
      <c r="AA52" s="628"/>
      <c r="AB52" s="629"/>
      <c r="AC52" s="24">
        <v>4</v>
      </c>
      <c r="AD52" s="24">
        <f>SUM(AD48:AD51)</f>
        <v>0</v>
      </c>
      <c r="AE52" s="15">
        <f t="shared" si="8"/>
        <v>-120.36656183371588</v>
      </c>
      <c r="AF52" s="399">
        <f t="shared" si="9"/>
        <v>0.95623034115137606</v>
      </c>
      <c r="AG52" s="627"/>
    </row>
    <row r="53" spans="1:33" ht="15.75" customHeight="1">
      <c r="A53" s="623" t="s">
        <v>1963</v>
      </c>
      <c r="B53" s="33" t="s">
        <v>10</v>
      </c>
      <c r="C53" s="611" t="s">
        <v>42</v>
      </c>
      <c r="D53" s="611"/>
      <c r="E53" s="33">
        <v>46</v>
      </c>
      <c r="F53" s="35">
        <v>1540</v>
      </c>
      <c r="G53" s="398">
        <f t="shared" ref="G53:G61" si="35">E53*F53</f>
        <v>70840</v>
      </c>
      <c r="H53" s="405" t="s">
        <v>5</v>
      </c>
      <c r="I53" s="401">
        <v>16</v>
      </c>
      <c r="J53" s="30">
        <v>2000</v>
      </c>
      <c r="K53" s="13">
        <f t="shared" si="1"/>
        <v>125</v>
      </c>
      <c r="L53" s="401">
        <v>16</v>
      </c>
      <c r="M53" s="14">
        <f t="shared" ref="M53" si="36">F53/V53*60</f>
        <v>1925.0000000000005</v>
      </c>
      <c r="N53" s="14">
        <f t="shared" si="3"/>
        <v>120.31250000000003</v>
      </c>
      <c r="O53" s="15">
        <f t="shared" si="4"/>
        <v>0</v>
      </c>
      <c r="P53" s="16">
        <f t="shared" si="5"/>
        <v>-4.6874999999999716</v>
      </c>
      <c r="Q53" s="399">
        <f t="shared" si="6"/>
        <v>0.96250000000000024</v>
      </c>
      <c r="R53" s="619">
        <f>Q62</f>
        <v>0.96150925926096409</v>
      </c>
      <c r="S53" s="31">
        <v>0.20833333333333334</v>
      </c>
      <c r="T53" s="31">
        <v>0.24166666666666667</v>
      </c>
      <c r="U53" s="22"/>
      <c r="V53" s="402">
        <f t="shared" ref="V53:V61" si="37">(T53-S53)*24*60</f>
        <v>47.999999999999986</v>
      </c>
      <c r="W53" s="17"/>
      <c r="X53" s="17"/>
      <c r="Y53" s="22"/>
      <c r="Z53" s="22"/>
      <c r="AA53" s="610"/>
      <c r="AB53" s="610"/>
      <c r="AC53" s="19">
        <v>9</v>
      </c>
      <c r="AD53" s="19"/>
      <c r="AE53" s="15">
        <f t="shared" si="8"/>
        <v>-74.999999999999545</v>
      </c>
      <c r="AF53" s="399">
        <f t="shared" si="9"/>
        <v>0.96250000000000024</v>
      </c>
      <c r="AG53" s="619">
        <f>AF62</f>
        <v>0.96150925926096409</v>
      </c>
    </row>
    <row r="54" spans="1:33" ht="15.75" customHeight="1">
      <c r="A54" s="623" t="s">
        <v>1963</v>
      </c>
      <c r="B54" s="33" t="s">
        <v>10</v>
      </c>
      <c r="C54" s="611" t="s">
        <v>43</v>
      </c>
      <c r="D54" s="611"/>
      <c r="E54" s="33">
        <v>46</v>
      </c>
      <c r="F54" s="35">
        <v>1572</v>
      </c>
      <c r="G54" s="398">
        <f t="shared" si="35"/>
        <v>72312</v>
      </c>
      <c r="H54" s="405" t="s">
        <v>5</v>
      </c>
      <c r="I54" s="401">
        <v>17</v>
      </c>
      <c r="J54" s="30">
        <v>2000</v>
      </c>
      <c r="K54" s="13">
        <f t="shared" si="1"/>
        <v>117.64705882352941</v>
      </c>
      <c r="L54" s="401">
        <v>17</v>
      </c>
      <c r="M54" s="14">
        <f>F54/V54*60</f>
        <v>1924.8979591836724</v>
      </c>
      <c r="N54" s="14">
        <f t="shared" si="3"/>
        <v>113.2292917166866</v>
      </c>
      <c r="O54" s="15">
        <f t="shared" si="4"/>
        <v>0</v>
      </c>
      <c r="P54" s="16">
        <f t="shared" si="5"/>
        <v>-4.4177671068428026</v>
      </c>
      <c r="Q54" s="399">
        <f t="shared" si="6"/>
        <v>0.96244897959183617</v>
      </c>
      <c r="R54" s="619"/>
      <c r="S54" s="31">
        <v>0.24513888888888888</v>
      </c>
      <c r="T54" s="31">
        <v>0.27916666666666667</v>
      </c>
      <c r="U54" s="398">
        <f t="shared" ref="U54:U61" si="38">IF(S54=TIME(17,0,0),"",(S54-T53)*24*60)</f>
        <v>4.9999999999999822</v>
      </c>
      <c r="V54" s="402">
        <f t="shared" si="37"/>
        <v>49.000000000000028</v>
      </c>
      <c r="W54" s="17"/>
      <c r="X54" s="17"/>
      <c r="Y54" s="17"/>
      <c r="Z54" s="17"/>
      <c r="AA54" s="610"/>
      <c r="AB54" s="610"/>
      <c r="AC54" s="19"/>
      <c r="AD54" s="19"/>
      <c r="AE54" s="15">
        <f t="shared" si="8"/>
        <v>-75.102040816327644</v>
      </c>
      <c r="AF54" s="399">
        <f t="shared" si="9"/>
        <v>0.96244897959183617</v>
      </c>
      <c r="AG54" s="619"/>
    </row>
    <row r="55" spans="1:33" ht="15.75" customHeight="1">
      <c r="A55" s="623" t="s">
        <v>1963</v>
      </c>
      <c r="B55" s="33" t="s">
        <v>6</v>
      </c>
      <c r="C55" s="612" t="s">
        <v>41</v>
      </c>
      <c r="D55" s="613"/>
      <c r="E55" s="33">
        <v>51.44</v>
      </c>
      <c r="F55" s="35">
        <v>1596</v>
      </c>
      <c r="G55" s="398">
        <f t="shared" si="35"/>
        <v>82098.239999999991</v>
      </c>
      <c r="H55" s="405" t="s">
        <v>5</v>
      </c>
      <c r="I55" s="401">
        <v>25</v>
      </c>
      <c r="J55" s="30">
        <v>2000</v>
      </c>
      <c r="K55" s="13">
        <f t="shared" si="1"/>
        <v>80</v>
      </c>
      <c r="L55" s="401">
        <v>25</v>
      </c>
      <c r="M55" s="14">
        <f t="shared" ref="M55:M61" si="39">F55/V55*60</f>
        <v>1915.2000000000005</v>
      </c>
      <c r="N55" s="14">
        <f t="shared" si="3"/>
        <v>76.608000000000018</v>
      </c>
      <c r="O55" s="15">
        <f t="shared" si="4"/>
        <v>0</v>
      </c>
      <c r="P55" s="16">
        <f t="shared" si="5"/>
        <v>-3.3919999999999817</v>
      </c>
      <c r="Q55" s="399">
        <f t="shared" si="6"/>
        <v>0.95760000000000023</v>
      </c>
      <c r="R55" s="619"/>
      <c r="S55" s="31">
        <v>0.28263888888888888</v>
      </c>
      <c r="T55" s="31">
        <v>0.31736111111111109</v>
      </c>
      <c r="U55" s="398">
        <f t="shared" si="38"/>
        <v>4.9999999999999822</v>
      </c>
      <c r="V55" s="402">
        <f t="shared" si="37"/>
        <v>49.999999999999986</v>
      </c>
      <c r="W55" s="17"/>
      <c r="X55" s="17"/>
      <c r="Y55" s="20"/>
      <c r="Z55" s="20"/>
      <c r="AA55" s="610"/>
      <c r="AB55" s="610"/>
      <c r="AC55" s="19"/>
      <c r="AD55" s="19"/>
      <c r="AE55" s="15">
        <f t="shared" si="8"/>
        <v>-84.7999999999995</v>
      </c>
      <c r="AF55" s="399">
        <f t="shared" si="9"/>
        <v>0.95760000000000023</v>
      </c>
      <c r="AG55" s="619"/>
    </row>
    <row r="56" spans="1:33" ht="15.75" customHeight="1">
      <c r="A56" s="623" t="s">
        <v>1963</v>
      </c>
      <c r="B56" s="33" t="s">
        <v>6</v>
      </c>
      <c r="C56" s="392" t="s">
        <v>77</v>
      </c>
      <c r="D56" s="393"/>
      <c r="E56" s="33">
        <v>56.43</v>
      </c>
      <c r="F56" s="35">
        <v>1258</v>
      </c>
      <c r="G56" s="398">
        <f t="shared" si="35"/>
        <v>70988.94</v>
      </c>
      <c r="H56" s="405" t="s">
        <v>5</v>
      </c>
      <c r="I56" s="401">
        <v>23</v>
      </c>
      <c r="J56" s="30">
        <v>2000</v>
      </c>
      <c r="K56" s="13">
        <f t="shared" si="1"/>
        <v>86.956521739130437</v>
      </c>
      <c r="L56" s="401">
        <v>23</v>
      </c>
      <c r="M56" s="14">
        <f t="shared" si="39"/>
        <v>1935.3846153846146</v>
      </c>
      <c r="N56" s="14">
        <f t="shared" si="3"/>
        <v>84.147157190635411</v>
      </c>
      <c r="O56" s="15">
        <f t="shared" si="4"/>
        <v>0</v>
      </c>
      <c r="P56" s="16">
        <f t="shared" si="5"/>
        <v>-2.8093645484950258</v>
      </c>
      <c r="Q56" s="399">
        <f t="shared" si="6"/>
        <v>0.96769230769230719</v>
      </c>
      <c r="R56" s="619"/>
      <c r="S56" s="31">
        <v>0.32152777777777775</v>
      </c>
      <c r="T56" s="31">
        <v>0.34861111111111109</v>
      </c>
      <c r="U56" s="398">
        <f t="shared" si="38"/>
        <v>5.9999999999999787</v>
      </c>
      <c r="V56" s="402">
        <f t="shared" si="37"/>
        <v>39.000000000000021</v>
      </c>
      <c r="W56" s="17"/>
      <c r="X56" s="17"/>
      <c r="Y56" s="20"/>
      <c r="Z56" s="20"/>
      <c r="AA56" s="610"/>
      <c r="AB56" s="610"/>
      <c r="AC56" s="19"/>
      <c r="AD56" s="19"/>
      <c r="AE56" s="15">
        <f t="shared" si="8"/>
        <v>-64.615384615385437</v>
      </c>
      <c r="AF56" s="399">
        <f t="shared" si="9"/>
        <v>0.9676923076923073</v>
      </c>
      <c r="AG56" s="619"/>
    </row>
    <row r="57" spans="1:33" ht="15.75" customHeight="1">
      <c r="A57" s="623" t="s">
        <v>1963</v>
      </c>
      <c r="B57" s="33" t="s">
        <v>6</v>
      </c>
      <c r="C57" s="392" t="s">
        <v>1513</v>
      </c>
      <c r="D57" s="393"/>
      <c r="E57" s="33">
        <v>56.43</v>
      </c>
      <c r="F57" s="35">
        <v>3424</v>
      </c>
      <c r="G57" s="398">
        <f t="shared" si="35"/>
        <v>193216.32</v>
      </c>
      <c r="H57" s="405" t="s">
        <v>5</v>
      </c>
      <c r="I57" s="401">
        <v>21</v>
      </c>
      <c r="J57" s="30">
        <v>2000</v>
      </c>
      <c r="K57" s="13">
        <f t="shared" si="1"/>
        <v>95.238095238095241</v>
      </c>
      <c r="L57" s="401">
        <v>21</v>
      </c>
      <c r="M57" s="14">
        <f t="shared" si="39"/>
        <v>1902.2222222222219</v>
      </c>
      <c r="N57" s="14">
        <f t="shared" si="3"/>
        <v>90.582010582010568</v>
      </c>
      <c r="O57" s="15">
        <f t="shared" si="4"/>
        <v>0</v>
      </c>
      <c r="P57" s="16">
        <f t="shared" si="5"/>
        <v>-4.6560846560846727</v>
      </c>
      <c r="Q57" s="399">
        <f t="shared" si="6"/>
        <v>0.95111111111111091</v>
      </c>
      <c r="R57" s="619"/>
      <c r="S57" s="31">
        <v>0.3520833333333333</v>
      </c>
      <c r="T57" s="31">
        <v>0.42708333333333331</v>
      </c>
      <c r="U57" s="398">
        <f t="shared" si="38"/>
        <v>4.9999999999999822</v>
      </c>
      <c r="V57" s="402">
        <f t="shared" si="37"/>
        <v>108.00000000000001</v>
      </c>
      <c r="W57" s="17"/>
      <c r="X57" s="17"/>
      <c r="Y57" s="20"/>
      <c r="Z57" s="20"/>
      <c r="AA57" s="610"/>
      <c r="AB57" s="610"/>
      <c r="AC57" s="19"/>
      <c r="AD57" s="19"/>
      <c r="AE57" s="15">
        <f t="shared" si="8"/>
        <v>-97.777777777778056</v>
      </c>
      <c r="AF57" s="399">
        <f t="shared" si="9"/>
        <v>0.95111111111111102</v>
      </c>
      <c r="AG57" s="619"/>
    </row>
    <row r="58" spans="1:33" ht="15.75" customHeight="1">
      <c r="A58" s="623" t="s">
        <v>1963</v>
      </c>
      <c r="B58" s="33" t="s">
        <v>6</v>
      </c>
      <c r="C58" s="612" t="s">
        <v>44</v>
      </c>
      <c r="D58" s="613"/>
      <c r="E58" s="33">
        <v>55.56</v>
      </c>
      <c r="F58" s="35">
        <v>1000</v>
      </c>
      <c r="G58" s="398">
        <f t="shared" si="35"/>
        <v>55560</v>
      </c>
      <c r="H58" s="405">
        <v>2</v>
      </c>
      <c r="I58" s="401">
        <v>17</v>
      </c>
      <c r="J58" s="30">
        <v>2000</v>
      </c>
      <c r="K58" s="13">
        <f t="shared" si="1"/>
        <v>117.64705882352941</v>
      </c>
      <c r="L58" s="401">
        <v>17</v>
      </c>
      <c r="M58" s="14">
        <f t="shared" si="39"/>
        <v>1935.483870967739</v>
      </c>
      <c r="N58" s="14">
        <f t="shared" si="3"/>
        <v>113.85199240986699</v>
      </c>
      <c r="O58" s="15">
        <f t="shared" si="4"/>
        <v>0</v>
      </c>
      <c r="P58" s="16">
        <f t="shared" si="5"/>
        <v>-3.7950664136624113</v>
      </c>
      <c r="Q58" s="399">
        <f t="shared" si="6"/>
        <v>0.96774193548386955</v>
      </c>
      <c r="R58" s="619"/>
      <c r="S58" s="31">
        <v>0.70833333333333337</v>
      </c>
      <c r="T58" s="31">
        <v>0.72986111111111118</v>
      </c>
      <c r="U58" s="398" t="str">
        <f t="shared" si="38"/>
        <v/>
      </c>
      <c r="V58" s="402">
        <f t="shared" si="37"/>
        <v>31.00000000000005</v>
      </c>
      <c r="W58" s="17"/>
      <c r="X58" s="17"/>
      <c r="Y58" s="20"/>
      <c r="Z58" s="20"/>
      <c r="AA58" s="614"/>
      <c r="AB58" s="615"/>
      <c r="AC58" s="19"/>
      <c r="AD58" s="19"/>
      <c r="AE58" s="15">
        <f t="shared" si="8"/>
        <v>-64.516129032261006</v>
      </c>
      <c r="AF58" s="399">
        <f t="shared" si="9"/>
        <v>0.96774193548386944</v>
      </c>
      <c r="AG58" s="619"/>
    </row>
    <row r="59" spans="1:33" ht="15.75" customHeight="1">
      <c r="A59" s="623" t="s">
        <v>1963</v>
      </c>
      <c r="B59" s="33" t="s">
        <v>6</v>
      </c>
      <c r="C59" s="612" t="s">
        <v>72</v>
      </c>
      <c r="D59" s="613"/>
      <c r="E59" s="33">
        <v>58.17</v>
      </c>
      <c r="F59" s="35">
        <v>2113</v>
      </c>
      <c r="G59" s="398">
        <f t="shared" si="35"/>
        <v>122913.21</v>
      </c>
      <c r="H59" s="405" t="s">
        <v>5</v>
      </c>
      <c r="I59" s="401">
        <v>13</v>
      </c>
      <c r="J59" s="30">
        <v>2000</v>
      </c>
      <c r="K59" s="13">
        <f t="shared" si="1"/>
        <v>153.84615384615384</v>
      </c>
      <c r="L59" s="401">
        <v>13</v>
      </c>
      <c r="M59" s="14">
        <f t="shared" si="39"/>
        <v>1920.909090909093</v>
      </c>
      <c r="N59" s="14">
        <f t="shared" si="3"/>
        <v>147.76223776223793</v>
      </c>
      <c r="O59" s="15">
        <f t="shared" si="4"/>
        <v>0</v>
      </c>
      <c r="P59" s="16">
        <f t="shared" si="5"/>
        <v>-6.0839160839159092</v>
      </c>
      <c r="Q59" s="399">
        <f t="shared" si="6"/>
        <v>0.96045454545454656</v>
      </c>
      <c r="R59" s="619"/>
      <c r="S59" s="31">
        <v>0.73402777777777783</v>
      </c>
      <c r="T59" s="31">
        <v>0.77986111111111112</v>
      </c>
      <c r="U59" s="398">
        <f t="shared" si="38"/>
        <v>5.9999999999999787</v>
      </c>
      <c r="V59" s="402">
        <f t="shared" si="37"/>
        <v>65.999999999999929</v>
      </c>
      <c r="W59" s="17"/>
      <c r="X59" s="17"/>
      <c r="Y59" s="20"/>
      <c r="Z59" s="20"/>
      <c r="AA59" s="614"/>
      <c r="AB59" s="615"/>
      <c r="AC59" s="19"/>
      <c r="AD59" s="19"/>
      <c r="AE59" s="15">
        <f t="shared" si="8"/>
        <v>-79.090909090906962</v>
      </c>
      <c r="AF59" s="399">
        <f t="shared" si="9"/>
        <v>0.96045454545454656</v>
      </c>
      <c r="AG59" s="619"/>
    </row>
    <row r="60" spans="1:33" ht="15.75" customHeight="1">
      <c r="A60" s="623" t="s">
        <v>1963</v>
      </c>
      <c r="B60" s="33" t="s">
        <v>6</v>
      </c>
      <c r="C60" s="612" t="s">
        <v>82</v>
      </c>
      <c r="D60" s="613"/>
      <c r="E60" s="33">
        <v>54.09</v>
      </c>
      <c r="F60" s="35">
        <v>1894</v>
      </c>
      <c r="G60" s="398">
        <f t="shared" si="35"/>
        <v>102446.46</v>
      </c>
      <c r="H60" s="405" t="s">
        <v>5</v>
      </c>
      <c r="I60" s="401">
        <v>14</v>
      </c>
      <c r="J60" s="30">
        <v>2000</v>
      </c>
      <c r="K60" s="13">
        <f t="shared" si="1"/>
        <v>142.85714285714286</v>
      </c>
      <c r="L60" s="401">
        <v>14</v>
      </c>
      <c r="M60" s="14">
        <f t="shared" si="39"/>
        <v>1926.1016949152558</v>
      </c>
      <c r="N60" s="14">
        <f t="shared" si="3"/>
        <v>137.57869249394685</v>
      </c>
      <c r="O60" s="15">
        <f t="shared" si="4"/>
        <v>0</v>
      </c>
      <c r="P60" s="16">
        <f t="shared" si="5"/>
        <v>-5.2784503631960149</v>
      </c>
      <c r="Q60" s="399">
        <f t="shared" si="6"/>
        <v>0.96305084745762792</v>
      </c>
      <c r="R60" s="619"/>
      <c r="S60" s="31">
        <v>0.78333333333333333</v>
      </c>
      <c r="T60" s="31">
        <v>0.82430555555555551</v>
      </c>
      <c r="U60" s="398">
        <f t="shared" si="38"/>
        <v>4.9999999999999822</v>
      </c>
      <c r="V60" s="402">
        <f t="shared" si="37"/>
        <v>58.99999999999995</v>
      </c>
      <c r="W60" s="17">
        <f>T60</f>
        <v>0.82430555555555551</v>
      </c>
      <c r="X60" s="17">
        <f>S61</f>
        <v>0.86388888888888882</v>
      </c>
      <c r="Y60" s="20"/>
      <c r="Z60" s="20"/>
      <c r="AA60" s="614"/>
      <c r="AB60" s="615"/>
      <c r="AC60" s="19"/>
      <c r="AD60" s="19"/>
      <c r="AE60" s="15">
        <f t="shared" si="8"/>
        <v>-73.898305084744152</v>
      </c>
      <c r="AF60" s="399">
        <f t="shared" si="9"/>
        <v>0.96305084745762792</v>
      </c>
      <c r="AG60" s="619"/>
    </row>
    <row r="61" spans="1:33">
      <c r="A61" s="623" t="s">
        <v>1963</v>
      </c>
      <c r="B61" s="33" t="s">
        <v>6</v>
      </c>
      <c r="C61" s="392" t="s">
        <v>44</v>
      </c>
      <c r="D61" s="393"/>
      <c r="E61" s="33">
        <v>55.56</v>
      </c>
      <c r="F61" s="35">
        <v>1954</v>
      </c>
      <c r="G61" s="398">
        <f t="shared" si="35"/>
        <v>108564.24</v>
      </c>
      <c r="H61" s="405" t="s">
        <v>5</v>
      </c>
      <c r="I61" s="401">
        <v>17</v>
      </c>
      <c r="J61" s="30">
        <v>2000</v>
      </c>
      <c r="K61" s="13">
        <f t="shared" si="1"/>
        <v>117.64705882352941</v>
      </c>
      <c r="L61" s="401">
        <v>17</v>
      </c>
      <c r="M61" s="14">
        <f t="shared" si="39"/>
        <v>1921.9672131147561</v>
      </c>
      <c r="N61" s="14">
        <f t="shared" si="3"/>
        <v>113.0568948891033</v>
      </c>
      <c r="O61" s="15">
        <f t="shared" si="4"/>
        <v>0</v>
      </c>
      <c r="P61" s="16">
        <f t="shared" si="5"/>
        <v>-4.5901639344261014</v>
      </c>
      <c r="Q61" s="399">
        <f t="shared" si="6"/>
        <v>0.96098360655737813</v>
      </c>
      <c r="R61" s="619"/>
      <c r="S61" s="31">
        <v>0.86388888888888882</v>
      </c>
      <c r="T61" s="31">
        <v>0.90624999999999989</v>
      </c>
      <c r="U61" s="398">
        <f t="shared" si="38"/>
        <v>56.999999999999957</v>
      </c>
      <c r="V61" s="402">
        <f t="shared" si="37"/>
        <v>60.999999999999943</v>
      </c>
      <c r="W61" s="17"/>
      <c r="X61" s="17"/>
      <c r="Y61" s="20"/>
      <c r="Z61" s="20"/>
      <c r="AA61" s="394"/>
      <c r="AB61" s="395"/>
      <c r="AC61" s="19"/>
      <c r="AD61" s="19"/>
      <c r="AE61" s="15">
        <f t="shared" si="8"/>
        <v>-78.032786885243922</v>
      </c>
      <c r="AF61" s="399">
        <f t="shared" si="9"/>
        <v>0.96098360655737802</v>
      </c>
      <c r="AG61" s="619"/>
    </row>
    <row r="62" spans="1:33">
      <c r="A62" s="624" t="s">
        <v>1963</v>
      </c>
      <c r="B62" s="33" t="s">
        <v>1961</v>
      </c>
      <c r="C62" s="620"/>
      <c r="D62" s="620"/>
      <c r="E62" s="400"/>
      <c r="F62" s="34"/>
      <c r="G62" s="13"/>
      <c r="H62" s="403"/>
      <c r="I62" s="23">
        <v>18.111111111111111</v>
      </c>
      <c r="J62" s="30">
        <v>2000</v>
      </c>
      <c r="K62" s="13">
        <f t="shared" si="1"/>
        <v>110.42944785276075</v>
      </c>
      <c r="L62" s="23">
        <v>18.111111111111111</v>
      </c>
      <c r="M62" s="14">
        <f>AVERAGE(M53:M61)</f>
        <v>1923.0185185219282</v>
      </c>
      <c r="N62" s="13">
        <f t="shared" si="3"/>
        <v>106.17893660550524</v>
      </c>
      <c r="O62" s="15">
        <f t="shared" si="4"/>
        <v>0</v>
      </c>
      <c r="P62" s="16">
        <f t="shared" si="5"/>
        <v>-4.2505112472555027</v>
      </c>
      <c r="Q62" s="399">
        <f t="shared" si="6"/>
        <v>0.96150925926096409</v>
      </c>
      <c r="R62" s="619"/>
      <c r="S62" s="31"/>
      <c r="T62" s="31"/>
      <c r="U62" s="398"/>
      <c r="V62" s="402"/>
      <c r="W62" s="13"/>
      <c r="X62" s="13"/>
      <c r="Y62" s="24">
        <f>SUM(Y53:Y61)</f>
        <v>0</v>
      </c>
      <c r="Z62" s="24">
        <f>SUM(Z53:Z61)</f>
        <v>0</v>
      </c>
      <c r="AA62" s="609"/>
      <c r="AB62" s="609"/>
      <c r="AC62" s="24">
        <v>9</v>
      </c>
      <c r="AD62" s="24">
        <f>SUM(AD53:AD61)</f>
        <v>0</v>
      </c>
      <c r="AE62" s="15">
        <f>M62-J62</f>
        <v>-76.981481478071828</v>
      </c>
      <c r="AF62" s="399">
        <f t="shared" si="9"/>
        <v>0.96150925926096409</v>
      </c>
      <c r="AG62" s="619"/>
    </row>
    <row r="63" spans="1:33" ht="15.75" customHeight="1">
      <c r="A63" s="621" t="s">
        <v>1964</v>
      </c>
      <c r="B63" s="403" t="s">
        <v>36</v>
      </c>
      <c r="C63" s="611" t="s">
        <v>46</v>
      </c>
      <c r="D63" s="611"/>
      <c r="E63" s="33">
        <v>35.119999999999997</v>
      </c>
      <c r="F63" s="35">
        <v>5900</v>
      </c>
      <c r="G63" s="398">
        <f t="shared" ref="G63:G67" si="40">E63*F63</f>
        <v>207207.99999999997</v>
      </c>
      <c r="H63" s="405" t="s">
        <v>5</v>
      </c>
      <c r="I63" s="401">
        <v>10</v>
      </c>
      <c r="J63" s="30">
        <v>3000</v>
      </c>
      <c r="K63" s="13">
        <f t="shared" si="1"/>
        <v>300</v>
      </c>
      <c r="L63" s="401">
        <v>10</v>
      </c>
      <c r="M63" s="14">
        <f t="shared" ref="M63:M67" si="41">F63/V63*60</f>
        <v>2854.8387096774195</v>
      </c>
      <c r="N63" s="13">
        <f t="shared" si="3"/>
        <v>285.48387096774195</v>
      </c>
      <c r="O63" s="15">
        <f t="shared" si="4"/>
        <v>0</v>
      </c>
      <c r="P63" s="16">
        <f t="shared" si="5"/>
        <v>-14.51612903225805</v>
      </c>
      <c r="Q63" s="399">
        <f t="shared" si="6"/>
        <v>0.95161290322580649</v>
      </c>
      <c r="R63" s="619">
        <f>Q68</f>
        <v>0.96326257299112383</v>
      </c>
      <c r="S63" s="31">
        <v>0.20833333333333334</v>
      </c>
      <c r="T63" s="31">
        <v>0.29444444444444445</v>
      </c>
      <c r="U63" s="398"/>
      <c r="V63" s="402">
        <f t="shared" ref="V63:V67" si="42">(T63-S63)*24*60</f>
        <v>123.99999999999999</v>
      </c>
      <c r="W63" s="17"/>
      <c r="X63" s="17"/>
      <c r="Y63" s="22"/>
      <c r="Z63" s="22"/>
      <c r="AA63" s="610"/>
      <c r="AB63" s="610"/>
      <c r="AC63" s="19">
        <v>5</v>
      </c>
      <c r="AD63" s="19"/>
      <c r="AE63" s="15">
        <f t="shared" ref="AE63:AE80" si="43">M63-J63</f>
        <v>-145.1612903225805</v>
      </c>
      <c r="AF63" s="399">
        <f t="shared" si="9"/>
        <v>0.95161290322580649</v>
      </c>
      <c r="AG63" s="619">
        <f>AF68</f>
        <v>0.96326257299112372</v>
      </c>
    </row>
    <row r="64" spans="1:33" ht="15.75" customHeight="1">
      <c r="A64" s="621" t="s">
        <v>1964</v>
      </c>
      <c r="B64" s="403" t="s">
        <v>36</v>
      </c>
      <c r="C64" s="611" t="s">
        <v>47</v>
      </c>
      <c r="D64" s="611"/>
      <c r="E64" s="33">
        <v>26.78</v>
      </c>
      <c r="F64" s="35">
        <v>2891</v>
      </c>
      <c r="G64" s="398">
        <f t="shared" si="40"/>
        <v>77420.98000000001</v>
      </c>
      <c r="H64" s="405" t="s">
        <v>5</v>
      </c>
      <c r="I64" s="401">
        <v>10</v>
      </c>
      <c r="J64" s="30">
        <v>3000</v>
      </c>
      <c r="K64" s="13">
        <f t="shared" si="1"/>
        <v>300</v>
      </c>
      <c r="L64" s="401">
        <v>10</v>
      </c>
      <c r="M64" s="14">
        <f t="shared" si="41"/>
        <v>2890.9999999999986</v>
      </c>
      <c r="N64" s="13">
        <f t="shared" si="3"/>
        <v>289.09999999999985</v>
      </c>
      <c r="O64" s="15">
        <f t="shared" si="4"/>
        <v>0</v>
      </c>
      <c r="P64" s="16">
        <f t="shared" si="5"/>
        <v>-10.900000000000148</v>
      </c>
      <c r="Q64" s="399">
        <f t="shared" si="6"/>
        <v>0.96366666666666623</v>
      </c>
      <c r="R64" s="619"/>
      <c r="S64" s="31">
        <v>0.29791666666666666</v>
      </c>
      <c r="T64" s="31">
        <v>0.33958333333333335</v>
      </c>
      <c r="U64" s="398">
        <f t="shared" ref="U64:U67" si="44">(S64-T63)*24*60</f>
        <v>4.9999999999999822</v>
      </c>
      <c r="V64" s="402">
        <f t="shared" si="42"/>
        <v>60.000000000000028</v>
      </c>
      <c r="W64" s="398"/>
      <c r="X64" s="398"/>
      <c r="Y64" s="398"/>
      <c r="Z64" s="398"/>
      <c r="AA64" s="610"/>
      <c r="AB64" s="610"/>
      <c r="AC64" s="19"/>
      <c r="AD64" s="19"/>
      <c r="AE64" s="15">
        <f t="shared" si="43"/>
        <v>-109.00000000000136</v>
      </c>
      <c r="AF64" s="399">
        <f t="shared" si="9"/>
        <v>0.96366666666666623</v>
      </c>
      <c r="AG64" s="619"/>
    </row>
    <row r="65" spans="1:33" ht="15.75" customHeight="1">
      <c r="A65" s="621" t="s">
        <v>1964</v>
      </c>
      <c r="B65" s="403" t="s">
        <v>36</v>
      </c>
      <c r="C65" s="611" t="s">
        <v>49</v>
      </c>
      <c r="D65" s="611"/>
      <c r="E65" s="33">
        <v>35.869999999999997</v>
      </c>
      <c r="F65" s="35">
        <v>3204</v>
      </c>
      <c r="G65" s="398">
        <f t="shared" si="40"/>
        <v>114927.48</v>
      </c>
      <c r="H65" s="405" t="s">
        <v>5</v>
      </c>
      <c r="I65" s="401">
        <v>10</v>
      </c>
      <c r="J65" s="30">
        <v>3000</v>
      </c>
      <c r="K65" s="13">
        <f t="shared" si="1"/>
        <v>300</v>
      </c>
      <c r="L65" s="401">
        <v>10</v>
      </c>
      <c r="M65" s="14">
        <f t="shared" si="41"/>
        <v>2869.2537313432836</v>
      </c>
      <c r="N65" s="13">
        <f t="shared" si="3"/>
        <v>286.92537313432837</v>
      </c>
      <c r="O65" s="15">
        <f t="shared" si="4"/>
        <v>0</v>
      </c>
      <c r="P65" s="16">
        <f t="shared" si="5"/>
        <v>-13.074626865671632</v>
      </c>
      <c r="Q65" s="399">
        <f t="shared" si="6"/>
        <v>0.95641791044776125</v>
      </c>
      <c r="R65" s="619"/>
      <c r="S65" s="31">
        <v>0.34375</v>
      </c>
      <c r="T65" s="31">
        <v>0.39027777777777778</v>
      </c>
      <c r="U65" s="398">
        <f t="shared" si="44"/>
        <v>5.9999999999999787</v>
      </c>
      <c r="V65" s="402">
        <f t="shared" si="42"/>
        <v>67</v>
      </c>
      <c r="W65" s="398"/>
      <c r="X65" s="398"/>
      <c r="Y65" s="398"/>
      <c r="Z65" s="398"/>
      <c r="AA65" s="610"/>
      <c r="AB65" s="610"/>
      <c r="AC65" s="19"/>
      <c r="AD65" s="19"/>
      <c r="AE65" s="15">
        <f t="shared" si="43"/>
        <v>-130.74626865671644</v>
      </c>
      <c r="AF65" s="399">
        <f t="shared" si="9"/>
        <v>0.95641791044776114</v>
      </c>
      <c r="AG65" s="619"/>
    </row>
    <row r="66" spans="1:33" ht="15.75" customHeight="1">
      <c r="A66" s="621" t="s">
        <v>1964</v>
      </c>
      <c r="B66" s="403" t="s">
        <v>36</v>
      </c>
      <c r="C66" s="611" t="s">
        <v>39</v>
      </c>
      <c r="D66" s="611"/>
      <c r="E66" s="33">
        <v>35.869999999999997</v>
      </c>
      <c r="F66" s="35">
        <v>1280</v>
      </c>
      <c r="G66" s="398">
        <f t="shared" si="40"/>
        <v>45913.599999999999</v>
      </c>
      <c r="H66" s="405" t="s">
        <v>5</v>
      </c>
      <c r="I66" s="401">
        <v>9</v>
      </c>
      <c r="J66" s="30">
        <v>3000</v>
      </c>
      <c r="K66" s="13">
        <f t="shared" si="1"/>
        <v>333.33333333333331</v>
      </c>
      <c r="L66" s="401">
        <v>9</v>
      </c>
      <c r="M66" s="14">
        <f t="shared" si="41"/>
        <v>2953.8461538461552</v>
      </c>
      <c r="N66" s="13">
        <f t="shared" si="3"/>
        <v>328.20512820512835</v>
      </c>
      <c r="O66" s="15">
        <f t="shared" si="4"/>
        <v>0</v>
      </c>
      <c r="P66" s="16">
        <f t="shared" si="5"/>
        <v>-5.1282051282049679</v>
      </c>
      <c r="Q66" s="399">
        <f t="shared" si="6"/>
        <v>0.98461538461538511</v>
      </c>
      <c r="R66" s="619"/>
      <c r="S66" s="31">
        <v>0.39583333333333331</v>
      </c>
      <c r="T66" s="31">
        <v>0.41388888888888886</v>
      </c>
      <c r="U66" s="398">
        <f t="shared" si="44"/>
        <v>7.9999999999999716</v>
      </c>
      <c r="V66" s="402">
        <f t="shared" si="42"/>
        <v>25.999999999999986</v>
      </c>
      <c r="W66" s="398"/>
      <c r="X66" s="398"/>
      <c r="Y66" s="398"/>
      <c r="Z66" s="398"/>
      <c r="AA66" s="610"/>
      <c r="AB66" s="610"/>
      <c r="AC66" s="19"/>
      <c r="AD66" s="19"/>
      <c r="AE66" s="15">
        <f t="shared" si="43"/>
        <v>-46.153846153844825</v>
      </c>
      <c r="AF66" s="399">
        <f t="shared" si="9"/>
        <v>0.984615384615385</v>
      </c>
      <c r="AG66" s="619"/>
    </row>
    <row r="67" spans="1:33">
      <c r="A67" s="622" t="s">
        <v>1964</v>
      </c>
      <c r="B67" s="403" t="s">
        <v>36</v>
      </c>
      <c r="C67" s="611" t="s">
        <v>74</v>
      </c>
      <c r="D67" s="611"/>
      <c r="E67" s="33">
        <v>33.770000000000003</v>
      </c>
      <c r="F67" s="35">
        <v>3888</v>
      </c>
      <c r="G67" s="398">
        <f t="shared" si="40"/>
        <v>131297.76</v>
      </c>
      <c r="H67" s="405" t="s">
        <v>5</v>
      </c>
      <c r="I67" s="401">
        <v>12</v>
      </c>
      <c r="J67" s="30">
        <v>3000</v>
      </c>
      <c r="K67" s="13">
        <f t="shared" si="1"/>
        <v>250</v>
      </c>
      <c r="L67" s="401">
        <v>12</v>
      </c>
      <c r="M67" s="14">
        <f t="shared" si="41"/>
        <v>2879.9999999999991</v>
      </c>
      <c r="N67" s="13">
        <f t="shared" si="3"/>
        <v>239.99999999999991</v>
      </c>
      <c r="O67" s="15">
        <f t="shared" si="4"/>
        <v>0</v>
      </c>
      <c r="P67" s="16">
        <f t="shared" si="5"/>
        <v>-10.000000000000085</v>
      </c>
      <c r="Q67" s="399">
        <f t="shared" si="6"/>
        <v>0.95999999999999963</v>
      </c>
      <c r="R67" s="619"/>
      <c r="S67" s="31">
        <v>0.4194444444444444</v>
      </c>
      <c r="T67" s="31">
        <v>0.47569444444444442</v>
      </c>
      <c r="U67" s="398">
        <f t="shared" si="44"/>
        <v>7.9999999999999716</v>
      </c>
      <c r="V67" s="402">
        <f t="shared" si="42"/>
        <v>81.000000000000028</v>
      </c>
      <c r="W67" s="17"/>
      <c r="X67" s="17"/>
      <c r="Y67" s="17"/>
      <c r="Z67" s="17"/>
      <c r="AA67" s="610"/>
      <c r="AB67" s="610"/>
      <c r="AC67" s="19"/>
      <c r="AD67" s="19"/>
      <c r="AE67" s="15">
        <f t="shared" si="43"/>
        <v>-120.00000000000091</v>
      </c>
      <c r="AF67" s="399">
        <f t="shared" si="9"/>
        <v>0.95999999999999974</v>
      </c>
      <c r="AG67" s="619"/>
    </row>
    <row r="68" spans="1:33">
      <c r="A68" s="622" t="s">
        <v>1964</v>
      </c>
      <c r="B68" s="33" t="s">
        <v>1961</v>
      </c>
      <c r="C68" s="620"/>
      <c r="D68" s="620"/>
      <c r="E68" s="400"/>
      <c r="F68" s="34"/>
      <c r="G68" s="13"/>
      <c r="H68" s="403"/>
      <c r="I68" s="23">
        <v>10.199999999999999</v>
      </c>
      <c r="J68" s="30">
        <v>3000</v>
      </c>
      <c r="K68" s="13">
        <f t="shared" si="1"/>
        <v>294.11764705882354</v>
      </c>
      <c r="L68" s="23">
        <v>10.199999999999999</v>
      </c>
      <c r="M68" s="14">
        <f>AVERAGE(M63:M67)</f>
        <v>2889.7877189733713</v>
      </c>
      <c r="N68" s="13">
        <f t="shared" si="3"/>
        <v>283.3125214679776</v>
      </c>
      <c r="O68" s="15">
        <f t="shared" si="4"/>
        <v>0</v>
      </c>
      <c r="P68" s="16">
        <f t="shared" si="5"/>
        <v>-10.805125590845932</v>
      </c>
      <c r="Q68" s="399">
        <f t="shared" si="6"/>
        <v>0.96326257299112383</v>
      </c>
      <c r="R68" s="619"/>
      <c r="S68" s="31"/>
      <c r="T68" s="31"/>
      <c r="U68" s="13"/>
      <c r="V68" s="402"/>
      <c r="W68" s="13"/>
      <c r="X68" s="13"/>
      <c r="Y68" s="24">
        <f>SUM(Y63:Y67)</f>
        <v>0</v>
      </c>
      <c r="Z68" s="24">
        <f>SUM(Z63:Z67)</f>
        <v>0</v>
      </c>
      <c r="AA68" s="609"/>
      <c r="AB68" s="609"/>
      <c r="AC68" s="24">
        <v>5</v>
      </c>
      <c r="AD68" s="24">
        <f>SUM(AD63:AD67)</f>
        <v>0</v>
      </c>
      <c r="AE68" s="15">
        <f t="shared" si="43"/>
        <v>-110.21228102662872</v>
      </c>
      <c r="AF68" s="399">
        <f t="shared" si="9"/>
        <v>0.96326257299112372</v>
      </c>
      <c r="AG68" s="619"/>
    </row>
    <row r="69" spans="1:33" ht="15.75" customHeight="1">
      <c r="A69" s="616" t="s">
        <v>1965</v>
      </c>
      <c r="B69" s="403" t="s">
        <v>27</v>
      </c>
      <c r="C69" s="611" t="s">
        <v>50</v>
      </c>
      <c r="D69" s="611"/>
      <c r="E69" s="33">
        <v>19.02</v>
      </c>
      <c r="F69" s="403">
        <v>7300</v>
      </c>
      <c r="G69" s="398">
        <f t="shared" ref="G69:G79" si="45">E69*F69</f>
        <v>138846</v>
      </c>
      <c r="H69" s="405">
        <v>2</v>
      </c>
      <c r="I69" s="401">
        <v>14</v>
      </c>
      <c r="J69" s="30">
        <v>2400</v>
      </c>
      <c r="K69" s="13">
        <f t="shared" ref="K69:K80" si="46">J69/I69</f>
        <v>171.42857142857142</v>
      </c>
      <c r="L69" s="401">
        <v>14</v>
      </c>
      <c r="M69" s="14">
        <f t="shared" ref="M69:M79" si="47">F69/V69*60</f>
        <v>2293.1937172774865</v>
      </c>
      <c r="N69" s="13">
        <f t="shared" ref="N69:N80" si="48">M69/L69</f>
        <v>163.79955123410619</v>
      </c>
      <c r="O69" s="15">
        <f t="shared" ref="O69:O80" si="49">L69-I69</f>
        <v>0</v>
      </c>
      <c r="P69" s="16">
        <f t="shared" ref="P69:P80" si="50">N69-K69</f>
        <v>-7.6290201944652267</v>
      </c>
      <c r="Q69" s="399">
        <f t="shared" ref="Q69:Q80" si="51">N69/K69</f>
        <v>0.95549738219895286</v>
      </c>
      <c r="R69" s="619">
        <f>Q80</f>
        <v>0.95986864027227536</v>
      </c>
      <c r="S69" s="31">
        <v>8.3333333333333329E-2</v>
      </c>
      <c r="T69" s="31">
        <v>0.21597222222222223</v>
      </c>
      <c r="U69" s="22"/>
      <c r="V69" s="402">
        <f t="shared" ref="V69:V79" si="52">(T69-S69)*24*60</f>
        <v>191.00000000000003</v>
      </c>
      <c r="W69" s="17">
        <f>T69</f>
        <v>0.21597222222222223</v>
      </c>
      <c r="X69" s="17">
        <f>S70</f>
        <v>0.23541666666666669</v>
      </c>
      <c r="Y69" s="17"/>
      <c r="Z69" s="17"/>
      <c r="AA69" s="610"/>
      <c r="AB69" s="610"/>
      <c r="AC69" s="19">
        <v>11</v>
      </c>
      <c r="AD69" s="19"/>
      <c r="AE69" s="15">
        <f t="shared" si="43"/>
        <v>-106.80628272251352</v>
      </c>
      <c r="AF69" s="399">
        <f t="shared" ref="AF69:AF80" si="53">M69/J69</f>
        <v>0.95549738219895275</v>
      </c>
      <c r="AG69" s="619">
        <f>AF80</f>
        <v>0.95986864027227525</v>
      </c>
    </row>
    <row r="70" spans="1:33" ht="15.75" customHeight="1">
      <c r="A70" s="617" t="s">
        <v>414</v>
      </c>
      <c r="B70" s="403" t="s">
        <v>27</v>
      </c>
      <c r="C70" s="611" t="s">
        <v>51</v>
      </c>
      <c r="D70" s="611"/>
      <c r="E70" s="33">
        <v>20.36</v>
      </c>
      <c r="F70" s="403">
        <v>3000</v>
      </c>
      <c r="G70" s="398">
        <f t="shared" si="45"/>
        <v>61080</v>
      </c>
      <c r="H70" s="405">
        <v>2</v>
      </c>
      <c r="I70" s="401">
        <v>17</v>
      </c>
      <c r="J70" s="30">
        <v>2400</v>
      </c>
      <c r="K70" s="13">
        <f t="shared" si="46"/>
        <v>141.1764705882353</v>
      </c>
      <c r="L70" s="401">
        <v>17</v>
      </c>
      <c r="M70" s="14">
        <f t="shared" si="47"/>
        <v>2307.6923076923076</v>
      </c>
      <c r="N70" s="13">
        <f t="shared" si="48"/>
        <v>135.74660633484163</v>
      </c>
      <c r="O70" s="15">
        <f t="shared" si="49"/>
        <v>0</v>
      </c>
      <c r="P70" s="16">
        <f t="shared" si="50"/>
        <v>-5.4298642533936743</v>
      </c>
      <c r="Q70" s="399">
        <f t="shared" si="51"/>
        <v>0.96153846153846145</v>
      </c>
      <c r="R70" s="619"/>
      <c r="S70" s="31">
        <v>0.23541666666666669</v>
      </c>
      <c r="T70" s="31">
        <v>0.28958333333333336</v>
      </c>
      <c r="U70" s="398">
        <f t="shared" ref="U70:U79" si="54">(S70-T69)*24*60</f>
        <v>28.000000000000021</v>
      </c>
      <c r="V70" s="402">
        <f t="shared" si="52"/>
        <v>78</v>
      </c>
      <c r="W70" s="17"/>
      <c r="X70" s="17"/>
      <c r="Y70" s="17"/>
      <c r="Z70" s="17"/>
      <c r="AA70" s="610"/>
      <c r="AB70" s="610"/>
      <c r="AC70" s="19"/>
      <c r="AD70" s="19"/>
      <c r="AE70" s="15">
        <f t="shared" si="43"/>
        <v>-92.307692307692378</v>
      </c>
      <c r="AF70" s="399">
        <f t="shared" si="53"/>
        <v>0.96153846153846156</v>
      </c>
      <c r="AG70" s="619"/>
    </row>
    <row r="71" spans="1:33" ht="15.75" customHeight="1">
      <c r="A71" s="617" t="s">
        <v>414</v>
      </c>
      <c r="B71" s="403" t="s">
        <v>27</v>
      </c>
      <c r="C71" s="611" t="s">
        <v>876</v>
      </c>
      <c r="D71" s="611"/>
      <c r="E71" s="33">
        <v>23.8</v>
      </c>
      <c r="F71" s="403">
        <v>2700</v>
      </c>
      <c r="G71" s="398">
        <f t="shared" si="45"/>
        <v>64260</v>
      </c>
      <c r="H71" s="405">
        <v>2</v>
      </c>
      <c r="I71" s="401">
        <v>16</v>
      </c>
      <c r="J71" s="30">
        <v>2400</v>
      </c>
      <c r="K71" s="13">
        <f t="shared" si="46"/>
        <v>150</v>
      </c>
      <c r="L71" s="401">
        <v>16</v>
      </c>
      <c r="M71" s="14">
        <f t="shared" si="47"/>
        <v>2281.6901408450708</v>
      </c>
      <c r="N71" s="13">
        <f t="shared" si="48"/>
        <v>142.60563380281693</v>
      </c>
      <c r="O71" s="15">
        <f t="shared" si="49"/>
        <v>0</v>
      </c>
      <c r="P71" s="16">
        <f t="shared" si="50"/>
        <v>-7.394366197183075</v>
      </c>
      <c r="Q71" s="399">
        <f t="shared" si="51"/>
        <v>0.95070422535211285</v>
      </c>
      <c r="R71" s="619"/>
      <c r="S71" s="31">
        <v>0.29305555555555557</v>
      </c>
      <c r="T71" s="31">
        <v>0.34236111111111112</v>
      </c>
      <c r="U71" s="398">
        <f t="shared" si="54"/>
        <v>4.9999999999999822</v>
      </c>
      <c r="V71" s="402">
        <f t="shared" si="52"/>
        <v>70.999999999999986</v>
      </c>
      <c r="W71" s="17"/>
      <c r="X71" s="17"/>
      <c r="Y71" s="17"/>
      <c r="Z71" s="17"/>
      <c r="AA71" s="610"/>
      <c r="AB71" s="610"/>
      <c r="AC71" s="19"/>
      <c r="AD71" s="19"/>
      <c r="AE71" s="15">
        <f t="shared" si="43"/>
        <v>-118.3098591549292</v>
      </c>
      <c r="AF71" s="399">
        <f t="shared" si="53"/>
        <v>0.95070422535211285</v>
      </c>
      <c r="AG71" s="619"/>
    </row>
    <row r="72" spans="1:33" ht="15.75" customHeight="1">
      <c r="A72" s="617" t="s">
        <v>414</v>
      </c>
      <c r="B72" s="403" t="s">
        <v>27</v>
      </c>
      <c r="C72" s="611" t="s">
        <v>31</v>
      </c>
      <c r="D72" s="611"/>
      <c r="E72" s="33">
        <v>25.99</v>
      </c>
      <c r="F72" s="403">
        <v>1626</v>
      </c>
      <c r="G72" s="398">
        <f t="shared" si="45"/>
        <v>42259.74</v>
      </c>
      <c r="H72" s="405" t="s">
        <v>5</v>
      </c>
      <c r="I72" s="401">
        <v>18</v>
      </c>
      <c r="J72" s="30">
        <v>2400</v>
      </c>
      <c r="K72" s="13">
        <f t="shared" si="46"/>
        <v>133.33333333333334</v>
      </c>
      <c r="L72" s="401">
        <v>18</v>
      </c>
      <c r="M72" s="14">
        <f t="shared" si="47"/>
        <v>2322.8571428571422</v>
      </c>
      <c r="N72" s="13">
        <f t="shared" si="48"/>
        <v>129.04761904761901</v>
      </c>
      <c r="O72" s="15">
        <f t="shared" si="49"/>
        <v>0</v>
      </c>
      <c r="P72" s="16">
        <f t="shared" si="50"/>
        <v>-4.2857142857143344</v>
      </c>
      <c r="Q72" s="399">
        <f t="shared" si="51"/>
        <v>0.96785714285714253</v>
      </c>
      <c r="R72" s="619"/>
      <c r="S72" s="31">
        <v>0.34652777777777777</v>
      </c>
      <c r="T72" s="31">
        <v>0.37569444444444444</v>
      </c>
      <c r="U72" s="398">
        <f t="shared" si="54"/>
        <v>5.9999999999999787</v>
      </c>
      <c r="V72" s="402">
        <f t="shared" si="52"/>
        <v>42.000000000000014</v>
      </c>
      <c r="W72" s="17"/>
      <c r="X72" s="17"/>
      <c r="Y72" s="17"/>
      <c r="Z72" s="17"/>
      <c r="AA72" s="610"/>
      <c r="AB72" s="610"/>
      <c r="AC72" s="19"/>
      <c r="AD72" s="19"/>
      <c r="AE72" s="15">
        <f t="shared" si="43"/>
        <v>-77.142857142857792</v>
      </c>
      <c r="AF72" s="399">
        <f t="shared" si="53"/>
        <v>0.96785714285714264</v>
      </c>
      <c r="AG72" s="619"/>
    </row>
    <row r="73" spans="1:33" ht="15.75" customHeight="1">
      <c r="A73" s="617" t="s">
        <v>1966</v>
      </c>
      <c r="B73" s="403" t="s">
        <v>27</v>
      </c>
      <c r="C73" s="611" t="s">
        <v>53</v>
      </c>
      <c r="D73" s="611"/>
      <c r="E73" s="33">
        <v>28.29</v>
      </c>
      <c r="F73" s="403">
        <v>1800</v>
      </c>
      <c r="G73" s="398">
        <f t="shared" si="45"/>
        <v>50922</v>
      </c>
      <c r="H73" s="405">
        <v>2</v>
      </c>
      <c r="I73" s="401">
        <v>19</v>
      </c>
      <c r="J73" s="30">
        <v>2400</v>
      </c>
      <c r="K73" s="13">
        <f t="shared" si="46"/>
        <v>126.31578947368421</v>
      </c>
      <c r="L73" s="401">
        <v>19</v>
      </c>
      <c r="M73" s="14">
        <f t="shared" si="47"/>
        <v>2297.872340425532</v>
      </c>
      <c r="N73" s="13">
        <f t="shared" si="48"/>
        <v>120.94064949608064</v>
      </c>
      <c r="O73" s="15">
        <f t="shared" si="49"/>
        <v>0</v>
      </c>
      <c r="P73" s="16">
        <f t="shared" si="50"/>
        <v>-5.3751399776035669</v>
      </c>
      <c r="Q73" s="399">
        <f t="shared" si="51"/>
        <v>0.95744680851063846</v>
      </c>
      <c r="R73" s="619"/>
      <c r="S73" s="31">
        <v>0.37916666666666665</v>
      </c>
      <c r="T73" s="31">
        <v>0.41180555555555554</v>
      </c>
      <c r="U73" s="398">
        <f t="shared" si="54"/>
        <v>4.9999999999999822</v>
      </c>
      <c r="V73" s="402">
        <f t="shared" si="52"/>
        <v>46.999999999999993</v>
      </c>
      <c r="W73" s="17"/>
      <c r="X73" s="17"/>
      <c r="Y73" s="17"/>
      <c r="Z73" s="17"/>
      <c r="AA73" s="610"/>
      <c r="AB73" s="610"/>
      <c r="AC73" s="19"/>
      <c r="AD73" s="19"/>
      <c r="AE73" s="15">
        <f t="shared" si="43"/>
        <v>-102.127659574468</v>
      </c>
      <c r="AF73" s="399">
        <f t="shared" si="53"/>
        <v>0.95744680851063835</v>
      </c>
      <c r="AG73" s="619"/>
    </row>
    <row r="74" spans="1:33" ht="15.75" customHeight="1">
      <c r="A74" s="617" t="s">
        <v>1966</v>
      </c>
      <c r="B74" s="403" t="s">
        <v>27</v>
      </c>
      <c r="C74" s="611" t="s">
        <v>52</v>
      </c>
      <c r="D74" s="611"/>
      <c r="E74" s="33">
        <v>25.98</v>
      </c>
      <c r="F74" s="403">
        <v>2195</v>
      </c>
      <c r="G74" s="398">
        <f t="shared" si="45"/>
        <v>57026.1</v>
      </c>
      <c r="H74" s="405" t="s">
        <v>5</v>
      </c>
      <c r="I74" s="401">
        <v>17</v>
      </c>
      <c r="J74" s="30">
        <v>2400</v>
      </c>
      <c r="K74" s="13">
        <f t="shared" si="46"/>
        <v>141.1764705882353</v>
      </c>
      <c r="L74" s="401">
        <v>17</v>
      </c>
      <c r="M74" s="14">
        <f t="shared" si="47"/>
        <v>2310.5263157894756</v>
      </c>
      <c r="N74" s="13">
        <f t="shared" si="48"/>
        <v>135.91331269349857</v>
      </c>
      <c r="O74" s="15">
        <f t="shared" si="49"/>
        <v>0</v>
      </c>
      <c r="P74" s="16">
        <f t="shared" si="50"/>
        <v>-5.2631578947367359</v>
      </c>
      <c r="Q74" s="399">
        <f t="shared" si="51"/>
        <v>0.96271929824561475</v>
      </c>
      <c r="R74" s="619"/>
      <c r="S74" s="31">
        <v>0.41597222222222219</v>
      </c>
      <c r="T74" s="31">
        <v>0.45555555555555549</v>
      </c>
      <c r="U74" s="398">
        <f t="shared" si="54"/>
        <v>5.9999999999999787</v>
      </c>
      <c r="V74" s="402">
        <f t="shared" si="52"/>
        <v>56.999999999999957</v>
      </c>
      <c r="W74" s="17"/>
      <c r="X74" s="17"/>
      <c r="Y74" s="17"/>
      <c r="Z74" s="17"/>
      <c r="AA74" s="610"/>
      <c r="AB74" s="610"/>
      <c r="AC74" s="19"/>
      <c r="AD74" s="19"/>
      <c r="AE74" s="15">
        <f t="shared" si="43"/>
        <v>-89.473684210524425</v>
      </c>
      <c r="AF74" s="399">
        <f t="shared" si="53"/>
        <v>0.96271929824561486</v>
      </c>
      <c r="AG74" s="619"/>
    </row>
    <row r="75" spans="1:33" ht="15.75" customHeight="1">
      <c r="A75" s="617" t="s">
        <v>1966</v>
      </c>
      <c r="B75" s="403" t="s">
        <v>27</v>
      </c>
      <c r="C75" s="612" t="s">
        <v>197</v>
      </c>
      <c r="D75" s="613"/>
      <c r="E75" s="33">
        <v>23.89</v>
      </c>
      <c r="F75" s="403">
        <v>2300</v>
      </c>
      <c r="G75" s="398">
        <f t="shared" si="45"/>
        <v>54947</v>
      </c>
      <c r="H75" s="405">
        <v>2</v>
      </c>
      <c r="I75" s="401">
        <v>17</v>
      </c>
      <c r="J75" s="30">
        <v>2400</v>
      </c>
      <c r="K75" s="13">
        <f t="shared" si="46"/>
        <v>141.1764705882353</v>
      </c>
      <c r="L75" s="401">
        <v>17</v>
      </c>
      <c r="M75" s="14">
        <f t="shared" si="47"/>
        <v>2300.0000000000023</v>
      </c>
      <c r="N75" s="13">
        <f t="shared" si="48"/>
        <v>135.29411764705895</v>
      </c>
      <c r="O75" s="15">
        <f t="shared" si="49"/>
        <v>0</v>
      </c>
      <c r="P75" s="16">
        <f t="shared" si="50"/>
        <v>-5.8823529411763502</v>
      </c>
      <c r="Q75" s="399">
        <f t="shared" si="51"/>
        <v>0.95833333333333415</v>
      </c>
      <c r="R75" s="619"/>
      <c r="S75" s="31">
        <v>0.46041666666666659</v>
      </c>
      <c r="T75" s="31">
        <v>0.50208333333333321</v>
      </c>
      <c r="U75" s="398">
        <f t="shared" si="54"/>
        <v>6.9999999999999751</v>
      </c>
      <c r="V75" s="402">
        <f t="shared" si="52"/>
        <v>59.999999999999943</v>
      </c>
      <c r="W75" s="17">
        <f>T75</f>
        <v>0.50208333333333321</v>
      </c>
      <c r="X75" s="17">
        <f>S76</f>
        <v>0.54236111111111096</v>
      </c>
      <c r="Y75" s="20"/>
      <c r="Z75" s="20"/>
      <c r="AA75" s="614"/>
      <c r="AB75" s="615"/>
      <c r="AC75" s="19"/>
      <c r="AD75" s="19"/>
      <c r="AE75" s="15">
        <f t="shared" si="43"/>
        <v>-99.999999999997726</v>
      </c>
      <c r="AF75" s="399">
        <f t="shared" si="53"/>
        <v>0.95833333333333426</v>
      </c>
      <c r="AG75" s="619"/>
    </row>
    <row r="76" spans="1:33" ht="15.75" customHeight="1">
      <c r="A76" s="617" t="s">
        <v>1966</v>
      </c>
      <c r="B76" s="403" t="s">
        <v>27</v>
      </c>
      <c r="C76" s="612" t="s">
        <v>50</v>
      </c>
      <c r="D76" s="613"/>
      <c r="E76" s="33">
        <v>19.02</v>
      </c>
      <c r="F76" s="403">
        <v>5864</v>
      </c>
      <c r="G76" s="398">
        <f t="shared" si="45"/>
        <v>111533.28</v>
      </c>
      <c r="H76" s="405" t="s">
        <v>5</v>
      </c>
      <c r="I76" s="401">
        <v>14</v>
      </c>
      <c r="J76" s="30">
        <v>2400</v>
      </c>
      <c r="K76" s="13">
        <f t="shared" si="46"/>
        <v>171.42857142857142</v>
      </c>
      <c r="L76" s="401">
        <v>14</v>
      </c>
      <c r="M76" s="14">
        <f t="shared" si="47"/>
        <v>2284.6753246753256</v>
      </c>
      <c r="N76" s="13">
        <f t="shared" si="48"/>
        <v>163.1910946196661</v>
      </c>
      <c r="O76" s="15">
        <f t="shared" si="49"/>
        <v>0</v>
      </c>
      <c r="P76" s="16">
        <f t="shared" si="50"/>
        <v>-8.2374768089053134</v>
      </c>
      <c r="Q76" s="399">
        <f t="shared" si="51"/>
        <v>0.95194805194805232</v>
      </c>
      <c r="R76" s="619"/>
      <c r="S76" s="31">
        <v>0.54236111111111096</v>
      </c>
      <c r="T76" s="31">
        <v>0.64930555555555536</v>
      </c>
      <c r="U76" s="398">
        <f t="shared" si="54"/>
        <v>57.999999999999957</v>
      </c>
      <c r="V76" s="402">
        <f t="shared" si="52"/>
        <v>153.99999999999994</v>
      </c>
      <c r="W76" s="17"/>
      <c r="X76" s="17"/>
      <c r="Y76" s="20"/>
      <c r="Z76" s="20"/>
      <c r="AA76" s="614"/>
      <c r="AB76" s="615"/>
      <c r="AC76" s="19"/>
      <c r="AD76" s="19"/>
      <c r="AE76" s="15">
        <f t="shared" si="43"/>
        <v>-115.32467532467444</v>
      </c>
      <c r="AF76" s="399">
        <f t="shared" si="53"/>
        <v>0.95194805194805232</v>
      </c>
      <c r="AG76" s="619"/>
    </row>
    <row r="77" spans="1:33" ht="15.75" customHeight="1">
      <c r="A77" s="617" t="s">
        <v>1966</v>
      </c>
      <c r="B77" s="403" t="s">
        <v>27</v>
      </c>
      <c r="C77" s="612" t="s">
        <v>53</v>
      </c>
      <c r="D77" s="613"/>
      <c r="E77" s="33">
        <v>28.29</v>
      </c>
      <c r="F77" s="403">
        <v>1318</v>
      </c>
      <c r="G77" s="398">
        <f t="shared" si="45"/>
        <v>37286.22</v>
      </c>
      <c r="H77" s="405" t="s">
        <v>5</v>
      </c>
      <c r="I77" s="401">
        <v>19</v>
      </c>
      <c r="J77" s="30">
        <v>2400</v>
      </c>
      <c r="K77" s="13">
        <f t="shared" si="46"/>
        <v>126.31578947368421</v>
      </c>
      <c r="L77" s="401">
        <v>19</v>
      </c>
      <c r="M77" s="14">
        <f t="shared" si="47"/>
        <v>2325.8823529411734</v>
      </c>
      <c r="N77" s="13">
        <f t="shared" si="48"/>
        <v>122.41486068111439</v>
      </c>
      <c r="O77" s="15">
        <f t="shared" si="49"/>
        <v>0</v>
      </c>
      <c r="P77" s="16">
        <f t="shared" si="50"/>
        <v>-3.9009287925698146</v>
      </c>
      <c r="Q77" s="399">
        <f t="shared" si="51"/>
        <v>0.96911764705882231</v>
      </c>
      <c r="R77" s="619"/>
      <c r="S77" s="31">
        <v>0.65416666666666645</v>
      </c>
      <c r="T77" s="31">
        <v>0.67777777777777759</v>
      </c>
      <c r="U77" s="398">
        <f t="shared" si="54"/>
        <v>6.9999999999999751</v>
      </c>
      <c r="V77" s="402">
        <f t="shared" si="52"/>
        <v>34.000000000000043</v>
      </c>
      <c r="W77" s="17"/>
      <c r="X77" s="17"/>
      <c r="Y77" s="20"/>
      <c r="Z77" s="20"/>
      <c r="AA77" s="614"/>
      <c r="AB77" s="615"/>
      <c r="AC77" s="19"/>
      <c r="AD77" s="19"/>
      <c r="AE77" s="15">
        <f t="shared" si="43"/>
        <v>-74.117647058826606</v>
      </c>
      <c r="AF77" s="399">
        <f t="shared" si="53"/>
        <v>0.9691176470588222</v>
      </c>
      <c r="AG77" s="619"/>
    </row>
    <row r="78" spans="1:33" ht="15.75" customHeight="1">
      <c r="A78" s="617" t="s">
        <v>1966</v>
      </c>
      <c r="B78" s="403" t="s">
        <v>27</v>
      </c>
      <c r="C78" s="612" t="s">
        <v>197</v>
      </c>
      <c r="D78" s="613"/>
      <c r="E78" s="33">
        <v>23.89</v>
      </c>
      <c r="F78" s="403">
        <v>1770</v>
      </c>
      <c r="G78" s="398">
        <f t="shared" si="45"/>
        <v>42285.3</v>
      </c>
      <c r="H78" s="405" t="s">
        <v>5</v>
      </c>
      <c r="I78" s="401">
        <v>17</v>
      </c>
      <c r="J78" s="30">
        <v>2400</v>
      </c>
      <c r="K78" s="13">
        <f t="shared" si="46"/>
        <v>141.1764705882353</v>
      </c>
      <c r="L78" s="401">
        <v>17</v>
      </c>
      <c r="M78" s="14">
        <f t="shared" si="47"/>
        <v>2308.695652173913</v>
      </c>
      <c r="N78" s="13">
        <f t="shared" si="48"/>
        <v>135.80562659846547</v>
      </c>
      <c r="O78" s="15">
        <f t="shared" si="49"/>
        <v>0</v>
      </c>
      <c r="P78" s="16">
        <f t="shared" si="50"/>
        <v>-5.3708439897698383</v>
      </c>
      <c r="Q78" s="399">
        <f t="shared" si="51"/>
        <v>0.96195652173913027</v>
      </c>
      <c r="R78" s="619"/>
      <c r="S78" s="31">
        <v>0.6812499999999998</v>
      </c>
      <c r="T78" s="31">
        <v>0.71319444444444424</v>
      </c>
      <c r="U78" s="398">
        <f t="shared" si="54"/>
        <v>4.9999999999999822</v>
      </c>
      <c r="V78" s="402">
        <f t="shared" si="52"/>
        <v>46</v>
      </c>
      <c r="W78" s="17"/>
      <c r="X78" s="17"/>
      <c r="Y78" s="20"/>
      <c r="Z78" s="20"/>
      <c r="AA78" s="614"/>
      <c r="AB78" s="615"/>
      <c r="AC78" s="19"/>
      <c r="AD78" s="19"/>
      <c r="AE78" s="15">
        <f t="shared" si="43"/>
        <v>-91.304347826086996</v>
      </c>
      <c r="AF78" s="399">
        <f t="shared" si="53"/>
        <v>0.96195652173913038</v>
      </c>
      <c r="AG78" s="619"/>
    </row>
    <row r="79" spans="1:33" ht="15.75" customHeight="1">
      <c r="A79" s="617" t="s">
        <v>1966</v>
      </c>
      <c r="B79" s="403" t="s">
        <v>27</v>
      </c>
      <c r="C79" s="612" t="s">
        <v>29</v>
      </c>
      <c r="D79" s="613"/>
      <c r="E79" s="33">
        <v>26.37</v>
      </c>
      <c r="F79" s="403">
        <v>3615</v>
      </c>
      <c r="G79" s="398">
        <f t="shared" si="45"/>
        <v>95327.55</v>
      </c>
      <c r="H79" s="405" t="s">
        <v>5</v>
      </c>
      <c r="I79" s="401">
        <v>18</v>
      </c>
      <c r="J79" s="30">
        <v>2400</v>
      </c>
      <c r="K79" s="13">
        <f t="shared" si="46"/>
        <v>133.33333333333334</v>
      </c>
      <c r="L79" s="401">
        <v>18</v>
      </c>
      <c r="M79" s="14">
        <f t="shared" si="47"/>
        <v>2307.4468085106387</v>
      </c>
      <c r="N79" s="13">
        <f t="shared" si="48"/>
        <v>128.19148936170214</v>
      </c>
      <c r="O79" s="15">
        <f t="shared" si="49"/>
        <v>0</v>
      </c>
      <c r="P79" s="16">
        <f t="shared" si="50"/>
        <v>-5.1418439716312037</v>
      </c>
      <c r="Q79" s="399">
        <f t="shared" si="51"/>
        <v>0.96143617021276595</v>
      </c>
      <c r="R79" s="619"/>
      <c r="S79" s="31">
        <v>0.71666666666666645</v>
      </c>
      <c r="T79" s="31">
        <v>0.78194444444444422</v>
      </c>
      <c r="U79" s="398">
        <f t="shared" si="54"/>
        <v>4.9999999999999822</v>
      </c>
      <c r="V79" s="402">
        <f t="shared" si="52"/>
        <v>93.999999999999986</v>
      </c>
      <c r="W79" s="17"/>
      <c r="X79" s="17"/>
      <c r="Y79" s="20"/>
      <c r="Z79" s="20"/>
      <c r="AA79" s="614"/>
      <c r="AB79" s="615"/>
      <c r="AC79" s="19"/>
      <c r="AD79" s="19"/>
      <c r="AE79" s="15">
        <f t="shared" si="43"/>
        <v>-92.553191489361325</v>
      </c>
      <c r="AF79" s="399">
        <f t="shared" si="53"/>
        <v>0.96143617021276606</v>
      </c>
      <c r="AG79" s="619"/>
    </row>
    <row r="80" spans="1:33" ht="16.5" customHeight="1">
      <c r="A80" s="618" t="s">
        <v>1966</v>
      </c>
      <c r="B80" s="33" t="s">
        <v>180</v>
      </c>
      <c r="C80" s="607"/>
      <c r="D80" s="608"/>
      <c r="E80" s="400"/>
      <c r="F80" s="34"/>
      <c r="G80" s="13"/>
      <c r="H80" s="403"/>
      <c r="I80" s="23">
        <v>16.90909090909091</v>
      </c>
      <c r="J80" s="30">
        <v>2400</v>
      </c>
      <c r="K80" s="13">
        <f t="shared" si="46"/>
        <v>141.93548387096774</v>
      </c>
      <c r="L80" s="23">
        <v>16.90909090909091</v>
      </c>
      <c r="M80" s="14">
        <f>AVERAGE(M69:M79)</f>
        <v>2303.6847366534607</v>
      </c>
      <c r="N80" s="13">
        <f t="shared" si="48"/>
        <v>136.23941990961328</v>
      </c>
      <c r="O80" s="15">
        <f t="shared" si="49"/>
        <v>0</v>
      </c>
      <c r="P80" s="16">
        <f t="shared" si="50"/>
        <v>-5.6960639613544686</v>
      </c>
      <c r="Q80" s="399">
        <f t="shared" si="51"/>
        <v>0.95986864027227536</v>
      </c>
      <c r="R80" s="619"/>
      <c r="S80" s="31"/>
      <c r="T80" s="31"/>
      <c r="U80" s="13"/>
      <c r="V80" s="402"/>
      <c r="W80" s="13"/>
      <c r="X80" s="13"/>
      <c r="Y80" s="24">
        <f>SUM(Y69:Y79)</f>
        <v>0</v>
      </c>
      <c r="Z80" s="24">
        <f>SUM(Z69:Z79)</f>
        <v>0</v>
      </c>
      <c r="AA80" s="609"/>
      <c r="AB80" s="609"/>
      <c r="AC80" s="24">
        <v>11</v>
      </c>
      <c r="AD80" s="24">
        <f>SUM(AD69:AD79)</f>
        <v>0</v>
      </c>
      <c r="AE80" s="15">
        <f t="shared" si="43"/>
        <v>-96.315263346539268</v>
      </c>
      <c r="AF80" s="399">
        <f t="shared" si="53"/>
        <v>0.95986864027227525</v>
      </c>
      <c r="AG80" s="619"/>
    </row>
    <row r="81" spans="4:5">
      <c r="D81" s="25"/>
      <c r="E81" s="25"/>
    </row>
  </sheetData>
  <mergeCells count="203">
    <mergeCell ref="A69:A80"/>
    <mergeCell ref="C69:D69"/>
    <mergeCell ref="R69:R80"/>
    <mergeCell ref="AA69:AB69"/>
    <mergeCell ref="C79:D79"/>
    <mergeCell ref="AA79:AB79"/>
    <mergeCell ref="C80:D80"/>
    <mergeCell ref="AA80:AB80"/>
    <mergeCell ref="C76:D76"/>
    <mergeCell ref="AA76:AB76"/>
    <mergeCell ref="C77:D77"/>
    <mergeCell ref="AA77:AB77"/>
    <mergeCell ref="C78:D78"/>
    <mergeCell ref="AA78:AB78"/>
    <mergeCell ref="AG69:AG80"/>
    <mergeCell ref="C70:D70"/>
    <mergeCell ref="AA70:AB70"/>
    <mergeCell ref="C71:D71"/>
    <mergeCell ref="AA71:AB71"/>
    <mergeCell ref="C72:D72"/>
    <mergeCell ref="AG63:AG68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A72:AB72"/>
    <mergeCell ref="C73:D73"/>
    <mergeCell ref="AA73:AB73"/>
    <mergeCell ref="C74:D74"/>
    <mergeCell ref="AA74:AB74"/>
    <mergeCell ref="C75:D75"/>
    <mergeCell ref="AA75:AB75"/>
    <mergeCell ref="A63:A68"/>
    <mergeCell ref="C63:D63"/>
    <mergeCell ref="R63:R68"/>
    <mergeCell ref="AA63:AB63"/>
    <mergeCell ref="AA68:AB68"/>
    <mergeCell ref="AA57:AB57"/>
    <mergeCell ref="C58:D58"/>
    <mergeCell ref="AA58:AB58"/>
    <mergeCell ref="C59:D59"/>
    <mergeCell ref="AA59:AB59"/>
    <mergeCell ref="C60:D60"/>
    <mergeCell ref="AA60:AB60"/>
    <mergeCell ref="A53:A62"/>
    <mergeCell ref="C53:D53"/>
    <mergeCell ref="R53:R62"/>
    <mergeCell ref="AA53:AB53"/>
    <mergeCell ref="AG53:AG62"/>
    <mergeCell ref="C54:D54"/>
    <mergeCell ref="AA54:AB54"/>
    <mergeCell ref="C55:D55"/>
    <mergeCell ref="AA55:AB55"/>
    <mergeCell ref="AA56:AB56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C62:D62"/>
    <mergeCell ref="AA62:AB62"/>
    <mergeCell ref="A48:A52"/>
    <mergeCell ref="C48:D48"/>
    <mergeCell ref="R48:R52"/>
    <mergeCell ref="AA48:AB48"/>
    <mergeCell ref="AG38:AG47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38:A47"/>
    <mergeCell ref="C38:D38"/>
    <mergeCell ref="R38:R47"/>
    <mergeCell ref="AA38:AB38"/>
    <mergeCell ref="AA43:AB43"/>
    <mergeCell ref="C44:D44"/>
    <mergeCell ref="AA44:AB44"/>
    <mergeCell ref="C45:D45"/>
    <mergeCell ref="AA45:AB45"/>
    <mergeCell ref="C46:D46"/>
    <mergeCell ref="C47:D47"/>
    <mergeCell ref="AA47:AB47"/>
    <mergeCell ref="A28:A37"/>
    <mergeCell ref="C28:D28"/>
    <mergeCell ref="R28:R37"/>
    <mergeCell ref="AA28:AB28"/>
    <mergeCell ref="AA33:AB33"/>
    <mergeCell ref="C34:D34"/>
    <mergeCell ref="AA34:AB34"/>
    <mergeCell ref="C36:D36"/>
    <mergeCell ref="AG28:AG37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37:D37"/>
    <mergeCell ref="AA37:AB37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6:O74 O62:O63 O80 O5:O8 O12:O14 O20:O35 O37:O58">
    <cfRule type="cellIs" dxfId="1636" priority="83" operator="greaterThan">
      <formula>0</formula>
    </cfRule>
  </conditionalFormatting>
  <conditionalFormatting sqref="P5:P6 P66:P67 AE66:AE67 P69:P74 P28:P35 P63 P8 P12:P14 P21:P26 P53:P58 P38:P51 AE5:AE63 AE69:AE80">
    <cfRule type="cellIs" dxfId="1635" priority="87" operator="lessThan">
      <formula>0</formula>
    </cfRule>
  </conditionalFormatting>
  <conditionalFormatting sqref="AF66:AF67 Q66:Q74 Q62:Q63 Q80 Q5:Q8 Q12:Q14 Q20:Q35 Q37:Q58 AF5:AF63 AF69:AF80">
    <cfRule type="cellIs" dxfId="1634" priority="84" operator="greaterThan">
      <formula>1</formula>
    </cfRule>
    <cfRule type="cellIs" dxfId="1633" priority="85" operator="lessThan">
      <formula>0.8</formula>
    </cfRule>
  </conditionalFormatting>
  <conditionalFormatting sqref="AG13:AG14 R13:R14 AG66 R66:R74 AG20:AG35 R20:R35 R37:R45 AG37:AG45 AG62:AG63 R62:R63 R80 AG5:AG8 R5:R8 AG47:AG58 R47:R58">
    <cfRule type="cellIs" dxfId="1632" priority="89" operator="lessThan">
      <formula>0.8</formula>
    </cfRule>
  </conditionalFormatting>
  <conditionalFormatting sqref="AG48">
    <cfRule type="cellIs" dxfId="1631" priority="91" operator="lessThan">
      <formula>0.8</formula>
    </cfRule>
  </conditionalFormatting>
  <conditionalFormatting sqref="AG21:AG26">
    <cfRule type="cellIs" dxfId="1630" priority="88" operator="lessThan">
      <formula>0.8</formula>
    </cfRule>
  </conditionalFormatting>
  <conditionalFormatting sqref="AG28">
    <cfRule type="cellIs" dxfId="1629" priority="90" operator="lessThan">
      <formula>0.8</formula>
    </cfRule>
  </conditionalFormatting>
  <conditionalFormatting sqref="AG38:AG45">
    <cfRule type="cellIs" dxfId="1628" priority="86" operator="lessThan">
      <formula>0.8</formula>
    </cfRule>
  </conditionalFormatting>
  <conditionalFormatting sqref="AE68">
    <cfRule type="cellIs" dxfId="1627" priority="82" operator="lessThan">
      <formula>0</formula>
    </cfRule>
  </conditionalFormatting>
  <conditionalFormatting sqref="AF68">
    <cfRule type="cellIs" dxfId="1626" priority="80" operator="greaterThan">
      <formula>1</formula>
    </cfRule>
    <cfRule type="cellIs" dxfId="1625" priority="81" operator="lessThan">
      <formula>0.8</formula>
    </cfRule>
  </conditionalFormatting>
  <conditionalFormatting sqref="O15:O16">
    <cfRule type="cellIs" dxfId="1624" priority="75" operator="greaterThan">
      <formula>0</formula>
    </cfRule>
  </conditionalFormatting>
  <conditionalFormatting sqref="P15:P16">
    <cfRule type="cellIs" dxfId="1623" priority="78" operator="lessThan">
      <formula>0</formula>
    </cfRule>
  </conditionalFormatting>
  <conditionalFormatting sqref="Q15:Q16">
    <cfRule type="cellIs" dxfId="1622" priority="76" operator="greaterThan">
      <formula>1</formula>
    </cfRule>
    <cfRule type="cellIs" dxfId="1621" priority="77" operator="lessThan">
      <formula>0.8</formula>
    </cfRule>
  </conditionalFormatting>
  <conditionalFormatting sqref="R15:R16 AG15:AG16">
    <cfRule type="cellIs" dxfId="1620" priority="79" operator="lessThan">
      <formula>0.8</formula>
    </cfRule>
  </conditionalFormatting>
  <conditionalFormatting sqref="O9:O11">
    <cfRule type="cellIs" dxfId="1619" priority="71" operator="greaterThan">
      <formula>0</formula>
    </cfRule>
  </conditionalFormatting>
  <conditionalFormatting sqref="P9:P11">
    <cfRule type="cellIs" dxfId="1618" priority="74" operator="lessThan">
      <formula>0</formula>
    </cfRule>
  </conditionalFormatting>
  <conditionalFormatting sqref="Q9:Q11">
    <cfRule type="cellIs" dxfId="1617" priority="72" operator="greaterThan">
      <formula>1</formula>
    </cfRule>
    <cfRule type="cellIs" dxfId="1616" priority="73" operator="lessThan">
      <formula>0.8</formula>
    </cfRule>
  </conditionalFormatting>
  <conditionalFormatting sqref="O59">
    <cfRule type="cellIs" dxfId="1615" priority="66" operator="greaterThan">
      <formula>0</formula>
    </cfRule>
  </conditionalFormatting>
  <conditionalFormatting sqref="P59">
    <cfRule type="cellIs" dxfId="1614" priority="69" operator="lessThan">
      <formula>0</formula>
    </cfRule>
  </conditionalFormatting>
  <conditionalFormatting sqref="Q59">
    <cfRule type="cellIs" dxfId="1613" priority="67" operator="greaterThan">
      <formula>1</formula>
    </cfRule>
    <cfRule type="cellIs" dxfId="1612" priority="68" operator="lessThan">
      <formula>0.8</formula>
    </cfRule>
  </conditionalFormatting>
  <conditionalFormatting sqref="R59 AG59">
    <cfRule type="cellIs" dxfId="1611" priority="70" operator="lessThan">
      <formula>0.8</formula>
    </cfRule>
  </conditionalFormatting>
  <conditionalFormatting sqref="R46 AG46">
    <cfRule type="cellIs" dxfId="1610" priority="65" operator="lessThan">
      <formula>0.8</formula>
    </cfRule>
  </conditionalFormatting>
  <conditionalFormatting sqref="AG46">
    <cfRule type="cellIs" dxfId="1609" priority="64" operator="lessThan">
      <formula>0.8</formula>
    </cfRule>
  </conditionalFormatting>
  <conditionalFormatting sqref="O65">
    <cfRule type="cellIs" dxfId="1608" priority="59" operator="greaterThan">
      <formula>0</formula>
    </cfRule>
  </conditionalFormatting>
  <conditionalFormatting sqref="P65 AE65">
    <cfRule type="cellIs" dxfId="1607" priority="62" operator="lessThan">
      <formula>0</formula>
    </cfRule>
  </conditionalFormatting>
  <conditionalFormatting sqref="Q65 AF65">
    <cfRule type="cellIs" dxfId="1606" priority="60" operator="greaterThan">
      <formula>1</formula>
    </cfRule>
    <cfRule type="cellIs" dxfId="1605" priority="61" operator="lessThan">
      <formula>0.8</formula>
    </cfRule>
  </conditionalFormatting>
  <conditionalFormatting sqref="R65 AG65">
    <cfRule type="cellIs" dxfId="1604" priority="63" operator="lessThan">
      <formula>0.8</formula>
    </cfRule>
  </conditionalFormatting>
  <conditionalFormatting sqref="O36">
    <cfRule type="cellIs" dxfId="1603" priority="54" operator="greaterThan">
      <formula>0</formula>
    </cfRule>
  </conditionalFormatting>
  <conditionalFormatting sqref="P36">
    <cfRule type="cellIs" dxfId="1602" priority="57" operator="lessThan">
      <formula>0</formula>
    </cfRule>
  </conditionalFormatting>
  <conditionalFormatting sqref="Q36">
    <cfRule type="cellIs" dxfId="1601" priority="55" operator="greaterThan">
      <formula>1</formula>
    </cfRule>
    <cfRule type="cellIs" dxfId="1600" priority="56" operator="lessThan">
      <formula>0.8</formula>
    </cfRule>
  </conditionalFormatting>
  <conditionalFormatting sqref="R36 AG36">
    <cfRule type="cellIs" dxfId="1599" priority="58" operator="lessThan">
      <formula>0.8</formula>
    </cfRule>
  </conditionalFormatting>
  <conditionalFormatting sqref="O75">
    <cfRule type="cellIs" dxfId="1598" priority="49" operator="greaterThan">
      <formula>0</formula>
    </cfRule>
  </conditionalFormatting>
  <conditionalFormatting sqref="P75">
    <cfRule type="cellIs" dxfId="1597" priority="52" operator="lessThan">
      <formula>0</formula>
    </cfRule>
  </conditionalFormatting>
  <conditionalFormatting sqref="Q75">
    <cfRule type="cellIs" dxfId="1596" priority="50" operator="greaterThan">
      <formula>1</formula>
    </cfRule>
    <cfRule type="cellIs" dxfId="1595" priority="51" operator="lessThan">
      <formula>0.8</formula>
    </cfRule>
  </conditionalFormatting>
  <conditionalFormatting sqref="R75">
    <cfRule type="cellIs" dxfId="1594" priority="53" operator="lessThan">
      <formula>0.8</formula>
    </cfRule>
  </conditionalFormatting>
  <conditionalFormatting sqref="O17:O18">
    <cfRule type="cellIs" dxfId="1593" priority="44" operator="greaterThan">
      <formula>0</formula>
    </cfRule>
  </conditionalFormatting>
  <conditionalFormatting sqref="P17:P18">
    <cfRule type="cellIs" dxfId="1592" priority="47" operator="lessThan">
      <formula>0</formula>
    </cfRule>
  </conditionalFormatting>
  <conditionalFormatting sqref="Q17:Q18">
    <cfRule type="cellIs" dxfId="1591" priority="45" operator="greaterThan">
      <formula>1</formula>
    </cfRule>
    <cfRule type="cellIs" dxfId="1590" priority="46" operator="lessThan">
      <formula>0.8</formula>
    </cfRule>
  </conditionalFormatting>
  <conditionalFormatting sqref="R17:R18 AG17:AG18">
    <cfRule type="cellIs" dxfId="1589" priority="48" operator="lessThan">
      <formula>0.8</formula>
    </cfRule>
  </conditionalFormatting>
  <conditionalFormatting sqref="O60">
    <cfRule type="cellIs" dxfId="1588" priority="39" operator="greaterThan">
      <formula>0</formula>
    </cfRule>
  </conditionalFormatting>
  <conditionalFormatting sqref="P60">
    <cfRule type="cellIs" dxfId="1587" priority="42" operator="lessThan">
      <formula>0</formula>
    </cfRule>
  </conditionalFormatting>
  <conditionalFormatting sqref="Q60">
    <cfRule type="cellIs" dxfId="1586" priority="40" operator="greaterThan">
      <formula>1</formula>
    </cfRule>
    <cfRule type="cellIs" dxfId="1585" priority="41" operator="lessThan">
      <formula>0.8</formula>
    </cfRule>
  </conditionalFormatting>
  <conditionalFormatting sqref="AG60 R60">
    <cfRule type="cellIs" dxfId="1584" priority="43" operator="lessThan">
      <formula>0.8</formula>
    </cfRule>
  </conditionalFormatting>
  <conditionalFormatting sqref="O64">
    <cfRule type="cellIs" dxfId="1583" priority="34" operator="greaterThan">
      <formula>0</formula>
    </cfRule>
  </conditionalFormatting>
  <conditionalFormatting sqref="P64 AE64">
    <cfRule type="cellIs" dxfId="1582" priority="37" operator="lessThan">
      <formula>0</formula>
    </cfRule>
  </conditionalFormatting>
  <conditionalFormatting sqref="Q64 AF64">
    <cfRule type="cellIs" dxfId="1581" priority="35" operator="greaterThan">
      <formula>1</formula>
    </cfRule>
    <cfRule type="cellIs" dxfId="1580" priority="36" operator="lessThan">
      <formula>0.8</formula>
    </cfRule>
  </conditionalFormatting>
  <conditionalFormatting sqref="R64 AG64">
    <cfRule type="cellIs" dxfId="1579" priority="38" operator="lessThan">
      <formula>0.8</formula>
    </cfRule>
  </conditionalFormatting>
  <conditionalFormatting sqref="O19">
    <cfRule type="cellIs" dxfId="1578" priority="29" operator="greaterThan">
      <formula>0</formula>
    </cfRule>
  </conditionalFormatting>
  <conditionalFormatting sqref="P19">
    <cfRule type="cellIs" dxfId="1577" priority="32" operator="lessThan">
      <formula>0</formula>
    </cfRule>
  </conditionalFormatting>
  <conditionalFormatting sqref="Q19">
    <cfRule type="cellIs" dxfId="1576" priority="30" operator="greaterThan">
      <formula>1</formula>
    </cfRule>
    <cfRule type="cellIs" dxfId="1575" priority="31" operator="lessThan">
      <formula>0.8</formula>
    </cfRule>
  </conditionalFormatting>
  <conditionalFormatting sqref="AG19 R19">
    <cfRule type="cellIs" dxfId="1574" priority="33" operator="lessThan">
      <formula>0.8</formula>
    </cfRule>
  </conditionalFormatting>
  <conditionalFormatting sqref="P7">
    <cfRule type="cellIs" dxfId="1573" priority="28" operator="lessThan">
      <formula>0</formula>
    </cfRule>
  </conditionalFormatting>
  <conditionalFormatting sqref="P20">
    <cfRule type="cellIs" dxfId="1572" priority="27" operator="lessThan">
      <formula>0</formula>
    </cfRule>
  </conditionalFormatting>
  <conditionalFormatting sqref="P27">
    <cfRule type="cellIs" dxfId="1571" priority="26" operator="lessThan">
      <formula>0</formula>
    </cfRule>
  </conditionalFormatting>
  <conditionalFormatting sqref="P37">
    <cfRule type="cellIs" dxfId="1570" priority="25" operator="lessThan">
      <formula>0</formula>
    </cfRule>
  </conditionalFormatting>
  <conditionalFormatting sqref="P52">
    <cfRule type="cellIs" dxfId="1569" priority="24" operator="lessThan">
      <formula>0</formula>
    </cfRule>
  </conditionalFormatting>
  <conditionalFormatting sqref="P62">
    <cfRule type="cellIs" dxfId="1568" priority="23" operator="lessThan">
      <formula>0</formula>
    </cfRule>
  </conditionalFormatting>
  <conditionalFormatting sqref="P68">
    <cfRule type="cellIs" dxfId="1567" priority="22" operator="lessThan">
      <formula>0</formula>
    </cfRule>
  </conditionalFormatting>
  <conditionalFormatting sqref="P80">
    <cfRule type="cellIs" dxfId="1566" priority="21" operator="lessThan">
      <formula>0</formula>
    </cfRule>
  </conditionalFormatting>
  <conditionalFormatting sqref="O76">
    <cfRule type="cellIs" dxfId="1565" priority="16" operator="greaterThan">
      <formula>0</formula>
    </cfRule>
  </conditionalFormatting>
  <conditionalFormatting sqref="P76">
    <cfRule type="cellIs" dxfId="1564" priority="19" operator="lessThan">
      <formula>0</formula>
    </cfRule>
  </conditionalFormatting>
  <conditionalFormatting sqref="Q76">
    <cfRule type="cellIs" dxfId="1563" priority="17" operator="greaterThan">
      <formula>1</formula>
    </cfRule>
    <cfRule type="cellIs" dxfId="1562" priority="18" operator="lessThan">
      <formula>0.8</formula>
    </cfRule>
  </conditionalFormatting>
  <conditionalFormatting sqref="R76">
    <cfRule type="cellIs" dxfId="1561" priority="20" operator="lessThan">
      <formula>0.8</formula>
    </cfRule>
  </conditionalFormatting>
  <conditionalFormatting sqref="O77">
    <cfRule type="cellIs" dxfId="1560" priority="11" operator="greaterThan">
      <formula>0</formula>
    </cfRule>
  </conditionalFormatting>
  <conditionalFormatting sqref="P77">
    <cfRule type="cellIs" dxfId="1559" priority="14" operator="lessThan">
      <formula>0</formula>
    </cfRule>
  </conditionalFormatting>
  <conditionalFormatting sqref="Q77">
    <cfRule type="cellIs" dxfId="1558" priority="12" operator="greaterThan">
      <formula>1</formula>
    </cfRule>
    <cfRule type="cellIs" dxfId="1557" priority="13" operator="lessThan">
      <formula>0.8</formula>
    </cfRule>
  </conditionalFormatting>
  <conditionalFormatting sqref="R77">
    <cfRule type="cellIs" dxfId="1556" priority="15" operator="lessThan">
      <formula>0.8</formula>
    </cfRule>
  </conditionalFormatting>
  <conditionalFormatting sqref="O61">
    <cfRule type="cellIs" dxfId="1555" priority="6" operator="greaterThan">
      <formula>0</formula>
    </cfRule>
  </conditionalFormatting>
  <conditionalFormatting sqref="P61">
    <cfRule type="cellIs" dxfId="1554" priority="9" operator="lessThan">
      <formula>0</formula>
    </cfRule>
  </conditionalFormatting>
  <conditionalFormatting sqref="Q61">
    <cfRule type="cellIs" dxfId="1553" priority="7" operator="greaterThan">
      <formula>1</formula>
    </cfRule>
    <cfRule type="cellIs" dxfId="1552" priority="8" operator="lessThan">
      <formula>0.8</formula>
    </cfRule>
  </conditionalFormatting>
  <conditionalFormatting sqref="AG61 R61">
    <cfRule type="cellIs" dxfId="1551" priority="10" operator="lessThan">
      <formula>0.8</formula>
    </cfRule>
  </conditionalFormatting>
  <conditionalFormatting sqref="O78:O79">
    <cfRule type="cellIs" dxfId="1550" priority="1" operator="greaterThan">
      <formula>0</formula>
    </cfRule>
  </conditionalFormatting>
  <conditionalFormatting sqref="P78:P79">
    <cfRule type="cellIs" dxfId="1549" priority="4" operator="lessThan">
      <formula>0</formula>
    </cfRule>
  </conditionalFormatting>
  <conditionalFormatting sqref="Q78:Q79">
    <cfRule type="cellIs" dxfId="1548" priority="2" operator="greaterThan">
      <formula>1</formula>
    </cfRule>
    <cfRule type="cellIs" dxfId="1547" priority="3" operator="lessThan">
      <formula>0.8</formula>
    </cfRule>
  </conditionalFormatting>
  <conditionalFormatting sqref="R78:R79">
    <cfRule type="cellIs" dxfId="1546" priority="5" operator="lessThan">
      <formula>0.8</formula>
    </cfRule>
  </conditionalFormatting>
  <dataValidations count="1">
    <dataValidation type="list" allowBlank="1" showInputMessage="1" showErrorMessage="1" sqref="AB7 AA5:AB6 AB67 AA7:AA67 AB9:AB63 AA68:AB80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0" sqref="A10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1780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1781</v>
      </c>
      <c r="C3" s="596" t="str">
        <f>TEXT('0919 4度C'!A2,"yyyy.mm.ddaaaa")</f>
        <v>2026.09.19星期六</v>
      </c>
      <c r="D3" s="597"/>
      <c r="E3" s="39" t="s">
        <v>1782</v>
      </c>
      <c r="F3" s="598">
        <f>'0919 4度C'!D1</f>
        <v>147004</v>
      </c>
      <c r="G3" s="599"/>
      <c r="H3" s="39" t="s">
        <v>1783</v>
      </c>
      <c r="I3" s="600">
        <f>'0919 4度C'!F1</f>
        <v>5030635.01</v>
      </c>
      <c r="J3" s="601"/>
      <c r="K3" s="40"/>
      <c r="L3" s="41"/>
      <c r="M3" s="42"/>
      <c r="N3" s="42"/>
    </row>
    <row r="4" spans="2:17" ht="28.5" customHeight="1">
      <c r="B4" s="602" t="s">
        <v>1784</v>
      </c>
      <c r="C4" s="588" t="s">
        <v>1785</v>
      </c>
      <c r="D4" s="589"/>
      <c r="E4" s="605" t="s">
        <v>1786</v>
      </c>
      <c r="F4" s="606"/>
      <c r="G4" s="605" t="s">
        <v>1787</v>
      </c>
      <c r="H4" s="606"/>
      <c r="I4" s="605" t="s">
        <v>1788</v>
      </c>
      <c r="J4" s="606"/>
      <c r="K4" s="586" t="s">
        <v>1789</v>
      </c>
      <c r="L4" s="587"/>
      <c r="M4" s="587" t="s">
        <v>1790</v>
      </c>
      <c r="N4" s="587"/>
    </row>
    <row r="5" spans="2:17" ht="28.5" customHeight="1">
      <c r="B5" s="603"/>
      <c r="C5" s="588" t="s">
        <v>1791</v>
      </c>
      <c r="D5" s="589"/>
      <c r="E5" s="588" t="s">
        <v>1792</v>
      </c>
      <c r="F5" s="589"/>
      <c r="G5" s="590" t="s">
        <v>1793</v>
      </c>
      <c r="H5" s="591"/>
      <c r="I5" s="592" t="s">
        <v>1794</v>
      </c>
      <c r="J5" s="593"/>
      <c r="K5" s="43" t="s">
        <v>1795</v>
      </c>
      <c r="L5" s="44" t="s">
        <v>1796</v>
      </c>
      <c r="M5" s="43" t="s">
        <v>1797</v>
      </c>
      <c r="N5" s="44" t="s">
        <v>1798</v>
      </c>
    </row>
    <row r="6" spans="2:17" ht="28.5" customHeight="1">
      <c r="B6" s="603"/>
      <c r="C6" s="588" t="s">
        <v>56</v>
      </c>
      <c r="D6" s="589"/>
      <c r="E6" s="580">
        <f>AVERAGE(D13:M13)</f>
        <v>150.75150273402511</v>
      </c>
      <c r="F6" s="581">
        <f>AVERAGE(D31:O31,D13:J13)</f>
        <v>156.08146940103916</v>
      </c>
      <c r="G6" s="582">
        <f>AVERAGE(D13:J13)</f>
        <v>156.08146940103916</v>
      </c>
      <c r="H6" s="583"/>
      <c r="I6" s="582">
        <f>AVERAGE(K13:M13)</f>
        <v>138.31491384432562</v>
      </c>
      <c r="J6" s="583"/>
      <c r="K6" s="584">
        <f>'0919 4度C'!Y2</f>
        <v>0</v>
      </c>
      <c r="L6" s="569">
        <f>'0919 4度C'!Z2</f>
        <v>0</v>
      </c>
      <c r="M6" s="585">
        <f>'0919 4度C'!AC2</f>
        <v>54</v>
      </c>
      <c r="N6" s="569">
        <f>'0919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144.33533338113534</v>
      </c>
      <c r="F7" s="573">
        <f>AVERAGE(D32:O32,D14:J14)</f>
        <v>149.44347468287398</v>
      </c>
      <c r="G7" s="574">
        <f>AVERAGE(D14:J14)</f>
        <v>149.44347468287398</v>
      </c>
      <c r="H7" s="575"/>
      <c r="I7" s="574">
        <f>AVERAGE(K14:M14)</f>
        <v>132.41633701041184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0.95799380284561908</v>
      </c>
      <c r="F8" s="577">
        <f>AVERAGE(D15:J15,D33:O33)</f>
        <v>0.95827260065060715</v>
      </c>
      <c r="G8" s="578">
        <f>AVERAGE(D15:J15)</f>
        <v>0.95827260065060715</v>
      </c>
      <c r="H8" s="579"/>
      <c r="I8" s="578">
        <f>AVERAGE(K15:M15)</f>
        <v>0.95734327463397995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1799</v>
      </c>
      <c r="N9" s="42"/>
      <c r="O9" s="42"/>
      <c r="P9" s="42"/>
      <c r="Q9" s="42"/>
    </row>
    <row r="10" spans="2:17" ht="30" customHeight="1">
      <c r="B10" s="552" t="s">
        <v>1800</v>
      </c>
      <c r="C10" s="553"/>
      <c r="D10" s="554" t="s">
        <v>107</v>
      </c>
      <c r="E10" s="555"/>
      <c r="F10" s="555"/>
      <c r="G10" s="555"/>
      <c r="H10" s="555"/>
      <c r="I10" s="555"/>
      <c r="J10" s="556"/>
      <c r="K10" s="557" t="s">
        <v>222</v>
      </c>
      <c r="L10" s="558"/>
      <c r="M10" s="559"/>
      <c r="P10" s="48"/>
      <c r="Q10" s="48"/>
    </row>
    <row r="11" spans="2:17" ht="17.25" customHeight="1">
      <c r="B11" s="560" t="s">
        <v>223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1801</v>
      </c>
      <c r="C13" s="55" t="s">
        <v>1802</v>
      </c>
      <c r="D13" s="56">
        <f>SUMIFS('0919 4度C'!$K:$K,'0919 4度C'!$A:$A,"新豐6線",'0919 4度C'!$B:$B,"平均")</f>
        <v>136.36363636363637</v>
      </c>
      <c r="E13" s="57">
        <f>SUMIFS('0919 4度C'!$K:$K,'0919 4度C'!$A:$A,"新豐2線",'0919 4度C'!$B:$B,"平均")</f>
        <v>81.818181818181827</v>
      </c>
      <c r="F13" s="58">
        <f>SUMIFS('0919 4度C'!$K:$K,'0919 4度C'!$A:$A,"新豐5線",'0919 4度C'!$B:$B,"平均")</f>
        <v>101.94174757281553</v>
      </c>
      <c r="G13" s="58">
        <f>SUMIFS('0919 4度C'!$K:$K,'0919 4度C'!$A:$A,"新豐7線",'0919 4度C'!$B:$B,"平均")</f>
        <v>126.31578947368421</v>
      </c>
      <c r="H13" s="58">
        <f>SUMIFS('0919 4度C'!$K:$K,'0919 4度C'!$A:$A,"新豐3線",'0919 4度C'!$B:$B,"平均")</f>
        <v>242.42424242424241</v>
      </c>
      <c r="I13" s="58">
        <f>SUMIFS('0919 4度C'!$K:$K,'0919 4度C'!$A:$A,"新豐1線",'0919 4度C'!$B:$B,"平均")</f>
        <v>109.58904109589041</v>
      </c>
      <c r="J13" s="59">
        <f>SUMIFS('0919 4度C'!$K:$K,'0919 4度C'!$A:$A,"新豐10線",'0919 4度C'!$B:$B,"平均")</f>
        <v>294.11764705882354</v>
      </c>
      <c r="K13" s="60">
        <f>SUMIFS('0919 4度C'!$K:$K,'0919 4度C'!$A:$A,"新豐8線",'0919 4度C'!$B:$B,"平均")</f>
        <v>144</v>
      </c>
      <c r="L13" s="61">
        <f>SUMIFS('0919 4度C'!$K:$K,'0919 4度C'!$A:$A,"新豐9線",'0919 4度C'!$B:$B,"平均")</f>
        <v>125.49019607843138</v>
      </c>
      <c r="M13" s="59">
        <f>SUMIFS('0919 4度C'!$K:$K,'0919 4度C'!$A:$A,"新豐4線",'0919 4度C'!$B:$B,"平均")</f>
        <v>145.45454545454547</v>
      </c>
    </row>
    <row r="14" spans="2:17" ht="39.6" customHeight="1">
      <c r="B14" s="565"/>
      <c r="C14" s="62" t="s">
        <v>1803</v>
      </c>
      <c r="D14" s="63">
        <f>SUMIFS('0919 4度C'!$N:$N,'0919 4度C'!$A:$A,"新豐6線",'0919 4度C'!$B:$B,"平均")</f>
        <v>131.31241745895738</v>
      </c>
      <c r="E14" s="64">
        <f>SUMIFS('0919 4度C'!$N:$N,'0919 4度C'!$A:$A,"新豐2線",'0919 4度C'!$B:$B,"平均")</f>
        <v>77.969557485489574</v>
      </c>
      <c r="F14" s="64">
        <f>SUMIFS('0919 4度C'!$N:$N,'0919 4度C'!$A:$A,"新豐5線",'0919 4度C'!$B:$B,"平均")</f>
        <v>97.718194273739883</v>
      </c>
      <c r="G14" s="64">
        <f>SUMIFS('0919 4度C'!$N:$N,'0919 4度C'!$A:$A,"新豐7線",'0919 4度C'!$B:$B,"平均")</f>
        <v>121.57815575929841</v>
      </c>
      <c r="H14" s="64">
        <f>SUMIFS('0919 4度C'!$N:$N,'0919 4度C'!$A:$A,"新豐3線",'0919 4度C'!$B:$B,"平均")</f>
        <v>231.72259358288775</v>
      </c>
      <c r="I14" s="64">
        <f>SUMIFS('0919 4度C'!$N:$N,'0919 4度C'!$A:$A,"新豐1線",'0919 4度C'!$B:$B,"平均")</f>
        <v>105.38677013851485</v>
      </c>
      <c r="J14" s="65">
        <f>SUMIFS('0919 4度C'!$N:$N,'0919 4度C'!$A:$A,"新豐10線",'0919 4度C'!$B:$B,"平均")</f>
        <v>280.41663408122986</v>
      </c>
      <c r="K14" s="66">
        <f>SUMIFS('0919 4度C'!$N:$N,'0919 4度C'!$A:$A,"新豐8線",'0919 4度C'!$B:$B,"平均")</f>
        <v>137.36007690206671</v>
      </c>
      <c r="L14" s="67">
        <f>SUMIFS('0919 4度C'!$N:$N,'0919 4度C'!$A:$A,"新豐9線",'0919 4度C'!$B:$B,"平均")</f>
        <v>120.14078064720972</v>
      </c>
      <c r="M14" s="65">
        <f>SUMIFS('0919 4度C'!$N:$N,'0919 4度C'!$A:$A,"新豐4線",'0919 4度C'!$B:$B,"平均")</f>
        <v>139.74815348195909</v>
      </c>
    </row>
    <row r="15" spans="2:17" ht="40.15" customHeight="1">
      <c r="B15" s="566"/>
      <c r="C15" s="68" t="s">
        <v>1804</v>
      </c>
      <c r="D15" s="69">
        <f t="shared" ref="D15:M15" si="0">D14/D13</f>
        <v>0.96295772803235402</v>
      </c>
      <c r="E15" s="70">
        <f t="shared" si="0"/>
        <v>0.95296125815598354</v>
      </c>
      <c r="F15" s="70">
        <f t="shared" si="0"/>
        <v>0.9585689533519246</v>
      </c>
      <c r="G15" s="70">
        <f t="shared" si="0"/>
        <v>0.96249373309444575</v>
      </c>
      <c r="H15" s="70">
        <f t="shared" si="0"/>
        <v>0.9558556985294121</v>
      </c>
      <c r="I15" s="70">
        <f t="shared" si="0"/>
        <v>0.96165427751394805</v>
      </c>
      <c r="J15" s="71">
        <f t="shared" si="0"/>
        <v>0.95341655587618146</v>
      </c>
      <c r="K15" s="69">
        <f t="shared" si="0"/>
        <v>0.95388942293101886</v>
      </c>
      <c r="L15" s="70">
        <f t="shared" si="0"/>
        <v>0.95737184578245238</v>
      </c>
      <c r="M15" s="71">
        <f t="shared" si="0"/>
        <v>0.96076855518846871</v>
      </c>
    </row>
    <row r="16" spans="2:17" ht="17.25" customHeight="1">
      <c r="B16" s="567" t="s">
        <v>114</v>
      </c>
      <c r="C16" s="72" t="s">
        <v>1805</v>
      </c>
      <c r="D16" s="73">
        <f>VLOOKUP("新豐6線",'0919 4度C'!$A:$T,19,0)</f>
        <v>0.70833333333333337</v>
      </c>
      <c r="E16" s="74">
        <f>VLOOKUP("新豐2線",'0919 4度C'!$A:$T,19,0)</f>
        <v>8.3333333333333329E-2</v>
      </c>
      <c r="F16" s="74">
        <f>VLOOKUP("新豐5線",'0919 4度C'!$A:$T,19,0)</f>
        <v>0.25</v>
      </c>
      <c r="G16" s="74">
        <f>VLOOKUP("新豐7線",'0919 4度C'!$A:$T,19,0)</f>
        <v>0.25</v>
      </c>
      <c r="H16" s="74">
        <f>VLOOKUP("新豐3線",'0919 4度C'!$A:$T,19,0)</f>
        <v>0.20833333333333334</v>
      </c>
      <c r="I16" s="74">
        <f>VLOOKUP("新豐1線",'0919 4度C'!$A:$T,19,0)</f>
        <v>0.20833333333333334</v>
      </c>
      <c r="J16" s="75">
        <f>VLOOKUP("新豐10線",'0919 4度C'!$A:$T,19,0)</f>
        <v>0.20833333333333334</v>
      </c>
      <c r="K16" s="76">
        <f>VLOOKUP("新豐8線",'0919 4度C'!$A:$T,19,0)</f>
        <v>8.3333333333333329E-2</v>
      </c>
      <c r="L16" s="77">
        <f>VLOOKUP("新豐9線",'0919 4度C'!$A:$T,19,0)</f>
        <v>8.3333333333333329E-2</v>
      </c>
      <c r="M16" s="78">
        <f>VLOOKUP("新豐4線",'0919 4度C'!$A:$T,19,0)</f>
        <v>8.3333333333333329E-2</v>
      </c>
    </row>
    <row r="17" spans="2:13" ht="17.25" customHeight="1">
      <c r="B17" s="568"/>
      <c r="C17" s="72" t="s">
        <v>116</v>
      </c>
      <c r="D17" s="76">
        <f>LOOKUP(2,1/(('0919 4度C'!$A:$A="新豐6線")*('0919 4度C'!$T:$T&lt;&gt;"")),'0919 4度C'!$T:$T)</f>
        <v>0.84305555555555567</v>
      </c>
      <c r="E17" s="74">
        <f>LOOKUP(2,1/(('0919 4度C'!$A:$A="新豐2線")*('0919 4度C'!$T:$T&lt;&gt;"")),'0919 4度C'!$T:$T)</f>
        <v>0.4513888888888889</v>
      </c>
      <c r="F17" s="74">
        <f>LOOKUP(2,1/(('0919 4度C'!$A:$A="新豐5線")*('0919 4度C'!$T:$T&lt;&gt;"")),'0919 4度C'!$T:$T)</f>
        <v>0.79861111111111116</v>
      </c>
      <c r="G17" s="74">
        <f>LOOKUP(2,1/(('0919 4度C'!$A:$A="新豐7線")*('0919 4度C'!$T:$T&lt;&gt;"")),'0919 4度C'!$T:$T)</f>
        <v>0.83611111111111103</v>
      </c>
      <c r="H17" s="74">
        <f>LOOKUP(2,1/(('0919 4度C'!$A:$A="新豐3線")*('0919 4度C'!$T:$T&lt;&gt;"")),'0919 4度C'!$T:$T)</f>
        <v>0.43888888888888883</v>
      </c>
      <c r="I17" s="74">
        <f>LOOKUP(2,1/(('0919 4度C'!$A:$A="新豐1線")*('0919 4度C'!$T:$T&lt;&gt;"")),'0919 4度C'!$T:$T)</f>
        <v>0.84583333333333333</v>
      </c>
      <c r="J17" s="75">
        <f>LOOKUP(2,1/(('0919 4度C'!$A:$A="新豐10線")*('0919 4度C'!$T:$T&lt;&gt;"")),'0919 4度C'!$T:$T)</f>
        <v>0.42222222222222217</v>
      </c>
      <c r="K17" s="73">
        <f>LOOKUP(2,1/(('0919 4度C'!$A:$A="新豐8線")*('0919 4度C'!$T:$T&lt;&gt;"")),'0919 4度C'!$T:$T)</f>
        <v>0.6104166666666665</v>
      </c>
      <c r="L17" s="74">
        <f>LOOKUP(2,1/(('0919 4度C'!$A:$A="新豐9線")*('0919 4度C'!$T:$T&lt;&gt;"")),'0919 4度C'!$T:$T)</f>
        <v>0.60694444444444429</v>
      </c>
      <c r="M17" s="75">
        <f>LOOKUP(2,1/(('0919 4度C'!$A:$A="新豐4線")*('0919 4度C'!$T:$T&lt;&gt;"")),'0919 4度C'!$T:$T)</f>
        <v>0.60277777777777763</v>
      </c>
    </row>
    <row r="18" spans="2:13" ht="17.25" customHeight="1">
      <c r="B18" s="546" t="s">
        <v>1806</v>
      </c>
      <c r="C18" s="79" t="s">
        <v>1807</v>
      </c>
      <c r="D18" s="80">
        <f>SUMIFS('0919 4度C'!$Y:$Y,'0919 4度C'!$A:$A,"新豐6線",'0919 4度C'!$B:$B,"平均")</f>
        <v>0</v>
      </c>
      <c r="E18" s="81">
        <f>SUMIFS('0919 4度C'!$Y:$Y,'0919 4度C'!$A:$A,"新豐2線",'0919 4度C'!$B:$B,"平均")</f>
        <v>0</v>
      </c>
      <c r="F18" s="81">
        <f>SUMIFS('0919 4度C'!$Y:$Y,'0919 4度C'!$A:$A,"新豐5線",'0919 4度C'!$B:$B,"平均")</f>
        <v>0</v>
      </c>
      <c r="G18" s="81">
        <f>SUMIFS('0919 4度C'!$Y:$Y,'0919 4度C'!$A:$A,"新豐7線",'0919 4度C'!$B:$B,"平均")</f>
        <v>0</v>
      </c>
      <c r="H18" s="81">
        <f>SUMIFS('0919 4度C'!$Y:$Y,'0919 4度C'!$A:$A,"新豐3線",'0919 4度C'!$B:$B,"平均")</f>
        <v>0</v>
      </c>
      <c r="I18" s="81">
        <f>SUMIFS('0919 4度C'!$Y:$Y,'0919 4度C'!$A:$A,"新豐1線",'0919 4度C'!$B:$B,"平均")</f>
        <v>0</v>
      </c>
      <c r="J18" s="82">
        <f>SUMIFS('0919 4度C'!$Y:$Y,'0919 4度C'!$A:$A,"新豐10線",'0919 4度C'!$B:$B,"平均")</f>
        <v>0</v>
      </c>
      <c r="K18" s="83">
        <f>SUMIFS('0919 4度C'!$Y:$Y,'0919 4度C'!$A:$A,"新豐8線",'0919 4度C'!$B:$B,"平均")</f>
        <v>0</v>
      </c>
      <c r="L18" s="81">
        <f>SUMIFS('0919 4度C'!$Y:$Y,'0919 4度C'!$A:$A,"新豐9線",'0919 4度C'!$B:$B,"平均")</f>
        <v>0</v>
      </c>
      <c r="M18" s="82">
        <f>SUMIFS('0919 4度C'!$Y:$Y,'0919 4度C'!$A:$A,"新豐4線",'0919 4度C'!$B:$B,"平均")</f>
        <v>0</v>
      </c>
    </row>
    <row r="19" spans="2:13" ht="17.25" customHeight="1">
      <c r="B19" s="547"/>
      <c r="C19" s="79" t="s">
        <v>78</v>
      </c>
      <c r="D19" s="80">
        <f>SUMIFS('0919 4度C'!$Z:$Z,'0919 4度C'!$A:$A,"新豐6線",'0919 4度C'!$B:$B,"平均")</f>
        <v>0</v>
      </c>
      <c r="E19" s="81">
        <f>SUMIFS('0919 4度C'!$Z:$Z,'0919 4度C'!$A:$A,"新豐2線",'0919 4度C'!$B:$B,"平均")</f>
        <v>0</v>
      </c>
      <c r="F19" s="81">
        <f>SUMIFS('0919 4度C'!$Z:$Z,'0919 4度C'!$A:$A,"新豐5線",'0919 4度C'!$B:$B,"平均")</f>
        <v>0</v>
      </c>
      <c r="G19" s="81">
        <f>SUMIFS('0919 4度C'!$Z:$Z,'0919 4度C'!$A:$A,"新豐7線",'0919 4度C'!$B:$B,"平均")</f>
        <v>0</v>
      </c>
      <c r="H19" s="81">
        <f>SUMIFS('0919 4度C'!$Z:$Z,'0919 4度C'!$A:$A,"新豐3線",'0919 4度C'!$B:$B,"平均")</f>
        <v>0</v>
      </c>
      <c r="I19" s="81">
        <f>SUMIFS('0919 4度C'!$Z:$Z,'0919 4度C'!$A:$A,"新豐1線",'0919 4度C'!$B:$B,"平均")</f>
        <v>0</v>
      </c>
      <c r="J19" s="82">
        <f>SUMIFS('0919 4度C'!$Z:$Z,'0919 4度C'!$A:$A,"新豐10線",'0919 4度C'!$B:$B,"平均")</f>
        <v>0</v>
      </c>
      <c r="K19" s="83">
        <f>SUMIFS('0919 4度C'!$Z:$Z,'0919 4度C'!$A:$A,"新豐8線",'0919 4度C'!$B:$B,"平均")</f>
        <v>0</v>
      </c>
      <c r="L19" s="81">
        <f>SUMIFS('0919 4度C'!$Z:$Z,'0919 4度C'!$A:$A,"新豐9線",'0919 4度C'!$B:$B,"平均")</f>
        <v>0</v>
      </c>
      <c r="M19" s="82">
        <f>SUMIFS('0919 4度C'!$Z:$Z,'0919 4度C'!$A:$A,"新豐4線",'0919 4度C'!$B:$B,"平均")</f>
        <v>0</v>
      </c>
    </row>
    <row r="20" spans="2:13" ht="17.25" customHeight="1">
      <c r="B20" s="546" t="s">
        <v>119</v>
      </c>
      <c r="C20" s="79" t="s">
        <v>1807</v>
      </c>
      <c r="D20" s="80">
        <f>SUMIFS('0919 4度C'!$AC:$AC,'0919 4度C'!$A:$A,"新豐6線",'0919 4度C'!$B:$B,"平均")</f>
        <v>3</v>
      </c>
      <c r="E20" s="81">
        <f>SUMIFS('0919 4度C'!$AC:$AC,'0919 4度C'!$A:$A,"新豐2線",'0919 4度C'!$B:$B,"平均")</f>
        <v>3</v>
      </c>
      <c r="F20" s="81">
        <f>SUMIFS('0919 4度C'!$AC:$AC,'0919 4度C'!$A:$A,"新豐5線",'0919 4度C'!$B:$B,"平均")</f>
        <v>6</v>
      </c>
      <c r="G20" s="81">
        <f>SUMIFS('0919 4度C'!$AC:$AC,'0919 4度C'!$A:$A,"新豐7線",'0919 4度C'!$B:$B,"平均")</f>
        <v>6</v>
      </c>
      <c r="H20" s="81">
        <f>SUMIFS('0919 4度C'!$AC:$AC,'0919 4度C'!$A:$A,"新豐3線",'0919 4度C'!$B:$B,"平均")</f>
        <v>3</v>
      </c>
      <c r="I20" s="81">
        <f>SUMIFS('0919 4度C'!$AC:$AC,'0919 4度C'!$A:$A,"新豐1線",'0919 4度C'!$B:$B,"平均")</f>
        <v>8</v>
      </c>
      <c r="J20" s="82">
        <f>SUMIFS('0919 4度C'!$AC:$AC,'0919 4度C'!$A:$A,"新豐10線",'0919 4度C'!$B:$B,"平均")</f>
        <v>5</v>
      </c>
      <c r="K20" s="83">
        <f>SUMIFS('0919 4度C'!$AC:$AC,'0919 4度C'!$A:$A,"新豐8線",'0919 4度C'!$B:$B,"平均")</f>
        <v>6</v>
      </c>
      <c r="L20" s="81">
        <f>SUMIFS('0919 4度C'!$AC:$AC,'0919 4度C'!$A:$A,"新豐9線",'0919 4度C'!$B:$B,"平均")</f>
        <v>6</v>
      </c>
      <c r="M20" s="82">
        <f>SUMIFS('0919 4度C'!$AC:$AC,'0919 4度C'!$A:$A,"新豐4線",'0919 4度C'!$B:$B,"平均")</f>
        <v>8</v>
      </c>
    </row>
    <row r="21" spans="2:13" ht="17.25" customHeight="1">
      <c r="B21" s="547"/>
      <c r="C21" s="79" t="s">
        <v>1808</v>
      </c>
      <c r="D21" s="80">
        <f>SUMIFS('0919 4度C'!$AD:$AD,'0919 4度C'!$A:$A,"新豐6線",'0919 4度C'!$B:$B,"平均")</f>
        <v>0</v>
      </c>
      <c r="E21" s="81">
        <f>SUMIFS('0919 4度C'!$AD:$AD,'0919 4度C'!$A:$A,"新豐2線",'0919 4度C'!$B:$B,"平均")</f>
        <v>0</v>
      </c>
      <c r="F21" s="81">
        <f>SUMIFS('0919 4度C'!$AD:$AD,'0919 4度C'!$A:$A,"新豐5線",'0919 4度C'!$B:$B,"平均")</f>
        <v>0</v>
      </c>
      <c r="G21" s="81">
        <f>SUMIFS('0919 4度C'!$AD:$AD,'0919 4度C'!$A:$A,"新豐7線",'0919 4度C'!$B:$B,"平均")</f>
        <v>0</v>
      </c>
      <c r="H21" s="81">
        <f>SUMIFS('0919 4度C'!$AD:$AD,'0919 4度C'!$A:$A,"新豐3線",'0919 4度C'!$B:$B,"平均")</f>
        <v>0</v>
      </c>
      <c r="I21" s="81">
        <f>SUMIFS('0919 4度C'!$AD:$AD,'0919 4度C'!$A:$A,"新豐1線",'0919 4度C'!$B:$B,"平均")</f>
        <v>0</v>
      </c>
      <c r="J21" s="82">
        <f>SUMIFS('0919 4度C'!$AD:$AD,'0919 4度C'!$A:$A,"新豐10線",'0919 4度C'!$B:$B,"平均")</f>
        <v>0</v>
      </c>
      <c r="K21" s="83">
        <f>SUMIFS('0919 4度C'!$AD:$AD,'0919 4度C'!$A:$A,"新豐8線",'0919 4度C'!$B:$B,"平均")</f>
        <v>0</v>
      </c>
      <c r="L21" s="81">
        <f>SUMIFS('0919 4度C'!$AD:$AD,'0919 4度C'!$A:$A,"新豐9線",'0919 4度C'!$B:$B,"平均")</f>
        <v>0</v>
      </c>
      <c r="M21" s="82">
        <f>SUMIFS('0919 4度C'!$AD:$AD,'0919 4度C'!$A:$A,"新豐4線",'0919 4度C'!$B:$B,"平均")</f>
        <v>0</v>
      </c>
    </row>
    <row r="22" spans="2:13" ht="17.25" customHeight="1">
      <c r="B22" s="548" t="s">
        <v>1809</v>
      </c>
      <c r="C22" s="549"/>
      <c r="D22" s="84">
        <f>SUMIFS('0919 4度C'!$I:$I,'0919 4度C'!$A:$A,"新豐6線",'0919 4度C'!$B:$B,"平均")</f>
        <v>14.666666666666666</v>
      </c>
      <c r="E22" s="85">
        <f>SUMIFS('0919 4度C'!$I:$I,'0919 4度C'!$A:$A,"新豐2線",'0919 4度C'!$B:$B,"平均")</f>
        <v>18.333333333333332</v>
      </c>
      <c r="F22" s="85">
        <f>SUMIFS('0919 4度C'!$I:$I,'0919 4度C'!$A:$A,"新豐5線",'0919 4度C'!$B:$B,"平均")</f>
        <v>17.166666666666668</v>
      </c>
      <c r="G22" s="85">
        <f>SUMIFS('0919 4度C'!$I:$I,'0919 4度C'!$A:$A,"新豐7線",'0919 4度C'!$B:$B,"平均")</f>
        <v>15.833333333333334</v>
      </c>
      <c r="H22" s="85">
        <f>SUMIFS('0919 4度C'!$I:$I,'0919 4度C'!$A:$A,"新豐3線",'0919 4度C'!$B:$B,"平均")</f>
        <v>11</v>
      </c>
      <c r="I22" s="85">
        <f>SUMIFS('0919 4度C'!$I:$I,'0919 4度C'!$A:$A,"新豐1線",'0919 4度C'!$B:$B,"平均")</f>
        <v>18.25</v>
      </c>
      <c r="J22" s="86">
        <f>SUMIFS('0919 4度C'!$I:$I,'0919 4度C'!$A:$A,"新豐10線",'0919 4度C'!$B:$B,"平均")</f>
        <v>10.199999999999999</v>
      </c>
      <c r="K22" s="84">
        <f>SUMIFS('0919 4度C'!$I:$I,'0919 4度C'!$A:$A,"新豐8線",'0919 4度C'!$B:$B,"平均")</f>
        <v>16.666666666666668</v>
      </c>
      <c r="L22" s="85">
        <f>SUMIFS('0919 4度C'!$I:$I,'0919 4度C'!$A:$A,"新豐9線",'0919 4度C'!$B:$B,"平均")</f>
        <v>17</v>
      </c>
      <c r="M22" s="86">
        <f>SUMIFS('0919 4度C'!$I:$I,'0919 4度C'!$A:$A,"新豐4線",'0919 4度C'!$B:$B,"平均")</f>
        <v>16.5</v>
      </c>
    </row>
    <row r="23" spans="2:13" ht="17.25" customHeight="1">
      <c r="B23" s="548" t="s">
        <v>1810</v>
      </c>
      <c r="C23" s="549"/>
      <c r="D23" s="87" t="s">
        <v>69</v>
      </c>
      <c r="E23" s="88" t="s">
        <v>70</v>
      </c>
      <c r="F23" s="88" t="s">
        <v>1811</v>
      </c>
      <c r="G23" s="88" t="s">
        <v>1811</v>
      </c>
      <c r="H23" s="88" t="s">
        <v>71</v>
      </c>
      <c r="I23" s="88" t="s">
        <v>69</v>
      </c>
      <c r="J23" s="89" t="s">
        <v>71</v>
      </c>
      <c r="K23" s="87" t="s">
        <v>1812</v>
      </c>
      <c r="L23" s="88" t="s">
        <v>124</v>
      </c>
      <c r="M23" s="89" t="s">
        <v>1812</v>
      </c>
    </row>
    <row r="24" spans="2:13" ht="17.25" customHeight="1">
      <c r="B24" s="548" t="s">
        <v>1813</v>
      </c>
      <c r="C24" s="549"/>
      <c r="D24" s="87"/>
      <c r="E24" s="88"/>
      <c r="F24" s="88" t="s">
        <v>1814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1815</v>
      </c>
      <c r="C25" s="551"/>
      <c r="D25" s="90"/>
      <c r="E25" s="91" t="s">
        <v>1816</v>
      </c>
      <c r="F25" s="544" t="s">
        <v>1817</v>
      </c>
      <c r="G25" s="545"/>
      <c r="H25" s="91" t="s">
        <v>131</v>
      </c>
      <c r="I25" s="91" t="s">
        <v>1818</v>
      </c>
      <c r="J25" s="92" t="s">
        <v>1819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54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9"/>
  <sheetViews>
    <sheetView zoomScale="80" zoomScaleNormal="80" workbookViewId="0">
      <pane ySplit="4" topLeftCell="A5" activePane="bottomLeft" state="frozen"/>
      <selection activeCell="A10" sqref="A10"/>
      <selection pane="bottomLeft" activeCell="L5" sqref="L5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1820</v>
      </c>
      <c r="B1" s="1"/>
      <c r="C1" s="2" t="s">
        <v>1821</v>
      </c>
      <c r="D1" s="3">
        <f>SUM(F5:F68)</f>
        <v>147004</v>
      </c>
      <c r="E1" s="382" t="s">
        <v>1822</v>
      </c>
      <c r="F1" s="1">
        <f>SUM(G5:G68)</f>
        <v>5030635.01</v>
      </c>
      <c r="G1" s="1" t="s">
        <v>1823</v>
      </c>
      <c r="H1" s="4">
        <f>L8+L12+L44+L53+L19+L59+L33+L40+L26+L68</f>
        <v>155.61666666666667</v>
      </c>
      <c r="I1" s="660" t="s">
        <v>1824</v>
      </c>
      <c r="J1" s="660"/>
      <c r="K1" s="660"/>
      <c r="L1" s="660" t="s">
        <v>1825</v>
      </c>
      <c r="M1" s="660"/>
      <c r="N1" s="660"/>
      <c r="O1" s="660" t="s">
        <v>1826</v>
      </c>
      <c r="P1" s="660"/>
      <c r="Q1" s="660"/>
      <c r="R1" s="660"/>
      <c r="S1" s="660" t="s">
        <v>1827</v>
      </c>
      <c r="T1" s="660"/>
      <c r="U1" s="660"/>
      <c r="V1" s="660"/>
      <c r="W1" s="660"/>
      <c r="X1" s="660"/>
      <c r="Y1" s="5" t="s">
        <v>1828</v>
      </c>
      <c r="Z1" s="6" t="s">
        <v>1829</v>
      </c>
      <c r="AA1" s="661" t="s">
        <v>1830</v>
      </c>
      <c r="AB1" s="661"/>
      <c r="AC1" s="7" t="s">
        <v>1828</v>
      </c>
      <c r="AD1" s="6" t="s">
        <v>1831</v>
      </c>
      <c r="AE1" s="660" t="s">
        <v>1832</v>
      </c>
      <c r="AF1" s="662"/>
      <c r="AG1" s="662"/>
    </row>
    <row r="2" spans="1:33" ht="26.25" customHeight="1">
      <c r="A2" s="27">
        <v>46284</v>
      </c>
      <c r="B2" s="28" t="s">
        <v>548</v>
      </c>
      <c r="C2" s="2" t="s">
        <v>1833</v>
      </c>
      <c r="D2" s="9">
        <f>AVERAGE(N8,N12,N44,N53,N19,N59,N26,N33,N40,N68)</f>
        <v>144.33533338113534</v>
      </c>
      <c r="E2" s="10" t="s">
        <v>0</v>
      </c>
      <c r="F2" s="11">
        <f>F1/D1</f>
        <v>34.221075685015371</v>
      </c>
      <c r="G2" s="1" t="s">
        <v>1834</v>
      </c>
      <c r="H2" s="387">
        <f>COUNT(H5:H68)</f>
        <v>3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SUM(Y8+Y12+Y19+Y26+Y33+Y40+Y44+Y53+Y59+Y68)</f>
        <v>0</v>
      </c>
      <c r="Z2" s="12">
        <f>SUM(Z8+Z12+Z19+Z26+Z33+Z40+Z44+Z53+Z59+Z68)</f>
        <v>0</v>
      </c>
      <c r="AA2" s="661"/>
      <c r="AB2" s="661"/>
      <c r="AC2" s="12">
        <v>54</v>
      </c>
      <c r="AD2" s="12">
        <f>SUM(AD8+AD12+AD19+AD26+AD33+AD40+AD44+AD53+AD59+AD68)</f>
        <v>0</v>
      </c>
      <c r="AE2" s="662"/>
      <c r="AF2" s="662"/>
      <c r="AG2" s="662"/>
    </row>
    <row r="3" spans="1:33" ht="40.5" customHeight="1">
      <c r="A3" s="610" t="s">
        <v>1835</v>
      </c>
      <c r="B3" s="610" t="s">
        <v>1836</v>
      </c>
      <c r="C3" s="610" t="s">
        <v>1837</v>
      </c>
      <c r="D3" s="610"/>
      <c r="E3" s="658" t="s">
        <v>1838</v>
      </c>
      <c r="F3" s="610" t="s">
        <v>1839</v>
      </c>
      <c r="G3" s="658" t="s">
        <v>1840</v>
      </c>
      <c r="H3" s="651" t="s">
        <v>1841</v>
      </c>
      <c r="I3" s="649" t="s">
        <v>1842</v>
      </c>
      <c r="J3" s="646" t="s">
        <v>1843</v>
      </c>
      <c r="K3" s="656" t="s">
        <v>1833</v>
      </c>
      <c r="L3" s="649" t="s">
        <v>1842</v>
      </c>
      <c r="M3" s="646" t="s">
        <v>1843</v>
      </c>
      <c r="N3" s="656" t="s">
        <v>1833</v>
      </c>
      <c r="O3" s="649" t="s">
        <v>1842</v>
      </c>
      <c r="P3" s="656" t="s">
        <v>1833</v>
      </c>
      <c r="Q3" s="647" t="s">
        <v>1844</v>
      </c>
      <c r="R3" s="623" t="s">
        <v>1845</v>
      </c>
      <c r="S3" s="657" t="s">
        <v>1</v>
      </c>
      <c r="T3" s="657"/>
      <c r="U3" s="651" t="s">
        <v>2</v>
      </c>
      <c r="V3" s="651" t="s">
        <v>1846</v>
      </c>
      <c r="W3" s="610" t="s">
        <v>1847</v>
      </c>
      <c r="X3" s="610"/>
      <c r="Y3" s="652" t="s">
        <v>1848</v>
      </c>
      <c r="Z3" s="609"/>
      <c r="AA3" s="653" t="s">
        <v>1849</v>
      </c>
      <c r="AB3" s="654"/>
      <c r="AC3" s="652" t="s">
        <v>1850</v>
      </c>
      <c r="AD3" s="609"/>
      <c r="AE3" s="646" t="s">
        <v>1851</v>
      </c>
      <c r="AF3" s="647" t="s">
        <v>1844</v>
      </c>
      <c r="AG3" s="623" t="s">
        <v>1845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388" t="s">
        <v>3</v>
      </c>
      <c r="T4" s="388" t="s">
        <v>4</v>
      </c>
      <c r="U4" s="651"/>
      <c r="V4" s="651"/>
      <c r="W4" s="382" t="s">
        <v>1852</v>
      </c>
      <c r="X4" s="382" t="s">
        <v>1853</v>
      </c>
      <c r="Y4" s="381" t="s">
        <v>1854</v>
      </c>
      <c r="Z4" s="381" t="s">
        <v>1855</v>
      </c>
      <c r="AA4" s="655"/>
      <c r="AB4" s="654"/>
      <c r="AC4" s="381" t="s">
        <v>1856</v>
      </c>
      <c r="AD4" s="381" t="s">
        <v>1857</v>
      </c>
      <c r="AE4" s="646"/>
      <c r="AF4" s="647"/>
      <c r="AG4" s="623"/>
    </row>
    <row r="5" spans="1:33">
      <c r="A5" s="648" t="s">
        <v>1858</v>
      </c>
      <c r="B5" s="33" t="s">
        <v>6</v>
      </c>
      <c r="C5" s="650" t="s">
        <v>7</v>
      </c>
      <c r="D5" s="650"/>
      <c r="E5" s="33">
        <v>50.92</v>
      </c>
      <c r="F5" s="388">
        <v>2151</v>
      </c>
      <c r="G5" s="382">
        <f t="shared" ref="G5:G7" si="0">E5*F5</f>
        <v>109528.92</v>
      </c>
      <c r="H5" s="389" t="s">
        <v>5</v>
      </c>
      <c r="I5" s="385">
        <v>15</v>
      </c>
      <c r="J5" s="30">
        <v>2000</v>
      </c>
      <c r="K5" s="13">
        <f t="shared" ref="K5:K68" si="1">J5/I5</f>
        <v>133.33333333333334</v>
      </c>
      <c r="L5" s="385">
        <v>15</v>
      </c>
      <c r="M5" s="14">
        <f t="shared" ref="M5:M7" si="2">F5/V5*60</f>
        <v>1926.2686567164153</v>
      </c>
      <c r="N5" s="13">
        <f t="shared" ref="N5:N68" si="3">M5/L5</f>
        <v>128.41791044776102</v>
      </c>
      <c r="O5" s="15">
        <f t="shared" ref="O5:O68" si="4">L5-I5</f>
        <v>0</v>
      </c>
      <c r="P5" s="16">
        <f t="shared" ref="P5:P68" si="5">N5-K5</f>
        <v>-4.9154228855723261</v>
      </c>
      <c r="Q5" s="383">
        <f t="shared" ref="Q5:Q68" si="6">N5/K5</f>
        <v>0.96313432835820756</v>
      </c>
      <c r="R5" s="619">
        <f>Q8</f>
        <v>0.96295772803235402</v>
      </c>
      <c r="S5" s="31">
        <v>0.70833333333333337</v>
      </c>
      <c r="T5" s="31">
        <v>0.7548611111111112</v>
      </c>
      <c r="U5" s="382"/>
      <c r="V5" s="386">
        <f t="shared" ref="V5:V7" si="7">(T5-S5)*24*60</f>
        <v>67.000000000000085</v>
      </c>
      <c r="W5" s="17"/>
      <c r="X5" s="17"/>
      <c r="Y5" s="18"/>
      <c r="Z5" s="18"/>
      <c r="AA5" s="610"/>
      <c r="AB5" s="610"/>
      <c r="AC5" s="19">
        <v>3</v>
      </c>
      <c r="AD5" s="19"/>
      <c r="AE5" s="15">
        <f t="shared" ref="AE5:AE52" si="8">M5-J5</f>
        <v>-73.731343283584692</v>
      </c>
      <c r="AF5" s="383">
        <f t="shared" ref="AF5:AF68" si="9">M5/J5</f>
        <v>0.96313432835820767</v>
      </c>
      <c r="AG5" s="619">
        <f>AF8</f>
        <v>0.96295772803235413</v>
      </c>
    </row>
    <row r="6" spans="1:33">
      <c r="A6" s="649" t="s">
        <v>1859</v>
      </c>
      <c r="B6" s="33" t="s">
        <v>6</v>
      </c>
      <c r="C6" s="650" t="s">
        <v>8</v>
      </c>
      <c r="D6" s="650"/>
      <c r="E6" s="33">
        <v>50.98</v>
      </c>
      <c r="F6" s="388">
        <v>2460</v>
      </c>
      <c r="G6" s="382">
        <f t="shared" si="0"/>
        <v>125410.79999999999</v>
      </c>
      <c r="H6" s="389" t="s">
        <v>5</v>
      </c>
      <c r="I6" s="385">
        <v>16</v>
      </c>
      <c r="J6" s="30">
        <v>2000</v>
      </c>
      <c r="K6" s="13">
        <f t="shared" si="1"/>
        <v>125</v>
      </c>
      <c r="L6" s="385">
        <v>16</v>
      </c>
      <c r="M6" s="14">
        <f t="shared" si="2"/>
        <v>1916.8831168831157</v>
      </c>
      <c r="N6" s="13">
        <f t="shared" si="3"/>
        <v>119.80519480519473</v>
      </c>
      <c r="O6" s="15">
        <f t="shared" si="4"/>
        <v>0</v>
      </c>
      <c r="P6" s="16">
        <f t="shared" si="5"/>
        <v>-5.1948051948052694</v>
      </c>
      <c r="Q6" s="383">
        <f t="shared" si="6"/>
        <v>0.95844155844155787</v>
      </c>
      <c r="R6" s="619"/>
      <c r="S6" s="31">
        <v>0.75833333333333341</v>
      </c>
      <c r="T6" s="31">
        <v>0.81180555555555567</v>
      </c>
      <c r="U6" s="382">
        <f t="shared" ref="U6:U7" si="10">IF(S6=TIME(17,0,0),"",(S6-T5)*24*60)</f>
        <v>4.9999999999999822</v>
      </c>
      <c r="V6" s="386">
        <f t="shared" si="7"/>
        <v>77.000000000000043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-83.11688311688431</v>
      </c>
      <c r="AF6" s="383">
        <f t="shared" si="9"/>
        <v>0.95844155844155787</v>
      </c>
      <c r="AG6" s="619"/>
    </row>
    <row r="7" spans="1:33">
      <c r="A7" s="649" t="s">
        <v>1858</v>
      </c>
      <c r="B7" s="33" t="s">
        <v>6</v>
      </c>
      <c r="C7" s="641" t="s">
        <v>25</v>
      </c>
      <c r="D7" s="642"/>
      <c r="E7" s="33">
        <v>56.43</v>
      </c>
      <c r="F7" s="388">
        <v>1193</v>
      </c>
      <c r="G7" s="382">
        <f t="shared" si="0"/>
        <v>67320.990000000005</v>
      </c>
      <c r="H7" s="389" t="s">
        <v>5</v>
      </c>
      <c r="I7" s="385">
        <v>13</v>
      </c>
      <c r="J7" s="30">
        <v>2000</v>
      </c>
      <c r="K7" s="13">
        <f t="shared" si="1"/>
        <v>153.84615384615384</v>
      </c>
      <c r="L7" s="385">
        <v>13</v>
      </c>
      <c r="M7" s="14">
        <f t="shared" si="2"/>
        <v>1934.5945945945932</v>
      </c>
      <c r="N7" s="13">
        <f t="shared" si="3"/>
        <v>148.81496881496872</v>
      </c>
      <c r="O7" s="15">
        <f t="shared" si="4"/>
        <v>0</v>
      </c>
      <c r="P7" s="16">
        <f t="shared" si="5"/>
        <v>-5.0311850311851174</v>
      </c>
      <c r="Q7" s="383">
        <f t="shared" si="6"/>
        <v>0.96729729729729674</v>
      </c>
      <c r="R7" s="619"/>
      <c r="S7" s="31">
        <v>0.8173611111111112</v>
      </c>
      <c r="T7" s="31">
        <v>0.84305555555555567</v>
      </c>
      <c r="U7" s="382">
        <f t="shared" si="10"/>
        <v>7.9999999999999716</v>
      </c>
      <c r="V7" s="386">
        <f t="shared" si="7"/>
        <v>37.000000000000028</v>
      </c>
      <c r="W7" s="17"/>
      <c r="X7" s="17"/>
      <c r="Y7" s="20"/>
      <c r="Z7" s="20"/>
      <c r="AA7" s="614"/>
      <c r="AB7" s="615"/>
      <c r="AC7" s="21"/>
      <c r="AD7" s="21"/>
      <c r="AE7" s="15">
        <f t="shared" si="8"/>
        <v>-65.405405405406782</v>
      </c>
      <c r="AF7" s="383">
        <f t="shared" si="9"/>
        <v>0.96729729729729663</v>
      </c>
      <c r="AG7" s="619"/>
    </row>
    <row r="8" spans="1:33">
      <c r="A8" s="649" t="s">
        <v>1859</v>
      </c>
      <c r="B8" s="33" t="s">
        <v>1860</v>
      </c>
      <c r="C8" s="620"/>
      <c r="D8" s="620"/>
      <c r="E8" s="384"/>
      <c r="F8" s="34"/>
      <c r="G8" s="13"/>
      <c r="H8" s="388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1925.9154560647082</v>
      </c>
      <c r="N8" s="13">
        <f t="shared" si="3"/>
        <v>131.31241745895738</v>
      </c>
      <c r="O8" s="15">
        <f t="shared" si="4"/>
        <v>0</v>
      </c>
      <c r="P8" s="16">
        <f t="shared" si="5"/>
        <v>-5.0512189046789899</v>
      </c>
      <c r="Q8" s="383">
        <f t="shared" si="6"/>
        <v>0.96295772803235402</v>
      </c>
      <c r="R8" s="619"/>
      <c r="S8" s="31"/>
      <c r="T8" s="31"/>
      <c r="U8" s="382"/>
      <c r="V8" s="386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-74.084543935291777</v>
      </c>
      <c r="AF8" s="383">
        <f t="shared" si="9"/>
        <v>0.96295772803235413</v>
      </c>
      <c r="AG8" s="619"/>
    </row>
    <row r="9" spans="1:33" ht="15.75" customHeight="1">
      <c r="A9" s="645" t="s">
        <v>1861</v>
      </c>
      <c r="B9" s="33" t="s">
        <v>10</v>
      </c>
      <c r="C9" s="641" t="s">
        <v>14</v>
      </c>
      <c r="D9" s="642"/>
      <c r="E9" s="33">
        <v>39.619999999999997</v>
      </c>
      <c r="F9" s="388">
        <v>3945</v>
      </c>
      <c r="G9" s="382">
        <f t="shared" ref="G9:G11" si="11">E9*F9</f>
        <v>156300.9</v>
      </c>
      <c r="H9" s="389" t="s">
        <v>5</v>
      </c>
      <c r="I9" s="385">
        <v>19</v>
      </c>
      <c r="J9" s="30">
        <v>1500</v>
      </c>
      <c r="K9" s="13">
        <f t="shared" si="1"/>
        <v>78.94736842105263</v>
      </c>
      <c r="L9" s="385">
        <v>19</v>
      </c>
      <c r="M9" s="14">
        <f t="shared" ref="M9:M11" si="12">F9/V9*60</f>
        <v>1425.9036144578313</v>
      </c>
      <c r="N9" s="13">
        <f t="shared" si="3"/>
        <v>75.047558655675331</v>
      </c>
      <c r="O9" s="15">
        <f t="shared" si="4"/>
        <v>0</v>
      </c>
      <c r="P9" s="16">
        <f t="shared" si="5"/>
        <v>-3.8998097653772987</v>
      </c>
      <c r="Q9" s="383">
        <f t="shared" si="6"/>
        <v>0.95060240963855425</v>
      </c>
      <c r="R9" s="619">
        <f>Q12</f>
        <v>0.95296125815598354</v>
      </c>
      <c r="S9" s="31">
        <v>8.3333333333333329E-2</v>
      </c>
      <c r="T9" s="31">
        <v>0.1986111111111111</v>
      </c>
      <c r="U9" s="382"/>
      <c r="V9" s="386">
        <f t="shared" ref="V9:V11" si="13">(T9-S9)*24*60</f>
        <v>166</v>
      </c>
      <c r="W9" s="17">
        <f>T9</f>
        <v>0.1986111111111111</v>
      </c>
      <c r="X9" s="17">
        <f>S10</f>
        <v>0.21805555555555556</v>
      </c>
      <c r="Y9" s="17"/>
      <c r="Z9" s="17"/>
      <c r="AA9" s="610"/>
      <c r="AB9" s="610"/>
      <c r="AC9" s="19">
        <v>3</v>
      </c>
      <c r="AD9" s="19"/>
      <c r="AE9" s="15">
        <f t="shared" si="8"/>
        <v>-74.096385542168719</v>
      </c>
      <c r="AF9" s="383">
        <f t="shared" si="9"/>
        <v>0.95060240963855414</v>
      </c>
      <c r="AG9" s="619">
        <f>AF12</f>
        <v>0.95296125815598365</v>
      </c>
    </row>
    <row r="10" spans="1:33" ht="15.75" customHeight="1">
      <c r="A10" s="645" t="s">
        <v>1861</v>
      </c>
      <c r="B10" s="33" t="s">
        <v>10</v>
      </c>
      <c r="C10" s="641" t="s">
        <v>11</v>
      </c>
      <c r="D10" s="642"/>
      <c r="E10" s="33">
        <v>39.799999999999997</v>
      </c>
      <c r="F10" s="388">
        <v>6069</v>
      </c>
      <c r="G10" s="382">
        <f t="shared" si="11"/>
        <v>241546.19999999998</v>
      </c>
      <c r="H10" s="389" t="s">
        <v>5</v>
      </c>
      <c r="I10" s="385">
        <v>17</v>
      </c>
      <c r="J10" s="30">
        <v>1500</v>
      </c>
      <c r="K10" s="13">
        <f t="shared" si="1"/>
        <v>88.235294117647058</v>
      </c>
      <c r="L10" s="385">
        <v>17</v>
      </c>
      <c r="M10" s="14">
        <f t="shared" si="12"/>
        <v>1433.6220472440941</v>
      </c>
      <c r="N10" s="13">
        <f t="shared" si="3"/>
        <v>84.330708661417304</v>
      </c>
      <c r="O10" s="15">
        <f t="shared" si="4"/>
        <v>0</v>
      </c>
      <c r="P10" s="16">
        <f t="shared" si="5"/>
        <v>-3.9045854562297535</v>
      </c>
      <c r="Q10" s="383">
        <f t="shared" si="6"/>
        <v>0.9557480314960628</v>
      </c>
      <c r="R10" s="619"/>
      <c r="S10" s="31">
        <v>0.21805555555555556</v>
      </c>
      <c r="T10" s="31">
        <v>0.39444444444444449</v>
      </c>
      <c r="U10" s="382">
        <f t="shared" ref="U10:U11" si="14">IF(S10=TIME(17,0,0),"",(S10-T9)*24*60)</f>
        <v>28.000000000000021</v>
      </c>
      <c r="V10" s="386">
        <f t="shared" si="13"/>
        <v>254.00000000000006</v>
      </c>
      <c r="W10" s="17"/>
      <c r="X10" s="17"/>
      <c r="Y10" s="17"/>
      <c r="Z10" s="17"/>
      <c r="AA10" s="610"/>
      <c r="AB10" s="610"/>
      <c r="AC10" s="19"/>
      <c r="AD10" s="19"/>
      <c r="AE10" s="15">
        <f t="shared" si="8"/>
        <v>-66.377952755905881</v>
      </c>
      <c r="AF10" s="383">
        <f t="shared" si="9"/>
        <v>0.9557480314960628</v>
      </c>
      <c r="AG10" s="619"/>
    </row>
    <row r="11" spans="1:33" ht="15.75" customHeight="1">
      <c r="A11" s="645" t="s">
        <v>1861</v>
      </c>
      <c r="B11" s="33" t="s">
        <v>10</v>
      </c>
      <c r="C11" s="641" t="s">
        <v>13</v>
      </c>
      <c r="D11" s="642"/>
      <c r="E11" s="33">
        <v>39.520000000000003</v>
      </c>
      <c r="F11" s="388">
        <v>1786</v>
      </c>
      <c r="G11" s="382">
        <f t="shared" si="11"/>
        <v>70582.720000000001</v>
      </c>
      <c r="H11" s="389" t="s">
        <v>5</v>
      </c>
      <c r="I11" s="385">
        <v>19</v>
      </c>
      <c r="J11" s="30">
        <v>1500</v>
      </c>
      <c r="K11" s="13">
        <f t="shared" si="1"/>
        <v>78.94736842105263</v>
      </c>
      <c r="L11" s="385">
        <v>19</v>
      </c>
      <c r="M11" s="14">
        <f t="shared" si="12"/>
        <v>1428.8000000000006</v>
      </c>
      <c r="N11" s="13">
        <f t="shared" si="3"/>
        <v>75.200000000000031</v>
      </c>
      <c r="O11" s="15">
        <f t="shared" si="4"/>
        <v>0</v>
      </c>
      <c r="P11" s="16">
        <f t="shared" si="5"/>
        <v>-3.7473684210525988</v>
      </c>
      <c r="Q11" s="383">
        <f t="shared" si="6"/>
        <v>0.95253333333333379</v>
      </c>
      <c r="R11" s="619"/>
      <c r="S11" s="31">
        <v>0.39930555555555558</v>
      </c>
      <c r="T11" s="31">
        <v>0.4513888888888889</v>
      </c>
      <c r="U11" s="382">
        <f t="shared" si="14"/>
        <v>6.9999999999999751</v>
      </c>
      <c r="V11" s="386">
        <f t="shared" si="13"/>
        <v>74.999999999999972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-71.199999999999363</v>
      </c>
      <c r="AF11" s="383">
        <f t="shared" si="9"/>
        <v>0.95253333333333379</v>
      </c>
      <c r="AG11" s="619"/>
    </row>
    <row r="12" spans="1:33" ht="16.5" customHeight="1">
      <c r="A12" s="645" t="s">
        <v>1861</v>
      </c>
      <c r="B12" s="33" t="s">
        <v>1860</v>
      </c>
      <c r="C12" s="620"/>
      <c r="D12" s="620"/>
      <c r="E12" s="384"/>
      <c r="F12" s="30"/>
      <c r="G12" s="14"/>
      <c r="H12" s="388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1429.4418872339754</v>
      </c>
      <c r="N12" s="13">
        <f t="shared" si="3"/>
        <v>77.969557485489574</v>
      </c>
      <c r="O12" s="15">
        <f t="shared" si="4"/>
        <v>0</v>
      </c>
      <c r="P12" s="16">
        <f t="shared" si="5"/>
        <v>-3.8486243326922533</v>
      </c>
      <c r="Q12" s="383">
        <f t="shared" si="6"/>
        <v>0.95296125815598354</v>
      </c>
      <c r="R12" s="619"/>
      <c r="S12" s="31"/>
      <c r="T12" s="31"/>
      <c r="U12" s="13"/>
      <c r="V12" s="386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-70.558112766024578</v>
      </c>
      <c r="AF12" s="383">
        <f t="shared" si="9"/>
        <v>0.95296125815598365</v>
      </c>
      <c r="AG12" s="619"/>
    </row>
    <row r="13" spans="1:33" ht="16.5" customHeight="1">
      <c r="A13" s="643" t="s">
        <v>1862</v>
      </c>
      <c r="B13" s="388" t="s">
        <v>15</v>
      </c>
      <c r="C13" s="635" t="s">
        <v>16</v>
      </c>
      <c r="D13" s="635"/>
      <c r="E13" s="33">
        <v>31.11</v>
      </c>
      <c r="F13" s="388">
        <v>1942</v>
      </c>
      <c r="G13" s="382">
        <f t="shared" ref="G13:G18" si="15">E13*F13</f>
        <v>60415.619999999995</v>
      </c>
      <c r="H13" s="389" t="s">
        <v>5</v>
      </c>
      <c r="I13" s="385">
        <v>14</v>
      </c>
      <c r="J13" s="30">
        <v>2000</v>
      </c>
      <c r="K13" s="13">
        <f t="shared" si="1"/>
        <v>142.85714285714286</v>
      </c>
      <c r="L13" s="385">
        <v>14</v>
      </c>
      <c r="M13" s="14">
        <f t="shared" ref="M13:M18" si="16">F13/V13*60</f>
        <v>1910.1639344262287</v>
      </c>
      <c r="N13" s="13">
        <f t="shared" si="3"/>
        <v>136.44028103044491</v>
      </c>
      <c r="O13" s="15">
        <f t="shared" si="4"/>
        <v>0</v>
      </c>
      <c r="P13" s="16">
        <f t="shared" si="5"/>
        <v>-6.4168618266979536</v>
      </c>
      <c r="Q13" s="383">
        <f t="shared" si="6"/>
        <v>0.95508196721311434</v>
      </c>
      <c r="R13" s="619">
        <f>Q19</f>
        <v>0.9585689533519246</v>
      </c>
      <c r="S13" s="31">
        <v>0.25</v>
      </c>
      <c r="T13" s="31">
        <v>0.29236111111111113</v>
      </c>
      <c r="U13" s="382"/>
      <c r="V13" s="386">
        <f t="shared" ref="V13:V18" si="17">(T13-S13)*24*60</f>
        <v>61.000000000000021</v>
      </c>
      <c r="W13" s="17"/>
      <c r="X13" s="17"/>
      <c r="Y13" s="22"/>
      <c r="Z13" s="22"/>
      <c r="AA13" s="610"/>
      <c r="AB13" s="610"/>
      <c r="AC13" s="19">
        <v>6</v>
      </c>
      <c r="AD13" s="19"/>
      <c r="AE13" s="15">
        <f t="shared" si="8"/>
        <v>-89.836065573771293</v>
      </c>
      <c r="AF13" s="383">
        <f t="shared" si="9"/>
        <v>0.95508196721311434</v>
      </c>
      <c r="AG13" s="619">
        <f>AF19</f>
        <v>0.9585689533519246</v>
      </c>
    </row>
    <row r="14" spans="1:33" ht="16.5" customHeight="1">
      <c r="A14" s="644" t="s">
        <v>1862</v>
      </c>
      <c r="B14" s="388" t="s">
        <v>17</v>
      </c>
      <c r="C14" s="635" t="s">
        <v>18</v>
      </c>
      <c r="D14" s="635"/>
      <c r="E14" s="33">
        <v>41</v>
      </c>
      <c r="F14" s="388">
        <v>1290</v>
      </c>
      <c r="G14" s="382">
        <f t="shared" si="15"/>
        <v>52890</v>
      </c>
      <c r="H14" s="389" t="s">
        <v>5</v>
      </c>
      <c r="I14" s="385">
        <v>26</v>
      </c>
      <c r="J14" s="30">
        <v>1500</v>
      </c>
      <c r="K14" s="13">
        <f t="shared" si="1"/>
        <v>57.692307692307693</v>
      </c>
      <c r="L14" s="385">
        <v>26</v>
      </c>
      <c r="M14" s="14">
        <f t="shared" si="16"/>
        <v>1433.3333333333339</v>
      </c>
      <c r="N14" s="13">
        <f t="shared" si="3"/>
        <v>55.128205128205153</v>
      </c>
      <c r="O14" s="15">
        <f t="shared" si="4"/>
        <v>0</v>
      </c>
      <c r="P14" s="16">
        <f t="shared" si="5"/>
        <v>-2.5641025641025408</v>
      </c>
      <c r="Q14" s="383">
        <f t="shared" si="6"/>
        <v>0.95555555555555594</v>
      </c>
      <c r="R14" s="619"/>
      <c r="S14" s="31">
        <v>0.29583333333333334</v>
      </c>
      <c r="T14" s="31">
        <v>0.33333333333333331</v>
      </c>
      <c r="U14" s="382">
        <f t="shared" ref="U14:U18" si="18">IF(S14=TIME(17,0,0),"",(S14-T13)*24*60)</f>
        <v>4.9999999999999822</v>
      </c>
      <c r="V14" s="386">
        <f t="shared" si="17"/>
        <v>53.999999999999972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-66.66666666666606</v>
      </c>
      <c r="AF14" s="383">
        <f t="shared" si="9"/>
        <v>0.95555555555555594</v>
      </c>
      <c r="AG14" s="619"/>
    </row>
    <row r="15" spans="1:33" ht="16.5" customHeight="1">
      <c r="A15" s="644" t="s">
        <v>1862</v>
      </c>
      <c r="B15" s="388" t="s">
        <v>15</v>
      </c>
      <c r="C15" s="635" t="s">
        <v>76</v>
      </c>
      <c r="D15" s="635"/>
      <c r="E15" s="33">
        <v>68.88</v>
      </c>
      <c r="F15" s="388">
        <v>837</v>
      </c>
      <c r="G15" s="382">
        <f t="shared" si="15"/>
        <v>57652.56</v>
      </c>
      <c r="H15" s="389" t="s">
        <v>5</v>
      </c>
      <c r="I15" s="385">
        <v>16</v>
      </c>
      <c r="J15" s="30">
        <v>2000</v>
      </c>
      <c r="K15" s="13">
        <f t="shared" si="1"/>
        <v>125</v>
      </c>
      <c r="L15" s="385">
        <v>16</v>
      </c>
      <c r="M15" s="14">
        <f t="shared" si="16"/>
        <v>1931.5384615384623</v>
      </c>
      <c r="N15" s="13">
        <f t="shared" si="3"/>
        <v>120.7211538461539</v>
      </c>
      <c r="O15" s="15">
        <f t="shared" si="4"/>
        <v>0</v>
      </c>
      <c r="P15" s="16">
        <f t="shared" si="5"/>
        <v>-4.2788461538461036</v>
      </c>
      <c r="Q15" s="383">
        <f t="shared" si="6"/>
        <v>0.96576923076923116</v>
      </c>
      <c r="R15" s="619"/>
      <c r="S15" s="31">
        <v>0.33819444444444441</v>
      </c>
      <c r="T15" s="31">
        <v>0.35624999999999996</v>
      </c>
      <c r="U15" s="382">
        <f t="shared" si="18"/>
        <v>6.9999999999999751</v>
      </c>
      <c r="V15" s="386">
        <f t="shared" si="17"/>
        <v>25.999999999999986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-68.461538461537657</v>
      </c>
      <c r="AF15" s="383">
        <f t="shared" si="9"/>
        <v>0.96576923076923116</v>
      </c>
      <c r="AG15" s="619"/>
    </row>
    <row r="16" spans="1:33" ht="16.5" customHeight="1">
      <c r="A16" s="644" t="s">
        <v>1862</v>
      </c>
      <c r="B16" s="388" t="s">
        <v>10</v>
      </c>
      <c r="C16" s="635" t="s">
        <v>12</v>
      </c>
      <c r="D16" s="635"/>
      <c r="E16" s="33">
        <v>39.46</v>
      </c>
      <c r="F16" s="388">
        <v>1755</v>
      </c>
      <c r="G16" s="382">
        <f t="shared" si="15"/>
        <v>69252.3</v>
      </c>
      <c r="H16" s="389" t="s">
        <v>5</v>
      </c>
      <c r="I16" s="385">
        <v>15</v>
      </c>
      <c r="J16" s="30">
        <v>1500</v>
      </c>
      <c r="K16" s="13">
        <f t="shared" si="1"/>
        <v>100</v>
      </c>
      <c r="L16" s="385">
        <v>15</v>
      </c>
      <c r="M16" s="14">
        <f t="shared" si="16"/>
        <v>1442.4657534246578</v>
      </c>
      <c r="N16" s="13">
        <f t="shared" si="3"/>
        <v>96.164383561643859</v>
      </c>
      <c r="O16" s="15">
        <f t="shared" si="4"/>
        <v>0</v>
      </c>
      <c r="P16" s="16">
        <f t="shared" si="5"/>
        <v>-3.8356164383561406</v>
      </c>
      <c r="Q16" s="383">
        <f t="shared" si="6"/>
        <v>0.96164383561643862</v>
      </c>
      <c r="R16" s="619"/>
      <c r="S16" s="31">
        <v>0.36111111111111105</v>
      </c>
      <c r="T16" s="31">
        <v>0.41180555555555548</v>
      </c>
      <c r="U16" s="382">
        <f t="shared" si="18"/>
        <v>6.9999999999999751</v>
      </c>
      <c r="V16" s="386">
        <f t="shared" si="17"/>
        <v>72.999999999999986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-57.534246575342195</v>
      </c>
      <c r="AF16" s="383">
        <f t="shared" si="9"/>
        <v>0.96164383561643851</v>
      </c>
      <c r="AG16" s="619"/>
    </row>
    <row r="17" spans="1:33" ht="16.5" customHeight="1">
      <c r="A17" s="644" t="s">
        <v>1862</v>
      </c>
      <c r="B17" s="388" t="s">
        <v>6</v>
      </c>
      <c r="C17" s="635" t="s">
        <v>20</v>
      </c>
      <c r="D17" s="635"/>
      <c r="E17" s="33">
        <v>54.5</v>
      </c>
      <c r="F17" s="388">
        <v>792</v>
      </c>
      <c r="G17" s="382">
        <f t="shared" si="15"/>
        <v>43164</v>
      </c>
      <c r="H17" s="389" t="s">
        <v>5</v>
      </c>
      <c r="I17" s="385">
        <v>19</v>
      </c>
      <c r="J17" s="30">
        <v>1500</v>
      </c>
      <c r="K17" s="13">
        <f t="shared" si="1"/>
        <v>78.94736842105263</v>
      </c>
      <c r="L17" s="385">
        <v>19</v>
      </c>
      <c r="M17" s="14">
        <f t="shared" si="16"/>
        <v>1439.9999999999982</v>
      </c>
      <c r="N17" s="13">
        <f t="shared" si="3"/>
        <v>75.789473684210435</v>
      </c>
      <c r="O17" s="15">
        <f t="shared" si="4"/>
        <v>0</v>
      </c>
      <c r="P17" s="16">
        <f t="shared" si="5"/>
        <v>-3.157894736842195</v>
      </c>
      <c r="Q17" s="383">
        <f t="shared" si="6"/>
        <v>0.95999999999999885</v>
      </c>
      <c r="R17" s="619"/>
      <c r="S17" s="31">
        <v>0.70833333333333337</v>
      </c>
      <c r="T17" s="31">
        <v>0.73125000000000007</v>
      </c>
      <c r="U17" s="382" t="str">
        <f t="shared" si="18"/>
        <v/>
      </c>
      <c r="V17" s="386">
        <f t="shared" si="17"/>
        <v>33.000000000000043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-60.000000000001819</v>
      </c>
      <c r="AF17" s="383">
        <f t="shared" si="9"/>
        <v>0.95999999999999874</v>
      </c>
      <c r="AG17" s="619"/>
    </row>
    <row r="18" spans="1:33" ht="16.5" customHeight="1">
      <c r="A18" s="644" t="s">
        <v>1862</v>
      </c>
      <c r="B18" s="388" t="s">
        <v>6</v>
      </c>
      <c r="C18" s="390" t="s">
        <v>45</v>
      </c>
      <c r="D18" s="391"/>
      <c r="E18" s="33">
        <v>51.06</v>
      </c>
      <c r="F18" s="388">
        <v>2893</v>
      </c>
      <c r="G18" s="382">
        <f t="shared" si="15"/>
        <v>147716.58000000002</v>
      </c>
      <c r="H18" s="389" t="s">
        <v>5</v>
      </c>
      <c r="I18" s="385">
        <v>13</v>
      </c>
      <c r="J18" s="30">
        <v>2000</v>
      </c>
      <c r="K18" s="13">
        <f t="shared" si="1"/>
        <v>153.84615384615384</v>
      </c>
      <c r="L18" s="385">
        <v>13</v>
      </c>
      <c r="M18" s="14">
        <f t="shared" si="16"/>
        <v>1907.4725274725274</v>
      </c>
      <c r="N18" s="13">
        <f t="shared" si="3"/>
        <v>146.7286559594252</v>
      </c>
      <c r="O18" s="15">
        <f t="shared" si="4"/>
        <v>0</v>
      </c>
      <c r="P18" s="16">
        <f t="shared" si="5"/>
        <v>-7.1174978867286427</v>
      </c>
      <c r="Q18" s="383">
        <f t="shared" si="6"/>
        <v>0.95373626373626386</v>
      </c>
      <c r="R18" s="619"/>
      <c r="S18" s="31">
        <v>0.73541666666666672</v>
      </c>
      <c r="T18" s="31">
        <v>0.79861111111111116</v>
      </c>
      <c r="U18" s="382">
        <f t="shared" si="18"/>
        <v>5.9999999999999787</v>
      </c>
      <c r="V18" s="386">
        <f t="shared" si="17"/>
        <v>91</v>
      </c>
      <c r="W18" s="17"/>
      <c r="X18" s="17"/>
      <c r="Y18" s="20"/>
      <c r="Z18" s="20"/>
      <c r="AA18" s="378"/>
      <c r="AB18" s="379"/>
      <c r="AC18" s="19"/>
      <c r="AD18" s="19"/>
      <c r="AE18" s="15">
        <f t="shared" si="8"/>
        <v>-92.527472527472582</v>
      </c>
      <c r="AF18" s="383">
        <f t="shared" si="9"/>
        <v>0.95373626373626375</v>
      </c>
      <c r="AG18" s="619"/>
    </row>
    <row r="19" spans="1:33" ht="16.5" customHeight="1">
      <c r="A19" s="644" t="s">
        <v>1862</v>
      </c>
      <c r="B19" s="33" t="s">
        <v>1863</v>
      </c>
      <c r="C19" s="620"/>
      <c r="D19" s="620"/>
      <c r="E19" s="384"/>
      <c r="F19" s="34"/>
      <c r="G19" s="13"/>
      <c r="H19" s="388"/>
      <c r="I19" s="23">
        <v>17.166666666666668</v>
      </c>
      <c r="J19" s="30">
        <v>1750</v>
      </c>
      <c r="K19" s="13">
        <f t="shared" si="1"/>
        <v>101.94174757281553</v>
      </c>
      <c r="L19" s="23">
        <v>17.166666666666668</v>
      </c>
      <c r="M19" s="14">
        <f>AVERAGE(M13:M18)</f>
        <v>1677.4956683658681</v>
      </c>
      <c r="N19" s="13">
        <f t="shared" si="3"/>
        <v>97.718194273739883</v>
      </c>
      <c r="O19" s="15">
        <f t="shared" si="4"/>
        <v>0</v>
      </c>
      <c r="P19" s="16">
        <f t="shared" si="5"/>
        <v>-4.2235532990756468</v>
      </c>
      <c r="Q19" s="383">
        <f t="shared" si="6"/>
        <v>0.9585689533519246</v>
      </c>
      <c r="R19" s="619"/>
      <c r="S19" s="31"/>
      <c r="T19" s="31"/>
      <c r="U19" s="382"/>
      <c r="V19" s="386"/>
      <c r="W19" s="13"/>
      <c r="X19" s="13"/>
      <c r="Y19" s="24">
        <f>SUM(Y13:Y18)</f>
        <v>0</v>
      </c>
      <c r="Z19" s="24">
        <f>SUM(Z13:Z18)</f>
        <v>0</v>
      </c>
      <c r="AA19" s="609"/>
      <c r="AB19" s="609"/>
      <c r="AC19" s="24">
        <v>6</v>
      </c>
      <c r="AD19" s="24">
        <f>SUM(AD13:AD18)</f>
        <v>0</v>
      </c>
      <c r="AE19" s="15">
        <f t="shared" si="8"/>
        <v>-72.504331634131859</v>
      </c>
      <c r="AF19" s="383">
        <f t="shared" si="9"/>
        <v>0.9585689533519246</v>
      </c>
      <c r="AG19" s="619"/>
    </row>
    <row r="20" spans="1:33" ht="15.75" customHeight="1">
      <c r="A20" s="637" t="s">
        <v>1864</v>
      </c>
      <c r="B20" s="33" t="s">
        <v>6</v>
      </c>
      <c r="C20" s="635" t="s">
        <v>22</v>
      </c>
      <c r="D20" s="635"/>
      <c r="E20" s="33">
        <v>50.67</v>
      </c>
      <c r="F20" s="388">
        <v>1279</v>
      </c>
      <c r="G20" s="382">
        <f t="shared" ref="G20:G25" si="19">E20*F20</f>
        <v>64806.93</v>
      </c>
      <c r="H20" s="389" t="s">
        <v>5</v>
      </c>
      <c r="I20" s="385">
        <v>17</v>
      </c>
      <c r="J20" s="30">
        <v>2000</v>
      </c>
      <c r="K20" s="13">
        <f t="shared" si="1"/>
        <v>117.64705882352941</v>
      </c>
      <c r="L20" s="385">
        <v>17</v>
      </c>
      <c r="M20" s="14">
        <f t="shared" ref="M20:M25" si="20">F20/V20*60</f>
        <v>1918.4999999999993</v>
      </c>
      <c r="N20" s="13">
        <f t="shared" si="3"/>
        <v>112.85294117647055</v>
      </c>
      <c r="O20" s="15">
        <f t="shared" si="4"/>
        <v>0</v>
      </c>
      <c r="P20" s="16">
        <f t="shared" si="5"/>
        <v>-4.7941176470588545</v>
      </c>
      <c r="Q20" s="383">
        <f t="shared" si="6"/>
        <v>0.95924999999999971</v>
      </c>
      <c r="R20" s="619">
        <f>Q26</f>
        <v>0.96249373309444575</v>
      </c>
      <c r="S20" s="31">
        <v>0.25</v>
      </c>
      <c r="T20" s="31">
        <v>0.27777777777777779</v>
      </c>
      <c r="U20" s="382"/>
      <c r="V20" s="386">
        <f t="shared" ref="V20:V25" si="21">(T20-S20)*24*60</f>
        <v>40.000000000000014</v>
      </c>
      <c r="W20" s="17"/>
      <c r="X20" s="17"/>
      <c r="Y20" s="22"/>
      <c r="Z20" s="22"/>
      <c r="AA20" s="610"/>
      <c r="AB20" s="610"/>
      <c r="AC20" s="19">
        <v>6</v>
      </c>
      <c r="AD20" s="19"/>
      <c r="AE20" s="15">
        <f t="shared" si="8"/>
        <v>-81.500000000000682</v>
      </c>
      <c r="AF20" s="383">
        <f t="shared" si="9"/>
        <v>0.95924999999999971</v>
      </c>
      <c r="AG20" s="619">
        <f>AF26</f>
        <v>0.96249373309444586</v>
      </c>
    </row>
    <row r="21" spans="1:33" ht="15.75" customHeight="1">
      <c r="A21" s="638" t="s">
        <v>1864</v>
      </c>
      <c r="B21" s="33" t="s">
        <v>6</v>
      </c>
      <c r="C21" s="635" t="s">
        <v>23</v>
      </c>
      <c r="D21" s="635"/>
      <c r="E21" s="33">
        <v>57.73</v>
      </c>
      <c r="F21" s="388">
        <v>2303</v>
      </c>
      <c r="G21" s="382">
        <f t="shared" si="19"/>
        <v>132952.19</v>
      </c>
      <c r="H21" s="389" t="s">
        <v>5</v>
      </c>
      <c r="I21" s="385">
        <v>14</v>
      </c>
      <c r="J21" s="30">
        <v>2000</v>
      </c>
      <c r="K21" s="13">
        <f t="shared" si="1"/>
        <v>142.85714285714286</v>
      </c>
      <c r="L21" s="385">
        <v>14</v>
      </c>
      <c r="M21" s="14">
        <f t="shared" si="20"/>
        <v>1919.166666666667</v>
      </c>
      <c r="N21" s="13">
        <f t="shared" si="3"/>
        <v>137.08333333333334</v>
      </c>
      <c r="O21" s="15">
        <f t="shared" si="4"/>
        <v>0</v>
      </c>
      <c r="P21" s="16">
        <f t="shared" si="5"/>
        <v>-5.7738095238095184</v>
      </c>
      <c r="Q21" s="383">
        <f t="shared" si="6"/>
        <v>0.95958333333333334</v>
      </c>
      <c r="R21" s="619"/>
      <c r="S21" s="31">
        <v>0.28263888888888888</v>
      </c>
      <c r="T21" s="31">
        <v>0.33263888888888887</v>
      </c>
      <c r="U21" s="382">
        <f t="shared" ref="U21:U25" si="22">IF(S21=TIME(17,0,0),"",(S21-T20)*24*60)</f>
        <v>6.9999999999999751</v>
      </c>
      <c r="V21" s="386">
        <f t="shared" si="21"/>
        <v>71.999999999999986</v>
      </c>
      <c r="W21" s="17"/>
      <c r="X21" s="382"/>
      <c r="Y21" s="382"/>
      <c r="Z21" s="382"/>
      <c r="AA21" s="610"/>
      <c r="AB21" s="610"/>
      <c r="AC21" s="19"/>
      <c r="AD21" s="19"/>
      <c r="AE21" s="15">
        <f t="shared" si="8"/>
        <v>-80.83333333333303</v>
      </c>
      <c r="AF21" s="383">
        <f t="shared" si="9"/>
        <v>0.95958333333333345</v>
      </c>
      <c r="AG21" s="619"/>
    </row>
    <row r="22" spans="1:33" ht="15.75" customHeight="1">
      <c r="A22" s="638" t="s">
        <v>1864</v>
      </c>
      <c r="B22" s="33" t="s">
        <v>6</v>
      </c>
      <c r="C22" s="635" t="s">
        <v>24</v>
      </c>
      <c r="D22" s="635"/>
      <c r="E22" s="33">
        <v>53.27</v>
      </c>
      <c r="F22" s="388">
        <v>1140</v>
      </c>
      <c r="G22" s="382">
        <f t="shared" si="19"/>
        <v>60727.8</v>
      </c>
      <c r="H22" s="389" t="s">
        <v>5</v>
      </c>
      <c r="I22" s="385">
        <v>16</v>
      </c>
      <c r="J22" s="30">
        <v>2000</v>
      </c>
      <c r="K22" s="13">
        <f t="shared" si="1"/>
        <v>125</v>
      </c>
      <c r="L22" s="385">
        <v>16</v>
      </c>
      <c r="M22" s="14">
        <f t="shared" si="20"/>
        <v>1954.2857142857124</v>
      </c>
      <c r="N22" s="13">
        <f t="shared" si="3"/>
        <v>122.14285714285703</v>
      </c>
      <c r="O22" s="15">
        <f t="shared" si="4"/>
        <v>0</v>
      </c>
      <c r="P22" s="16">
        <f t="shared" si="5"/>
        <v>-2.8571428571429749</v>
      </c>
      <c r="Q22" s="383">
        <f t="shared" si="6"/>
        <v>0.9771428571428562</v>
      </c>
      <c r="R22" s="619"/>
      <c r="S22" s="31">
        <v>0.33680555555555552</v>
      </c>
      <c r="T22" s="31">
        <v>0.3611111111111111</v>
      </c>
      <c r="U22" s="382">
        <f t="shared" si="22"/>
        <v>5.9999999999999787</v>
      </c>
      <c r="V22" s="386">
        <f t="shared" si="21"/>
        <v>35.000000000000036</v>
      </c>
      <c r="W22" s="17"/>
      <c r="X22" s="382"/>
      <c r="Y22" s="382"/>
      <c r="Z22" s="382"/>
      <c r="AA22" s="610"/>
      <c r="AB22" s="610"/>
      <c r="AC22" s="19"/>
      <c r="AD22" s="19"/>
      <c r="AE22" s="15">
        <f t="shared" si="8"/>
        <v>-45.714285714287598</v>
      </c>
      <c r="AF22" s="383">
        <f t="shared" si="9"/>
        <v>0.9771428571428562</v>
      </c>
      <c r="AG22" s="619"/>
    </row>
    <row r="23" spans="1:33" ht="15.75" customHeight="1">
      <c r="A23" s="638" t="s">
        <v>1864</v>
      </c>
      <c r="B23" s="33" t="s">
        <v>6</v>
      </c>
      <c r="C23" s="635" t="s">
        <v>21</v>
      </c>
      <c r="D23" s="635"/>
      <c r="E23" s="33">
        <v>50.49</v>
      </c>
      <c r="F23" s="388">
        <v>1966</v>
      </c>
      <c r="G23" s="382">
        <f t="shared" si="19"/>
        <v>99263.340000000011</v>
      </c>
      <c r="H23" s="389" t="s">
        <v>5</v>
      </c>
      <c r="I23" s="385">
        <v>15</v>
      </c>
      <c r="J23" s="30">
        <v>2000</v>
      </c>
      <c r="K23" s="13">
        <f t="shared" si="1"/>
        <v>133.33333333333334</v>
      </c>
      <c r="L23" s="385">
        <v>15</v>
      </c>
      <c r="M23" s="14">
        <f t="shared" si="20"/>
        <v>1902.5806451612921</v>
      </c>
      <c r="N23" s="13">
        <f t="shared" si="3"/>
        <v>126.83870967741947</v>
      </c>
      <c r="O23" s="15">
        <f t="shared" si="4"/>
        <v>0</v>
      </c>
      <c r="P23" s="16">
        <f t="shared" si="5"/>
        <v>-6.4946236559138697</v>
      </c>
      <c r="Q23" s="383">
        <f t="shared" si="6"/>
        <v>0.95129032258064594</v>
      </c>
      <c r="R23" s="619"/>
      <c r="S23" s="31">
        <v>0.70833333333333337</v>
      </c>
      <c r="T23" s="31">
        <v>0.75138888888888888</v>
      </c>
      <c r="U23" s="382" t="str">
        <f t="shared" si="22"/>
        <v/>
      </c>
      <c r="V23" s="386">
        <f t="shared" si="21"/>
        <v>61.999999999999943</v>
      </c>
      <c r="W23" s="17"/>
      <c r="X23" s="382"/>
      <c r="Y23" s="382"/>
      <c r="Z23" s="382"/>
      <c r="AA23" s="610"/>
      <c r="AB23" s="610"/>
      <c r="AC23" s="19"/>
      <c r="AD23" s="19"/>
      <c r="AE23" s="15">
        <f t="shared" si="8"/>
        <v>-97.419354838707932</v>
      </c>
      <c r="AF23" s="383">
        <f t="shared" si="9"/>
        <v>0.95129032258064605</v>
      </c>
      <c r="AG23" s="619"/>
    </row>
    <row r="24" spans="1:33" ht="15.75" customHeight="1">
      <c r="A24" s="638" t="s">
        <v>1864</v>
      </c>
      <c r="B24" s="33" t="s">
        <v>6</v>
      </c>
      <c r="C24" s="635" t="s">
        <v>26</v>
      </c>
      <c r="D24" s="635"/>
      <c r="E24" s="33">
        <v>54.09</v>
      </c>
      <c r="F24" s="388">
        <v>2074</v>
      </c>
      <c r="G24" s="382">
        <f t="shared" si="19"/>
        <v>112182.66</v>
      </c>
      <c r="H24" s="389" t="s">
        <v>5</v>
      </c>
      <c r="I24" s="385">
        <v>18</v>
      </c>
      <c r="J24" s="30">
        <v>2000</v>
      </c>
      <c r="K24" s="13">
        <f t="shared" si="1"/>
        <v>111.11111111111111</v>
      </c>
      <c r="L24" s="385">
        <v>18</v>
      </c>
      <c r="M24" s="14">
        <f t="shared" si="20"/>
        <v>1914.4615384615406</v>
      </c>
      <c r="N24" s="13">
        <f t="shared" si="3"/>
        <v>106.35897435897448</v>
      </c>
      <c r="O24" s="15">
        <f t="shared" si="4"/>
        <v>0</v>
      </c>
      <c r="P24" s="16">
        <f t="shared" si="5"/>
        <v>-4.7521367521366358</v>
      </c>
      <c r="Q24" s="383">
        <f t="shared" si="6"/>
        <v>0.95723076923077033</v>
      </c>
      <c r="R24" s="619"/>
      <c r="S24" s="31">
        <v>0.75624999999999998</v>
      </c>
      <c r="T24" s="31">
        <v>0.80138888888888882</v>
      </c>
      <c r="U24" s="382">
        <f t="shared" si="22"/>
        <v>6.9999999999999751</v>
      </c>
      <c r="V24" s="386">
        <f t="shared" si="21"/>
        <v>64.999999999999929</v>
      </c>
      <c r="W24" s="17"/>
      <c r="X24" s="17"/>
      <c r="Y24" s="382"/>
      <c r="Z24" s="382"/>
      <c r="AA24" s="610"/>
      <c r="AB24" s="610"/>
      <c r="AC24" s="19"/>
      <c r="AD24" s="19"/>
      <c r="AE24" s="15">
        <f t="shared" si="8"/>
        <v>-85.538461538459387</v>
      </c>
      <c r="AF24" s="383">
        <f t="shared" si="9"/>
        <v>0.95723076923077033</v>
      </c>
      <c r="AG24" s="619"/>
    </row>
    <row r="25" spans="1:33" ht="15.75" customHeight="1">
      <c r="A25" s="638" t="s">
        <v>1864</v>
      </c>
      <c r="B25" s="33" t="s">
        <v>6</v>
      </c>
      <c r="C25" s="635" t="s">
        <v>9</v>
      </c>
      <c r="D25" s="635"/>
      <c r="E25" s="33">
        <v>50.67</v>
      </c>
      <c r="F25" s="388">
        <v>1391</v>
      </c>
      <c r="G25" s="382">
        <f t="shared" si="19"/>
        <v>70481.97</v>
      </c>
      <c r="H25" s="389" t="s">
        <v>5</v>
      </c>
      <c r="I25" s="385">
        <v>15</v>
      </c>
      <c r="J25" s="30">
        <v>2000</v>
      </c>
      <c r="K25" s="13">
        <f t="shared" si="1"/>
        <v>133.33333333333334</v>
      </c>
      <c r="L25" s="385">
        <v>15</v>
      </c>
      <c r="M25" s="14">
        <f t="shared" si="20"/>
        <v>1940.9302325581391</v>
      </c>
      <c r="N25" s="13">
        <f t="shared" si="3"/>
        <v>129.39534883720927</v>
      </c>
      <c r="O25" s="15">
        <f t="shared" si="4"/>
        <v>0</v>
      </c>
      <c r="P25" s="16">
        <f t="shared" si="5"/>
        <v>-3.9379844961240735</v>
      </c>
      <c r="Q25" s="383">
        <f t="shared" si="6"/>
        <v>0.9704651162790694</v>
      </c>
      <c r="R25" s="619"/>
      <c r="S25" s="31">
        <v>0.80624999999999991</v>
      </c>
      <c r="T25" s="31">
        <v>0.83611111111111103</v>
      </c>
      <c r="U25" s="382">
        <f t="shared" si="22"/>
        <v>6.9999999999999751</v>
      </c>
      <c r="V25" s="386">
        <f t="shared" si="21"/>
        <v>43.000000000000007</v>
      </c>
      <c r="W25" s="17"/>
      <c r="X25" s="22"/>
      <c r="Y25" s="22"/>
      <c r="Z25" s="22"/>
      <c r="AA25" s="610"/>
      <c r="AB25" s="610"/>
      <c r="AC25" s="19"/>
      <c r="AD25" s="19"/>
      <c r="AE25" s="15">
        <f t="shared" si="8"/>
        <v>-59.069767441860904</v>
      </c>
      <c r="AF25" s="383">
        <f t="shared" si="9"/>
        <v>0.97046511627906951</v>
      </c>
      <c r="AG25" s="619"/>
    </row>
    <row r="26" spans="1:33" ht="15.75" customHeight="1">
      <c r="A26" s="638" t="s">
        <v>1864</v>
      </c>
      <c r="B26" s="33" t="s">
        <v>1863</v>
      </c>
      <c r="C26" s="620"/>
      <c r="D26" s="620"/>
      <c r="E26" s="384"/>
      <c r="F26" s="388"/>
      <c r="G26" s="382"/>
      <c r="H26" s="388"/>
      <c r="I26" s="23">
        <v>15.833333333333334</v>
      </c>
      <c r="J26" s="30">
        <v>2000</v>
      </c>
      <c r="K26" s="13">
        <f t="shared" si="1"/>
        <v>126.31578947368421</v>
      </c>
      <c r="L26" s="23">
        <v>15.833333333333334</v>
      </c>
      <c r="M26" s="14">
        <f>AVERAGE(M20:M25)</f>
        <v>1924.9874661888916</v>
      </c>
      <c r="N26" s="13">
        <f t="shared" si="3"/>
        <v>121.57815575929841</v>
      </c>
      <c r="O26" s="15">
        <f t="shared" si="4"/>
        <v>0</v>
      </c>
      <c r="P26" s="16">
        <f t="shared" si="5"/>
        <v>-4.7376337143857938</v>
      </c>
      <c r="Q26" s="383">
        <f t="shared" si="6"/>
        <v>0.96249373309444575</v>
      </c>
      <c r="R26" s="619"/>
      <c r="S26" s="31"/>
      <c r="T26" s="31"/>
      <c r="U26" s="13"/>
      <c r="V26" s="386"/>
      <c r="W26" s="13"/>
      <c r="X26" s="13"/>
      <c r="Y26" s="24">
        <f>SUM(Y20:Y25)</f>
        <v>0</v>
      </c>
      <c r="Z26" s="24">
        <f>SUM(Z20:Z25)</f>
        <v>0</v>
      </c>
      <c r="AA26" s="609"/>
      <c r="AB26" s="609"/>
      <c r="AC26" s="24">
        <v>6</v>
      </c>
      <c r="AD26" s="24">
        <f>SUM(AD20:AD25)</f>
        <v>0</v>
      </c>
      <c r="AE26" s="15">
        <f t="shared" si="8"/>
        <v>-75.012533811108369</v>
      </c>
      <c r="AF26" s="383">
        <f t="shared" si="9"/>
        <v>0.96249373309444586</v>
      </c>
      <c r="AG26" s="619"/>
    </row>
    <row r="27" spans="1:33" ht="15.75" customHeight="1">
      <c r="A27" s="636" t="s">
        <v>1865</v>
      </c>
      <c r="B27" s="33" t="s">
        <v>27</v>
      </c>
      <c r="C27" s="635" t="s">
        <v>28</v>
      </c>
      <c r="D27" s="635"/>
      <c r="E27" s="33">
        <v>31.29</v>
      </c>
      <c r="F27" s="388">
        <v>4900</v>
      </c>
      <c r="G27" s="382">
        <f t="shared" ref="G27:G32" si="23">E27*F27</f>
        <v>153321</v>
      </c>
      <c r="H27" s="389">
        <v>2</v>
      </c>
      <c r="I27" s="385">
        <v>18</v>
      </c>
      <c r="J27" s="30">
        <v>2400</v>
      </c>
      <c r="K27" s="13">
        <f t="shared" si="1"/>
        <v>133.33333333333334</v>
      </c>
      <c r="L27" s="385">
        <v>18</v>
      </c>
      <c r="M27" s="14">
        <f t="shared" ref="M27:M32" si="24">F27/V27*60</f>
        <v>2296.875</v>
      </c>
      <c r="N27" s="13">
        <f t="shared" si="3"/>
        <v>127.60416666666667</v>
      </c>
      <c r="O27" s="15">
        <f t="shared" si="4"/>
        <v>0</v>
      </c>
      <c r="P27" s="16">
        <f t="shared" si="5"/>
        <v>-5.7291666666666714</v>
      </c>
      <c r="Q27" s="383">
        <f t="shared" si="6"/>
        <v>0.95703125</v>
      </c>
      <c r="R27" s="619">
        <f>Q33</f>
        <v>0.95388942293101886</v>
      </c>
      <c r="S27" s="31">
        <v>8.3333333333333329E-2</v>
      </c>
      <c r="T27" s="31">
        <v>0.17222222222222222</v>
      </c>
      <c r="U27" s="382"/>
      <c r="V27" s="386">
        <f t="shared" ref="V27:V32" si="25">(T27-S27)*24*60</f>
        <v>128</v>
      </c>
      <c r="W27" s="17">
        <f>T27</f>
        <v>0.17222222222222222</v>
      </c>
      <c r="X27" s="17">
        <f>S28</f>
        <v>0.19166666666666665</v>
      </c>
      <c r="Y27" s="17"/>
      <c r="Z27" s="17"/>
      <c r="AA27" s="610"/>
      <c r="AB27" s="610"/>
      <c r="AC27" s="19">
        <v>6</v>
      </c>
      <c r="AD27" s="19"/>
      <c r="AE27" s="15">
        <f t="shared" si="8"/>
        <v>-103.125</v>
      </c>
      <c r="AF27" s="383">
        <f t="shared" si="9"/>
        <v>0.95703125</v>
      </c>
      <c r="AG27" s="619">
        <f>AF33</f>
        <v>0.95388942293101897</v>
      </c>
    </row>
    <row r="28" spans="1:33" ht="15.75" customHeight="1">
      <c r="A28" s="636" t="s">
        <v>1866</v>
      </c>
      <c r="B28" s="33" t="s">
        <v>27</v>
      </c>
      <c r="C28" s="635" t="s">
        <v>29</v>
      </c>
      <c r="D28" s="635"/>
      <c r="E28" s="33">
        <v>26.37</v>
      </c>
      <c r="F28" s="388">
        <v>5439</v>
      </c>
      <c r="G28" s="382">
        <f t="shared" si="23"/>
        <v>143426.43</v>
      </c>
      <c r="H28" s="389" t="s">
        <v>5</v>
      </c>
      <c r="I28" s="385">
        <v>18</v>
      </c>
      <c r="J28" s="30">
        <v>2400</v>
      </c>
      <c r="K28" s="13">
        <f t="shared" si="1"/>
        <v>133.33333333333334</v>
      </c>
      <c r="L28" s="385">
        <v>18</v>
      </c>
      <c r="M28" s="14">
        <f t="shared" si="24"/>
        <v>2282.0979020979025</v>
      </c>
      <c r="N28" s="13">
        <f t="shared" si="3"/>
        <v>126.7832167832168</v>
      </c>
      <c r="O28" s="15">
        <f t="shared" si="4"/>
        <v>0</v>
      </c>
      <c r="P28" s="16">
        <f t="shared" si="5"/>
        <v>-6.5501165501165417</v>
      </c>
      <c r="Q28" s="383">
        <f t="shared" si="6"/>
        <v>0.9508741258741259</v>
      </c>
      <c r="R28" s="619"/>
      <c r="S28" s="31">
        <v>0.19166666666666665</v>
      </c>
      <c r="T28" s="31">
        <v>0.29097222222222219</v>
      </c>
      <c r="U28" s="382">
        <f t="shared" ref="U28:U32" si="26">(S28-T27)*24*60</f>
        <v>27.999999999999979</v>
      </c>
      <c r="V28" s="386">
        <f t="shared" si="25"/>
        <v>142.99999999999997</v>
      </c>
      <c r="W28" s="17"/>
      <c r="X28" s="17"/>
      <c r="Y28" s="17"/>
      <c r="Z28" s="17"/>
      <c r="AA28" s="610"/>
      <c r="AB28" s="610"/>
      <c r="AC28" s="19"/>
      <c r="AD28" s="19"/>
      <c r="AE28" s="15">
        <f t="shared" si="8"/>
        <v>-117.90209790209747</v>
      </c>
      <c r="AF28" s="383">
        <f t="shared" si="9"/>
        <v>0.95087412587412601</v>
      </c>
      <c r="AG28" s="619"/>
    </row>
    <row r="29" spans="1:33" ht="15.75" customHeight="1">
      <c r="A29" s="636" t="s">
        <v>1866</v>
      </c>
      <c r="B29" s="33" t="s">
        <v>27</v>
      </c>
      <c r="C29" s="635" t="s">
        <v>34</v>
      </c>
      <c r="D29" s="635"/>
      <c r="E29" s="33">
        <v>24.43</v>
      </c>
      <c r="F29" s="388">
        <v>7134</v>
      </c>
      <c r="G29" s="382">
        <f t="shared" si="23"/>
        <v>174283.62</v>
      </c>
      <c r="H29" s="389" t="s">
        <v>5</v>
      </c>
      <c r="I29" s="385">
        <v>14</v>
      </c>
      <c r="J29" s="30">
        <v>2400</v>
      </c>
      <c r="K29" s="13">
        <f t="shared" si="1"/>
        <v>171.42857142857142</v>
      </c>
      <c r="L29" s="385">
        <v>14</v>
      </c>
      <c r="M29" s="14">
        <f t="shared" si="24"/>
        <v>2288.9839572192518</v>
      </c>
      <c r="N29" s="13">
        <f t="shared" si="3"/>
        <v>163.49885408708943</v>
      </c>
      <c r="O29" s="15">
        <f t="shared" si="4"/>
        <v>0</v>
      </c>
      <c r="P29" s="16">
        <f t="shared" si="5"/>
        <v>-7.9297173414819895</v>
      </c>
      <c r="Q29" s="383">
        <f t="shared" si="6"/>
        <v>0.95374331550802172</v>
      </c>
      <c r="R29" s="619"/>
      <c r="S29" s="31">
        <v>0.2944444444444444</v>
      </c>
      <c r="T29" s="31">
        <v>0.42430555555555549</v>
      </c>
      <c r="U29" s="382">
        <f t="shared" si="26"/>
        <v>4.9999999999999822</v>
      </c>
      <c r="V29" s="386">
        <f t="shared" si="25"/>
        <v>186.99999999999997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-111.01604278074819</v>
      </c>
      <c r="AF29" s="383">
        <f t="shared" si="9"/>
        <v>0.95374331550802161</v>
      </c>
      <c r="AG29" s="619"/>
    </row>
    <row r="30" spans="1:33" ht="15.75" customHeight="1">
      <c r="A30" s="636" t="s">
        <v>1866</v>
      </c>
      <c r="B30" s="33" t="s">
        <v>27</v>
      </c>
      <c r="C30" s="635" t="s">
        <v>75</v>
      </c>
      <c r="D30" s="635"/>
      <c r="E30" s="33">
        <v>25.98</v>
      </c>
      <c r="F30" s="388">
        <v>3448</v>
      </c>
      <c r="G30" s="382">
        <f t="shared" si="23"/>
        <v>89579.040000000008</v>
      </c>
      <c r="H30" s="389" t="s">
        <v>5</v>
      </c>
      <c r="I30" s="385">
        <v>19</v>
      </c>
      <c r="J30" s="30">
        <v>2400</v>
      </c>
      <c r="K30" s="13">
        <f t="shared" si="1"/>
        <v>126.31578947368421</v>
      </c>
      <c r="L30" s="385">
        <v>19</v>
      </c>
      <c r="M30" s="14">
        <f t="shared" si="24"/>
        <v>2298.6666666666665</v>
      </c>
      <c r="N30" s="13">
        <f t="shared" si="3"/>
        <v>120.98245614035086</v>
      </c>
      <c r="O30" s="15">
        <f t="shared" si="4"/>
        <v>0</v>
      </c>
      <c r="P30" s="16">
        <f t="shared" si="5"/>
        <v>-5.3333333333333428</v>
      </c>
      <c r="Q30" s="383">
        <f t="shared" si="6"/>
        <v>0.95777777777777773</v>
      </c>
      <c r="R30" s="619"/>
      <c r="S30" s="31">
        <v>0.42986111111111103</v>
      </c>
      <c r="T30" s="31">
        <v>0.49236111111111103</v>
      </c>
      <c r="U30" s="382">
        <f t="shared" si="26"/>
        <v>7.9999999999999716</v>
      </c>
      <c r="V30" s="386">
        <f t="shared" si="25"/>
        <v>90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-101.33333333333348</v>
      </c>
      <c r="AF30" s="383">
        <f t="shared" si="9"/>
        <v>0.95777777777777773</v>
      </c>
      <c r="AG30" s="619"/>
    </row>
    <row r="31" spans="1:33" ht="15.75" customHeight="1">
      <c r="A31" s="636" t="s">
        <v>1866</v>
      </c>
      <c r="B31" s="33" t="s">
        <v>27</v>
      </c>
      <c r="C31" s="635" t="s">
        <v>55</v>
      </c>
      <c r="D31" s="635"/>
      <c r="E31" s="33">
        <v>23.89</v>
      </c>
      <c r="F31" s="388">
        <v>417</v>
      </c>
      <c r="G31" s="382">
        <f t="shared" si="23"/>
        <v>9962.130000000001</v>
      </c>
      <c r="H31" s="389" t="s">
        <v>5</v>
      </c>
      <c r="I31" s="385">
        <v>13</v>
      </c>
      <c r="J31" s="30">
        <v>2400</v>
      </c>
      <c r="K31" s="13">
        <f t="shared" si="1"/>
        <v>184.61538461538461</v>
      </c>
      <c r="L31" s="385">
        <v>13</v>
      </c>
      <c r="M31" s="14">
        <f t="shared" si="24"/>
        <v>2274.5454545454295</v>
      </c>
      <c r="N31" s="13">
        <f t="shared" si="3"/>
        <v>174.96503496503303</v>
      </c>
      <c r="O31" s="15">
        <f t="shared" si="4"/>
        <v>0</v>
      </c>
      <c r="P31" s="16">
        <f t="shared" si="5"/>
        <v>-9.6503496503515862</v>
      </c>
      <c r="Q31" s="383">
        <f t="shared" si="6"/>
        <v>0.9477272727272622</v>
      </c>
      <c r="R31" s="619"/>
      <c r="S31" s="31">
        <v>0.49652777777777768</v>
      </c>
      <c r="T31" s="31">
        <v>0.50416666666666665</v>
      </c>
      <c r="U31" s="382">
        <f t="shared" si="26"/>
        <v>5.9999999999999787</v>
      </c>
      <c r="V31" s="386">
        <f t="shared" si="25"/>
        <v>11.000000000000121</v>
      </c>
      <c r="W31" s="17">
        <f>T31</f>
        <v>0.50416666666666665</v>
      </c>
      <c r="X31" s="17">
        <f>S32</f>
        <v>0.54583333333333317</v>
      </c>
      <c r="Y31" s="17"/>
      <c r="Z31" s="17"/>
      <c r="AA31" s="610"/>
      <c r="AB31" s="610"/>
      <c r="AC31" s="19"/>
      <c r="AD31" s="19"/>
      <c r="AE31" s="15">
        <f t="shared" si="8"/>
        <v>-125.45454545457051</v>
      </c>
      <c r="AF31" s="383">
        <f t="shared" si="9"/>
        <v>0.94772727272726232</v>
      </c>
      <c r="AG31" s="619"/>
    </row>
    <row r="32" spans="1:33" ht="15.75" customHeight="1">
      <c r="A32" s="636" t="s">
        <v>1866</v>
      </c>
      <c r="B32" s="33" t="s">
        <v>27</v>
      </c>
      <c r="C32" s="635" t="s">
        <v>28</v>
      </c>
      <c r="D32" s="635"/>
      <c r="E32" s="33">
        <v>31.29</v>
      </c>
      <c r="F32" s="388">
        <v>3557</v>
      </c>
      <c r="G32" s="382">
        <f t="shared" si="23"/>
        <v>111298.53</v>
      </c>
      <c r="H32" s="389" t="s">
        <v>5</v>
      </c>
      <c r="I32" s="385">
        <v>18</v>
      </c>
      <c r="J32" s="30">
        <v>2400</v>
      </c>
      <c r="K32" s="13">
        <f t="shared" si="1"/>
        <v>133.33333333333334</v>
      </c>
      <c r="L32" s="385">
        <v>18</v>
      </c>
      <c r="M32" s="14">
        <f t="shared" si="24"/>
        <v>2294.8387096774195</v>
      </c>
      <c r="N32" s="13">
        <f t="shared" si="3"/>
        <v>127.4910394265233</v>
      </c>
      <c r="O32" s="15">
        <f t="shared" si="4"/>
        <v>0</v>
      </c>
      <c r="P32" s="16">
        <f t="shared" si="5"/>
        <v>-5.8422939068100419</v>
      </c>
      <c r="Q32" s="383">
        <f t="shared" si="6"/>
        <v>0.95618279569892473</v>
      </c>
      <c r="R32" s="619"/>
      <c r="S32" s="31">
        <v>0.54583333333333317</v>
      </c>
      <c r="T32" s="31">
        <v>0.6104166666666665</v>
      </c>
      <c r="U32" s="382">
        <f t="shared" si="26"/>
        <v>59.999999999999787</v>
      </c>
      <c r="V32" s="386">
        <f t="shared" si="25"/>
        <v>92.999999999999986</v>
      </c>
      <c r="W32" s="17"/>
      <c r="X32" s="17"/>
      <c r="Y32" s="17"/>
      <c r="Z32" s="17"/>
      <c r="AA32" s="610"/>
      <c r="AB32" s="610"/>
      <c r="AC32" s="19"/>
      <c r="AD32" s="19"/>
      <c r="AE32" s="15">
        <f t="shared" si="8"/>
        <v>-105.1612903225805</v>
      </c>
      <c r="AF32" s="383">
        <f t="shared" si="9"/>
        <v>0.95618279569892484</v>
      </c>
      <c r="AG32" s="619"/>
    </row>
    <row r="33" spans="1:33" ht="15.75" customHeight="1">
      <c r="A33" s="636" t="s">
        <v>1866</v>
      </c>
      <c r="B33" s="33" t="s">
        <v>180</v>
      </c>
      <c r="C33" s="620"/>
      <c r="D33" s="620"/>
      <c r="E33" s="384"/>
      <c r="F33" s="388"/>
      <c r="G33" s="382"/>
      <c r="H33" s="388"/>
      <c r="I33" s="23">
        <v>16.666666666666668</v>
      </c>
      <c r="J33" s="30">
        <v>2400</v>
      </c>
      <c r="K33" s="13">
        <f t="shared" si="1"/>
        <v>144</v>
      </c>
      <c r="L33" s="23">
        <v>16.666666666666668</v>
      </c>
      <c r="M33" s="14">
        <f>AVERAGE(M27:M32)</f>
        <v>2289.3346150344455</v>
      </c>
      <c r="N33" s="13">
        <f t="shared" si="3"/>
        <v>137.36007690206671</v>
      </c>
      <c r="O33" s="15">
        <f t="shared" si="4"/>
        <v>0</v>
      </c>
      <c r="P33" s="16">
        <f t="shared" si="5"/>
        <v>-6.6399230979332913</v>
      </c>
      <c r="Q33" s="383">
        <f t="shared" si="6"/>
        <v>0.95388942293101886</v>
      </c>
      <c r="R33" s="619"/>
      <c r="S33" s="31"/>
      <c r="T33" s="31"/>
      <c r="U33" s="382"/>
      <c r="V33" s="386"/>
      <c r="W33" s="382"/>
      <c r="X33" s="382"/>
      <c r="Y33" s="24">
        <f>SUM(Y27:Y32)</f>
        <v>0</v>
      </c>
      <c r="Z33" s="24">
        <f>SUM(Z27:Z32)</f>
        <v>0</v>
      </c>
      <c r="AA33" s="609"/>
      <c r="AB33" s="609"/>
      <c r="AC33" s="24">
        <v>6</v>
      </c>
      <c r="AD33" s="24">
        <f>SUM(AD27:AD32)</f>
        <v>0</v>
      </c>
      <c r="AE33" s="15">
        <f t="shared" si="8"/>
        <v>-110.66538496555449</v>
      </c>
      <c r="AF33" s="383">
        <f t="shared" si="9"/>
        <v>0.95388942293101897</v>
      </c>
      <c r="AG33" s="619"/>
    </row>
    <row r="34" spans="1:33" ht="15.75" customHeight="1">
      <c r="A34" s="633" t="s">
        <v>1867</v>
      </c>
      <c r="B34" s="33" t="s">
        <v>27</v>
      </c>
      <c r="C34" s="611" t="s">
        <v>33</v>
      </c>
      <c r="D34" s="611"/>
      <c r="E34" s="33">
        <v>26.18</v>
      </c>
      <c r="F34" s="388">
        <v>5253</v>
      </c>
      <c r="G34" s="382">
        <f t="shared" ref="G34:G39" si="27">E34*F34</f>
        <v>137523.54</v>
      </c>
      <c r="H34" s="389" t="s">
        <v>5</v>
      </c>
      <c r="I34" s="385">
        <v>20</v>
      </c>
      <c r="J34" s="30">
        <v>2400</v>
      </c>
      <c r="K34" s="13">
        <f t="shared" si="1"/>
        <v>120</v>
      </c>
      <c r="L34" s="385">
        <v>20</v>
      </c>
      <c r="M34" s="14">
        <f t="shared" ref="M34:M39" si="28">F34/V34*60</f>
        <v>2283.9130434782614</v>
      </c>
      <c r="N34" s="13">
        <f t="shared" si="3"/>
        <v>114.19565217391307</v>
      </c>
      <c r="O34" s="15">
        <f t="shared" si="4"/>
        <v>0</v>
      </c>
      <c r="P34" s="16">
        <f t="shared" si="5"/>
        <v>-5.804347826086925</v>
      </c>
      <c r="Q34" s="383">
        <f t="shared" si="6"/>
        <v>0.951630434782609</v>
      </c>
      <c r="R34" s="619">
        <f>Q40</f>
        <v>0.95737184578245238</v>
      </c>
      <c r="S34" s="31">
        <v>8.3333333333333329E-2</v>
      </c>
      <c r="T34" s="31">
        <v>0.17916666666666664</v>
      </c>
      <c r="U34" s="382"/>
      <c r="V34" s="386">
        <f t="shared" ref="V34:V39" si="29">(T34-S34)*24*60</f>
        <v>137.99999999999997</v>
      </c>
      <c r="W34" s="22">
        <f>T34</f>
        <v>0.17916666666666664</v>
      </c>
      <c r="X34" s="22">
        <f>S35</f>
        <v>0.19861111111111107</v>
      </c>
      <c r="Y34" s="22"/>
      <c r="Z34" s="22"/>
      <c r="AA34" s="610"/>
      <c r="AB34" s="610"/>
      <c r="AC34" s="19">
        <v>6</v>
      </c>
      <c r="AD34" s="19"/>
      <c r="AE34" s="15">
        <f t="shared" si="8"/>
        <v>-116.08695652173856</v>
      </c>
      <c r="AF34" s="383">
        <f t="shared" si="9"/>
        <v>0.95163043478260889</v>
      </c>
      <c r="AG34" s="619">
        <f>AF40</f>
        <v>0.95737184578245249</v>
      </c>
    </row>
    <row r="35" spans="1:33" ht="15.75" customHeight="1">
      <c r="A35" s="633" t="s">
        <v>1867</v>
      </c>
      <c r="B35" s="33" t="s">
        <v>27</v>
      </c>
      <c r="C35" s="611" t="s">
        <v>30</v>
      </c>
      <c r="D35" s="611"/>
      <c r="E35" s="33">
        <v>26.18</v>
      </c>
      <c r="F35" s="388">
        <v>7067</v>
      </c>
      <c r="G35" s="382">
        <f t="shared" si="27"/>
        <v>185014.06</v>
      </c>
      <c r="H35" s="389" t="s">
        <v>5</v>
      </c>
      <c r="I35" s="385">
        <v>18</v>
      </c>
      <c r="J35" s="30">
        <v>2400</v>
      </c>
      <c r="K35" s="13">
        <f t="shared" si="1"/>
        <v>133.33333333333334</v>
      </c>
      <c r="L35" s="385">
        <v>18</v>
      </c>
      <c r="M35" s="14">
        <f t="shared" si="28"/>
        <v>2292</v>
      </c>
      <c r="N35" s="13">
        <f t="shared" si="3"/>
        <v>127.33333333333333</v>
      </c>
      <c r="O35" s="15">
        <f t="shared" si="4"/>
        <v>0</v>
      </c>
      <c r="P35" s="16">
        <f t="shared" si="5"/>
        <v>-6.0000000000000142</v>
      </c>
      <c r="Q35" s="383">
        <f t="shared" si="6"/>
        <v>0.95499999999999985</v>
      </c>
      <c r="R35" s="619"/>
      <c r="S35" s="31">
        <v>0.19861111111111107</v>
      </c>
      <c r="T35" s="31">
        <v>0.32708333333333328</v>
      </c>
      <c r="U35" s="382">
        <f t="shared" ref="U35:U39" si="30">(S35-T34)*24*60</f>
        <v>27.999999999999979</v>
      </c>
      <c r="V35" s="386">
        <f t="shared" si="29"/>
        <v>184.99999999999997</v>
      </c>
      <c r="W35" s="382"/>
      <c r="X35" s="382"/>
      <c r="Y35" s="382"/>
      <c r="Z35" s="382"/>
      <c r="AA35" s="610"/>
      <c r="AB35" s="610"/>
      <c r="AC35" s="19"/>
      <c r="AD35" s="19"/>
      <c r="AE35" s="15">
        <f t="shared" si="8"/>
        <v>-108</v>
      </c>
      <c r="AF35" s="383">
        <f t="shared" si="9"/>
        <v>0.95499999999999996</v>
      </c>
      <c r="AG35" s="619"/>
    </row>
    <row r="36" spans="1:33">
      <c r="A36" s="634" t="s">
        <v>1867</v>
      </c>
      <c r="B36" s="33" t="s">
        <v>27</v>
      </c>
      <c r="C36" s="611" t="s">
        <v>35</v>
      </c>
      <c r="D36" s="611"/>
      <c r="E36" s="33">
        <v>34.1</v>
      </c>
      <c r="F36" s="388">
        <v>3100</v>
      </c>
      <c r="G36" s="382">
        <f t="shared" si="27"/>
        <v>105710</v>
      </c>
      <c r="H36" s="389">
        <v>2</v>
      </c>
      <c r="I36" s="385">
        <v>17</v>
      </c>
      <c r="J36" s="30">
        <v>1600</v>
      </c>
      <c r="K36" s="13">
        <f t="shared" si="1"/>
        <v>94.117647058823536</v>
      </c>
      <c r="L36" s="385">
        <v>17</v>
      </c>
      <c r="M36" s="14">
        <f t="shared" si="28"/>
        <v>1537.1900826446283</v>
      </c>
      <c r="N36" s="13">
        <f t="shared" si="3"/>
        <v>90.422946037919317</v>
      </c>
      <c r="O36" s="15">
        <f t="shared" si="4"/>
        <v>0</v>
      </c>
      <c r="P36" s="16">
        <f t="shared" si="5"/>
        <v>-3.694701020904219</v>
      </c>
      <c r="Q36" s="383">
        <f t="shared" si="6"/>
        <v>0.96074380165289264</v>
      </c>
      <c r="R36" s="619"/>
      <c r="S36" s="31">
        <v>0.33055555555555549</v>
      </c>
      <c r="T36" s="31">
        <v>0.41458333333333325</v>
      </c>
      <c r="U36" s="382">
        <f t="shared" si="30"/>
        <v>4.9999999999999822</v>
      </c>
      <c r="V36" s="386">
        <f t="shared" si="29"/>
        <v>120.99999999999997</v>
      </c>
      <c r="W36" s="382"/>
      <c r="X36" s="382"/>
      <c r="Y36" s="382"/>
      <c r="Z36" s="382"/>
      <c r="AA36" s="610"/>
      <c r="AB36" s="610"/>
      <c r="AC36" s="19"/>
      <c r="AD36" s="19"/>
      <c r="AE36" s="15">
        <f t="shared" si="8"/>
        <v>-62.809917355371681</v>
      </c>
      <c r="AF36" s="383">
        <f t="shared" si="9"/>
        <v>0.96074380165289275</v>
      </c>
      <c r="AG36" s="619"/>
    </row>
    <row r="37" spans="1:33">
      <c r="A37" s="634" t="s">
        <v>1867</v>
      </c>
      <c r="B37" s="33" t="s">
        <v>27</v>
      </c>
      <c r="C37" s="611" t="s">
        <v>54</v>
      </c>
      <c r="D37" s="611"/>
      <c r="E37" s="33">
        <v>24.25</v>
      </c>
      <c r="F37" s="388">
        <v>1311</v>
      </c>
      <c r="G37" s="382">
        <f t="shared" si="27"/>
        <v>31791.75</v>
      </c>
      <c r="H37" s="389" t="s">
        <v>5</v>
      </c>
      <c r="I37" s="385">
        <v>16</v>
      </c>
      <c r="J37" s="30">
        <v>2400</v>
      </c>
      <c r="K37" s="13">
        <f t="shared" si="1"/>
        <v>150</v>
      </c>
      <c r="L37" s="385">
        <v>16</v>
      </c>
      <c r="M37" s="14">
        <f t="shared" si="28"/>
        <v>2313.5294117647086</v>
      </c>
      <c r="N37" s="13">
        <f t="shared" si="3"/>
        <v>144.59558823529429</v>
      </c>
      <c r="O37" s="15">
        <f t="shared" si="4"/>
        <v>0</v>
      </c>
      <c r="P37" s="16">
        <f t="shared" si="5"/>
        <v>-5.4044117647057135</v>
      </c>
      <c r="Q37" s="383">
        <f t="shared" si="6"/>
        <v>0.96397058823529524</v>
      </c>
      <c r="R37" s="619"/>
      <c r="S37" s="31">
        <v>0.4187499999999999</v>
      </c>
      <c r="T37" s="31">
        <v>0.44236111111111098</v>
      </c>
      <c r="U37" s="382">
        <f t="shared" si="30"/>
        <v>5.9999999999999787</v>
      </c>
      <c r="V37" s="386">
        <f t="shared" si="29"/>
        <v>33.999999999999957</v>
      </c>
      <c r="W37" s="17"/>
      <c r="X37" s="17"/>
      <c r="Y37" s="17"/>
      <c r="Z37" s="17"/>
      <c r="AA37" s="610"/>
      <c r="AB37" s="610"/>
      <c r="AC37" s="19"/>
      <c r="AD37" s="19"/>
      <c r="AE37" s="15">
        <f t="shared" si="8"/>
        <v>-86.470588235291416</v>
      </c>
      <c r="AF37" s="383">
        <f t="shared" si="9"/>
        <v>0.96397058823529524</v>
      </c>
      <c r="AG37" s="619"/>
    </row>
    <row r="38" spans="1:33">
      <c r="A38" s="634" t="s">
        <v>1867</v>
      </c>
      <c r="B38" s="33" t="s">
        <v>27</v>
      </c>
      <c r="C38" s="611" t="s">
        <v>32</v>
      </c>
      <c r="D38" s="611"/>
      <c r="E38" s="33">
        <v>25.99</v>
      </c>
      <c r="F38" s="388">
        <v>3165</v>
      </c>
      <c r="G38" s="382">
        <f t="shared" si="27"/>
        <v>82258.349999999991</v>
      </c>
      <c r="H38" s="389" t="s">
        <v>5</v>
      </c>
      <c r="I38" s="385">
        <v>14</v>
      </c>
      <c r="J38" s="30">
        <v>2400</v>
      </c>
      <c r="K38" s="13">
        <f t="shared" si="1"/>
        <v>171.42857142857142</v>
      </c>
      <c r="L38" s="385">
        <v>14</v>
      </c>
      <c r="M38" s="14">
        <f t="shared" si="28"/>
        <v>2287.9518072289152</v>
      </c>
      <c r="N38" s="13">
        <f t="shared" si="3"/>
        <v>163.42512908777965</v>
      </c>
      <c r="O38" s="15">
        <f t="shared" si="4"/>
        <v>0</v>
      </c>
      <c r="P38" s="16">
        <f t="shared" si="5"/>
        <v>-8.0034423407917643</v>
      </c>
      <c r="Q38" s="383">
        <f t="shared" si="6"/>
        <v>0.95331325301204806</v>
      </c>
      <c r="R38" s="619"/>
      <c r="S38" s="31">
        <v>0.44583333333333319</v>
      </c>
      <c r="T38" s="31">
        <v>0.5034722222222221</v>
      </c>
      <c r="U38" s="382">
        <f t="shared" si="30"/>
        <v>4.9999999999999822</v>
      </c>
      <c r="V38" s="386">
        <f t="shared" si="29"/>
        <v>83.000000000000028</v>
      </c>
      <c r="W38" s="17">
        <f>T38</f>
        <v>0.5034722222222221</v>
      </c>
      <c r="X38" s="17">
        <f>S39</f>
        <v>0.54513888888888873</v>
      </c>
      <c r="Y38" s="17"/>
      <c r="Z38" s="17"/>
      <c r="AA38" s="610"/>
      <c r="AB38" s="610"/>
      <c r="AC38" s="19"/>
      <c r="AD38" s="19"/>
      <c r="AE38" s="15">
        <f t="shared" si="8"/>
        <v>-112.04819277108481</v>
      </c>
      <c r="AF38" s="383">
        <f t="shared" si="9"/>
        <v>0.95331325301204795</v>
      </c>
      <c r="AG38" s="619"/>
    </row>
    <row r="39" spans="1:33">
      <c r="A39" s="634" t="s">
        <v>1867</v>
      </c>
      <c r="B39" s="33" t="s">
        <v>27</v>
      </c>
      <c r="C39" s="611" t="s">
        <v>35</v>
      </c>
      <c r="D39" s="611"/>
      <c r="E39" s="33">
        <v>34.1</v>
      </c>
      <c r="F39" s="388">
        <v>2284</v>
      </c>
      <c r="G39" s="382">
        <f t="shared" si="27"/>
        <v>77884.400000000009</v>
      </c>
      <c r="H39" s="389" t="s">
        <v>5</v>
      </c>
      <c r="I39" s="385">
        <v>17</v>
      </c>
      <c r="J39" s="30">
        <v>1600</v>
      </c>
      <c r="K39" s="13">
        <f t="shared" si="1"/>
        <v>94.117647058823536</v>
      </c>
      <c r="L39" s="385">
        <v>17</v>
      </c>
      <c r="M39" s="14">
        <f t="shared" si="28"/>
        <v>1539.7752808988764</v>
      </c>
      <c r="N39" s="13">
        <f t="shared" si="3"/>
        <v>90.575016523463319</v>
      </c>
      <c r="O39" s="15">
        <f t="shared" si="4"/>
        <v>0</v>
      </c>
      <c r="P39" s="16">
        <f t="shared" si="5"/>
        <v>-3.5426305353602174</v>
      </c>
      <c r="Q39" s="383">
        <f t="shared" si="6"/>
        <v>0.96235955056179767</v>
      </c>
      <c r="R39" s="619"/>
      <c r="S39" s="31">
        <v>0.54513888888888873</v>
      </c>
      <c r="T39" s="31">
        <v>0.60694444444444429</v>
      </c>
      <c r="U39" s="382">
        <f t="shared" si="30"/>
        <v>59.999999999999943</v>
      </c>
      <c r="V39" s="386">
        <f t="shared" si="29"/>
        <v>89</v>
      </c>
      <c r="W39" s="17"/>
      <c r="X39" s="17"/>
      <c r="Y39" s="17"/>
      <c r="Z39" s="17"/>
      <c r="AA39" s="610"/>
      <c r="AB39" s="610"/>
      <c r="AC39" s="19"/>
      <c r="AD39" s="19"/>
      <c r="AE39" s="15">
        <f t="shared" si="8"/>
        <v>-60.224719101123583</v>
      </c>
      <c r="AF39" s="383">
        <f t="shared" si="9"/>
        <v>0.96235955056179778</v>
      </c>
      <c r="AG39" s="619"/>
    </row>
    <row r="40" spans="1:33">
      <c r="A40" s="634" t="s">
        <v>1867</v>
      </c>
      <c r="B40" s="34" t="s">
        <v>1868</v>
      </c>
      <c r="C40" s="620"/>
      <c r="D40" s="620"/>
      <c r="E40" s="384"/>
      <c r="F40" s="34"/>
      <c r="G40" s="13"/>
      <c r="H40" s="388"/>
      <c r="I40" s="23">
        <v>17</v>
      </c>
      <c r="J40" s="30">
        <v>2133.3333333333335</v>
      </c>
      <c r="K40" s="13">
        <f t="shared" si="1"/>
        <v>125.49019607843138</v>
      </c>
      <c r="L40" s="23">
        <v>17</v>
      </c>
      <c r="M40" s="14">
        <f>AVERAGE(M34:M39)</f>
        <v>2042.3932710025654</v>
      </c>
      <c r="N40" s="13">
        <f t="shared" si="3"/>
        <v>120.14078064720972</v>
      </c>
      <c r="O40" s="15">
        <f t="shared" si="4"/>
        <v>0</v>
      </c>
      <c r="P40" s="16">
        <f t="shared" si="5"/>
        <v>-5.349415431221658</v>
      </c>
      <c r="Q40" s="383">
        <f t="shared" si="6"/>
        <v>0.95737184578245238</v>
      </c>
      <c r="R40" s="619"/>
      <c r="S40" s="31"/>
      <c r="T40" s="31"/>
      <c r="U40" s="13"/>
      <c r="V40" s="386"/>
      <c r="W40" s="13"/>
      <c r="X40" s="13"/>
      <c r="Y40" s="24">
        <f>SUM(Y34:Y39)</f>
        <v>0</v>
      </c>
      <c r="Z40" s="24">
        <f>SUM(Z34:Z39)</f>
        <v>0</v>
      </c>
      <c r="AA40" s="609"/>
      <c r="AB40" s="609"/>
      <c r="AC40" s="24">
        <v>6</v>
      </c>
      <c r="AD40" s="24">
        <f>SUM(AD34:AD39)</f>
        <v>0</v>
      </c>
      <c r="AE40" s="15">
        <f t="shared" si="8"/>
        <v>-90.940062330768114</v>
      </c>
      <c r="AF40" s="383">
        <f t="shared" si="9"/>
        <v>0.95737184578245249</v>
      </c>
      <c r="AG40" s="619"/>
    </row>
    <row r="41" spans="1:33" ht="15.75" customHeight="1">
      <c r="A41" s="630" t="s">
        <v>1869</v>
      </c>
      <c r="B41" s="33" t="s">
        <v>36</v>
      </c>
      <c r="C41" s="612" t="s">
        <v>37</v>
      </c>
      <c r="D41" s="613"/>
      <c r="E41" s="33">
        <v>21.13</v>
      </c>
      <c r="F41" s="388">
        <v>4873</v>
      </c>
      <c r="G41" s="382">
        <f t="shared" ref="G41:G43" si="31">E41*F41</f>
        <v>102966.48999999999</v>
      </c>
      <c r="H41" s="389" t="s">
        <v>5</v>
      </c>
      <c r="I41" s="385">
        <v>10</v>
      </c>
      <c r="J41" s="30">
        <v>3000</v>
      </c>
      <c r="K41" s="13">
        <f t="shared" si="1"/>
        <v>300</v>
      </c>
      <c r="L41" s="385">
        <v>10</v>
      </c>
      <c r="M41" s="14">
        <f t="shared" ref="M41:M43" si="32">F41/V41*60</f>
        <v>2866.4705882352941</v>
      </c>
      <c r="N41" s="14">
        <f t="shared" si="3"/>
        <v>286.64705882352939</v>
      </c>
      <c r="O41" s="15">
        <f t="shared" si="4"/>
        <v>0</v>
      </c>
      <c r="P41" s="16">
        <f t="shared" si="5"/>
        <v>-13.352941176470608</v>
      </c>
      <c r="Q41" s="383">
        <f t="shared" si="6"/>
        <v>0.95549019607843133</v>
      </c>
      <c r="R41" s="625">
        <f>Q44</f>
        <v>0.9558556985294121</v>
      </c>
      <c r="S41" s="31">
        <v>0.20833333333333334</v>
      </c>
      <c r="T41" s="31">
        <v>0.27916666666666667</v>
      </c>
      <c r="U41" s="22"/>
      <c r="V41" s="386">
        <f t="shared" ref="V41:V43" si="33">(T41-S41)*24*60</f>
        <v>102</v>
      </c>
      <c r="W41" s="17"/>
      <c r="X41" s="17"/>
      <c r="Y41" s="20"/>
      <c r="Z41" s="20"/>
      <c r="AA41" s="614"/>
      <c r="AB41" s="615"/>
      <c r="AC41" s="19">
        <v>3</v>
      </c>
      <c r="AD41" s="19"/>
      <c r="AE41" s="15">
        <f t="shared" si="8"/>
        <v>-133.52941176470586</v>
      </c>
      <c r="AF41" s="383">
        <f t="shared" si="9"/>
        <v>0.95549019607843133</v>
      </c>
      <c r="AG41" s="625">
        <f>AF44</f>
        <v>0.9558556985294121</v>
      </c>
    </row>
    <row r="42" spans="1:33" ht="15.75" customHeight="1">
      <c r="A42" s="631" t="s">
        <v>1869</v>
      </c>
      <c r="B42" s="33" t="s">
        <v>36</v>
      </c>
      <c r="C42" s="612" t="s">
        <v>46</v>
      </c>
      <c r="D42" s="613"/>
      <c r="E42" s="33">
        <v>35.119999999999997</v>
      </c>
      <c r="F42" s="388">
        <v>4607</v>
      </c>
      <c r="G42" s="382">
        <f t="shared" si="31"/>
        <v>161797.84</v>
      </c>
      <c r="H42" s="389" t="s">
        <v>5</v>
      </c>
      <c r="I42" s="385">
        <v>10</v>
      </c>
      <c r="J42" s="30">
        <v>3000</v>
      </c>
      <c r="K42" s="13">
        <f t="shared" si="1"/>
        <v>300</v>
      </c>
      <c r="L42" s="385">
        <v>10</v>
      </c>
      <c r="M42" s="14">
        <f t="shared" si="32"/>
        <v>2879.3750000000009</v>
      </c>
      <c r="N42" s="14">
        <f t="shared" si="3"/>
        <v>287.93750000000011</v>
      </c>
      <c r="O42" s="15">
        <f t="shared" si="4"/>
        <v>0</v>
      </c>
      <c r="P42" s="16">
        <f t="shared" si="5"/>
        <v>-12.062499999999886</v>
      </c>
      <c r="Q42" s="383">
        <f t="shared" si="6"/>
        <v>0.95979166666666704</v>
      </c>
      <c r="R42" s="626"/>
      <c r="S42" s="31">
        <v>0.28333333333333333</v>
      </c>
      <c r="T42" s="31">
        <v>0.35</v>
      </c>
      <c r="U42" s="382">
        <f t="shared" ref="U42:U43" si="34">(S42-T41)*24*60</f>
        <v>5.9999999999999787</v>
      </c>
      <c r="V42" s="386">
        <f t="shared" si="33"/>
        <v>95.999999999999972</v>
      </c>
      <c r="W42" s="17"/>
      <c r="X42" s="17"/>
      <c r="Y42" s="20"/>
      <c r="Z42" s="20"/>
      <c r="AA42" s="614"/>
      <c r="AB42" s="615"/>
      <c r="AC42" s="19"/>
      <c r="AD42" s="19"/>
      <c r="AE42" s="15">
        <f t="shared" si="8"/>
        <v>-120.62499999999909</v>
      </c>
      <c r="AF42" s="383">
        <f t="shared" si="9"/>
        <v>0.95979166666666693</v>
      </c>
      <c r="AG42" s="626"/>
    </row>
    <row r="43" spans="1:33" ht="15.75" customHeight="1">
      <c r="A43" s="631" t="s">
        <v>1869</v>
      </c>
      <c r="B43" s="33" t="s">
        <v>36</v>
      </c>
      <c r="C43" s="612" t="s">
        <v>1511</v>
      </c>
      <c r="D43" s="613"/>
      <c r="E43" s="33">
        <v>37.880000000000003</v>
      </c>
      <c r="F43" s="388">
        <v>3802</v>
      </c>
      <c r="G43" s="382">
        <f t="shared" si="31"/>
        <v>144019.76</v>
      </c>
      <c r="H43" s="389" t="s">
        <v>5</v>
      </c>
      <c r="I43" s="385">
        <v>13</v>
      </c>
      <c r="J43" s="30">
        <v>2000</v>
      </c>
      <c r="K43" s="13">
        <f t="shared" si="1"/>
        <v>153.84615384615384</v>
      </c>
      <c r="L43" s="385">
        <v>13</v>
      </c>
      <c r="M43" s="14">
        <f t="shared" si="32"/>
        <v>1901.0000000000005</v>
      </c>
      <c r="N43" s="14">
        <f t="shared" si="3"/>
        <v>146.23076923076925</v>
      </c>
      <c r="O43" s="15">
        <f t="shared" si="4"/>
        <v>0</v>
      </c>
      <c r="P43" s="16">
        <f t="shared" si="5"/>
        <v>-7.6153846153845848</v>
      </c>
      <c r="Q43" s="383">
        <f t="shared" si="6"/>
        <v>0.95050000000000023</v>
      </c>
      <c r="R43" s="626"/>
      <c r="S43" s="31">
        <v>0.35555555555555551</v>
      </c>
      <c r="T43" s="31">
        <v>0.43888888888888883</v>
      </c>
      <c r="U43" s="382">
        <f t="shared" si="34"/>
        <v>7.9999999999999716</v>
      </c>
      <c r="V43" s="386">
        <f t="shared" si="33"/>
        <v>119.99999999999997</v>
      </c>
      <c r="W43" s="17"/>
      <c r="X43" s="17"/>
      <c r="Y43" s="20"/>
      <c r="Z43" s="20"/>
      <c r="AA43" s="614"/>
      <c r="AB43" s="615"/>
      <c r="AC43" s="19"/>
      <c r="AD43" s="19"/>
      <c r="AE43" s="15">
        <f t="shared" si="8"/>
        <v>-98.999999999999545</v>
      </c>
      <c r="AF43" s="383">
        <f t="shared" si="9"/>
        <v>0.95050000000000023</v>
      </c>
      <c r="AG43" s="626"/>
    </row>
    <row r="44" spans="1:33" ht="15.75" customHeight="1">
      <c r="A44" s="632" t="s">
        <v>1869</v>
      </c>
      <c r="B44" s="33" t="s">
        <v>1868</v>
      </c>
      <c r="C44" s="607"/>
      <c r="D44" s="608"/>
      <c r="E44" s="380"/>
      <c r="F44" s="388"/>
      <c r="G44" s="382"/>
      <c r="H44" s="388"/>
      <c r="I44" s="23">
        <v>11</v>
      </c>
      <c r="J44" s="30">
        <v>2666.6666666666665</v>
      </c>
      <c r="K44" s="13">
        <f t="shared" si="1"/>
        <v>242.42424242424241</v>
      </c>
      <c r="L44" s="23">
        <v>11</v>
      </c>
      <c r="M44" s="14">
        <f>AVERAGE(M41:M43)</f>
        <v>2548.9485294117653</v>
      </c>
      <c r="N44" s="13">
        <f t="shared" si="3"/>
        <v>231.72259358288775</v>
      </c>
      <c r="O44" s="15">
        <f t="shared" si="4"/>
        <v>0</v>
      </c>
      <c r="P44" s="16">
        <f t="shared" si="5"/>
        <v>-10.701648841354654</v>
      </c>
      <c r="Q44" s="383">
        <f t="shared" si="6"/>
        <v>0.9558556985294121</v>
      </c>
      <c r="R44" s="627"/>
      <c r="S44" s="31"/>
      <c r="T44" s="31"/>
      <c r="U44" s="382"/>
      <c r="V44" s="386"/>
      <c r="W44" s="17"/>
      <c r="X44" s="17"/>
      <c r="Y44" s="24">
        <f>SUM(Y41:Y43)</f>
        <v>0</v>
      </c>
      <c r="Z44" s="24">
        <f>SUM(Z41:Z43)</f>
        <v>0</v>
      </c>
      <c r="AA44" s="628"/>
      <c r="AB44" s="629"/>
      <c r="AC44" s="24">
        <v>3</v>
      </c>
      <c r="AD44" s="24">
        <f>SUM(AD41:AD43)</f>
        <v>0</v>
      </c>
      <c r="AE44" s="15">
        <f t="shared" si="8"/>
        <v>-117.71813725490119</v>
      </c>
      <c r="AF44" s="383">
        <f t="shared" si="9"/>
        <v>0.9558556985294121</v>
      </c>
      <c r="AG44" s="627"/>
    </row>
    <row r="45" spans="1:33" ht="15.75" customHeight="1">
      <c r="A45" s="623" t="s">
        <v>1870</v>
      </c>
      <c r="B45" s="33" t="s">
        <v>10</v>
      </c>
      <c r="C45" s="611" t="s">
        <v>42</v>
      </c>
      <c r="D45" s="611"/>
      <c r="E45" s="33">
        <v>46</v>
      </c>
      <c r="F45" s="35">
        <v>846</v>
      </c>
      <c r="G45" s="382">
        <f t="shared" ref="G45:G52" si="35">E45*F45</f>
        <v>38916</v>
      </c>
      <c r="H45" s="389" t="s">
        <v>5</v>
      </c>
      <c r="I45" s="385">
        <v>16</v>
      </c>
      <c r="J45" s="30">
        <v>2000</v>
      </c>
      <c r="K45" s="13">
        <f t="shared" si="1"/>
        <v>125</v>
      </c>
      <c r="L45" s="385">
        <v>16</v>
      </c>
      <c r="M45" s="14">
        <f t="shared" ref="M45" si="36">F45/V45*60</f>
        <v>1952.3076923076933</v>
      </c>
      <c r="N45" s="14">
        <f t="shared" si="3"/>
        <v>122.01923076923083</v>
      </c>
      <c r="O45" s="15">
        <f t="shared" si="4"/>
        <v>0</v>
      </c>
      <c r="P45" s="16">
        <f t="shared" si="5"/>
        <v>-2.9807692307691696</v>
      </c>
      <c r="Q45" s="383">
        <f t="shared" si="6"/>
        <v>0.97615384615384659</v>
      </c>
      <c r="R45" s="619">
        <f>Q53</f>
        <v>0.96165427751394805</v>
      </c>
      <c r="S45" s="31">
        <v>0.20833333333333334</v>
      </c>
      <c r="T45" s="31">
        <v>0.22638888888888889</v>
      </c>
      <c r="U45" s="22"/>
      <c r="V45" s="386">
        <f t="shared" ref="V45:V52" si="37">(T45-S45)*24*60</f>
        <v>25.999999999999986</v>
      </c>
      <c r="W45" s="17"/>
      <c r="X45" s="17"/>
      <c r="Y45" s="22"/>
      <c r="Z45" s="22"/>
      <c r="AA45" s="610"/>
      <c r="AB45" s="610"/>
      <c r="AC45" s="19">
        <v>8</v>
      </c>
      <c r="AD45" s="19"/>
      <c r="AE45" s="15">
        <f t="shared" si="8"/>
        <v>-47.692307692306713</v>
      </c>
      <c r="AF45" s="383">
        <f t="shared" si="9"/>
        <v>0.97615384615384659</v>
      </c>
      <c r="AG45" s="619">
        <f>AF53</f>
        <v>0.96165427751394805</v>
      </c>
    </row>
    <row r="46" spans="1:33" ht="15.75" customHeight="1">
      <c r="A46" s="623" t="s">
        <v>1870</v>
      </c>
      <c r="B46" s="33" t="s">
        <v>10</v>
      </c>
      <c r="C46" s="611" t="s">
        <v>43</v>
      </c>
      <c r="D46" s="611"/>
      <c r="E46" s="33">
        <v>46</v>
      </c>
      <c r="F46" s="35">
        <v>925</v>
      </c>
      <c r="G46" s="382">
        <f t="shared" si="35"/>
        <v>42550</v>
      </c>
      <c r="H46" s="389" t="s">
        <v>5</v>
      </c>
      <c r="I46" s="385">
        <v>17</v>
      </c>
      <c r="J46" s="30">
        <v>2000</v>
      </c>
      <c r="K46" s="13">
        <f t="shared" si="1"/>
        <v>117.64705882352941</v>
      </c>
      <c r="L46" s="385">
        <v>17</v>
      </c>
      <c r="M46" s="14">
        <f>F46/V46*60</f>
        <v>1913.7931034482772</v>
      </c>
      <c r="N46" s="14">
        <f t="shared" si="3"/>
        <v>112.57606490872219</v>
      </c>
      <c r="O46" s="15">
        <f t="shared" si="4"/>
        <v>0</v>
      </c>
      <c r="P46" s="16">
        <f t="shared" si="5"/>
        <v>-5.0709939148072181</v>
      </c>
      <c r="Q46" s="383">
        <f t="shared" si="6"/>
        <v>0.95689655172413868</v>
      </c>
      <c r="R46" s="619"/>
      <c r="S46" s="31">
        <v>0.23125000000000001</v>
      </c>
      <c r="T46" s="31">
        <v>0.25138888888888888</v>
      </c>
      <c r="U46" s="382">
        <f t="shared" ref="U46:U52" si="38">IF(S46=TIME(17,0,0),"",(S46-T45)*24*60)</f>
        <v>7.0000000000000151</v>
      </c>
      <c r="V46" s="386">
        <f t="shared" si="37"/>
        <v>28.999999999999979</v>
      </c>
      <c r="W46" s="17"/>
      <c r="X46" s="17"/>
      <c r="Y46" s="17"/>
      <c r="Z46" s="17"/>
      <c r="AA46" s="610"/>
      <c r="AB46" s="610"/>
      <c r="AC46" s="19"/>
      <c r="AD46" s="19"/>
      <c r="AE46" s="15">
        <f t="shared" si="8"/>
        <v>-86.206896551722821</v>
      </c>
      <c r="AF46" s="383">
        <f t="shared" si="9"/>
        <v>0.95689655172413857</v>
      </c>
      <c r="AG46" s="619"/>
    </row>
    <row r="47" spans="1:33" ht="15.75" customHeight="1">
      <c r="A47" s="623" t="s">
        <v>1870</v>
      </c>
      <c r="B47" s="33" t="s">
        <v>6</v>
      </c>
      <c r="C47" s="612" t="s">
        <v>41</v>
      </c>
      <c r="D47" s="613"/>
      <c r="E47" s="33">
        <v>51.44</v>
      </c>
      <c r="F47" s="35">
        <v>1097</v>
      </c>
      <c r="G47" s="382">
        <f t="shared" si="35"/>
        <v>56429.68</v>
      </c>
      <c r="H47" s="389" t="s">
        <v>5</v>
      </c>
      <c r="I47" s="385">
        <v>25</v>
      </c>
      <c r="J47" s="30">
        <v>2000</v>
      </c>
      <c r="K47" s="13">
        <f t="shared" si="1"/>
        <v>80</v>
      </c>
      <c r="L47" s="385">
        <v>25</v>
      </c>
      <c r="M47" s="14">
        <f t="shared" ref="M47:M52" si="39">F47/V47*60</f>
        <v>1935.8823529411738</v>
      </c>
      <c r="N47" s="14">
        <f t="shared" si="3"/>
        <v>77.435294117646947</v>
      </c>
      <c r="O47" s="15">
        <f t="shared" si="4"/>
        <v>0</v>
      </c>
      <c r="P47" s="16">
        <f t="shared" si="5"/>
        <v>-2.5647058823530529</v>
      </c>
      <c r="Q47" s="383">
        <f t="shared" si="6"/>
        <v>0.96794117647058686</v>
      </c>
      <c r="R47" s="619"/>
      <c r="S47" s="31">
        <v>0.25694444444444442</v>
      </c>
      <c r="T47" s="31">
        <v>0.28055555555555556</v>
      </c>
      <c r="U47" s="382">
        <f t="shared" si="38"/>
        <v>7.9999999999999716</v>
      </c>
      <c r="V47" s="386">
        <f t="shared" si="37"/>
        <v>34.000000000000043</v>
      </c>
      <c r="W47" s="17"/>
      <c r="X47" s="17"/>
      <c r="Y47" s="20"/>
      <c r="Z47" s="20"/>
      <c r="AA47" s="610"/>
      <c r="AB47" s="610"/>
      <c r="AC47" s="19"/>
      <c r="AD47" s="19"/>
      <c r="AE47" s="15">
        <f t="shared" si="8"/>
        <v>-64.117647058826151</v>
      </c>
      <c r="AF47" s="383">
        <f t="shared" si="9"/>
        <v>0.96794117647058697</v>
      </c>
      <c r="AG47" s="619"/>
    </row>
    <row r="48" spans="1:33" ht="15.75" customHeight="1">
      <c r="A48" s="623" t="s">
        <v>1870</v>
      </c>
      <c r="B48" s="33" t="s">
        <v>6</v>
      </c>
      <c r="C48" s="376" t="s">
        <v>77</v>
      </c>
      <c r="D48" s="377"/>
      <c r="E48" s="33">
        <v>56.43</v>
      </c>
      <c r="F48" s="35">
        <v>943</v>
      </c>
      <c r="G48" s="382">
        <f t="shared" si="35"/>
        <v>53213.49</v>
      </c>
      <c r="H48" s="389" t="s">
        <v>5</v>
      </c>
      <c r="I48" s="385">
        <v>23</v>
      </c>
      <c r="J48" s="30">
        <v>2000</v>
      </c>
      <c r="K48" s="13">
        <f t="shared" si="1"/>
        <v>86.956521739130437</v>
      </c>
      <c r="L48" s="385">
        <v>23</v>
      </c>
      <c r="M48" s="14">
        <f t="shared" si="39"/>
        <v>1951.0344827586223</v>
      </c>
      <c r="N48" s="14">
        <f t="shared" si="3"/>
        <v>84.827586206896626</v>
      </c>
      <c r="O48" s="15">
        <f t="shared" si="4"/>
        <v>0</v>
      </c>
      <c r="P48" s="16">
        <f t="shared" si="5"/>
        <v>-2.128935532233811</v>
      </c>
      <c r="Q48" s="383">
        <f t="shared" si="6"/>
        <v>0.97551724137931117</v>
      </c>
      <c r="R48" s="619"/>
      <c r="S48" s="31">
        <v>0.28402777777777777</v>
      </c>
      <c r="T48" s="31">
        <v>0.30416666666666664</v>
      </c>
      <c r="U48" s="382">
        <f t="shared" si="38"/>
        <v>4.9999999999999822</v>
      </c>
      <c r="V48" s="386">
        <f t="shared" si="37"/>
        <v>28.999999999999979</v>
      </c>
      <c r="W48" s="17"/>
      <c r="X48" s="17"/>
      <c r="Y48" s="20"/>
      <c r="Z48" s="20"/>
      <c r="AA48" s="610"/>
      <c r="AB48" s="610"/>
      <c r="AC48" s="19"/>
      <c r="AD48" s="19"/>
      <c r="AE48" s="15">
        <f t="shared" si="8"/>
        <v>-48.965517241377711</v>
      </c>
      <c r="AF48" s="383">
        <f t="shared" si="9"/>
        <v>0.97551724137931117</v>
      </c>
      <c r="AG48" s="619"/>
    </row>
    <row r="49" spans="1:33" ht="15.75" customHeight="1">
      <c r="A49" s="623" t="s">
        <v>1870</v>
      </c>
      <c r="B49" s="33" t="s">
        <v>6</v>
      </c>
      <c r="C49" s="376" t="s">
        <v>1513</v>
      </c>
      <c r="D49" s="377"/>
      <c r="E49" s="33">
        <v>56.43</v>
      </c>
      <c r="F49" s="35">
        <v>1939</v>
      </c>
      <c r="G49" s="382">
        <f t="shared" si="35"/>
        <v>109417.77</v>
      </c>
      <c r="H49" s="389" t="s">
        <v>5</v>
      </c>
      <c r="I49" s="385">
        <v>21</v>
      </c>
      <c r="J49" s="30">
        <v>2000</v>
      </c>
      <c r="K49" s="13">
        <f t="shared" si="1"/>
        <v>95.238095238095241</v>
      </c>
      <c r="L49" s="385">
        <v>21</v>
      </c>
      <c r="M49" s="14">
        <f t="shared" si="39"/>
        <v>1907.2131147540977</v>
      </c>
      <c r="N49" s="14">
        <f t="shared" si="3"/>
        <v>90.819672131147513</v>
      </c>
      <c r="O49" s="15">
        <f t="shared" si="4"/>
        <v>0</v>
      </c>
      <c r="P49" s="16">
        <f t="shared" si="5"/>
        <v>-4.4184231069477278</v>
      </c>
      <c r="Q49" s="383">
        <f t="shared" si="6"/>
        <v>0.95360655737704891</v>
      </c>
      <c r="R49" s="619"/>
      <c r="S49" s="31">
        <v>0.30902777777777773</v>
      </c>
      <c r="T49" s="31">
        <v>0.35138888888888886</v>
      </c>
      <c r="U49" s="382">
        <f t="shared" si="38"/>
        <v>6.9999999999999751</v>
      </c>
      <c r="V49" s="386">
        <f t="shared" si="37"/>
        <v>61.000000000000021</v>
      </c>
      <c r="W49" s="17"/>
      <c r="X49" s="17"/>
      <c r="Y49" s="20"/>
      <c r="Z49" s="20"/>
      <c r="AA49" s="610"/>
      <c r="AB49" s="610"/>
      <c r="AC49" s="19"/>
      <c r="AD49" s="19"/>
      <c r="AE49" s="15">
        <f t="shared" si="8"/>
        <v>-92.78688524590234</v>
      </c>
      <c r="AF49" s="383">
        <f t="shared" si="9"/>
        <v>0.9536065573770488</v>
      </c>
      <c r="AG49" s="619"/>
    </row>
    <row r="50" spans="1:33" ht="15.75" customHeight="1">
      <c r="A50" s="623" t="s">
        <v>1870</v>
      </c>
      <c r="B50" s="33" t="s">
        <v>6</v>
      </c>
      <c r="C50" s="612" t="s">
        <v>44</v>
      </c>
      <c r="D50" s="613"/>
      <c r="E50" s="33">
        <v>55.56</v>
      </c>
      <c r="F50" s="35">
        <v>2612</v>
      </c>
      <c r="G50" s="382">
        <f t="shared" si="35"/>
        <v>145122.72</v>
      </c>
      <c r="H50" s="389" t="s">
        <v>5</v>
      </c>
      <c r="I50" s="385">
        <v>17</v>
      </c>
      <c r="J50" s="30">
        <v>2000</v>
      </c>
      <c r="K50" s="13">
        <f t="shared" si="1"/>
        <v>117.64705882352941</v>
      </c>
      <c r="L50" s="385">
        <v>17</v>
      </c>
      <c r="M50" s="14">
        <f t="shared" si="39"/>
        <v>1911.2195121951213</v>
      </c>
      <c r="N50" s="14">
        <f t="shared" si="3"/>
        <v>112.4246771879483</v>
      </c>
      <c r="O50" s="15">
        <f t="shared" si="4"/>
        <v>0</v>
      </c>
      <c r="P50" s="16">
        <f t="shared" si="5"/>
        <v>-5.222381635581101</v>
      </c>
      <c r="Q50" s="383">
        <f t="shared" si="6"/>
        <v>0.9556097560975606</v>
      </c>
      <c r="R50" s="619"/>
      <c r="S50" s="31">
        <v>0.70833333333333337</v>
      </c>
      <c r="T50" s="31">
        <v>0.76527777777777783</v>
      </c>
      <c r="U50" s="382" t="str">
        <f t="shared" si="38"/>
        <v/>
      </c>
      <c r="V50" s="386">
        <f t="shared" si="37"/>
        <v>82.000000000000028</v>
      </c>
      <c r="W50" s="17"/>
      <c r="X50" s="17"/>
      <c r="Y50" s="20"/>
      <c r="Z50" s="20"/>
      <c r="AA50" s="614"/>
      <c r="AB50" s="615"/>
      <c r="AC50" s="19"/>
      <c r="AD50" s="19"/>
      <c r="AE50" s="15">
        <f t="shared" si="8"/>
        <v>-88.780487804878703</v>
      </c>
      <c r="AF50" s="383">
        <f t="shared" si="9"/>
        <v>0.9556097560975606</v>
      </c>
      <c r="AG50" s="619"/>
    </row>
    <row r="51" spans="1:33" ht="15.75" customHeight="1">
      <c r="A51" s="623" t="s">
        <v>1870</v>
      </c>
      <c r="B51" s="33" t="s">
        <v>6</v>
      </c>
      <c r="C51" s="612" t="s">
        <v>72</v>
      </c>
      <c r="D51" s="613"/>
      <c r="E51" s="33">
        <v>58.17</v>
      </c>
      <c r="F51" s="35">
        <v>1747</v>
      </c>
      <c r="G51" s="382">
        <f t="shared" si="35"/>
        <v>101622.99</v>
      </c>
      <c r="H51" s="389" t="s">
        <v>5</v>
      </c>
      <c r="I51" s="385">
        <v>13</v>
      </c>
      <c r="J51" s="30">
        <v>2000</v>
      </c>
      <c r="K51" s="13">
        <f t="shared" si="1"/>
        <v>153.84615384615384</v>
      </c>
      <c r="L51" s="385">
        <v>13</v>
      </c>
      <c r="M51" s="14">
        <f t="shared" si="39"/>
        <v>1905.8181818181829</v>
      </c>
      <c r="N51" s="14">
        <f t="shared" si="3"/>
        <v>146.60139860139867</v>
      </c>
      <c r="O51" s="15">
        <f t="shared" si="4"/>
        <v>0</v>
      </c>
      <c r="P51" s="16">
        <f t="shared" si="5"/>
        <v>-7.2447552447551686</v>
      </c>
      <c r="Q51" s="383">
        <f t="shared" si="6"/>
        <v>0.95290909090909137</v>
      </c>
      <c r="R51" s="619"/>
      <c r="S51" s="31">
        <v>0.76944444444444449</v>
      </c>
      <c r="T51" s="31">
        <v>0.80763888888888891</v>
      </c>
      <c r="U51" s="382">
        <f t="shared" si="38"/>
        <v>5.9999999999999787</v>
      </c>
      <c r="V51" s="386">
        <f t="shared" si="37"/>
        <v>54.999999999999964</v>
      </c>
      <c r="W51" s="17"/>
      <c r="X51" s="17"/>
      <c r="Y51" s="20"/>
      <c r="Z51" s="20"/>
      <c r="AA51" s="614"/>
      <c r="AB51" s="615"/>
      <c r="AC51" s="19"/>
      <c r="AD51" s="19"/>
      <c r="AE51" s="15">
        <f t="shared" si="8"/>
        <v>-94.181818181817107</v>
      </c>
      <c r="AF51" s="383">
        <f t="shared" si="9"/>
        <v>0.95290909090909148</v>
      </c>
      <c r="AG51" s="619"/>
    </row>
    <row r="52" spans="1:33" ht="15.75" customHeight="1">
      <c r="A52" s="623" t="s">
        <v>1870</v>
      </c>
      <c r="B52" s="33" t="s">
        <v>6</v>
      </c>
      <c r="C52" s="612" t="s">
        <v>82</v>
      </c>
      <c r="D52" s="613"/>
      <c r="E52" s="33">
        <v>54.09</v>
      </c>
      <c r="F52" s="35">
        <v>1591</v>
      </c>
      <c r="G52" s="382">
        <f t="shared" si="35"/>
        <v>86057.19</v>
      </c>
      <c r="H52" s="389" t="s">
        <v>5</v>
      </c>
      <c r="I52" s="385">
        <v>14</v>
      </c>
      <c r="J52" s="30">
        <v>2000</v>
      </c>
      <c r="K52" s="13">
        <f t="shared" si="1"/>
        <v>142.85714285714286</v>
      </c>
      <c r="L52" s="385">
        <v>14</v>
      </c>
      <c r="M52" s="14">
        <f t="shared" si="39"/>
        <v>1909.2000000000005</v>
      </c>
      <c r="N52" s="14">
        <f t="shared" si="3"/>
        <v>136.37142857142859</v>
      </c>
      <c r="O52" s="15">
        <f t="shared" si="4"/>
        <v>0</v>
      </c>
      <c r="P52" s="16">
        <f t="shared" si="5"/>
        <v>-6.4857142857142662</v>
      </c>
      <c r="Q52" s="383">
        <f t="shared" si="6"/>
        <v>0.95460000000000012</v>
      </c>
      <c r="R52" s="619"/>
      <c r="S52" s="31">
        <v>0.81111111111111112</v>
      </c>
      <c r="T52" s="31">
        <v>0.84583333333333333</v>
      </c>
      <c r="U52" s="382">
        <f t="shared" si="38"/>
        <v>4.9999999999999822</v>
      </c>
      <c r="V52" s="386">
        <f t="shared" si="37"/>
        <v>49.999999999999986</v>
      </c>
      <c r="W52" s="17"/>
      <c r="X52" s="17"/>
      <c r="Y52" s="20"/>
      <c r="Z52" s="20"/>
      <c r="AA52" s="614"/>
      <c r="AB52" s="615"/>
      <c r="AC52" s="19"/>
      <c r="AD52" s="19"/>
      <c r="AE52" s="15">
        <f t="shared" si="8"/>
        <v>-90.7999999999995</v>
      </c>
      <c r="AF52" s="383">
        <f t="shared" si="9"/>
        <v>0.95460000000000023</v>
      </c>
      <c r="AG52" s="619"/>
    </row>
    <row r="53" spans="1:33">
      <c r="A53" s="624" t="s">
        <v>1870</v>
      </c>
      <c r="B53" s="33" t="s">
        <v>1868</v>
      </c>
      <c r="C53" s="620"/>
      <c r="D53" s="620"/>
      <c r="E53" s="384"/>
      <c r="F53" s="34"/>
      <c r="G53" s="13"/>
      <c r="H53" s="388"/>
      <c r="I53" s="23">
        <v>18.25</v>
      </c>
      <c r="J53" s="30">
        <v>2000</v>
      </c>
      <c r="K53" s="13">
        <f t="shared" si="1"/>
        <v>109.58904109589041</v>
      </c>
      <c r="L53" s="23">
        <v>18.25</v>
      </c>
      <c r="M53" s="14">
        <f>AVERAGE(M45:M52)</f>
        <v>1923.3085550278961</v>
      </c>
      <c r="N53" s="13">
        <f t="shared" si="3"/>
        <v>105.38677013851485</v>
      </c>
      <c r="O53" s="15">
        <f t="shared" si="4"/>
        <v>0</v>
      </c>
      <c r="P53" s="16">
        <f t="shared" si="5"/>
        <v>-4.2022709573755606</v>
      </c>
      <c r="Q53" s="383">
        <f t="shared" si="6"/>
        <v>0.96165427751394805</v>
      </c>
      <c r="R53" s="619"/>
      <c r="S53" s="31"/>
      <c r="T53" s="31"/>
      <c r="U53" s="382"/>
      <c r="V53" s="386"/>
      <c r="W53" s="13"/>
      <c r="X53" s="13"/>
      <c r="Y53" s="24">
        <f>SUM(Y45:Y52)</f>
        <v>0</v>
      </c>
      <c r="Z53" s="24">
        <f>SUM(Z45:Z52)</f>
        <v>0</v>
      </c>
      <c r="AA53" s="609"/>
      <c r="AB53" s="609"/>
      <c r="AC53" s="24">
        <v>8</v>
      </c>
      <c r="AD53" s="24">
        <f>SUM(AD45:AD52)</f>
        <v>0</v>
      </c>
      <c r="AE53" s="15">
        <f>M53-J53</f>
        <v>-76.691444972103909</v>
      </c>
      <c r="AF53" s="383">
        <f t="shared" si="9"/>
        <v>0.96165427751394805</v>
      </c>
      <c r="AG53" s="619"/>
    </row>
    <row r="54" spans="1:33" ht="15.75" customHeight="1">
      <c r="A54" s="621" t="s">
        <v>1871</v>
      </c>
      <c r="B54" s="388" t="s">
        <v>36</v>
      </c>
      <c r="C54" s="611" t="s">
        <v>38</v>
      </c>
      <c r="D54" s="611"/>
      <c r="E54" s="33">
        <v>27.17</v>
      </c>
      <c r="F54" s="35">
        <v>5610</v>
      </c>
      <c r="G54" s="382">
        <f t="shared" ref="G54:G58" si="40">E54*F54</f>
        <v>152423.70000000001</v>
      </c>
      <c r="H54" s="389" t="s">
        <v>5</v>
      </c>
      <c r="I54" s="385">
        <v>10</v>
      </c>
      <c r="J54" s="30">
        <v>3000</v>
      </c>
      <c r="K54" s="13">
        <f t="shared" si="1"/>
        <v>300</v>
      </c>
      <c r="L54" s="385">
        <v>10</v>
      </c>
      <c r="M54" s="14">
        <f t="shared" ref="M54:M58" si="41">F54/V54*60</f>
        <v>2852.5423728813553</v>
      </c>
      <c r="N54" s="13">
        <f t="shared" si="3"/>
        <v>285.25423728813553</v>
      </c>
      <c r="O54" s="15">
        <f t="shared" si="4"/>
        <v>0</v>
      </c>
      <c r="P54" s="16">
        <f t="shared" si="5"/>
        <v>-14.745762711864472</v>
      </c>
      <c r="Q54" s="383">
        <f t="shared" si="6"/>
        <v>0.95084745762711842</v>
      </c>
      <c r="R54" s="619">
        <f>Q59</f>
        <v>0.95341655587618146</v>
      </c>
      <c r="S54" s="31">
        <v>0.20833333333333334</v>
      </c>
      <c r="T54" s="31">
        <v>0.2902777777777778</v>
      </c>
      <c r="U54" s="382"/>
      <c r="V54" s="386">
        <f t="shared" ref="V54:V58" si="42">(T54-S54)*24*60</f>
        <v>118.00000000000001</v>
      </c>
      <c r="W54" s="17"/>
      <c r="X54" s="17"/>
      <c r="Y54" s="22"/>
      <c r="Z54" s="22"/>
      <c r="AA54" s="610"/>
      <c r="AB54" s="610"/>
      <c r="AC54" s="19">
        <v>5</v>
      </c>
      <c r="AD54" s="19"/>
      <c r="AE54" s="15">
        <f t="shared" ref="AE54:AE68" si="43">M54-J54</f>
        <v>-147.45762711864472</v>
      </c>
      <c r="AF54" s="383">
        <f t="shared" si="9"/>
        <v>0.95084745762711842</v>
      </c>
      <c r="AG54" s="619">
        <f>AF59</f>
        <v>0.95341655587618157</v>
      </c>
    </row>
    <row r="55" spans="1:33" ht="15.75" customHeight="1">
      <c r="A55" s="621" t="s">
        <v>1871</v>
      </c>
      <c r="B55" s="388" t="s">
        <v>36</v>
      </c>
      <c r="C55" s="611" t="s">
        <v>47</v>
      </c>
      <c r="D55" s="611"/>
      <c r="E55" s="33">
        <v>26.78</v>
      </c>
      <c r="F55" s="35">
        <v>2059</v>
      </c>
      <c r="G55" s="382">
        <f t="shared" si="40"/>
        <v>55140.020000000004</v>
      </c>
      <c r="H55" s="389" t="s">
        <v>5</v>
      </c>
      <c r="I55" s="385">
        <v>10</v>
      </c>
      <c r="J55" s="30">
        <v>3000</v>
      </c>
      <c r="K55" s="13">
        <f t="shared" si="1"/>
        <v>300</v>
      </c>
      <c r="L55" s="385">
        <v>10</v>
      </c>
      <c r="M55" s="14">
        <f t="shared" si="41"/>
        <v>2873.0232558139528</v>
      </c>
      <c r="N55" s="13">
        <f t="shared" si="3"/>
        <v>287.30232558139528</v>
      </c>
      <c r="O55" s="15">
        <f t="shared" si="4"/>
        <v>0</v>
      </c>
      <c r="P55" s="16">
        <f t="shared" si="5"/>
        <v>-12.69767441860472</v>
      </c>
      <c r="Q55" s="383">
        <f t="shared" si="6"/>
        <v>0.95767441860465097</v>
      </c>
      <c r="R55" s="619"/>
      <c r="S55" s="31">
        <v>0.29375000000000001</v>
      </c>
      <c r="T55" s="31">
        <v>0.32361111111111113</v>
      </c>
      <c r="U55" s="382">
        <f t="shared" ref="U55:U58" si="44">(S55-T54)*24*60</f>
        <v>4.9999999999999822</v>
      </c>
      <c r="V55" s="386">
        <f t="shared" si="42"/>
        <v>43.000000000000007</v>
      </c>
      <c r="W55" s="382"/>
      <c r="X55" s="382"/>
      <c r="Y55" s="382"/>
      <c r="Z55" s="382"/>
      <c r="AA55" s="610"/>
      <c r="AB55" s="610"/>
      <c r="AC55" s="19"/>
      <c r="AD55" s="19"/>
      <c r="AE55" s="15">
        <f t="shared" si="43"/>
        <v>-126.9767441860472</v>
      </c>
      <c r="AF55" s="383">
        <f t="shared" si="9"/>
        <v>0.95767441860465097</v>
      </c>
      <c r="AG55" s="619"/>
    </row>
    <row r="56" spans="1:33" ht="15.75" customHeight="1">
      <c r="A56" s="621" t="s">
        <v>1871</v>
      </c>
      <c r="B56" s="388" t="s">
        <v>36</v>
      </c>
      <c r="C56" s="611" t="s">
        <v>49</v>
      </c>
      <c r="D56" s="611"/>
      <c r="E56" s="33">
        <v>35.869999999999997</v>
      </c>
      <c r="F56" s="35">
        <v>2428</v>
      </c>
      <c r="G56" s="382">
        <f t="shared" si="40"/>
        <v>87092.36</v>
      </c>
      <c r="H56" s="389" t="s">
        <v>5</v>
      </c>
      <c r="I56" s="385">
        <v>10</v>
      </c>
      <c r="J56" s="30">
        <v>3000</v>
      </c>
      <c r="K56" s="13">
        <f t="shared" si="1"/>
        <v>300</v>
      </c>
      <c r="L56" s="385">
        <v>10</v>
      </c>
      <c r="M56" s="14">
        <f t="shared" si="41"/>
        <v>2856.4705882352955</v>
      </c>
      <c r="N56" s="13">
        <f t="shared" si="3"/>
        <v>285.64705882352956</v>
      </c>
      <c r="O56" s="15">
        <f t="shared" si="4"/>
        <v>0</v>
      </c>
      <c r="P56" s="16">
        <f t="shared" si="5"/>
        <v>-14.352941176470438</v>
      </c>
      <c r="Q56" s="383">
        <f t="shared" si="6"/>
        <v>0.95215686274509859</v>
      </c>
      <c r="R56" s="619"/>
      <c r="S56" s="31">
        <v>0.32777777777777778</v>
      </c>
      <c r="T56" s="31">
        <v>0.36319444444444443</v>
      </c>
      <c r="U56" s="382">
        <f t="shared" si="44"/>
        <v>5.9999999999999787</v>
      </c>
      <c r="V56" s="386">
        <f t="shared" si="42"/>
        <v>50.999999999999979</v>
      </c>
      <c r="W56" s="382"/>
      <c r="X56" s="382"/>
      <c r="Y56" s="382"/>
      <c r="Z56" s="382"/>
      <c r="AA56" s="610"/>
      <c r="AB56" s="610"/>
      <c r="AC56" s="19"/>
      <c r="AD56" s="19"/>
      <c r="AE56" s="15">
        <f t="shared" si="43"/>
        <v>-143.52941176470449</v>
      </c>
      <c r="AF56" s="383">
        <f t="shared" si="9"/>
        <v>0.95215686274509848</v>
      </c>
      <c r="AG56" s="619"/>
    </row>
    <row r="57" spans="1:33" ht="15.75" customHeight="1">
      <c r="A57" s="621" t="s">
        <v>1871</v>
      </c>
      <c r="B57" s="388" t="s">
        <v>36</v>
      </c>
      <c r="C57" s="611" t="s">
        <v>39</v>
      </c>
      <c r="D57" s="611"/>
      <c r="E57" s="33">
        <v>35.869999999999997</v>
      </c>
      <c r="F57" s="35">
        <v>857</v>
      </c>
      <c r="G57" s="382">
        <f t="shared" si="40"/>
        <v>30740.589999999997</v>
      </c>
      <c r="H57" s="389" t="s">
        <v>5</v>
      </c>
      <c r="I57" s="385">
        <v>9</v>
      </c>
      <c r="J57" s="30">
        <v>3000</v>
      </c>
      <c r="K57" s="13">
        <f t="shared" si="1"/>
        <v>333.33333333333331</v>
      </c>
      <c r="L57" s="385">
        <v>9</v>
      </c>
      <c r="M57" s="14">
        <f t="shared" si="41"/>
        <v>2856.6666666666642</v>
      </c>
      <c r="N57" s="13">
        <f t="shared" si="3"/>
        <v>317.40740740740716</v>
      </c>
      <c r="O57" s="15">
        <f t="shared" si="4"/>
        <v>0</v>
      </c>
      <c r="P57" s="16">
        <f t="shared" si="5"/>
        <v>-15.925925925926151</v>
      </c>
      <c r="Q57" s="383">
        <f t="shared" si="6"/>
        <v>0.95222222222222153</v>
      </c>
      <c r="R57" s="619"/>
      <c r="S57" s="31">
        <v>0.36805555555555552</v>
      </c>
      <c r="T57" s="31">
        <v>0.38055555555555554</v>
      </c>
      <c r="U57" s="382">
        <f t="shared" si="44"/>
        <v>6.9999999999999751</v>
      </c>
      <c r="V57" s="386">
        <f t="shared" si="42"/>
        <v>18.000000000000014</v>
      </c>
      <c r="W57" s="382"/>
      <c r="X57" s="382"/>
      <c r="Y57" s="382"/>
      <c r="Z57" s="382"/>
      <c r="AA57" s="610"/>
      <c r="AB57" s="610"/>
      <c r="AC57" s="19"/>
      <c r="AD57" s="19"/>
      <c r="AE57" s="15">
        <f t="shared" si="43"/>
        <v>-143.33333333333576</v>
      </c>
      <c r="AF57" s="383">
        <f t="shared" si="9"/>
        <v>0.95222222222222141</v>
      </c>
      <c r="AG57" s="619"/>
    </row>
    <row r="58" spans="1:33">
      <c r="A58" s="622" t="s">
        <v>1871</v>
      </c>
      <c r="B58" s="388" t="s">
        <v>36</v>
      </c>
      <c r="C58" s="611" t="s">
        <v>74</v>
      </c>
      <c r="D58" s="611"/>
      <c r="E58" s="33">
        <v>33.770000000000003</v>
      </c>
      <c r="F58" s="35">
        <v>2624</v>
      </c>
      <c r="G58" s="382">
        <f t="shared" si="40"/>
        <v>88612.48000000001</v>
      </c>
      <c r="H58" s="389" t="s">
        <v>5</v>
      </c>
      <c r="I58" s="385">
        <v>12</v>
      </c>
      <c r="J58" s="30">
        <v>3000</v>
      </c>
      <c r="K58" s="13">
        <f t="shared" si="1"/>
        <v>250</v>
      </c>
      <c r="L58" s="385">
        <v>12</v>
      </c>
      <c r="M58" s="14">
        <f t="shared" si="41"/>
        <v>2862.5454545454563</v>
      </c>
      <c r="N58" s="13">
        <f t="shared" si="3"/>
        <v>238.5454545454547</v>
      </c>
      <c r="O58" s="15">
        <f t="shared" si="4"/>
        <v>0</v>
      </c>
      <c r="P58" s="16">
        <f t="shared" si="5"/>
        <v>-11.454545454545297</v>
      </c>
      <c r="Q58" s="383">
        <f t="shared" si="6"/>
        <v>0.9541818181818188</v>
      </c>
      <c r="R58" s="619"/>
      <c r="S58" s="31">
        <v>0.38402777777777775</v>
      </c>
      <c r="T58" s="31">
        <v>0.42222222222222217</v>
      </c>
      <c r="U58" s="382">
        <f t="shared" si="44"/>
        <v>4.9999999999999822</v>
      </c>
      <c r="V58" s="386">
        <f t="shared" si="42"/>
        <v>54.999999999999964</v>
      </c>
      <c r="W58" s="17"/>
      <c r="X58" s="17"/>
      <c r="Y58" s="17"/>
      <c r="Z58" s="17"/>
      <c r="AA58" s="610"/>
      <c r="AB58" s="610"/>
      <c r="AC58" s="19"/>
      <c r="AD58" s="19"/>
      <c r="AE58" s="15">
        <f t="shared" si="43"/>
        <v>-137.45454545454368</v>
      </c>
      <c r="AF58" s="383">
        <f t="shared" si="9"/>
        <v>0.9541818181818188</v>
      </c>
      <c r="AG58" s="619"/>
    </row>
    <row r="59" spans="1:33">
      <c r="A59" s="622" t="s">
        <v>1871</v>
      </c>
      <c r="B59" s="33" t="s">
        <v>1868</v>
      </c>
      <c r="C59" s="620"/>
      <c r="D59" s="620"/>
      <c r="E59" s="384"/>
      <c r="F59" s="34"/>
      <c r="G59" s="13"/>
      <c r="H59" s="388"/>
      <c r="I59" s="23">
        <v>10.199999999999999</v>
      </c>
      <c r="J59" s="30">
        <v>3000</v>
      </c>
      <c r="K59" s="13">
        <f t="shared" si="1"/>
        <v>294.11764705882354</v>
      </c>
      <c r="L59" s="23">
        <v>10.199999999999999</v>
      </c>
      <c r="M59" s="14">
        <f>AVERAGE(M54:M58)</f>
        <v>2860.2496676285446</v>
      </c>
      <c r="N59" s="13">
        <f t="shared" si="3"/>
        <v>280.41663408122986</v>
      </c>
      <c r="O59" s="15">
        <f t="shared" si="4"/>
        <v>0</v>
      </c>
      <c r="P59" s="16">
        <f t="shared" si="5"/>
        <v>-13.701012977593678</v>
      </c>
      <c r="Q59" s="383">
        <f t="shared" si="6"/>
        <v>0.95341655587618146</v>
      </c>
      <c r="R59" s="619"/>
      <c r="S59" s="31"/>
      <c r="T59" s="31"/>
      <c r="U59" s="13"/>
      <c r="V59" s="386"/>
      <c r="W59" s="13"/>
      <c r="X59" s="13"/>
      <c r="Y59" s="24">
        <f>SUM(Y54:Y58)</f>
        <v>0</v>
      </c>
      <c r="Z59" s="24">
        <f>SUM(Z54:Z58)</f>
        <v>0</v>
      </c>
      <c r="AA59" s="609"/>
      <c r="AB59" s="609"/>
      <c r="AC59" s="24">
        <v>5</v>
      </c>
      <c r="AD59" s="24">
        <f>SUM(AD54:AD58)</f>
        <v>0</v>
      </c>
      <c r="AE59" s="15">
        <f t="shared" si="43"/>
        <v>-139.75033237145544</v>
      </c>
      <c r="AF59" s="383">
        <f t="shared" si="9"/>
        <v>0.95341655587618157</v>
      </c>
      <c r="AG59" s="619"/>
    </row>
    <row r="60" spans="1:33" ht="15.75" customHeight="1">
      <c r="A60" s="616" t="s">
        <v>1872</v>
      </c>
      <c r="B60" s="388" t="s">
        <v>27</v>
      </c>
      <c r="C60" s="611" t="s">
        <v>50</v>
      </c>
      <c r="D60" s="611"/>
      <c r="E60" s="33">
        <v>19.02</v>
      </c>
      <c r="F60" s="388">
        <v>5400</v>
      </c>
      <c r="G60" s="382">
        <f t="shared" ref="G60:G67" si="45">E60*F60</f>
        <v>102708</v>
      </c>
      <c r="H60" s="389">
        <v>2</v>
      </c>
      <c r="I60" s="385">
        <v>14</v>
      </c>
      <c r="J60" s="30">
        <v>2400</v>
      </c>
      <c r="K60" s="13">
        <f t="shared" si="1"/>
        <v>171.42857142857142</v>
      </c>
      <c r="L60" s="385">
        <v>14</v>
      </c>
      <c r="M60" s="14">
        <f t="shared" ref="M60:M67" si="46">F60/V60*60</f>
        <v>2297.872340425532</v>
      </c>
      <c r="N60" s="13">
        <f t="shared" si="3"/>
        <v>164.13373860182372</v>
      </c>
      <c r="O60" s="15">
        <f t="shared" si="4"/>
        <v>0</v>
      </c>
      <c r="P60" s="16">
        <f t="shared" si="5"/>
        <v>-7.2948328267476938</v>
      </c>
      <c r="Q60" s="383">
        <f t="shared" si="6"/>
        <v>0.95744680851063846</v>
      </c>
      <c r="R60" s="619">
        <f>Q68</f>
        <v>0.96076855518846871</v>
      </c>
      <c r="S60" s="31">
        <v>8.3333333333333329E-2</v>
      </c>
      <c r="T60" s="31">
        <v>0.18124999999999999</v>
      </c>
      <c r="U60" s="22"/>
      <c r="V60" s="386">
        <f t="shared" ref="V60:V67" si="47">(T60-S60)*24*60</f>
        <v>141</v>
      </c>
      <c r="W60" s="17">
        <f>T60</f>
        <v>0.18124999999999999</v>
      </c>
      <c r="X60" s="17">
        <f>S61</f>
        <v>0.20208333333333334</v>
      </c>
      <c r="Y60" s="17"/>
      <c r="Z60" s="17"/>
      <c r="AA60" s="610"/>
      <c r="AB60" s="610"/>
      <c r="AC60" s="19">
        <v>8</v>
      </c>
      <c r="AD60" s="19"/>
      <c r="AE60" s="15">
        <f t="shared" si="43"/>
        <v>-102.127659574468</v>
      </c>
      <c r="AF60" s="383">
        <f t="shared" si="9"/>
        <v>0.95744680851063835</v>
      </c>
      <c r="AG60" s="619">
        <f>AF68</f>
        <v>0.96076855518846871</v>
      </c>
    </row>
    <row r="61" spans="1:33" ht="15.75" customHeight="1">
      <c r="A61" s="617" t="s">
        <v>1872</v>
      </c>
      <c r="B61" s="388" t="s">
        <v>27</v>
      </c>
      <c r="C61" s="611" t="s">
        <v>51</v>
      </c>
      <c r="D61" s="611"/>
      <c r="E61" s="33">
        <v>20.36</v>
      </c>
      <c r="F61" s="388">
        <v>3412</v>
      </c>
      <c r="G61" s="382">
        <f t="shared" si="45"/>
        <v>69468.319999999992</v>
      </c>
      <c r="H61" s="389" t="s">
        <v>5</v>
      </c>
      <c r="I61" s="385">
        <v>17</v>
      </c>
      <c r="J61" s="30">
        <v>2400</v>
      </c>
      <c r="K61" s="13">
        <f t="shared" si="1"/>
        <v>141.1764705882353</v>
      </c>
      <c r="L61" s="385">
        <v>17</v>
      </c>
      <c r="M61" s="14">
        <f t="shared" si="46"/>
        <v>2300.2247191011238</v>
      </c>
      <c r="N61" s="13">
        <f t="shared" si="3"/>
        <v>135.30733641771317</v>
      </c>
      <c r="O61" s="15">
        <f t="shared" si="4"/>
        <v>0</v>
      </c>
      <c r="P61" s="16">
        <f t="shared" si="5"/>
        <v>-5.8691341705221305</v>
      </c>
      <c r="Q61" s="383">
        <f t="shared" si="6"/>
        <v>0.95842696629213486</v>
      </c>
      <c r="R61" s="619"/>
      <c r="S61" s="31">
        <v>0.20208333333333334</v>
      </c>
      <c r="T61" s="31">
        <v>0.2638888888888889</v>
      </c>
      <c r="U61" s="382">
        <f t="shared" ref="U61:U67" si="48">(S61-T60)*24*60</f>
        <v>30.000000000000014</v>
      </c>
      <c r="V61" s="386">
        <f t="shared" si="47"/>
        <v>89</v>
      </c>
      <c r="W61" s="17"/>
      <c r="X61" s="17"/>
      <c r="Y61" s="17"/>
      <c r="Z61" s="17"/>
      <c r="AA61" s="610"/>
      <c r="AB61" s="610"/>
      <c r="AC61" s="19"/>
      <c r="AD61" s="19"/>
      <c r="AE61" s="15">
        <f t="shared" si="43"/>
        <v>-99.77528089887619</v>
      </c>
      <c r="AF61" s="383">
        <f t="shared" si="9"/>
        <v>0.95842696629213497</v>
      </c>
      <c r="AG61" s="619"/>
    </row>
    <row r="62" spans="1:33" ht="15.75" customHeight="1">
      <c r="A62" s="617" t="s">
        <v>1872</v>
      </c>
      <c r="B62" s="388" t="s">
        <v>27</v>
      </c>
      <c r="C62" s="611" t="s">
        <v>876</v>
      </c>
      <c r="D62" s="611"/>
      <c r="E62" s="33">
        <v>23.8</v>
      </c>
      <c r="F62" s="388">
        <v>3652</v>
      </c>
      <c r="G62" s="382">
        <f t="shared" si="45"/>
        <v>86917.6</v>
      </c>
      <c r="H62" s="389" t="s">
        <v>5</v>
      </c>
      <c r="I62" s="385">
        <v>16</v>
      </c>
      <c r="J62" s="30">
        <v>2400</v>
      </c>
      <c r="K62" s="13">
        <f t="shared" si="1"/>
        <v>150</v>
      </c>
      <c r="L62" s="385">
        <v>16</v>
      </c>
      <c r="M62" s="14">
        <f t="shared" si="46"/>
        <v>2282.5000000000009</v>
      </c>
      <c r="N62" s="13">
        <f t="shared" si="3"/>
        <v>142.65625000000006</v>
      </c>
      <c r="O62" s="15">
        <f t="shared" si="4"/>
        <v>0</v>
      </c>
      <c r="P62" s="16">
        <f t="shared" si="5"/>
        <v>-7.3437499999999432</v>
      </c>
      <c r="Q62" s="383">
        <f t="shared" si="6"/>
        <v>0.95104166666666701</v>
      </c>
      <c r="R62" s="619"/>
      <c r="S62" s="31">
        <v>0.26874999999999999</v>
      </c>
      <c r="T62" s="31">
        <v>0.33541666666666664</v>
      </c>
      <c r="U62" s="382">
        <f t="shared" si="48"/>
        <v>6.9999999999999751</v>
      </c>
      <c r="V62" s="386">
        <f t="shared" si="47"/>
        <v>95.999999999999972</v>
      </c>
      <c r="W62" s="17"/>
      <c r="X62" s="17"/>
      <c r="Y62" s="17"/>
      <c r="Z62" s="17"/>
      <c r="AA62" s="610"/>
      <c r="AB62" s="610"/>
      <c r="AC62" s="19"/>
      <c r="AD62" s="19"/>
      <c r="AE62" s="15">
        <f t="shared" si="43"/>
        <v>-117.49999999999909</v>
      </c>
      <c r="AF62" s="383">
        <f t="shared" si="9"/>
        <v>0.95104166666666701</v>
      </c>
      <c r="AG62" s="619"/>
    </row>
    <row r="63" spans="1:33" ht="15.75" customHeight="1">
      <c r="A63" s="617" t="s">
        <v>1872</v>
      </c>
      <c r="B63" s="388" t="s">
        <v>27</v>
      </c>
      <c r="C63" s="611" t="s">
        <v>31</v>
      </c>
      <c r="D63" s="611"/>
      <c r="E63" s="33">
        <v>25.99</v>
      </c>
      <c r="F63" s="388">
        <v>974</v>
      </c>
      <c r="G63" s="382">
        <f t="shared" si="45"/>
        <v>25314.26</v>
      </c>
      <c r="H63" s="389" t="s">
        <v>5</v>
      </c>
      <c r="I63" s="385">
        <v>18</v>
      </c>
      <c r="J63" s="30">
        <v>2400</v>
      </c>
      <c r="K63" s="13">
        <f t="shared" si="1"/>
        <v>133.33333333333334</v>
      </c>
      <c r="L63" s="385">
        <v>18</v>
      </c>
      <c r="M63" s="14">
        <f t="shared" si="46"/>
        <v>2337.6000000000004</v>
      </c>
      <c r="N63" s="13">
        <f t="shared" si="3"/>
        <v>129.86666666666667</v>
      </c>
      <c r="O63" s="15">
        <f t="shared" si="4"/>
        <v>0</v>
      </c>
      <c r="P63" s="16">
        <f t="shared" si="5"/>
        <v>-3.4666666666666686</v>
      </c>
      <c r="Q63" s="383">
        <f t="shared" si="6"/>
        <v>0.97399999999999998</v>
      </c>
      <c r="R63" s="619"/>
      <c r="S63" s="31">
        <v>0.34027777777777773</v>
      </c>
      <c r="T63" s="31">
        <v>0.35763888888888884</v>
      </c>
      <c r="U63" s="382">
        <f t="shared" si="48"/>
        <v>6.9999999999999751</v>
      </c>
      <c r="V63" s="386">
        <f t="shared" si="47"/>
        <v>24.999999999999993</v>
      </c>
      <c r="W63" s="17"/>
      <c r="X63" s="17"/>
      <c r="Y63" s="17"/>
      <c r="Z63" s="17"/>
      <c r="AA63" s="610"/>
      <c r="AB63" s="610"/>
      <c r="AC63" s="19"/>
      <c r="AD63" s="19"/>
      <c r="AE63" s="15">
        <f t="shared" si="43"/>
        <v>-62.399999999999636</v>
      </c>
      <c r="AF63" s="383">
        <f t="shared" si="9"/>
        <v>0.9740000000000002</v>
      </c>
      <c r="AG63" s="619"/>
    </row>
    <row r="64" spans="1:33" ht="15.75" customHeight="1">
      <c r="A64" s="617" t="s">
        <v>1872</v>
      </c>
      <c r="B64" s="388" t="s">
        <v>27</v>
      </c>
      <c r="C64" s="611" t="s">
        <v>53</v>
      </c>
      <c r="D64" s="611"/>
      <c r="E64" s="33">
        <v>28.29</v>
      </c>
      <c r="F64" s="388">
        <v>2115</v>
      </c>
      <c r="G64" s="382">
        <f t="shared" si="45"/>
        <v>59833.35</v>
      </c>
      <c r="H64" s="389" t="s">
        <v>5</v>
      </c>
      <c r="I64" s="385">
        <v>19</v>
      </c>
      <c r="J64" s="30">
        <v>2400</v>
      </c>
      <c r="K64" s="13">
        <f t="shared" si="1"/>
        <v>126.31578947368421</v>
      </c>
      <c r="L64" s="385">
        <v>19</v>
      </c>
      <c r="M64" s="14">
        <f t="shared" si="46"/>
        <v>2307.2727272727288</v>
      </c>
      <c r="N64" s="13">
        <f t="shared" si="3"/>
        <v>121.43540669856468</v>
      </c>
      <c r="O64" s="15">
        <f t="shared" si="4"/>
        <v>0</v>
      </c>
      <c r="P64" s="16">
        <f t="shared" si="5"/>
        <v>-4.8803827751195286</v>
      </c>
      <c r="Q64" s="383">
        <f t="shared" si="6"/>
        <v>0.96136363636363709</v>
      </c>
      <c r="R64" s="619"/>
      <c r="S64" s="31">
        <v>0.36180555555555549</v>
      </c>
      <c r="T64" s="31">
        <v>0.39999999999999991</v>
      </c>
      <c r="U64" s="382">
        <f t="shared" si="48"/>
        <v>5.9999999999999787</v>
      </c>
      <c r="V64" s="386">
        <f t="shared" si="47"/>
        <v>54.999999999999964</v>
      </c>
      <c r="W64" s="17"/>
      <c r="X64" s="17"/>
      <c r="Y64" s="17"/>
      <c r="Z64" s="17"/>
      <c r="AA64" s="610"/>
      <c r="AB64" s="610"/>
      <c r="AC64" s="19"/>
      <c r="AD64" s="19"/>
      <c r="AE64" s="15">
        <f t="shared" si="43"/>
        <v>-92.727272727271156</v>
      </c>
      <c r="AF64" s="383">
        <f t="shared" si="9"/>
        <v>0.96136363636363698</v>
      </c>
      <c r="AG64" s="619"/>
    </row>
    <row r="65" spans="1:33" ht="15.75" customHeight="1">
      <c r="A65" s="617" t="s">
        <v>1872</v>
      </c>
      <c r="B65" s="388" t="s">
        <v>27</v>
      </c>
      <c r="C65" s="611" t="s">
        <v>52</v>
      </c>
      <c r="D65" s="611"/>
      <c r="E65" s="33">
        <v>25.98</v>
      </c>
      <c r="F65" s="388">
        <v>1363</v>
      </c>
      <c r="G65" s="382">
        <f t="shared" si="45"/>
        <v>35410.74</v>
      </c>
      <c r="H65" s="389" t="s">
        <v>5</v>
      </c>
      <c r="I65" s="385">
        <v>17</v>
      </c>
      <c r="J65" s="30">
        <v>2400</v>
      </c>
      <c r="K65" s="13">
        <f t="shared" si="1"/>
        <v>141.1764705882353</v>
      </c>
      <c r="L65" s="385">
        <v>17</v>
      </c>
      <c r="M65" s="14">
        <f t="shared" si="46"/>
        <v>2336.5714285714262</v>
      </c>
      <c r="N65" s="13">
        <f t="shared" si="3"/>
        <v>137.44537815126037</v>
      </c>
      <c r="O65" s="15">
        <f t="shared" si="4"/>
        <v>0</v>
      </c>
      <c r="P65" s="16">
        <f t="shared" si="5"/>
        <v>-3.731092436974933</v>
      </c>
      <c r="Q65" s="383">
        <f t="shared" si="6"/>
        <v>0.97357142857142753</v>
      </c>
      <c r="R65" s="619"/>
      <c r="S65" s="31">
        <v>0.40416666666666656</v>
      </c>
      <c r="T65" s="31">
        <v>0.42847222222222214</v>
      </c>
      <c r="U65" s="382">
        <f t="shared" si="48"/>
        <v>5.9999999999999787</v>
      </c>
      <c r="V65" s="386">
        <f t="shared" si="47"/>
        <v>35.000000000000036</v>
      </c>
      <c r="W65" s="17"/>
      <c r="X65" s="17"/>
      <c r="Y65" s="17"/>
      <c r="Z65" s="17"/>
      <c r="AA65" s="610"/>
      <c r="AB65" s="610"/>
      <c r="AC65" s="19"/>
      <c r="AD65" s="19"/>
      <c r="AE65" s="15">
        <f t="shared" si="43"/>
        <v>-63.428571428573832</v>
      </c>
      <c r="AF65" s="383">
        <f t="shared" si="9"/>
        <v>0.97357142857142753</v>
      </c>
      <c r="AG65" s="619"/>
    </row>
    <row r="66" spans="1:33" ht="15.75" customHeight="1">
      <c r="A66" s="617" t="s">
        <v>1872</v>
      </c>
      <c r="B66" s="388" t="s">
        <v>27</v>
      </c>
      <c r="C66" s="612" t="s">
        <v>197</v>
      </c>
      <c r="D66" s="613"/>
      <c r="E66" s="33">
        <v>23.89</v>
      </c>
      <c r="F66" s="388">
        <v>2857</v>
      </c>
      <c r="G66" s="382">
        <f t="shared" si="45"/>
        <v>68253.73</v>
      </c>
      <c r="H66" s="389" t="s">
        <v>5</v>
      </c>
      <c r="I66" s="385">
        <v>17</v>
      </c>
      <c r="J66" s="30">
        <v>2400</v>
      </c>
      <c r="K66" s="13">
        <f t="shared" si="1"/>
        <v>141.1764705882353</v>
      </c>
      <c r="L66" s="385">
        <v>17</v>
      </c>
      <c r="M66" s="14">
        <f t="shared" si="46"/>
        <v>2285.6000000000008</v>
      </c>
      <c r="N66" s="13">
        <f t="shared" si="3"/>
        <v>134.44705882352946</v>
      </c>
      <c r="O66" s="15">
        <f t="shared" si="4"/>
        <v>0</v>
      </c>
      <c r="P66" s="16">
        <f t="shared" si="5"/>
        <v>-6.7294117647058442</v>
      </c>
      <c r="Q66" s="383">
        <f t="shared" si="6"/>
        <v>0.95233333333333359</v>
      </c>
      <c r="R66" s="619"/>
      <c r="S66" s="31">
        <v>0.43194444444444435</v>
      </c>
      <c r="T66" s="31">
        <v>0.48402777777777767</v>
      </c>
      <c r="U66" s="382">
        <f t="shared" si="48"/>
        <v>4.9999999999999822</v>
      </c>
      <c r="V66" s="386">
        <f t="shared" si="47"/>
        <v>74.999999999999972</v>
      </c>
      <c r="W66" s="17">
        <f>T66</f>
        <v>0.48402777777777767</v>
      </c>
      <c r="X66" s="17">
        <f>S67</f>
        <v>0.52430555555555547</v>
      </c>
      <c r="Y66" s="20"/>
      <c r="Z66" s="20"/>
      <c r="AA66" s="614"/>
      <c r="AB66" s="615"/>
      <c r="AC66" s="19"/>
      <c r="AD66" s="19"/>
      <c r="AE66" s="15">
        <f t="shared" si="43"/>
        <v>-114.39999999999918</v>
      </c>
      <c r="AF66" s="383">
        <f t="shared" si="9"/>
        <v>0.9523333333333337</v>
      </c>
      <c r="AG66" s="619"/>
    </row>
    <row r="67" spans="1:33" ht="15.75" customHeight="1">
      <c r="A67" s="617" t="s">
        <v>1872</v>
      </c>
      <c r="B67" s="388" t="s">
        <v>27</v>
      </c>
      <c r="C67" s="612" t="s">
        <v>50</v>
      </c>
      <c r="D67" s="613"/>
      <c r="E67" s="33">
        <v>19.02</v>
      </c>
      <c r="F67" s="388">
        <v>4330</v>
      </c>
      <c r="G67" s="382">
        <f t="shared" si="45"/>
        <v>82356.599999999991</v>
      </c>
      <c r="H67" s="389" t="s">
        <v>5</v>
      </c>
      <c r="I67" s="385">
        <v>14</v>
      </c>
      <c r="J67" s="30">
        <v>2400</v>
      </c>
      <c r="K67" s="13">
        <f t="shared" si="1"/>
        <v>171.42857142857142</v>
      </c>
      <c r="L67" s="385">
        <v>14</v>
      </c>
      <c r="M67" s="14">
        <f t="shared" si="46"/>
        <v>2299.1150442477892</v>
      </c>
      <c r="N67" s="13">
        <f t="shared" si="3"/>
        <v>164.22250316055639</v>
      </c>
      <c r="O67" s="15">
        <f t="shared" si="4"/>
        <v>0</v>
      </c>
      <c r="P67" s="16">
        <f t="shared" si="5"/>
        <v>-7.2060682680150308</v>
      </c>
      <c r="Q67" s="383">
        <f t="shared" si="6"/>
        <v>0.95796460176991227</v>
      </c>
      <c r="R67" s="619"/>
      <c r="S67" s="31">
        <v>0.52430555555555547</v>
      </c>
      <c r="T67" s="31">
        <v>0.60277777777777763</v>
      </c>
      <c r="U67" s="382">
        <f t="shared" si="48"/>
        <v>58.000000000000036</v>
      </c>
      <c r="V67" s="386">
        <f t="shared" si="47"/>
        <v>112.99999999999991</v>
      </c>
      <c r="W67" s="17"/>
      <c r="X67" s="17"/>
      <c r="Y67" s="20"/>
      <c r="Z67" s="20"/>
      <c r="AA67" s="614"/>
      <c r="AB67" s="615"/>
      <c r="AC67" s="19"/>
      <c r="AD67" s="19"/>
      <c r="AE67" s="15">
        <f t="shared" si="43"/>
        <v>-100.88495575221077</v>
      </c>
      <c r="AF67" s="383">
        <f t="shared" si="9"/>
        <v>0.95796460176991216</v>
      </c>
      <c r="AG67" s="619"/>
    </row>
    <row r="68" spans="1:33" ht="16.5" customHeight="1">
      <c r="A68" s="618" t="s">
        <v>1872</v>
      </c>
      <c r="B68" s="33" t="s">
        <v>1868</v>
      </c>
      <c r="C68" s="607"/>
      <c r="D68" s="608"/>
      <c r="E68" s="384"/>
      <c r="F68" s="34"/>
      <c r="G68" s="13"/>
      <c r="H68" s="388"/>
      <c r="I68" s="23">
        <v>16.5</v>
      </c>
      <c r="J68" s="30">
        <v>2400</v>
      </c>
      <c r="K68" s="13">
        <f t="shared" si="1"/>
        <v>145.45454545454547</v>
      </c>
      <c r="L68" s="23">
        <v>16.5</v>
      </c>
      <c r="M68" s="14">
        <f>AVERAGE(M60:M67)</f>
        <v>2305.844532452325</v>
      </c>
      <c r="N68" s="13">
        <f t="shared" si="3"/>
        <v>139.74815348195909</v>
      </c>
      <c r="O68" s="15">
        <f t="shared" si="4"/>
        <v>0</v>
      </c>
      <c r="P68" s="16">
        <f t="shared" si="5"/>
        <v>-5.7063919725863741</v>
      </c>
      <c r="Q68" s="383">
        <f t="shared" si="6"/>
        <v>0.96076855518846871</v>
      </c>
      <c r="R68" s="619"/>
      <c r="S68" s="31"/>
      <c r="T68" s="31"/>
      <c r="U68" s="13"/>
      <c r="V68" s="386"/>
      <c r="W68" s="13"/>
      <c r="X68" s="13"/>
      <c r="Y68" s="24">
        <f>SUM(Y60:Y67)</f>
        <v>0</v>
      </c>
      <c r="Z68" s="24">
        <f>SUM(Z60:Z67)</f>
        <v>0</v>
      </c>
      <c r="AA68" s="609"/>
      <c r="AB68" s="609"/>
      <c r="AC68" s="24">
        <v>8</v>
      </c>
      <c r="AD68" s="24">
        <f>SUM(AD60:AD67)</f>
        <v>0</v>
      </c>
      <c r="AE68" s="15">
        <f t="shared" si="43"/>
        <v>-94.155467547675016</v>
      </c>
      <c r="AF68" s="383">
        <f t="shared" si="9"/>
        <v>0.96076855518846871</v>
      </c>
      <c r="AG68" s="619"/>
    </row>
    <row r="69" spans="1:33">
      <c r="D69" s="25"/>
      <c r="E69" s="25"/>
    </row>
  </sheetData>
  <mergeCells count="187">
    <mergeCell ref="A60:A68"/>
    <mergeCell ref="C60:D60"/>
    <mergeCell ref="R60:R68"/>
    <mergeCell ref="AA60:AB60"/>
    <mergeCell ref="AG60:AG68"/>
    <mergeCell ref="C61:D61"/>
    <mergeCell ref="AA61:AB61"/>
    <mergeCell ref="C62:D62"/>
    <mergeCell ref="AA62:AB62"/>
    <mergeCell ref="C63:D63"/>
    <mergeCell ref="C67:D67"/>
    <mergeCell ref="AA67:AB67"/>
    <mergeCell ref="C68:D68"/>
    <mergeCell ref="AA68:AB68"/>
    <mergeCell ref="AA63:AB63"/>
    <mergeCell ref="C64:D64"/>
    <mergeCell ref="AA64:AB64"/>
    <mergeCell ref="C65:D65"/>
    <mergeCell ref="AA65:AB65"/>
    <mergeCell ref="C66:D66"/>
    <mergeCell ref="AA66:AB66"/>
    <mergeCell ref="AG54:AG59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R45:R53"/>
    <mergeCell ref="AA45:AB45"/>
    <mergeCell ref="C52:D52"/>
    <mergeCell ref="AA52:AB52"/>
    <mergeCell ref="C53:D53"/>
    <mergeCell ref="AA53:AB53"/>
    <mergeCell ref="A54:A59"/>
    <mergeCell ref="C54:D54"/>
    <mergeCell ref="R54:R59"/>
    <mergeCell ref="AA54:AB54"/>
    <mergeCell ref="AA59:AB59"/>
    <mergeCell ref="AG45:AG53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AA48:AB48"/>
    <mergeCell ref="AA49:AB49"/>
    <mergeCell ref="C50:D50"/>
    <mergeCell ref="AA50:AB50"/>
    <mergeCell ref="C51:D51"/>
    <mergeCell ref="AA51:AB51"/>
    <mergeCell ref="AA44:AB44"/>
    <mergeCell ref="A45:A53"/>
    <mergeCell ref="C45:D45"/>
    <mergeCell ref="C38:D38"/>
    <mergeCell ref="AA38:AB38"/>
    <mergeCell ref="C39:D39"/>
    <mergeCell ref="AA39:AB39"/>
    <mergeCell ref="C40:D40"/>
    <mergeCell ref="AA40:AB40"/>
    <mergeCell ref="A34:A40"/>
    <mergeCell ref="C34:D34"/>
    <mergeCell ref="R34:R40"/>
    <mergeCell ref="AA34:AB34"/>
    <mergeCell ref="A27:A33"/>
    <mergeCell ref="C27:D27"/>
    <mergeCell ref="R27:R33"/>
    <mergeCell ref="AA27:AB27"/>
    <mergeCell ref="AA32:AB32"/>
    <mergeCell ref="C33:D33"/>
    <mergeCell ref="AA33:AB33"/>
    <mergeCell ref="AG34:AG40"/>
    <mergeCell ref="C35:D35"/>
    <mergeCell ref="AA35:AB35"/>
    <mergeCell ref="C36:D36"/>
    <mergeCell ref="AA36:AB36"/>
    <mergeCell ref="C37:D37"/>
    <mergeCell ref="AG27:AG33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A37:AB37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20:A26"/>
    <mergeCell ref="C20:D20"/>
    <mergeCell ref="R20:R26"/>
    <mergeCell ref="AA20:AB20"/>
    <mergeCell ref="AA25:AB25"/>
    <mergeCell ref="A13:A19"/>
    <mergeCell ref="C13:D13"/>
    <mergeCell ref="R13:R19"/>
    <mergeCell ref="AA13:AB13"/>
    <mergeCell ref="AG13:AG19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19:D19"/>
    <mergeCell ref="AA19:AB19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7:O65 O53:O54 O68 O5:O9 O12:O14 O19:O50">
    <cfRule type="cellIs" dxfId="1544" priority="56" operator="greaterThan">
      <formula>0</formula>
    </cfRule>
  </conditionalFormatting>
  <conditionalFormatting sqref="P5:P7 P57:P58 AE57:AE58 P60:P65 P27:P32 P54 P9 P12:P14 P20:P25 P45:P50 P34:P43 AE5:AE54 AE60:AE68">
    <cfRule type="cellIs" dxfId="1543" priority="60" operator="lessThan">
      <formula>0</formula>
    </cfRule>
  </conditionalFormatting>
  <conditionalFormatting sqref="AF57:AF58 Q57:Q65 Q53:Q54 Q68 Q5:Q9 Q12:Q14 Q19:Q50 AF5:AF54 AF60:AF68">
    <cfRule type="cellIs" dxfId="1542" priority="57" operator="greaterThan">
      <formula>1</formula>
    </cfRule>
    <cfRule type="cellIs" dxfId="1541" priority="58" operator="lessThan">
      <formula>0.8</formula>
    </cfRule>
  </conditionalFormatting>
  <conditionalFormatting sqref="AG13:AG14 R13:R14 AG57 R57:R65 AG53:AG54 R53:R54 R68 AG5:AG9 R5:R9 AG19:AG50 R19:R50">
    <cfRule type="cellIs" dxfId="1540" priority="62" operator="lessThan">
      <formula>0.8</formula>
    </cfRule>
  </conditionalFormatting>
  <conditionalFormatting sqref="AG41">
    <cfRule type="cellIs" dxfId="1539" priority="64" operator="lessThan">
      <formula>0.8</formula>
    </cfRule>
  </conditionalFormatting>
  <conditionalFormatting sqref="AG20:AG25">
    <cfRule type="cellIs" dxfId="1538" priority="61" operator="lessThan">
      <formula>0.8</formula>
    </cfRule>
  </conditionalFormatting>
  <conditionalFormatting sqref="AG27">
    <cfRule type="cellIs" dxfId="1537" priority="63" operator="lessThan">
      <formula>0.8</formula>
    </cfRule>
  </conditionalFormatting>
  <conditionalFormatting sqref="AG34:AG39">
    <cfRule type="cellIs" dxfId="1536" priority="59" operator="lessThan">
      <formula>0.8</formula>
    </cfRule>
  </conditionalFormatting>
  <conditionalFormatting sqref="AE59">
    <cfRule type="cellIs" dxfId="1535" priority="55" operator="lessThan">
      <formula>0</formula>
    </cfRule>
  </conditionalFormatting>
  <conditionalFormatting sqref="AF59">
    <cfRule type="cellIs" dxfId="1534" priority="53" operator="greaterThan">
      <formula>1</formula>
    </cfRule>
    <cfRule type="cellIs" dxfId="1533" priority="54" operator="lessThan">
      <formula>0.8</formula>
    </cfRule>
  </conditionalFormatting>
  <conditionalFormatting sqref="O15:O16">
    <cfRule type="cellIs" dxfId="1532" priority="48" operator="greaterThan">
      <formula>0</formula>
    </cfRule>
  </conditionalFormatting>
  <conditionalFormatting sqref="P15:P16">
    <cfRule type="cellIs" dxfId="1531" priority="51" operator="lessThan">
      <formula>0</formula>
    </cfRule>
  </conditionalFormatting>
  <conditionalFormatting sqref="Q15:Q16">
    <cfRule type="cellIs" dxfId="1530" priority="49" operator="greaterThan">
      <formula>1</formula>
    </cfRule>
    <cfRule type="cellIs" dxfId="1529" priority="50" operator="lessThan">
      <formula>0.8</formula>
    </cfRule>
  </conditionalFormatting>
  <conditionalFormatting sqref="R15:R16 AG15:AG16">
    <cfRule type="cellIs" dxfId="1528" priority="52" operator="lessThan">
      <formula>0.8</formula>
    </cfRule>
  </conditionalFormatting>
  <conditionalFormatting sqref="O10:O11">
    <cfRule type="cellIs" dxfId="1527" priority="44" operator="greaterThan">
      <formula>0</formula>
    </cfRule>
  </conditionalFormatting>
  <conditionalFormatting sqref="P10:P11">
    <cfRule type="cellIs" dxfId="1526" priority="47" operator="lessThan">
      <formula>0</formula>
    </cfRule>
  </conditionalFormatting>
  <conditionalFormatting sqref="Q10:Q11">
    <cfRule type="cellIs" dxfId="1525" priority="45" operator="greaterThan">
      <formula>1</formula>
    </cfRule>
    <cfRule type="cellIs" dxfId="1524" priority="46" operator="lessThan">
      <formula>0.8</formula>
    </cfRule>
  </conditionalFormatting>
  <conditionalFormatting sqref="O51">
    <cfRule type="cellIs" dxfId="1523" priority="39" operator="greaterThan">
      <formula>0</formula>
    </cfRule>
  </conditionalFormatting>
  <conditionalFormatting sqref="P51">
    <cfRule type="cellIs" dxfId="1522" priority="42" operator="lessThan">
      <formula>0</formula>
    </cfRule>
  </conditionalFormatting>
  <conditionalFormatting sqref="Q51">
    <cfRule type="cellIs" dxfId="1521" priority="40" operator="greaterThan">
      <formula>1</formula>
    </cfRule>
    <cfRule type="cellIs" dxfId="1520" priority="41" operator="lessThan">
      <formula>0.8</formula>
    </cfRule>
  </conditionalFormatting>
  <conditionalFormatting sqref="R51 AG51">
    <cfRule type="cellIs" dxfId="1519" priority="43" operator="lessThan">
      <formula>0.8</formula>
    </cfRule>
  </conditionalFormatting>
  <conditionalFormatting sqref="O56">
    <cfRule type="cellIs" dxfId="1518" priority="34" operator="greaterThan">
      <formula>0</formula>
    </cfRule>
  </conditionalFormatting>
  <conditionalFormatting sqref="P56 AE56">
    <cfRule type="cellIs" dxfId="1517" priority="37" operator="lessThan">
      <formula>0</formula>
    </cfRule>
  </conditionalFormatting>
  <conditionalFormatting sqref="Q56 AF56">
    <cfRule type="cellIs" dxfId="1516" priority="35" operator="greaterThan">
      <formula>1</formula>
    </cfRule>
    <cfRule type="cellIs" dxfId="1515" priority="36" operator="lessThan">
      <formula>0.8</formula>
    </cfRule>
  </conditionalFormatting>
  <conditionalFormatting sqref="R56 AG56">
    <cfRule type="cellIs" dxfId="1514" priority="38" operator="lessThan">
      <formula>0.8</formula>
    </cfRule>
  </conditionalFormatting>
  <conditionalFormatting sqref="O66">
    <cfRule type="cellIs" dxfId="1513" priority="29" operator="greaterThan">
      <formula>0</formula>
    </cfRule>
  </conditionalFormatting>
  <conditionalFormatting sqref="P66">
    <cfRule type="cellIs" dxfId="1512" priority="32" operator="lessThan">
      <formula>0</formula>
    </cfRule>
  </conditionalFormatting>
  <conditionalFormatting sqref="Q66">
    <cfRule type="cellIs" dxfId="1511" priority="30" operator="greaterThan">
      <formula>1</formula>
    </cfRule>
    <cfRule type="cellIs" dxfId="1510" priority="31" operator="lessThan">
      <formula>0.8</formula>
    </cfRule>
  </conditionalFormatting>
  <conditionalFormatting sqref="R66">
    <cfRule type="cellIs" dxfId="1509" priority="33" operator="lessThan">
      <formula>0.8</formula>
    </cfRule>
  </conditionalFormatting>
  <conditionalFormatting sqref="O17:O18">
    <cfRule type="cellIs" dxfId="1508" priority="24" operator="greaterThan">
      <formula>0</formula>
    </cfRule>
  </conditionalFormatting>
  <conditionalFormatting sqref="P17:P18">
    <cfRule type="cellIs" dxfId="1507" priority="27" operator="lessThan">
      <formula>0</formula>
    </cfRule>
  </conditionalFormatting>
  <conditionalFormatting sqref="Q17:Q18">
    <cfRule type="cellIs" dxfId="1506" priority="25" operator="greaterThan">
      <formula>1</formula>
    </cfRule>
    <cfRule type="cellIs" dxfId="1505" priority="26" operator="lessThan">
      <formula>0.8</formula>
    </cfRule>
  </conditionalFormatting>
  <conditionalFormatting sqref="R17:R18 AG17:AG18">
    <cfRule type="cellIs" dxfId="1504" priority="28" operator="lessThan">
      <formula>0.8</formula>
    </cfRule>
  </conditionalFormatting>
  <conditionalFormatting sqref="O52">
    <cfRule type="cellIs" dxfId="1503" priority="19" operator="greaterThan">
      <formula>0</formula>
    </cfRule>
  </conditionalFormatting>
  <conditionalFormatting sqref="P52">
    <cfRule type="cellIs" dxfId="1502" priority="22" operator="lessThan">
      <formula>0</formula>
    </cfRule>
  </conditionalFormatting>
  <conditionalFormatting sqref="Q52">
    <cfRule type="cellIs" dxfId="1501" priority="20" operator="greaterThan">
      <formula>1</formula>
    </cfRule>
    <cfRule type="cellIs" dxfId="1500" priority="21" operator="lessThan">
      <formula>0.8</formula>
    </cfRule>
  </conditionalFormatting>
  <conditionalFormatting sqref="AG52 R52">
    <cfRule type="cellIs" dxfId="1499" priority="23" operator="lessThan">
      <formula>0.8</formula>
    </cfRule>
  </conditionalFormatting>
  <conditionalFormatting sqref="O55">
    <cfRule type="cellIs" dxfId="1498" priority="14" operator="greaterThan">
      <formula>0</formula>
    </cfRule>
  </conditionalFormatting>
  <conditionalFormatting sqref="P55 AE55">
    <cfRule type="cellIs" dxfId="1497" priority="17" operator="lessThan">
      <formula>0</formula>
    </cfRule>
  </conditionalFormatting>
  <conditionalFormatting sqref="Q55 AF55">
    <cfRule type="cellIs" dxfId="1496" priority="15" operator="greaterThan">
      <formula>1</formula>
    </cfRule>
    <cfRule type="cellIs" dxfId="1495" priority="16" operator="lessThan">
      <formula>0.8</formula>
    </cfRule>
  </conditionalFormatting>
  <conditionalFormatting sqref="R55 AG55">
    <cfRule type="cellIs" dxfId="1494" priority="18" operator="lessThan">
      <formula>0.8</formula>
    </cfRule>
  </conditionalFormatting>
  <conditionalFormatting sqref="P8">
    <cfRule type="cellIs" dxfId="1493" priority="13" operator="lessThan">
      <formula>0</formula>
    </cfRule>
  </conditionalFormatting>
  <conditionalFormatting sqref="P19">
    <cfRule type="cellIs" dxfId="1492" priority="12" operator="lessThan">
      <formula>0</formula>
    </cfRule>
  </conditionalFormatting>
  <conditionalFormatting sqref="P26">
    <cfRule type="cellIs" dxfId="1491" priority="11" operator="lessThan">
      <formula>0</formula>
    </cfRule>
  </conditionalFormatting>
  <conditionalFormatting sqref="P33">
    <cfRule type="cellIs" dxfId="1490" priority="10" operator="lessThan">
      <formula>0</formula>
    </cfRule>
  </conditionalFormatting>
  <conditionalFormatting sqref="P44">
    <cfRule type="cellIs" dxfId="1489" priority="9" operator="lessThan">
      <formula>0</formula>
    </cfRule>
  </conditionalFormatting>
  <conditionalFormatting sqref="P53">
    <cfRule type="cellIs" dxfId="1488" priority="8" operator="lessThan">
      <formula>0</formula>
    </cfRule>
  </conditionalFormatting>
  <conditionalFormatting sqref="P59">
    <cfRule type="cellIs" dxfId="1487" priority="7" operator="lessThan">
      <formula>0</formula>
    </cfRule>
  </conditionalFormatting>
  <conditionalFormatting sqref="P68">
    <cfRule type="cellIs" dxfId="1486" priority="6" operator="lessThan">
      <formula>0</formula>
    </cfRule>
  </conditionalFormatting>
  <conditionalFormatting sqref="O67">
    <cfRule type="cellIs" dxfId="1485" priority="1" operator="greaterThan">
      <formula>0</formula>
    </cfRule>
  </conditionalFormatting>
  <conditionalFormatting sqref="P67">
    <cfRule type="cellIs" dxfId="1484" priority="4" operator="lessThan">
      <formula>0</formula>
    </cfRule>
  </conditionalFormatting>
  <conditionalFormatting sqref="Q67">
    <cfRule type="cellIs" dxfId="1483" priority="2" operator="greaterThan">
      <formula>1</formula>
    </cfRule>
    <cfRule type="cellIs" dxfId="1482" priority="3" operator="lessThan">
      <formula>0.8</formula>
    </cfRule>
  </conditionalFormatting>
  <conditionalFormatting sqref="R67">
    <cfRule type="cellIs" dxfId="1481" priority="5" operator="lessThan">
      <formula>0.8</formula>
    </cfRule>
  </conditionalFormatting>
  <dataValidations count="1">
    <dataValidation type="list" allowBlank="1" showInputMessage="1" showErrorMessage="1" sqref="AB8 AA5:AB7 AB58 AA8:AA58 AB10:AB54 AA59:AB68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8" sqref="E8:F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305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87</v>
      </c>
      <c r="C3" s="596" t="str">
        <f>TEXT('0918 4度C'!A2,"yyyy.mm.ddaaaa")</f>
        <v>2026.09.18星期五</v>
      </c>
      <c r="D3" s="597"/>
      <c r="E3" s="39" t="s">
        <v>1647</v>
      </c>
      <c r="F3" s="598">
        <f>'0918 4度C'!D1</f>
        <v>131228</v>
      </c>
      <c r="G3" s="599"/>
      <c r="H3" s="39" t="s">
        <v>1648</v>
      </c>
      <c r="I3" s="600">
        <f>'0918 4度C'!F1</f>
        <v>4427465.5499999989</v>
      </c>
      <c r="J3" s="601"/>
      <c r="K3" s="40"/>
      <c r="L3" s="41"/>
      <c r="M3" s="42"/>
      <c r="N3" s="42"/>
    </row>
    <row r="4" spans="2:17" ht="28.5" customHeight="1">
      <c r="B4" s="602" t="s">
        <v>1649</v>
      </c>
      <c r="C4" s="588" t="s">
        <v>1650</v>
      </c>
      <c r="D4" s="589"/>
      <c r="E4" s="605" t="s">
        <v>92</v>
      </c>
      <c r="F4" s="606"/>
      <c r="G4" s="605" t="s">
        <v>1651</v>
      </c>
      <c r="H4" s="606"/>
      <c r="I4" s="605" t="s">
        <v>425</v>
      </c>
      <c r="J4" s="606"/>
      <c r="K4" s="586" t="s">
        <v>1652</v>
      </c>
      <c r="L4" s="587"/>
      <c r="M4" s="587" t="s">
        <v>96</v>
      </c>
      <c r="N4" s="587"/>
    </row>
    <row r="5" spans="2:17" ht="28.5" customHeight="1">
      <c r="B5" s="603"/>
      <c r="C5" s="588" t="s">
        <v>97</v>
      </c>
      <c r="D5" s="589"/>
      <c r="E5" s="588" t="s">
        <v>1653</v>
      </c>
      <c r="F5" s="589"/>
      <c r="G5" s="590" t="s">
        <v>1654</v>
      </c>
      <c r="H5" s="591"/>
      <c r="I5" s="592" t="s">
        <v>1655</v>
      </c>
      <c r="J5" s="593"/>
      <c r="K5" s="43" t="s">
        <v>1656</v>
      </c>
      <c r="L5" s="44" t="s">
        <v>316</v>
      </c>
      <c r="M5" s="43" t="s">
        <v>1656</v>
      </c>
      <c r="N5" s="44" t="s">
        <v>1657</v>
      </c>
    </row>
    <row r="6" spans="2:17" ht="28.5" customHeight="1">
      <c r="B6" s="603"/>
      <c r="C6" s="588" t="s">
        <v>56</v>
      </c>
      <c r="D6" s="589"/>
      <c r="E6" s="580">
        <f>AVERAGE(D13:M13)</f>
        <v>151.3515027340251</v>
      </c>
      <c r="F6" s="581">
        <f>AVERAGE(D31:O31,D13:J13)</f>
        <v>156.08146940103916</v>
      </c>
      <c r="G6" s="582">
        <f>AVERAGE(D13:J13)</f>
        <v>156.08146940103916</v>
      </c>
      <c r="H6" s="583"/>
      <c r="I6" s="582">
        <f>AVERAGE(K13:M13)</f>
        <v>140.31491384432562</v>
      </c>
      <c r="J6" s="583"/>
      <c r="K6" s="584">
        <f>'0918 4度C'!Y2</f>
        <v>0</v>
      </c>
      <c r="L6" s="569">
        <f>'0918 4度C'!Z2</f>
        <v>0</v>
      </c>
      <c r="M6" s="585">
        <f>'0918 4度C'!AC2</f>
        <v>54</v>
      </c>
      <c r="N6" s="569">
        <f>'0918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145.37865375822147</v>
      </c>
      <c r="F7" s="573">
        <f>AVERAGE(D32:O32,D14:J14)</f>
        <v>150.23893273362484</v>
      </c>
      <c r="G7" s="574">
        <f>AVERAGE(D14:J14)</f>
        <v>150.23893273362484</v>
      </c>
      <c r="H7" s="575"/>
      <c r="I7" s="574">
        <f>AVERAGE(K14:M14)</f>
        <v>134.03800281561365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0.96000644565275572</v>
      </c>
      <c r="F8" s="577">
        <f>AVERAGE(D15:J15,D33:O33)</f>
        <v>0.96205783573317738</v>
      </c>
      <c r="G8" s="578">
        <f>AVERAGE(D15:J15)</f>
        <v>0.96205783573317738</v>
      </c>
      <c r="H8" s="579"/>
      <c r="I8" s="578">
        <f>AVERAGE(K15:M15)</f>
        <v>0.95521986879843823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1658</v>
      </c>
      <c r="N9" s="42"/>
      <c r="O9" s="42"/>
      <c r="P9" s="42"/>
      <c r="Q9" s="42"/>
    </row>
    <row r="10" spans="2:17" ht="30" customHeight="1">
      <c r="B10" s="552" t="s">
        <v>1659</v>
      </c>
      <c r="C10" s="553"/>
      <c r="D10" s="554" t="s">
        <v>1660</v>
      </c>
      <c r="E10" s="555"/>
      <c r="F10" s="555"/>
      <c r="G10" s="555"/>
      <c r="H10" s="555"/>
      <c r="I10" s="555"/>
      <c r="J10" s="556"/>
      <c r="K10" s="557" t="s">
        <v>1661</v>
      </c>
      <c r="L10" s="558"/>
      <c r="M10" s="559"/>
      <c r="P10" s="48"/>
      <c r="Q10" s="48"/>
    </row>
    <row r="11" spans="2:17" ht="17.25" customHeight="1">
      <c r="B11" s="560" t="s">
        <v>1662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1663</v>
      </c>
      <c r="C13" s="55" t="s">
        <v>1664</v>
      </c>
      <c r="D13" s="56">
        <f>SUMIFS('0918 4度C'!$K:$K,'0918 4度C'!$A:$A,"新豐6線",'0918 4度C'!$B:$B,"平均")</f>
        <v>136.36363636363637</v>
      </c>
      <c r="E13" s="57">
        <f>SUMIFS('0918 4度C'!$K:$K,'0918 4度C'!$A:$A,"新豐2線",'0918 4度C'!$B:$B,"平均")</f>
        <v>81.818181818181827</v>
      </c>
      <c r="F13" s="58">
        <f>SUMIFS('0918 4度C'!$K:$K,'0918 4度C'!$A:$A,"新豐5線",'0918 4度C'!$B:$B,"平均")</f>
        <v>101.94174757281553</v>
      </c>
      <c r="G13" s="58">
        <f>SUMIFS('0918 4度C'!$K:$K,'0918 4度C'!$A:$A,"新豐7線",'0918 4度C'!$B:$B,"平均")</f>
        <v>126.31578947368421</v>
      </c>
      <c r="H13" s="58">
        <f>SUMIFS('0918 4度C'!$K:$K,'0918 4度C'!$A:$A,"新豐3線",'0918 4度C'!$B:$B,"平均")</f>
        <v>242.42424242424241</v>
      </c>
      <c r="I13" s="58">
        <f>SUMIFS('0918 4度C'!$K:$K,'0918 4度C'!$A:$A,"新豐1線",'0918 4度C'!$B:$B,"平均")</f>
        <v>109.58904109589041</v>
      </c>
      <c r="J13" s="59">
        <f>SUMIFS('0918 4度C'!$K:$K,'0918 4度C'!$A:$A,"新豐10線",'0918 4度C'!$B:$B,"平均")</f>
        <v>294.11764705882354</v>
      </c>
      <c r="K13" s="60">
        <f>SUMIFS('0918 4度C'!$K:$K,'0918 4度C'!$A:$A,"新豐8線",'0918 4度C'!$B:$B,"平均")</f>
        <v>150</v>
      </c>
      <c r="L13" s="61">
        <f>SUMIFS('0918 4度C'!$K:$K,'0918 4度C'!$A:$A,"新豐9線",'0918 4度C'!$B:$B,"平均")</f>
        <v>125.49019607843138</v>
      </c>
      <c r="M13" s="59">
        <f>SUMIFS('0918 4度C'!$K:$K,'0918 4度C'!$A:$A,"新豐4線",'0918 4度C'!$B:$B,"平均")</f>
        <v>145.45454545454547</v>
      </c>
    </row>
    <row r="14" spans="2:17" ht="39.6" customHeight="1">
      <c r="B14" s="565"/>
      <c r="C14" s="62" t="s">
        <v>1665</v>
      </c>
      <c r="D14" s="63">
        <f>SUMIFS('0918 4度C'!$N:$N,'0918 4度C'!$A:$A,"新豐6線",'0918 4度C'!$B:$B,"平均")</f>
        <v>130.92956003008047</v>
      </c>
      <c r="E14" s="64">
        <f>SUMIFS('0918 4度C'!$N:$N,'0918 4度C'!$A:$A,"新豐2線",'0918 4度C'!$B:$B,"平均")</f>
        <v>78.019699664947751</v>
      </c>
      <c r="F14" s="64">
        <f>SUMIFS('0918 4度C'!$N:$N,'0918 4度C'!$A:$A,"新豐5線",'0918 4度C'!$B:$B,"平均")</f>
        <v>98.179284693501273</v>
      </c>
      <c r="G14" s="64">
        <f>SUMIFS('0918 4度C'!$N:$N,'0918 4度C'!$A:$A,"新豐7線",'0918 4度C'!$B:$B,"平均")</f>
        <v>121.72341447680742</v>
      </c>
      <c r="H14" s="64">
        <f>SUMIFS('0918 4度C'!$N:$N,'0918 4度C'!$A:$A,"新豐3線",'0918 4度C'!$B:$B,"平均")</f>
        <v>232.72547873412614</v>
      </c>
      <c r="I14" s="64">
        <f>SUMIFS('0918 4度C'!$N:$N,'0918 4度C'!$A:$A,"新豐1線",'0918 4度C'!$B:$B,"平均")</f>
        <v>106.13606925489606</v>
      </c>
      <c r="J14" s="65">
        <f>SUMIFS('0918 4度C'!$N:$N,'0918 4度C'!$A:$A,"新豐10線",'0918 4度C'!$B:$B,"平均")</f>
        <v>283.95902228101488</v>
      </c>
      <c r="K14" s="66">
        <f>SUMIFS('0918 4度C'!$N:$N,'0918 4度C'!$A:$A,"新豐8線",'0918 4度C'!$B:$B,"平均")</f>
        <v>142.99211278977268</v>
      </c>
      <c r="L14" s="67">
        <f>SUMIFS('0918 4度C'!$N:$N,'0918 4度C'!$A:$A,"新豐9線",'0918 4度C'!$B:$B,"平均")</f>
        <v>119.6944656650539</v>
      </c>
      <c r="M14" s="65">
        <f>SUMIFS('0918 4度C'!$N:$N,'0918 4度C'!$A:$A,"新豐4線",'0918 4度C'!$B:$B,"平均")</f>
        <v>139.42742999201437</v>
      </c>
    </row>
    <row r="15" spans="2:17" ht="40.15" customHeight="1">
      <c r="B15" s="566"/>
      <c r="C15" s="68" t="s">
        <v>1666</v>
      </c>
      <c r="D15" s="69">
        <f t="shared" ref="D15:M15" si="0">D14/D13</f>
        <v>0.96015010688725666</v>
      </c>
      <c r="E15" s="70">
        <f t="shared" si="0"/>
        <v>0.95357410701602796</v>
      </c>
      <c r="F15" s="70">
        <f t="shared" si="0"/>
        <v>0.96309203080291728</v>
      </c>
      <c r="G15" s="70">
        <f t="shared" si="0"/>
        <v>0.96364369794139215</v>
      </c>
      <c r="H15" s="70">
        <f t="shared" si="0"/>
        <v>0.95999259977827045</v>
      </c>
      <c r="I15" s="70">
        <f t="shared" si="0"/>
        <v>0.96849163195092658</v>
      </c>
      <c r="J15" s="71">
        <f t="shared" si="0"/>
        <v>0.96546067575545058</v>
      </c>
      <c r="K15" s="69">
        <f t="shared" si="0"/>
        <v>0.95328075193181783</v>
      </c>
      <c r="L15" s="70">
        <f t="shared" si="0"/>
        <v>0.95381527326839821</v>
      </c>
      <c r="M15" s="71">
        <f t="shared" si="0"/>
        <v>0.95856358119509866</v>
      </c>
    </row>
    <row r="16" spans="2:17" ht="17.25" customHeight="1">
      <c r="B16" s="567" t="s">
        <v>1667</v>
      </c>
      <c r="C16" s="72" t="s">
        <v>1668</v>
      </c>
      <c r="D16" s="73">
        <f>VLOOKUP("新豐6線",'0918 4度C'!$A:$T,19,0)</f>
        <v>0.70833333333333337</v>
      </c>
      <c r="E16" s="74">
        <f>VLOOKUP("新豐2線",'0918 4度C'!$A:$T,19,0)</f>
        <v>8.3333333333333329E-2</v>
      </c>
      <c r="F16" s="74">
        <f>VLOOKUP("新豐5線",'0918 4度C'!$A:$T,19,0)</f>
        <v>0.25</v>
      </c>
      <c r="G16" s="74">
        <f>VLOOKUP("新豐7線",'0918 4度C'!$A:$T,19,0)</f>
        <v>0.25</v>
      </c>
      <c r="H16" s="74">
        <f>VLOOKUP("新豐3線",'0918 4度C'!$A:$T,19,0)</f>
        <v>0.20833333333333334</v>
      </c>
      <c r="I16" s="74">
        <f>VLOOKUP("新豐1線",'0918 4度C'!$A:$T,19,0)</f>
        <v>0.20833333333333334</v>
      </c>
      <c r="J16" s="75">
        <f>VLOOKUP("新豐10線",'0918 4度C'!$A:$T,19,0)</f>
        <v>0.20833333333333334</v>
      </c>
      <c r="K16" s="76">
        <f>VLOOKUP("新豐8線",'0918 4度C'!$A:$T,19,0)</f>
        <v>8.3333333333333329E-2</v>
      </c>
      <c r="L16" s="77">
        <f>VLOOKUP("新豐9線",'0918 4度C'!$A:$T,19,0)</f>
        <v>8.3333333333333329E-2</v>
      </c>
      <c r="M16" s="78">
        <f>VLOOKUP("新豐4線",'0918 4度C'!$A:$T,19,0)</f>
        <v>8.3333333333333329E-2</v>
      </c>
    </row>
    <row r="17" spans="2:13" ht="17.25" customHeight="1">
      <c r="B17" s="568"/>
      <c r="C17" s="72" t="s">
        <v>1669</v>
      </c>
      <c r="D17" s="76">
        <f>LOOKUP(2,1/(('0918 4度C'!$A:$A="新豐6線")*('0918 4度C'!$T:$T&lt;&gt;"")),'0918 4度C'!$T:$T)</f>
        <v>0.81388888888888888</v>
      </c>
      <c r="E17" s="74">
        <f>LOOKUP(2,1/(('0918 4度C'!$A:$A="新豐2線")*('0918 4度C'!$T:$T&lt;&gt;"")),'0918 4度C'!$T:$T)</f>
        <v>0.41944444444444445</v>
      </c>
      <c r="F17" s="74">
        <f>LOOKUP(2,1/(('0918 4度C'!$A:$A="新豐5線")*('0918 4度C'!$T:$T&lt;&gt;"")),'0918 4度C'!$T:$T)</f>
        <v>0.78194444444444455</v>
      </c>
      <c r="G17" s="74">
        <f>LOOKUP(2,1/(('0918 4度C'!$A:$A="新豐7線")*('0918 4度C'!$T:$T&lt;&gt;"")),'0918 4度C'!$T:$T)</f>
        <v>0.80625000000000002</v>
      </c>
      <c r="H17" s="74">
        <f>LOOKUP(2,1/(('0918 4度C'!$A:$A="新豐3線")*('0918 4度C'!$T:$T&lt;&gt;"")),'0918 4度C'!$T:$T)</f>
        <v>0.40416666666666667</v>
      </c>
      <c r="I17" s="74">
        <f>LOOKUP(2,1/(('0918 4度C'!$A:$A="新豐1線")*('0918 4度C'!$T:$T&lt;&gt;"")),'0918 4度C'!$T:$T)</f>
        <v>0.81805555555555554</v>
      </c>
      <c r="J17" s="75">
        <f>LOOKUP(2,1/(('0918 4度C'!$A:$A="新豐10線")*('0918 4度C'!$T:$T&lt;&gt;"")),'0918 4度C'!$T:$T)</f>
        <v>0.40486111111111106</v>
      </c>
      <c r="K17" s="73">
        <f>LOOKUP(2,1/(('0918 4度C'!$A:$A="新豐8線")*('0918 4度C'!$T:$T&lt;&gt;"")),'0918 4度C'!$T:$T)</f>
        <v>0.55624999999999991</v>
      </c>
      <c r="L17" s="74">
        <f>LOOKUP(2,1/(('0918 4度C'!$A:$A="新豐9線")*('0918 4度C'!$T:$T&lt;&gt;"")),'0918 4度C'!$T:$T)</f>
        <v>0.57152777777777775</v>
      </c>
      <c r="M17" s="75">
        <f>LOOKUP(2,1/(('0918 4度C'!$A:$A="新豐4線")*('0918 4度C'!$T:$T&lt;&gt;"")),'0918 4度C'!$T:$T)</f>
        <v>0.58472222222222203</v>
      </c>
    </row>
    <row r="18" spans="2:13" ht="17.25" customHeight="1">
      <c r="B18" s="546" t="s">
        <v>1670</v>
      </c>
      <c r="C18" s="79" t="s">
        <v>1671</v>
      </c>
      <c r="D18" s="80">
        <f>SUMIFS('0918 4度C'!$Y:$Y,'0918 4度C'!$A:$A,"新豐6線",'0918 4度C'!$B:$B,"平均")</f>
        <v>0</v>
      </c>
      <c r="E18" s="81">
        <f>SUMIFS('0918 4度C'!$Y:$Y,'0918 4度C'!$A:$A,"新豐2線",'0918 4度C'!$B:$B,"平均")</f>
        <v>0</v>
      </c>
      <c r="F18" s="81">
        <f>SUMIFS('0918 4度C'!$Y:$Y,'0918 4度C'!$A:$A,"新豐5線",'0918 4度C'!$B:$B,"平均")</f>
        <v>0</v>
      </c>
      <c r="G18" s="81">
        <f>SUMIFS('0918 4度C'!$Y:$Y,'0918 4度C'!$A:$A,"新豐7線",'0918 4度C'!$B:$B,"平均")</f>
        <v>0</v>
      </c>
      <c r="H18" s="81">
        <f>SUMIFS('0918 4度C'!$Y:$Y,'0918 4度C'!$A:$A,"新豐3線",'0918 4度C'!$B:$B,"平均")</f>
        <v>0</v>
      </c>
      <c r="I18" s="81">
        <f>SUMIFS('0918 4度C'!$Y:$Y,'0918 4度C'!$A:$A,"新豐1線",'0918 4度C'!$B:$B,"平均")</f>
        <v>0</v>
      </c>
      <c r="J18" s="82">
        <f>SUMIFS('0918 4度C'!$Y:$Y,'0918 4度C'!$A:$A,"新豐10線",'0918 4度C'!$B:$B,"平均")</f>
        <v>0</v>
      </c>
      <c r="K18" s="83">
        <f>SUMIFS('0918 4度C'!$Y:$Y,'0918 4度C'!$A:$A,"新豐8線",'0918 4度C'!$B:$B,"平均")</f>
        <v>0</v>
      </c>
      <c r="L18" s="81">
        <f>SUMIFS('0918 4度C'!$Y:$Y,'0918 4度C'!$A:$A,"新豐9線",'0918 4度C'!$B:$B,"平均")</f>
        <v>0</v>
      </c>
      <c r="M18" s="82">
        <f>SUMIFS('0918 4度C'!$Y:$Y,'0918 4度C'!$A:$A,"新豐4線",'0918 4度C'!$B:$B,"平均")</f>
        <v>0</v>
      </c>
    </row>
    <row r="19" spans="2:13" ht="17.25" customHeight="1">
      <c r="B19" s="547"/>
      <c r="C19" s="79" t="s">
        <v>1672</v>
      </c>
      <c r="D19" s="80">
        <f>SUMIFS('0918 4度C'!$Z:$Z,'0918 4度C'!$A:$A,"新豐6線",'0918 4度C'!$B:$B,"平均")</f>
        <v>0</v>
      </c>
      <c r="E19" s="81">
        <f>SUMIFS('0918 4度C'!$Z:$Z,'0918 4度C'!$A:$A,"新豐2線",'0918 4度C'!$B:$B,"平均")</f>
        <v>0</v>
      </c>
      <c r="F19" s="81">
        <f>SUMIFS('0918 4度C'!$Z:$Z,'0918 4度C'!$A:$A,"新豐5線",'0918 4度C'!$B:$B,"平均")</f>
        <v>0</v>
      </c>
      <c r="G19" s="81">
        <f>SUMIFS('0918 4度C'!$Z:$Z,'0918 4度C'!$A:$A,"新豐7線",'0918 4度C'!$B:$B,"平均")</f>
        <v>0</v>
      </c>
      <c r="H19" s="81">
        <f>SUMIFS('0918 4度C'!$Z:$Z,'0918 4度C'!$A:$A,"新豐3線",'0918 4度C'!$B:$B,"平均")</f>
        <v>0</v>
      </c>
      <c r="I19" s="81">
        <f>SUMIFS('0918 4度C'!$Z:$Z,'0918 4度C'!$A:$A,"新豐1線",'0918 4度C'!$B:$B,"平均")</f>
        <v>0</v>
      </c>
      <c r="J19" s="82">
        <f>SUMIFS('0918 4度C'!$Z:$Z,'0918 4度C'!$A:$A,"新豐10線",'0918 4度C'!$B:$B,"平均")</f>
        <v>0</v>
      </c>
      <c r="K19" s="83">
        <f>SUMIFS('0918 4度C'!$Z:$Z,'0918 4度C'!$A:$A,"新豐8線",'0918 4度C'!$B:$B,"平均")</f>
        <v>0</v>
      </c>
      <c r="L19" s="81">
        <f>SUMIFS('0918 4度C'!$Z:$Z,'0918 4度C'!$A:$A,"新豐9線",'0918 4度C'!$B:$B,"平均")</f>
        <v>0</v>
      </c>
      <c r="M19" s="82">
        <f>SUMIFS('0918 4度C'!$Z:$Z,'0918 4度C'!$A:$A,"新豐4線",'0918 4度C'!$B:$B,"平均")</f>
        <v>0</v>
      </c>
    </row>
    <row r="20" spans="2:13" ht="17.25" customHeight="1">
      <c r="B20" s="546" t="s">
        <v>1673</v>
      </c>
      <c r="C20" s="79" t="s">
        <v>1671</v>
      </c>
      <c r="D20" s="80">
        <f>SUMIFS('0918 4度C'!$AC:$AC,'0918 4度C'!$A:$A,"新豐6線",'0918 4度C'!$B:$B,"平均")</f>
        <v>3</v>
      </c>
      <c r="E20" s="81">
        <f>SUMIFS('0918 4度C'!$AC:$AC,'0918 4度C'!$A:$A,"新豐2線",'0918 4度C'!$B:$B,"平均")</f>
        <v>3</v>
      </c>
      <c r="F20" s="81">
        <f>SUMIFS('0918 4度C'!$AC:$AC,'0918 4度C'!$A:$A,"新豐5線",'0918 4度C'!$B:$B,"平均")</f>
        <v>6</v>
      </c>
      <c r="G20" s="81">
        <f>SUMIFS('0918 4度C'!$AC:$AC,'0918 4度C'!$A:$A,"新豐7線",'0918 4度C'!$B:$B,"平均")</f>
        <v>6</v>
      </c>
      <c r="H20" s="81">
        <f>SUMIFS('0918 4度C'!$AC:$AC,'0918 4度C'!$A:$A,"新豐3線",'0918 4度C'!$B:$B,"平均")</f>
        <v>3</v>
      </c>
      <c r="I20" s="81">
        <f>SUMIFS('0918 4度C'!$AC:$AC,'0918 4度C'!$A:$A,"新豐1線",'0918 4度C'!$B:$B,"平均")</f>
        <v>8</v>
      </c>
      <c r="J20" s="82">
        <f>SUMIFS('0918 4度C'!$AC:$AC,'0918 4度C'!$A:$A,"新豐10線",'0918 4度C'!$B:$B,"平均")</f>
        <v>5</v>
      </c>
      <c r="K20" s="83">
        <f>SUMIFS('0918 4度C'!$AC:$AC,'0918 4度C'!$A:$A,"新豐8線",'0918 4度C'!$B:$B,"平均")</f>
        <v>6</v>
      </c>
      <c r="L20" s="81">
        <f>SUMIFS('0918 4度C'!$AC:$AC,'0918 4度C'!$A:$A,"新豐9線",'0918 4度C'!$B:$B,"平均")</f>
        <v>6</v>
      </c>
      <c r="M20" s="82">
        <f>SUMIFS('0918 4度C'!$AC:$AC,'0918 4度C'!$A:$A,"新豐4線",'0918 4度C'!$B:$B,"平均")</f>
        <v>8</v>
      </c>
    </row>
    <row r="21" spans="2:13" ht="17.25" customHeight="1">
      <c r="B21" s="547"/>
      <c r="C21" s="79" t="s">
        <v>1674</v>
      </c>
      <c r="D21" s="80">
        <f>SUMIFS('0918 4度C'!$AD:$AD,'0918 4度C'!$A:$A,"新豐6線",'0918 4度C'!$B:$B,"平均")</f>
        <v>0</v>
      </c>
      <c r="E21" s="81">
        <f>SUMIFS('0918 4度C'!$AD:$AD,'0918 4度C'!$A:$A,"新豐2線",'0918 4度C'!$B:$B,"平均")</f>
        <v>0</v>
      </c>
      <c r="F21" s="81">
        <f>SUMIFS('0918 4度C'!$AD:$AD,'0918 4度C'!$A:$A,"新豐5線",'0918 4度C'!$B:$B,"平均")</f>
        <v>0</v>
      </c>
      <c r="G21" s="81">
        <f>SUMIFS('0918 4度C'!$AD:$AD,'0918 4度C'!$A:$A,"新豐7線",'0918 4度C'!$B:$B,"平均")</f>
        <v>0</v>
      </c>
      <c r="H21" s="81">
        <f>SUMIFS('0918 4度C'!$AD:$AD,'0918 4度C'!$A:$A,"新豐3線",'0918 4度C'!$B:$B,"平均")</f>
        <v>0</v>
      </c>
      <c r="I21" s="81">
        <f>SUMIFS('0918 4度C'!$AD:$AD,'0918 4度C'!$A:$A,"新豐1線",'0918 4度C'!$B:$B,"平均")</f>
        <v>0</v>
      </c>
      <c r="J21" s="82">
        <f>SUMIFS('0918 4度C'!$AD:$AD,'0918 4度C'!$A:$A,"新豐10線",'0918 4度C'!$B:$B,"平均")</f>
        <v>0</v>
      </c>
      <c r="K21" s="83">
        <f>SUMIFS('0918 4度C'!$AD:$AD,'0918 4度C'!$A:$A,"新豐8線",'0918 4度C'!$B:$B,"平均")</f>
        <v>0</v>
      </c>
      <c r="L21" s="81">
        <f>SUMIFS('0918 4度C'!$AD:$AD,'0918 4度C'!$A:$A,"新豐9線",'0918 4度C'!$B:$B,"平均")</f>
        <v>0</v>
      </c>
      <c r="M21" s="82">
        <f>SUMIFS('0918 4度C'!$AD:$AD,'0918 4度C'!$A:$A,"新豐4線",'0918 4度C'!$B:$B,"平均")</f>
        <v>0</v>
      </c>
    </row>
    <row r="22" spans="2:13" ht="17.25" customHeight="1">
      <c r="B22" s="548" t="s">
        <v>1675</v>
      </c>
      <c r="C22" s="549"/>
      <c r="D22" s="84">
        <f>SUMIFS('0918 4度C'!$I:$I,'0918 4度C'!$A:$A,"新豐6線",'0918 4度C'!$B:$B,"平均")</f>
        <v>14.666666666666666</v>
      </c>
      <c r="E22" s="85">
        <f>SUMIFS('0918 4度C'!$I:$I,'0918 4度C'!$A:$A,"新豐2線",'0918 4度C'!$B:$B,"平均")</f>
        <v>18.333333333333332</v>
      </c>
      <c r="F22" s="85">
        <f>SUMIFS('0918 4度C'!$I:$I,'0918 4度C'!$A:$A,"新豐5線",'0918 4度C'!$B:$B,"平均")</f>
        <v>17.166666666666668</v>
      </c>
      <c r="G22" s="85">
        <f>SUMIFS('0918 4度C'!$I:$I,'0918 4度C'!$A:$A,"新豐7線",'0918 4度C'!$B:$B,"平均")</f>
        <v>15.833333333333334</v>
      </c>
      <c r="H22" s="85">
        <f>SUMIFS('0918 4度C'!$I:$I,'0918 4度C'!$A:$A,"新豐3線",'0918 4度C'!$B:$B,"平均")</f>
        <v>11</v>
      </c>
      <c r="I22" s="85">
        <f>SUMIFS('0918 4度C'!$I:$I,'0918 4度C'!$A:$A,"新豐1線",'0918 4度C'!$B:$B,"平均")</f>
        <v>18.25</v>
      </c>
      <c r="J22" s="86">
        <f>SUMIFS('0918 4度C'!$I:$I,'0918 4度C'!$A:$A,"新豐10線",'0918 4度C'!$B:$B,"平均")</f>
        <v>10.199999999999999</v>
      </c>
      <c r="K22" s="84">
        <f>SUMIFS('0918 4度C'!$I:$I,'0918 4度C'!$A:$A,"新豐8線",'0918 4度C'!$B:$B,"平均")</f>
        <v>16</v>
      </c>
      <c r="L22" s="85">
        <f>SUMIFS('0918 4度C'!$I:$I,'0918 4度C'!$A:$A,"新豐9線",'0918 4度C'!$B:$B,"平均")</f>
        <v>17</v>
      </c>
      <c r="M22" s="86">
        <f>SUMIFS('0918 4度C'!$I:$I,'0918 4度C'!$A:$A,"新豐4線",'0918 4度C'!$B:$B,"平均")</f>
        <v>16.5</v>
      </c>
    </row>
    <row r="23" spans="2:13" ht="17.25" customHeight="1">
      <c r="B23" s="548" t="s">
        <v>1676</v>
      </c>
      <c r="C23" s="549"/>
      <c r="D23" s="87" t="s">
        <v>69</v>
      </c>
      <c r="E23" s="88" t="s">
        <v>70</v>
      </c>
      <c r="F23" s="88" t="s">
        <v>1677</v>
      </c>
      <c r="G23" s="88" t="s">
        <v>1677</v>
      </c>
      <c r="H23" s="88" t="s">
        <v>71</v>
      </c>
      <c r="I23" s="88" t="s">
        <v>69</v>
      </c>
      <c r="J23" s="89" t="s">
        <v>71</v>
      </c>
      <c r="K23" s="87" t="s">
        <v>1678</v>
      </c>
      <c r="L23" s="88" t="s">
        <v>1679</v>
      </c>
      <c r="M23" s="89" t="s">
        <v>808</v>
      </c>
    </row>
    <row r="24" spans="2:13" ht="17.25" customHeight="1">
      <c r="B24" s="548" t="s">
        <v>1680</v>
      </c>
      <c r="C24" s="549"/>
      <c r="D24" s="87"/>
      <c r="E24" s="88"/>
      <c r="F24" s="88" t="s">
        <v>1681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1682</v>
      </c>
      <c r="C25" s="551"/>
      <c r="D25" s="90"/>
      <c r="E25" s="91" t="s">
        <v>1683</v>
      </c>
      <c r="F25" s="544" t="s">
        <v>1684</v>
      </c>
      <c r="G25" s="545"/>
      <c r="H25" s="91" t="s">
        <v>716</v>
      </c>
      <c r="I25" s="91" t="s">
        <v>1685</v>
      </c>
      <c r="J25" s="92" t="s">
        <v>1686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8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9"/>
  <sheetViews>
    <sheetView zoomScale="80" zoomScaleNormal="80" workbookViewId="0">
      <pane ySplit="4" topLeftCell="A5" activePane="bottomLeft" state="frozen"/>
      <selection activeCell="E8" sqref="E8:F8"/>
      <selection pane="bottomLeft" activeCell="J5" sqref="J5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1687</v>
      </c>
      <c r="B1" s="1"/>
      <c r="C1" s="2" t="s">
        <v>1688</v>
      </c>
      <c r="D1" s="3">
        <f>SUM(F5:F68)</f>
        <v>131228</v>
      </c>
      <c r="E1" s="366" t="s">
        <v>1689</v>
      </c>
      <c r="F1" s="1">
        <f>SUM(G5:G68)</f>
        <v>4427465.5499999989</v>
      </c>
      <c r="G1" s="1" t="s">
        <v>1690</v>
      </c>
      <c r="H1" s="4">
        <f>L8+L12+L44+L53+L19+L59+L33+L40+L26+L68</f>
        <v>154.95000000000002</v>
      </c>
      <c r="I1" s="660" t="s">
        <v>1691</v>
      </c>
      <c r="J1" s="660"/>
      <c r="K1" s="660"/>
      <c r="L1" s="660" t="s">
        <v>1692</v>
      </c>
      <c r="M1" s="660"/>
      <c r="N1" s="660"/>
      <c r="O1" s="660" t="s">
        <v>1693</v>
      </c>
      <c r="P1" s="660"/>
      <c r="Q1" s="660"/>
      <c r="R1" s="660"/>
      <c r="S1" s="660" t="s">
        <v>1694</v>
      </c>
      <c r="T1" s="660"/>
      <c r="U1" s="660"/>
      <c r="V1" s="660"/>
      <c r="W1" s="660"/>
      <c r="X1" s="660"/>
      <c r="Y1" s="5" t="s">
        <v>1695</v>
      </c>
      <c r="Z1" s="6" t="s">
        <v>1696</v>
      </c>
      <c r="AA1" s="661" t="s">
        <v>1697</v>
      </c>
      <c r="AB1" s="661"/>
      <c r="AC1" s="171" t="s">
        <v>1695</v>
      </c>
      <c r="AD1" s="6" t="s">
        <v>1698</v>
      </c>
      <c r="AE1" s="660" t="s">
        <v>355</v>
      </c>
      <c r="AF1" s="662"/>
      <c r="AG1" s="662"/>
    </row>
    <row r="2" spans="1:33" ht="26.25" customHeight="1">
      <c r="A2" s="27">
        <v>46283</v>
      </c>
      <c r="B2" s="28" t="s">
        <v>474</v>
      </c>
      <c r="C2" s="2" t="s">
        <v>1699</v>
      </c>
      <c r="D2" s="9">
        <f>AVERAGE(N8,N12,N44,N53,N19,N59,N26,N33,N40,N68)</f>
        <v>145.37865375822147</v>
      </c>
      <c r="E2" s="10" t="s">
        <v>0</v>
      </c>
      <c r="F2" s="11">
        <f>F1/D1</f>
        <v>33.738726110281334</v>
      </c>
      <c r="G2" s="1" t="s">
        <v>357</v>
      </c>
      <c r="H2" s="371">
        <f>COUNT(H5:H68)</f>
        <v>3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SUM(Y8+Y12+Y19+Y26+Y33+Y40+Y44+Y53+Y59+Y68)</f>
        <v>0</v>
      </c>
      <c r="Z2" s="12">
        <f>SUM(Z8+Z12+Z19+Z26+Z33+Z40+Z44+Z53+Z59+Z68)</f>
        <v>0</v>
      </c>
      <c r="AA2" s="661"/>
      <c r="AB2" s="661"/>
      <c r="AC2" s="172">
        <v>54</v>
      </c>
      <c r="AD2" s="12">
        <f>SUM(AD8+AD12+AD19+AD26+AD33+AD40+AD44+AD53+AD59+AD68)</f>
        <v>0</v>
      </c>
      <c r="AE2" s="662"/>
      <c r="AF2" s="662"/>
      <c r="AG2" s="662"/>
    </row>
    <row r="3" spans="1:33" ht="40.5" customHeight="1">
      <c r="A3" s="610" t="s">
        <v>1700</v>
      </c>
      <c r="B3" s="610" t="s">
        <v>1701</v>
      </c>
      <c r="C3" s="610" t="s">
        <v>1702</v>
      </c>
      <c r="D3" s="610"/>
      <c r="E3" s="658" t="s">
        <v>1703</v>
      </c>
      <c r="F3" s="610" t="s">
        <v>1704</v>
      </c>
      <c r="G3" s="658" t="s">
        <v>1705</v>
      </c>
      <c r="H3" s="651" t="s">
        <v>739</v>
      </c>
      <c r="I3" s="649" t="s">
        <v>1706</v>
      </c>
      <c r="J3" s="646" t="s">
        <v>1707</v>
      </c>
      <c r="K3" s="656" t="s">
        <v>1699</v>
      </c>
      <c r="L3" s="649" t="s">
        <v>1706</v>
      </c>
      <c r="M3" s="646" t="s">
        <v>1707</v>
      </c>
      <c r="N3" s="656" t="s">
        <v>1699</v>
      </c>
      <c r="O3" s="649" t="s">
        <v>1706</v>
      </c>
      <c r="P3" s="656" t="s">
        <v>1699</v>
      </c>
      <c r="Q3" s="647" t="s">
        <v>367</v>
      </c>
      <c r="R3" s="623" t="s">
        <v>1708</v>
      </c>
      <c r="S3" s="657" t="s">
        <v>1</v>
      </c>
      <c r="T3" s="657"/>
      <c r="U3" s="651" t="s">
        <v>2</v>
      </c>
      <c r="V3" s="651" t="s">
        <v>369</v>
      </c>
      <c r="W3" s="610" t="s">
        <v>1709</v>
      </c>
      <c r="X3" s="610"/>
      <c r="Y3" s="652" t="s">
        <v>1710</v>
      </c>
      <c r="Z3" s="609"/>
      <c r="AA3" s="653" t="s">
        <v>1711</v>
      </c>
      <c r="AB3" s="654"/>
      <c r="AC3" s="652" t="s">
        <v>1712</v>
      </c>
      <c r="AD3" s="609"/>
      <c r="AE3" s="646" t="s">
        <v>1713</v>
      </c>
      <c r="AF3" s="647" t="s">
        <v>1714</v>
      </c>
      <c r="AG3" s="623" t="s">
        <v>1715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374" t="s">
        <v>3</v>
      </c>
      <c r="T4" s="374" t="s">
        <v>4</v>
      </c>
      <c r="U4" s="651"/>
      <c r="V4" s="651"/>
      <c r="W4" s="366" t="s">
        <v>1716</v>
      </c>
      <c r="X4" s="366" t="s">
        <v>1717</v>
      </c>
      <c r="Y4" s="361" t="s">
        <v>1718</v>
      </c>
      <c r="Z4" s="361" t="s">
        <v>1719</v>
      </c>
      <c r="AA4" s="655"/>
      <c r="AB4" s="654"/>
      <c r="AC4" s="361" t="s">
        <v>1720</v>
      </c>
      <c r="AD4" s="361" t="s">
        <v>1721</v>
      </c>
      <c r="AE4" s="646"/>
      <c r="AF4" s="647"/>
      <c r="AG4" s="623"/>
    </row>
    <row r="5" spans="1:33">
      <c r="A5" s="648" t="s">
        <v>1722</v>
      </c>
      <c r="B5" s="33" t="s">
        <v>6</v>
      </c>
      <c r="C5" s="650" t="s">
        <v>7</v>
      </c>
      <c r="D5" s="650"/>
      <c r="E5" s="33">
        <v>50.92</v>
      </c>
      <c r="F5" s="374">
        <v>1681</v>
      </c>
      <c r="G5" s="366">
        <f t="shared" ref="G5:G7" si="0">E5*F5</f>
        <v>85596.52</v>
      </c>
      <c r="H5" s="375" t="s">
        <v>5</v>
      </c>
      <c r="I5" s="369">
        <v>15</v>
      </c>
      <c r="J5" s="30">
        <v>2000</v>
      </c>
      <c r="K5" s="13">
        <f t="shared" ref="K5:K68" si="1">J5/I5</f>
        <v>133.33333333333334</v>
      </c>
      <c r="L5" s="369">
        <v>15</v>
      </c>
      <c r="M5" s="14">
        <f t="shared" ref="M5:M7" si="2">F5/V5*60</f>
        <v>1903.0188679245293</v>
      </c>
      <c r="N5" s="13">
        <f t="shared" ref="N5:N68" si="3">M5/L5</f>
        <v>126.86792452830196</v>
      </c>
      <c r="O5" s="15">
        <f t="shared" ref="O5:O68" si="4">L5-I5</f>
        <v>0</v>
      </c>
      <c r="P5" s="16">
        <f t="shared" ref="P5:P68" si="5">N5-K5</f>
        <v>-6.4654088050313874</v>
      </c>
      <c r="Q5" s="367">
        <f t="shared" ref="Q5:Q68" si="6">N5/K5</f>
        <v>0.95150943396226462</v>
      </c>
      <c r="R5" s="619">
        <f>Q8</f>
        <v>0.96015010688725666</v>
      </c>
      <c r="S5" s="31">
        <v>0.70833333333333337</v>
      </c>
      <c r="T5" s="31">
        <v>0.74513888888888891</v>
      </c>
      <c r="U5" s="366"/>
      <c r="V5" s="370">
        <f t="shared" ref="V5:V7" si="7">(T5-S5)*24*60</f>
        <v>52.999999999999972</v>
      </c>
      <c r="W5" s="17"/>
      <c r="X5" s="17"/>
      <c r="Y5" s="18"/>
      <c r="Z5" s="18"/>
      <c r="AA5" s="610"/>
      <c r="AB5" s="610"/>
      <c r="AC5" s="155">
        <v>3</v>
      </c>
      <c r="AD5" s="19"/>
      <c r="AE5" s="15">
        <f t="shared" ref="AE5:AE52" si="8">M5-J5</f>
        <v>-96.981132075470668</v>
      </c>
      <c r="AF5" s="367">
        <f t="shared" ref="AF5:AF68" si="9">M5/J5</f>
        <v>0.95150943396226462</v>
      </c>
      <c r="AG5" s="619">
        <f>AF8</f>
        <v>0.96015010688725677</v>
      </c>
    </row>
    <row r="6" spans="1:33">
      <c r="A6" s="649" t="s">
        <v>1723</v>
      </c>
      <c r="B6" s="33" t="s">
        <v>6</v>
      </c>
      <c r="C6" s="650" t="s">
        <v>8</v>
      </c>
      <c r="D6" s="650"/>
      <c r="E6" s="33">
        <v>50.98</v>
      </c>
      <c r="F6" s="374">
        <v>1865</v>
      </c>
      <c r="G6" s="366">
        <f t="shared" si="0"/>
        <v>95077.7</v>
      </c>
      <c r="H6" s="375" t="s">
        <v>5</v>
      </c>
      <c r="I6" s="369">
        <v>16</v>
      </c>
      <c r="J6" s="30">
        <v>2000</v>
      </c>
      <c r="K6" s="13">
        <f t="shared" si="1"/>
        <v>125</v>
      </c>
      <c r="L6" s="369">
        <v>16</v>
      </c>
      <c r="M6" s="14">
        <f t="shared" si="2"/>
        <v>1929.3103448275874</v>
      </c>
      <c r="N6" s="13">
        <f t="shared" si="3"/>
        <v>120.58189655172421</v>
      </c>
      <c r="O6" s="15">
        <f t="shared" si="4"/>
        <v>0</v>
      </c>
      <c r="P6" s="16">
        <f t="shared" si="5"/>
        <v>-4.4181034482757866</v>
      </c>
      <c r="Q6" s="367">
        <f t="shared" si="6"/>
        <v>0.96465517241379373</v>
      </c>
      <c r="R6" s="619"/>
      <c r="S6" s="31">
        <v>0.75</v>
      </c>
      <c r="T6" s="31">
        <v>0.79027777777777775</v>
      </c>
      <c r="U6" s="366">
        <f t="shared" ref="U6:U7" si="10">IF(S6=TIME(17,0,0),"",(S6-T5)*24*60)</f>
        <v>6.9999999999999751</v>
      </c>
      <c r="V6" s="370">
        <f t="shared" si="7"/>
        <v>57.999999999999957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-70.689655172412586</v>
      </c>
      <c r="AF6" s="367">
        <f t="shared" si="9"/>
        <v>0.96465517241379373</v>
      </c>
      <c r="AG6" s="619"/>
    </row>
    <row r="7" spans="1:33">
      <c r="A7" s="649" t="s">
        <v>1724</v>
      </c>
      <c r="B7" s="33" t="s">
        <v>6</v>
      </c>
      <c r="C7" s="641" t="s">
        <v>25</v>
      </c>
      <c r="D7" s="642"/>
      <c r="E7" s="33">
        <v>56.43</v>
      </c>
      <c r="F7" s="374">
        <v>900</v>
      </c>
      <c r="G7" s="366">
        <f t="shared" si="0"/>
        <v>50787</v>
      </c>
      <c r="H7" s="375" t="s">
        <v>5</v>
      </c>
      <c r="I7" s="369">
        <v>13</v>
      </c>
      <c r="J7" s="30">
        <v>2000</v>
      </c>
      <c r="K7" s="13">
        <f t="shared" si="1"/>
        <v>153.84615384615384</v>
      </c>
      <c r="L7" s="369">
        <v>13</v>
      </c>
      <c r="M7" s="14">
        <f t="shared" si="2"/>
        <v>1928.5714285714246</v>
      </c>
      <c r="N7" s="13">
        <f t="shared" si="3"/>
        <v>148.35164835164804</v>
      </c>
      <c r="O7" s="15">
        <f t="shared" si="4"/>
        <v>0</v>
      </c>
      <c r="P7" s="16">
        <f t="shared" si="5"/>
        <v>-5.4945054945058018</v>
      </c>
      <c r="Q7" s="367">
        <f t="shared" si="6"/>
        <v>0.9642857142857123</v>
      </c>
      <c r="R7" s="619"/>
      <c r="S7" s="31">
        <v>0.7944444444444444</v>
      </c>
      <c r="T7" s="31">
        <v>0.81388888888888888</v>
      </c>
      <c r="U7" s="366">
        <f t="shared" si="10"/>
        <v>5.9999999999999787</v>
      </c>
      <c r="V7" s="370">
        <f t="shared" si="7"/>
        <v>28.00000000000006</v>
      </c>
      <c r="W7" s="17"/>
      <c r="X7" s="17"/>
      <c r="Y7" s="20"/>
      <c r="Z7" s="20"/>
      <c r="AA7" s="614"/>
      <c r="AB7" s="615"/>
      <c r="AC7" s="155"/>
      <c r="AD7" s="21"/>
      <c r="AE7" s="15">
        <f t="shared" si="8"/>
        <v>-71.428571428575424</v>
      </c>
      <c r="AF7" s="367">
        <f t="shared" si="9"/>
        <v>0.9642857142857123</v>
      </c>
      <c r="AG7" s="619"/>
    </row>
    <row r="8" spans="1:33">
      <c r="A8" s="649" t="s">
        <v>1723</v>
      </c>
      <c r="B8" s="33" t="s">
        <v>1725</v>
      </c>
      <c r="C8" s="620"/>
      <c r="D8" s="620"/>
      <c r="E8" s="368"/>
      <c r="F8" s="34"/>
      <c r="G8" s="13"/>
      <c r="H8" s="374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1920.3002137745136</v>
      </c>
      <c r="N8" s="13">
        <f t="shared" si="3"/>
        <v>130.92956003008047</v>
      </c>
      <c r="O8" s="15">
        <f t="shared" si="4"/>
        <v>0</v>
      </c>
      <c r="P8" s="16">
        <f t="shared" si="5"/>
        <v>-5.4340763335559075</v>
      </c>
      <c r="Q8" s="367">
        <f t="shared" si="6"/>
        <v>0.96015010688725666</v>
      </c>
      <c r="R8" s="619"/>
      <c r="S8" s="31"/>
      <c r="T8" s="31"/>
      <c r="U8" s="366"/>
      <c r="V8" s="370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-79.699786225486378</v>
      </c>
      <c r="AF8" s="367">
        <f t="shared" si="9"/>
        <v>0.96015010688725677</v>
      </c>
      <c r="AG8" s="619"/>
    </row>
    <row r="9" spans="1:33" ht="15.75" customHeight="1">
      <c r="A9" s="645" t="s">
        <v>1726</v>
      </c>
      <c r="B9" s="33" t="s">
        <v>10</v>
      </c>
      <c r="C9" s="641" t="s">
        <v>14</v>
      </c>
      <c r="D9" s="642"/>
      <c r="E9" s="33">
        <v>39.619999999999997</v>
      </c>
      <c r="F9" s="374">
        <v>3692</v>
      </c>
      <c r="G9" s="366">
        <f t="shared" ref="G9:G11" si="11">E9*F9</f>
        <v>146277.03999999998</v>
      </c>
      <c r="H9" s="375" t="s">
        <v>5</v>
      </c>
      <c r="I9" s="369">
        <v>19</v>
      </c>
      <c r="J9" s="30">
        <v>1500</v>
      </c>
      <c r="K9" s="13">
        <f t="shared" si="1"/>
        <v>78.94736842105263</v>
      </c>
      <c r="L9" s="369">
        <v>19</v>
      </c>
      <c r="M9" s="14">
        <f t="shared" ref="M9:M11" si="12">F9/V9*60</f>
        <v>1429.161290322581</v>
      </c>
      <c r="N9" s="13">
        <f t="shared" si="3"/>
        <v>75.219015280135835</v>
      </c>
      <c r="O9" s="15">
        <f t="shared" si="4"/>
        <v>0</v>
      </c>
      <c r="P9" s="16">
        <f t="shared" si="5"/>
        <v>-3.7283531409167949</v>
      </c>
      <c r="Q9" s="367">
        <f t="shared" si="6"/>
        <v>0.95277419354838722</v>
      </c>
      <c r="R9" s="619">
        <f>Q12</f>
        <v>0.95357410701602796</v>
      </c>
      <c r="S9" s="31">
        <v>8.3333333333333329E-2</v>
      </c>
      <c r="T9" s="31">
        <v>0.19097222222222221</v>
      </c>
      <c r="U9" s="366"/>
      <c r="V9" s="370">
        <f t="shared" ref="V9:V11" si="13">(T9-S9)*24*60</f>
        <v>154.99999999999997</v>
      </c>
      <c r="W9" s="17">
        <f>T9</f>
        <v>0.19097222222222221</v>
      </c>
      <c r="X9" s="17">
        <f>S10</f>
        <v>0.20972222222222223</v>
      </c>
      <c r="Y9" s="17"/>
      <c r="Z9" s="17"/>
      <c r="AA9" s="610"/>
      <c r="AB9" s="610"/>
      <c r="AC9" s="155">
        <v>3</v>
      </c>
      <c r="AD9" s="19"/>
      <c r="AE9" s="15">
        <f t="shared" si="8"/>
        <v>-70.838709677419047</v>
      </c>
      <c r="AF9" s="367">
        <f t="shared" si="9"/>
        <v>0.95277419354838733</v>
      </c>
      <c r="AG9" s="619">
        <f>AF12</f>
        <v>0.95357410701602807</v>
      </c>
    </row>
    <row r="10" spans="1:33" ht="15.75" customHeight="1">
      <c r="A10" s="645" t="s">
        <v>1727</v>
      </c>
      <c r="B10" s="33" t="s">
        <v>10</v>
      </c>
      <c r="C10" s="641" t="s">
        <v>11</v>
      </c>
      <c r="D10" s="642"/>
      <c r="E10" s="33">
        <v>39.799999999999997</v>
      </c>
      <c r="F10" s="374">
        <v>5327</v>
      </c>
      <c r="G10" s="366">
        <f t="shared" si="11"/>
        <v>212014.59999999998</v>
      </c>
      <c r="H10" s="375" t="s">
        <v>5</v>
      </c>
      <c r="I10" s="369">
        <v>17</v>
      </c>
      <c r="J10" s="30">
        <v>1500</v>
      </c>
      <c r="K10" s="13">
        <f t="shared" si="1"/>
        <v>88.235294117647058</v>
      </c>
      <c r="L10" s="369">
        <v>17</v>
      </c>
      <c r="M10" s="14">
        <f t="shared" si="12"/>
        <v>1433.2735426008965</v>
      </c>
      <c r="N10" s="13">
        <f t="shared" si="3"/>
        <v>84.310208388288032</v>
      </c>
      <c r="O10" s="15">
        <f t="shared" si="4"/>
        <v>0</v>
      </c>
      <c r="P10" s="16">
        <f t="shared" si="5"/>
        <v>-3.9250857293590258</v>
      </c>
      <c r="Q10" s="367">
        <f t="shared" si="6"/>
        <v>0.95551569506726441</v>
      </c>
      <c r="R10" s="619"/>
      <c r="S10" s="31">
        <v>0.20972222222222223</v>
      </c>
      <c r="T10" s="31">
        <v>0.36458333333333337</v>
      </c>
      <c r="U10" s="366">
        <f t="shared" ref="U10:U11" si="14">IF(S10=TIME(17,0,0),"",(S10-T9)*24*60)</f>
        <v>27.000000000000025</v>
      </c>
      <c r="V10" s="370">
        <f t="shared" si="13"/>
        <v>223.00000000000006</v>
      </c>
      <c r="W10" s="17"/>
      <c r="X10" s="17"/>
      <c r="Y10" s="17"/>
      <c r="Z10" s="17"/>
      <c r="AA10" s="610"/>
      <c r="AB10" s="610"/>
      <c r="AC10" s="155"/>
      <c r="AD10" s="19"/>
      <c r="AE10" s="15">
        <f t="shared" si="8"/>
        <v>-66.726457399103538</v>
      </c>
      <c r="AF10" s="367">
        <f t="shared" si="9"/>
        <v>0.9555156950672643</v>
      </c>
      <c r="AG10" s="619"/>
    </row>
    <row r="11" spans="1:33" ht="15.75" customHeight="1">
      <c r="A11" s="645" t="s">
        <v>1727</v>
      </c>
      <c r="B11" s="33" t="s">
        <v>10</v>
      </c>
      <c r="C11" s="641" t="s">
        <v>13</v>
      </c>
      <c r="D11" s="642"/>
      <c r="E11" s="33">
        <v>39.520000000000003</v>
      </c>
      <c r="F11" s="374">
        <v>1762</v>
      </c>
      <c r="G11" s="366">
        <f t="shared" si="11"/>
        <v>69634.240000000005</v>
      </c>
      <c r="H11" s="375" t="s">
        <v>5</v>
      </c>
      <c r="I11" s="369">
        <v>19</v>
      </c>
      <c r="J11" s="30">
        <v>1500</v>
      </c>
      <c r="K11" s="13">
        <f t="shared" si="1"/>
        <v>78.94736842105263</v>
      </c>
      <c r="L11" s="369">
        <v>19</v>
      </c>
      <c r="M11" s="14">
        <f t="shared" si="12"/>
        <v>1428.6486486486492</v>
      </c>
      <c r="N11" s="13">
        <f t="shared" si="3"/>
        <v>75.192034139402594</v>
      </c>
      <c r="O11" s="15">
        <f t="shared" si="4"/>
        <v>0</v>
      </c>
      <c r="P11" s="16">
        <f t="shared" si="5"/>
        <v>-3.7553342816500361</v>
      </c>
      <c r="Q11" s="367">
        <f t="shared" si="6"/>
        <v>0.95243243243243292</v>
      </c>
      <c r="R11" s="619"/>
      <c r="S11" s="31">
        <v>0.36805555555555558</v>
      </c>
      <c r="T11" s="31">
        <v>0.41944444444444445</v>
      </c>
      <c r="U11" s="366">
        <f t="shared" si="14"/>
        <v>4.9999999999999822</v>
      </c>
      <c r="V11" s="370">
        <f t="shared" si="13"/>
        <v>73.999999999999972</v>
      </c>
      <c r="W11" s="17"/>
      <c r="X11" s="17"/>
      <c r="Y11" s="17"/>
      <c r="Z11" s="17"/>
      <c r="AA11" s="610"/>
      <c r="AB11" s="610"/>
      <c r="AC11" s="155"/>
      <c r="AD11" s="19"/>
      <c r="AE11" s="15">
        <f t="shared" si="8"/>
        <v>-71.351351351350786</v>
      </c>
      <c r="AF11" s="367">
        <f t="shared" si="9"/>
        <v>0.95243243243243281</v>
      </c>
      <c r="AG11" s="619"/>
    </row>
    <row r="12" spans="1:33" ht="16.5" customHeight="1">
      <c r="A12" s="645" t="s">
        <v>1728</v>
      </c>
      <c r="B12" s="33" t="s">
        <v>1729</v>
      </c>
      <c r="C12" s="620"/>
      <c r="D12" s="620"/>
      <c r="E12" s="368"/>
      <c r="F12" s="30"/>
      <c r="G12" s="14"/>
      <c r="H12" s="374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1430.3611605240421</v>
      </c>
      <c r="N12" s="13">
        <f t="shared" si="3"/>
        <v>78.019699664947751</v>
      </c>
      <c r="O12" s="15">
        <f t="shared" si="4"/>
        <v>0</v>
      </c>
      <c r="P12" s="16">
        <f t="shared" si="5"/>
        <v>-3.798482153234076</v>
      </c>
      <c r="Q12" s="367">
        <f t="shared" si="6"/>
        <v>0.95357410701602796</v>
      </c>
      <c r="R12" s="619"/>
      <c r="S12" s="31"/>
      <c r="T12" s="31"/>
      <c r="U12" s="13"/>
      <c r="V12" s="370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-69.638839475957866</v>
      </c>
      <c r="AF12" s="367">
        <f t="shared" si="9"/>
        <v>0.95357410701602807</v>
      </c>
      <c r="AG12" s="619"/>
    </row>
    <row r="13" spans="1:33" ht="16.5" customHeight="1">
      <c r="A13" s="643" t="s">
        <v>1730</v>
      </c>
      <c r="B13" s="374" t="s">
        <v>15</v>
      </c>
      <c r="C13" s="635" t="s">
        <v>16</v>
      </c>
      <c r="D13" s="635"/>
      <c r="E13" s="33">
        <v>31.11</v>
      </c>
      <c r="F13" s="374">
        <v>1819</v>
      </c>
      <c r="G13" s="366">
        <f t="shared" ref="G13:G18" si="15">E13*F13</f>
        <v>56589.09</v>
      </c>
      <c r="H13" s="375" t="s">
        <v>5</v>
      </c>
      <c r="I13" s="369">
        <v>14</v>
      </c>
      <c r="J13" s="30">
        <v>2000</v>
      </c>
      <c r="K13" s="13">
        <f t="shared" si="1"/>
        <v>142.85714285714286</v>
      </c>
      <c r="L13" s="369">
        <v>14</v>
      </c>
      <c r="M13" s="14">
        <f t="shared" ref="M13:M18" si="16">F13/V13*60</f>
        <v>1914.7368421052645</v>
      </c>
      <c r="N13" s="13">
        <f t="shared" si="3"/>
        <v>136.76691729323318</v>
      </c>
      <c r="O13" s="15">
        <f t="shared" si="4"/>
        <v>0</v>
      </c>
      <c r="P13" s="16">
        <f t="shared" si="5"/>
        <v>-6.0902255639096836</v>
      </c>
      <c r="Q13" s="367">
        <f t="shared" si="6"/>
        <v>0.9573684210526322</v>
      </c>
      <c r="R13" s="619">
        <f>Q19</f>
        <v>0.96309203080291728</v>
      </c>
      <c r="S13" s="31">
        <v>0.25</v>
      </c>
      <c r="T13" s="31">
        <v>0.2895833333333333</v>
      </c>
      <c r="U13" s="366"/>
      <c r="V13" s="370">
        <f t="shared" ref="V13:V18" si="17">(T13-S13)*24*60</f>
        <v>56.999999999999957</v>
      </c>
      <c r="W13" s="17"/>
      <c r="X13" s="17"/>
      <c r="Y13" s="22"/>
      <c r="Z13" s="22"/>
      <c r="AA13" s="610"/>
      <c r="AB13" s="610"/>
      <c r="AC13" s="155">
        <v>6</v>
      </c>
      <c r="AD13" s="19"/>
      <c r="AE13" s="15">
        <f t="shared" si="8"/>
        <v>-85.263157894735514</v>
      </c>
      <c r="AF13" s="367">
        <f t="shared" si="9"/>
        <v>0.9573684210526322</v>
      </c>
      <c r="AG13" s="619">
        <f>AF19</f>
        <v>0.96309203080291728</v>
      </c>
    </row>
    <row r="14" spans="1:33" ht="16.5" customHeight="1">
      <c r="A14" s="644" t="s">
        <v>290</v>
      </c>
      <c r="B14" s="374" t="s">
        <v>17</v>
      </c>
      <c r="C14" s="635" t="s">
        <v>18</v>
      </c>
      <c r="D14" s="635"/>
      <c r="E14" s="33">
        <v>41</v>
      </c>
      <c r="F14" s="374">
        <v>1261</v>
      </c>
      <c r="G14" s="366">
        <f t="shared" si="15"/>
        <v>51701</v>
      </c>
      <c r="H14" s="375" t="s">
        <v>5</v>
      </c>
      <c r="I14" s="369">
        <v>26</v>
      </c>
      <c r="J14" s="30">
        <v>1500</v>
      </c>
      <c r="K14" s="13">
        <f t="shared" si="1"/>
        <v>57.692307692307693</v>
      </c>
      <c r="L14" s="369">
        <v>26</v>
      </c>
      <c r="M14" s="14">
        <f t="shared" si="16"/>
        <v>1455.0000000000009</v>
      </c>
      <c r="N14" s="13">
        <f t="shared" si="3"/>
        <v>55.961538461538495</v>
      </c>
      <c r="O14" s="15">
        <f t="shared" si="4"/>
        <v>0</v>
      </c>
      <c r="P14" s="16">
        <f t="shared" si="5"/>
        <v>-1.730769230769198</v>
      </c>
      <c r="Q14" s="367">
        <f t="shared" si="6"/>
        <v>0.97000000000000053</v>
      </c>
      <c r="R14" s="619"/>
      <c r="S14" s="31">
        <v>0.29513888888888884</v>
      </c>
      <c r="T14" s="31">
        <v>0.33124999999999993</v>
      </c>
      <c r="U14" s="366">
        <f t="shared" ref="U14:U18" si="18">IF(S14=TIME(17,0,0),"",(S14-T13)*24*60)</f>
        <v>7.9999999999999716</v>
      </c>
      <c r="V14" s="370">
        <f t="shared" si="17"/>
        <v>51.999999999999972</v>
      </c>
      <c r="W14" s="17"/>
      <c r="X14" s="17"/>
      <c r="Y14" s="17"/>
      <c r="Z14" s="17"/>
      <c r="AA14" s="610"/>
      <c r="AB14" s="610"/>
      <c r="AC14" s="155"/>
      <c r="AD14" s="19"/>
      <c r="AE14" s="15">
        <f t="shared" si="8"/>
        <v>-44.999999999999091</v>
      </c>
      <c r="AF14" s="367">
        <f t="shared" si="9"/>
        <v>0.97000000000000064</v>
      </c>
      <c r="AG14" s="619"/>
    </row>
    <row r="15" spans="1:33" ht="16.5" customHeight="1">
      <c r="A15" s="644" t="s">
        <v>1731</v>
      </c>
      <c r="B15" s="374" t="s">
        <v>15</v>
      </c>
      <c r="C15" s="635" t="s">
        <v>76</v>
      </c>
      <c r="D15" s="635"/>
      <c r="E15" s="33">
        <v>68.88</v>
      </c>
      <c r="F15" s="374">
        <v>875</v>
      </c>
      <c r="G15" s="366">
        <f t="shared" si="15"/>
        <v>60269.999999999993</v>
      </c>
      <c r="H15" s="375" t="s">
        <v>5</v>
      </c>
      <c r="I15" s="369">
        <v>16</v>
      </c>
      <c r="J15" s="30">
        <v>2000</v>
      </c>
      <c r="K15" s="13">
        <f t="shared" si="1"/>
        <v>125</v>
      </c>
      <c r="L15" s="369">
        <v>16</v>
      </c>
      <c r="M15" s="14">
        <f t="shared" si="16"/>
        <v>1944.4444444444455</v>
      </c>
      <c r="N15" s="13">
        <f t="shared" si="3"/>
        <v>121.52777777777784</v>
      </c>
      <c r="O15" s="15">
        <f t="shared" si="4"/>
        <v>0</v>
      </c>
      <c r="P15" s="16">
        <f t="shared" si="5"/>
        <v>-3.4722222222221575</v>
      </c>
      <c r="Q15" s="367">
        <f t="shared" si="6"/>
        <v>0.97222222222222276</v>
      </c>
      <c r="R15" s="619"/>
      <c r="S15" s="31">
        <v>0.33472222222222214</v>
      </c>
      <c r="T15" s="31">
        <v>0.35347222222222213</v>
      </c>
      <c r="U15" s="366">
        <f t="shared" si="18"/>
        <v>4.9999999999999822</v>
      </c>
      <c r="V15" s="370">
        <f t="shared" si="17"/>
        <v>26.999999999999986</v>
      </c>
      <c r="W15" s="17"/>
      <c r="X15" s="17"/>
      <c r="Y15" s="17"/>
      <c r="Z15" s="17"/>
      <c r="AA15" s="610"/>
      <c r="AB15" s="610"/>
      <c r="AC15" s="155"/>
      <c r="AD15" s="19"/>
      <c r="AE15" s="15">
        <f t="shared" si="8"/>
        <v>-55.55555555555452</v>
      </c>
      <c r="AF15" s="367">
        <f t="shared" si="9"/>
        <v>0.97222222222222276</v>
      </c>
      <c r="AG15" s="619"/>
    </row>
    <row r="16" spans="1:33" ht="16.5" customHeight="1">
      <c r="A16" s="644" t="s">
        <v>290</v>
      </c>
      <c r="B16" s="374" t="s">
        <v>10</v>
      </c>
      <c r="C16" s="635" t="s">
        <v>12</v>
      </c>
      <c r="D16" s="635"/>
      <c r="E16" s="33">
        <v>39.46</v>
      </c>
      <c r="F16" s="374">
        <v>1719</v>
      </c>
      <c r="G16" s="366">
        <f t="shared" si="15"/>
        <v>67831.740000000005</v>
      </c>
      <c r="H16" s="375" t="s">
        <v>5</v>
      </c>
      <c r="I16" s="369">
        <v>15</v>
      </c>
      <c r="J16" s="30">
        <v>1500</v>
      </c>
      <c r="K16" s="13">
        <f t="shared" si="1"/>
        <v>100</v>
      </c>
      <c r="L16" s="369">
        <v>15</v>
      </c>
      <c r="M16" s="14">
        <f t="shared" si="16"/>
        <v>1432.5000000000002</v>
      </c>
      <c r="N16" s="13">
        <f t="shared" si="3"/>
        <v>95.500000000000014</v>
      </c>
      <c r="O16" s="15">
        <f t="shared" si="4"/>
        <v>0</v>
      </c>
      <c r="P16" s="16">
        <f t="shared" si="5"/>
        <v>-4.4999999999999858</v>
      </c>
      <c r="Q16" s="367">
        <f t="shared" si="6"/>
        <v>0.95500000000000018</v>
      </c>
      <c r="R16" s="619"/>
      <c r="S16" s="31">
        <v>0.35694444444444434</v>
      </c>
      <c r="T16" s="31">
        <v>0.40694444444444433</v>
      </c>
      <c r="U16" s="366">
        <f t="shared" si="18"/>
        <v>4.9999999999999822</v>
      </c>
      <c r="V16" s="370">
        <f t="shared" si="17"/>
        <v>71.999999999999986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-67.499999999999773</v>
      </c>
      <c r="AF16" s="367">
        <f t="shared" si="9"/>
        <v>0.95500000000000018</v>
      </c>
      <c r="AG16" s="619"/>
    </row>
    <row r="17" spans="1:33" ht="16.5" customHeight="1">
      <c r="A17" s="644" t="s">
        <v>1731</v>
      </c>
      <c r="B17" s="374" t="s">
        <v>6</v>
      </c>
      <c r="C17" s="635" t="s">
        <v>20</v>
      </c>
      <c r="D17" s="635"/>
      <c r="E17" s="33">
        <v>54.5</v>
      </c>
      <c r="F17" s="374">
        <v>629</v>
      </c>
      <c r="G17" s="366">
        <f t="shared" si="15"/>
        <v>34280.5</v>
      </c>
      <c r="H17" s="375" t="s">
        <v>5</v>
      </c>
      <c r="I17" s="369">
        <v>19</v>
      </c>
      <c r="J17" s="30">
        <v>1500</v>
      </c>
      <c r="K17" s="13">
        <f t="shared" si="1"/>
        <v>78.94736842105263</v>
      </c>
      <c r="L17" s="369">
        <v>19</v>
      </c>
      <c r="M17" s="14">
        <f t="shared" si="16"/>
        <v>1451.5384615384578</v>
      </c>
      <c r="N17" s="13">
        <f t="shared" si="3"/>
        <v>76.396761133603036</v>
      </c>
      <c r="O17" s="15">
        <f t="shared" si="4"/>
        <v>0</v>
      </c>
      <c r="P17" s="16">
        <f t="shared" si="5"/>
        <v>-2.5506072874495942</v>
      </c>
      <c r="Q17" s="367">
        <f t="shared" si="6"/>
        <v>0.96769230769230519</v>
      </c>
      <c r="R17" s="619"/>
      <c r="S17" s="31">
        <v>0.70833333333333337</v>
      </c>
      <c r="T17" s="31">
        <v>0.72638888888888897</v>
      </c>
      <c r="U17" s="366" t="str">
        <f t="shared" si="18"/>
        <v/>
      </c>
      <c r="V17" s="370">
        <f t="shared" si="17"/>
        <v>26.000000000000068</v>
      </c>
      <c r="W17" s="17"/>
      <c r="X17" s="17"/>
      <c r="Y17" s="17"/>
      <c r="Z17" s="17"/>
      <c r="AA17" s="610"/>
      <c r="AB17" s="610"/>
      <c r="AC17" s="155"/>
      <c r="AD17" s="19"/>
      <c r="AE17" s="15">
        <f t="shared" si="8"/>
        <v>-48.461538461542204</v>
      </c>
      <c r="AF17" s="367">
        <f t="shared" si="9"/>
        <v>0.96769230769230519</v>
      </c>
      <c r="AG17" s="619"/>
    </row>
    <row r="18" spans="1:33" ht="16.5" customHeight="1">
      <c r="A18" s="644" t="s">
        <v>290</v>
      </c>
      <c r="B18" s="374" t="s">
        <v>6</v>
      </c>
      <c r="C18" s="372" t="s">
        <v>45</v>
      </c>
      <c r="D18" s="373"/>
      <c r="E18" s="33">
        <v>51.06</v>
      </c>
      <c r="F18" s="374">
        <v>2329</v>
      </c>
      <c r="G18" s="366">
        <f t="shared" si="15"/>
        <v>118918.74</v>
      </c>
      <c r="H18" s="375" t="s">
        <v>5</v>
      </c>
      <c r="I18" s="369">
        <v>13</v>
      </c>
      <c r="J18" s="30">
        <v>2000</v>
      </c>
      <c r="K18" s="13">
        <f t="shared" si="1"/>
        <v>153.84615384615384</v>
      </c>
      <c r="L18" s="369">
        <v>13</v>
      </c>
      <c r="M18" s="14">
        <f t="shared" si="16"/>
        <v>1914.2465753424642</v>
      </c>
      <c r="N18" s="13">
        <f t="shared" si="3"/>
        <v>147.24973656480495</v>
      </c>
      <c r="O18" s="15">
        <f t="shared" si="4"/>
        <v>0</v>
      </c>
      <c r="P18" s="16">
        <f t="shared" si="5"/>
        <v>-6.5964172813488915</v>
      </c>
      <c r="Q18" s="367">
        <f t="shared" si="6"/>
        <v>0.95712328767123223</v>
      </c>
      <c r="R18" s="619"/>
      <c r="S18" s="31">
        <v>0.73125000000000007</v>
      </c>
      <c r="T18" s="31">
        <v>0.78194444444444455</v>
      </c>
      <c r="U18" s="366">
        <f t="shared" si="18"/>
        <v>6.9999999999999751</v>
      </c>
      <c r="V18" s="370">
        <f t="shared" si="17"/>
        <v>73.000000000000057</v>
      </c>
      <c r="W18" s="17"/>
      <c r="X18" s="17"/>
      <c r="Y18" s="20"/>
      <c r="Z18" s="20"/>
      <c r="AA18" s="364"/>
      <c r="AB18" s="365"/>
      <c r="AC18" s="155"/>
      <c r="AD18" s="19"/>
      <c r="AE18" s="15">
        <f t="shared" si="8"/>
        <v>-85.753424657535788</v>
      </c>
      <c r="AF18" s="367">
        <f t="shared" si="9"/>
        <v>0.95712328767123211</v>
      </c>
      <c r="AG18" s="619"/>
    </row>
    <row r="19" spans="1:33" ht="16.5" customHeight="1">
      <c r="A19" s="644" t="s">
        <v>1731</v>
      </c>
      <c r="B19" s="33" t="s">
        <v>80</v>
      </c>
      <c r="C19" s="620"/>
      <c r="D19" s="620"/>
      <c r="E19" s="368"/>
      <c r="F19" s="34"/>
      <c r="G19" s="13"/>
      <c r="H19" s="374"/>
      <c r="I19" s="23">
        <v>17.166666666666668</v>
      </c>
      <c r="J19" s="30">
        <v>1750</v>
      </c>
      <c r="K19" s="13">
        <f t="shared" si="1"/>
        <v>101.94174757281553</v>
      </c>
      <c r="L19" s="23">
        <v>17.166666666666668</v>
      </c>
      <c r="M19" s="14">
        <f>AVERAGE(M13:M18)</f>
        <v>1685.4110539051053</v>
      </c>
      <c r="N19" s="13">
        <f t="shared" si="3"/>
        <v>98.179284693501273</v>
      </c>
      <c r="O19" s="15">
        <f t="shared" si="4"/>
        <v>0</v>
      </c>
      <c r="P19" s="16">
        <f t="shared" si="5"/>
        <v>-3.7624628793142563</v>
      </c>
      <c r="Q19" s="367">
        <f t="shared" si="6"/>
        <v>0.96309203080291728</v>
      </c>
      <c r="R19" s="619"/>
      <c r="S19" s="31"/>
      <c r="T19" s="31"/>
      <c r="U19" s="366"/>
      <c r="V19" s="370"/>
      <c r="W19" s="13"/>
      <c r="X19" s="13"/>
      <c r="Y19" s="24">
        <f>SUM(Y13:Y18)</f>
        <v>0</v>
      </c>
      <c r="Z19" s="24">
        <f>SUM(Z13:Z18)</f>
        <v>0</v>
      </c>
      <c r="AA19" s="609"/>
      <c r="AB19" s="609"/>
      <c r="AC19" s="24">
        <v>6</v>
      </c>
      <c r="AD19" s="24">
        <f>SUM(AD13:AD18)</f>
        <v>0</v>
      </c>
      <c r="AE19" s="15">
        <f t="shared" si="8"/>
        <v>-64.588946094894709</v>
      </c>
      <c r="AF19" s="367">
        <f t="shared" si="9"/>
        <v>0.96309203080291728</v>
      </c>
      <c r="AG19" s="619"/>
    </row>
    <row r="20" spans="1:33" ht="15.75" customHeight="1">
      <c r="A20" s="637" t="s">
        <v>1732</v>
      </c>
      <c r="B20" s="33" t="s">
        <v>6</v>
      </c>
      <c r="C20" s="635" t="s">
        <v>22</v>
      </c>
      <c r="D20" s="635"/>
      <c r="E20" s="33">
        <v>50.67</v>
      </c>
      <c r="F20" s="374">
        <v>1149</v>
      </c>
      <c r="G20" s="366">
        <f t="shared" ref="G20:G25" si="19">E20*F20</f>
        <v>58219.83</v>
      </c>
      <c r="H20" s="375" t="s">
        <v>5</v>
      </c>
      <c r="I20" s="369">
        <v>17</v>
      </c>
      <c r="J20" s="30">
        <v>2000</v>
      </c>
      <c r="K20" s="13">
        <f t="shared" si="1"/>
        <v>117.64705882352941</v>
      </c>
      <c r="L20" s="369">
        <v>17</v>
      </c>
      <c r="M20" s="14">
        <f t="shared" ref="M20:M25" si="20">F20/V20*60</f>
        <v>1914.9999999999986</v>
      </c>
      <c r="N20" s="13">
        <f t="shared" si="3"/>
        <v>112.64705882352933</v>
      </c>
      <c r="O20" s="15">
        <f t="shared" si="4"/>
        <v>0</v>
      </c>
      <c r="P20" s="16">
        <f t="shared" si="5"/>
        <v>-5.0000000000000711</v>
      </c>
      <c r="Q20" s="367">
        <f t="shared" si="6"/>
        <v>0.95749999999999935</v>
      </c>
      <c r="R20" s="619">
        <f>Q26</f>
        <v>0.96364369794139215</v>
      </c>
      <c r="S20" s="31">
        <v>0.25</v>
      </c>
      <c r="T20" s="31">
        <v>0.27500000000000002</v>
      </c>
      <c r="U20" s="366"/>
      <c r="V20" s="370">
        <f t="shared" ref="V20:V25" si="21">(T20-S20)*24*60</f>
        <v>36.000000000000028</v>
      </c>
      <c r="W20" s="17"/>
      <c r="X20" s="17"/>
      <c r="Y20" s="22"/>
      <c r="Z20" s="22"/>
      <c r="AA20" s="610"/>
      <c r="AB20" s="610"/>
      <c r="AC20" s="155">
        <v>6</v>
      </c>
      <c r="AD20" s="19"/>
      <c r="AE20" s="15">
        <f t="shared" si="8"/>
        <v>-85.000000000001364</v>
      </c>
      <c r="AF20" s="367">
        <f t="shared" si="9"/>
        <v>0.95749999999999935</v>
      </c>
      <c r="AG20" s="619">
        <f>AF26</f>
        <v>0.96364369794139215</v>
      </c>
    </row>
    <row r="21" spans="1:33" ht="15.75" customHeight="1">
      <c r="A21" s="638" t="s">
        <v>1733</v>
      </c>
      <c r="B21" s="33" t="s">
        <v>6</v>
      </c>
      <c r="C21" s="635" t="s">
        <v>23</v>
      </c>
      <c r="D21" s="635"/>
      <c r="E21" s="33">
        <v>57.73</v>
      </c>
      <c r="F21" s="374">
        <v>1871</v>
      </c>
      <c r="G21" s="366">
        <f t="shared" si="19"/>
        <v>108012.82999999999</v>
      </c>
      <c r="H21" s="375" t="s">
        <v>5</v>
      </c>
      <c r="I21" s="369">
        <v>14</v>
      </c>
      <c r="J21" s="30">
        <v>2000</v>
      </c>
      <c r="K21" s="13">
        <f t="shared" si="1"/>
        <v>142.85714285714286</v>
      </c>
      <c r="L21" s="369">
        <v>14</v>
      </c>
      <c r="M21" s="14">
        <f t="shared" si="20"/>
        <v>1935.5172413793091</v>
      </c>
      <c r="N21" s="13">
        <f t="shared" si="3"/>
        <v>138.25123152709349</v>
      </c>
      <c r="O21" s="15">
        <f t="shared" si="4"/>
        <v>0</v>
      </c>
      <c r="P21" s="16">
        <f t="shared" si="5"/>
        <v>-4.6059113300493664</v>
      </c>
      <c r="Q21" s="367">
        <f t="shared" si="6"/>
        <v>0.96775862068965446</v>
      </c>
      <c r="R21" s="619"/>
      <c r="S21" s="31">
        <v>0.28055555555555556</v>
      </c>
      <c r="T21" s="31">
        <v>0.32083333333333336</v>
      </c>
      <c r="U21" s="366">
        <f t="shared" ref="U21:U25" si="22">IF(S21=TIME(17,0,0),"",(S21-T20)*24*60)</f>
        <v>7.9999999999999716</v>
      </c>
      <c r="V21" s="370">
        <f t="shared" si="21"/>
        <v>58.000000000000036</v>
      </c>
      <c r="W21" s="17"/>
      <c r="X21" s="366"/>
      <c r="Y21" s="366"/>
      <c r="Z21" s="366"/>
      <c r="AA21" s="610"/>
      <c r="AB21" s="610"/>
      <c r="AC21" s="155"/>
      <c r="AD21" s="19"/>
      <c r="AE21" s="15">
        <f t="shared" si="8"/>
        <v>-64.482758620690902</v>
      </c>
      <c r="AF21" s="367">
        <f t="shared" si="9"/>
        <v>0.96775862068965457</v>
      </c>
      <c r="AG21" s="619"/>
    </row>
    <row r="22" spans="1:33" ht="15.75" customHeight="1">
      <c r="A22" s="638" t="s">
        <v>1734</v>
      </c>
      <c r="B22" s="33" t="s">
        <v>6</v>
      </c>
      <c r="C22" s="635" t="s">
        <v>24</v>
      </c>
      <c r="D22" s="635"/>
      <c r="E22" s="33">
        <v>53.27</v>
      </c>
      <c r="F22" s="374">
        <v>1101</v>
      </c>
      <c r="G22" s="366">
        <f t="shared" si="19"/>
        <v>58650.270000000004</v>
      </c>
      <c r="H22" s="375" t="s">
        <v>5</v>
      </c>
      <c r="I22" s="369">
        <v>16</v>
      </c>
      <c r="J22" s="30">
        <v>2000</v>
      </c>
      <c r="K22" s="13">
        <f t="shared" si="1"/>
        <v>125</v>
      </c>
      <c r="L22" s="369">
        <v>16</v>
      </c>
      <c r="M22" s="14">
        <f t="shared" si="20"/>
        <v>1942.9411764705908</v>
      </c>
      <c r="N22" s="13">
        <f t="shared" si="3"/>
        <v>121.43382352941192</v>
      </c>
      <c r="O22" s="15">
        <f t="shared" si="4"/>
        <v>0</v>
      </c>
      <c r="P22" s="16">
        <f t="shared" si="5"/>
        <v>-3.5661764705880756</v>
      </c>
      <c r="Q22" s="367">
        <f t="shared" si="6"/>
        <v>0.97147058823529542</v>
      </c>
      <c r="R22" s="619"/>
      <c r="S22" s="31">
        <v>0.3263888888888889</v>
      </c>
      <c r="T22" s="31">
        <v>0.35</v>
      </c>
      <c r="U22" s="366">
        <f t="shared" si="22"/>
        <v>7.9999999999999716</v>
      </c>
      <c r="V22" s="370">
        <f t="shared" si="21"/>
        <v>33.999999999999957</v>
      </c>
      <c r="W22" s="17"/>
      <c r="X22" s="366"/>
      <c r="Y22" s="366"/>
      <c r="Z22" s="366"/>
      <c r="AA22" s="610"/>
      <c r="AB22" s="610"/>
      <c r="AC22" s="155"/>
      <c r="AD22" s="19"/>
      <c r="AE22" s="15">
        <f t="shared" si="8"/>
        <v>-57.05882352940921</v>
      </c>
      <c r="AF22" s="367">
        <f t="shared" si="9"/>
        <v>0.97147058823529542</v>
      </c>
      <c r="AG22" s="619"/>
    </row>
    <row r="23" spans="1:33" ht="15.75" customHeight="1">
      <c r="A23" s="638" t="s">
        <v>1735</v>
      </c>
      <c r="B23" s="33" t="s">
        <v>6</v>
      </c>
      <c r="C23" s="635" t="s">
        <v>21</v>
      </c>
      <c r="D23" s="635"/>
      <c r="E23" s="33">
        <v>50.49</v>
      </c>
      <c r="F23" s="374">
        <v>1514</v>
      </c>
      <c r="G23" s="366">
        <f t="shared" si="19"/>
        <v>76441.86</v>
      </c>
      <c r="H23" s="375" t="s">
        <v>5</v>
      </c>
      <c r="I23" s="369">
        <v>15</v>
      </c>
      <c r="J23" s="30">
        <v>2000</v>
      </c>
      <c r="K23" s="13">
        <f t="shared" si="1"/>
        <v>133.33333333333334</v>
      </c>
      <c r="L23" s="369">
        <v>15</v>
      </c>
      <c r="M23" s="14">
        <f t="shared" si="20"/>
        <v>1932.7659574468087</v>
      </c>
      <c r="N23" s="13">
        <f t="shared" si="3"/>
        <v>128.85106382978725</v>
      </c>
      <c r="O23" s="15">
        <f t="shared" si="4"/>
        <v>0</v>
      </c>
      <c r="P23" s="16">
        <f t="shared" si="5"/>
        <v>-4.4822695035460924</v>
      </c>
      <c r="Q23" s="367">
        <f t="shared" si="6"/>
        <v>0.96638297872340428</v>
      </c>
      <c r="R23" s="619"/>
      <c r="S23" s="31">
        <v>0.70833333333333337</v>
      </c>
      <c r="T23" s="31">
        <v>0.74097222222222225</v>
      </c>
      <c r="U23" s="366" t="str">
        <f t="shared" si="22"/>
        <v/>
      </c>
      <c r="V23" s="370">
        <f t="shared" si="21"/>
        <v>46.999999999999993</v>
      </c>
      <c r="W23" s="17"/>
      <c r="X23" s="366"/>
      <c r="Y23" s="366"/>
      <c r="Z23" s="366"/>
      <c r="AA23" s="610"/>
      <c r="AB23" s="610"/>
      <c r="AC23" s="155"/>
      <c r="AD23" s="19"/>
      <c r="AE23" s="15">
        <f t="shared" si="8"/>
        <v>-67.23404255319133</v>
      </c>
      <c r="AF23" s="367">
        <f t="shared" si="9"/>
        <v>0.96638297872340428</v>
      </c>
      <c r="AG23" s="619"/>
    </row>
    <row r="24" spans="1:33" ht="15.75" customHeight="1">
      <c r="A24" s="638" t="s">
        <v>1736</v>
      </c>
      <c r="B24" s="33" t="s">
        <v>6</v>
      </c>
      <c r="C24" s="635" t="s">
        <v>26</v>
      </c>
      <c r="D24" s="635"/>
      <c r="E24" s="33">
        <v>54.09</v>
      </c>
      <c r="F24" s="374">
        <v>1540</v>
      </c>
      <c r="G24" s="366">
        <f t="shared" si="19"/>
        <v>83298.600000000006</v>
      </c>
      <c r="H24" s="375" t="s">
        <v>5</v>
      </c>
      <c r="I24" s="369">
        <v>18</v>
      </c>
      <c r="J24" s="30">
        <v>2000</v>
      </c>
      <c r="K24" s="13">
        <f t="shared" si="1"/>
        <v>111.11111111111111</v>
      </c>
      <c r="L24" s="369">
        <v>18</v>
      </c>
      <c r="M24" s="14">
        <f t="shared" si="20"/>
        <v>1925.0000000000005</v>
      </c>
      <c r="N24" s="13">
        <f t="shared" si="3"/>
        <v>106.94444444444447</v>
      </c>
      <c r="O24" s="15">
        <f t="shared" si="4"/>
        <v>0</v>
      </c>
      <c r="P24" s="16">
        <f t="shared" si="5"/>
        <v>-4.166666666666643</v>
      </c>
      <c r="Q24" s="367">
        <f t="shared" si="6"/>
        <v>0.96250000000000024</v>
      </c>
      <c r="R24" s="619"/>
      <c r="S24" s="31">
        <v>0.74513888888888891</v>
      </c>
      <c r="T24" s="31">
        <v>0.77847222222222223</v>
      </c>
      <c r="U24" s="366">
        <f t="shared" si="22"/>
        <v>5.9999999999999787</v>
      </c>
      <c r="V24" s="370">
        <f t="shared" si="21"/>
        <v>47.999999999999986</v>
      </c>
      <c r="W24" s="17"/>
      <c r="X24" s="17"/>
      <c r="Y24" s="366"/>
      <c r="Z24" s="366"/>
      <c r="AA24" s="610"/>
      <c r="AB24" s="610"/>
      <c r="AC24" s="155"/>
      <c r="AD24" s="19"/>
      <c r="AE24" s="15">
        <f t="shared" si="8"/>
        <v>-74.999999999999545</v>
      </c>
      <c r="AF24" s="367">
        <f t="shared" si="9"/>
        <v>0.96250000000000024</v>
      </c>
      <c r="AG24" s="619"/>
    </row>
    <row r="25" spans="1:33" ht="15.75" customHeight="1">
      <c r="A25" s="638" t="s">
        <v>1737</v>
      </c>
      <c r="B25" s="33" t="s">
        <v>6</v>
      </c>
      <c r="C25" s="635" t="s">
        <v>9</v>
      </c>
      <c r="D25" s="635"/>
      <c r="E25" s="33">
        <v>50.67</v>
      </c>
      <c r="F25" s="374">
        <v>1020</v>
      </c>
      <c r="G25" s="366">
        <f t="shared" si="19"/>
        <v>51683.4</v>
      </c>
      <c r="H25" s="375" t="s">
        <v>5</v>
      </c>
      <c r="I25" s="369">
        <v>15</v>
      </c>
      <c r="J25" s="30">
        <v>2000</v>
      </c>
      <c r="K25" s="13">
        <f t="shared" si="1"/>
        <v>133.33333333333334</v>
      </c>
      <c r="L25" s="369">
        <v>15</v>
      </c>
      <c r="M25" s="14">
        <f t="shared" si="20"/>
        <v>1912.4999999999975</v>
      </c>
      <c r="N25" s="13">
        <f t="shared" si="3"/>
        <v>127.49999999999983</v>
      </c>
      <c r="O25" s="15">
        <f t="shared" si="4"/>
        <v>0</v>
      </c>
      <c r="P25" s="16">
        <f t="shared" si="5"/>
        <v>-5.8333333333335133</v>
      </c>
      <c r="Q25" s="367">
        <f t="shared" si="6"/>
        <v>0.9562499999999986</v>
      </c>
      <c r="R25" s="619"/>
      <c r="S25" s="31">
        <v>0.78402777777777777</v>
      </c>
      <c r="T25" s="31">
        <v>0.80625000000000002</v>
      </c>
      <c r="U25" s="366">
        <f t="shared" si="22"/>
        <v>7.9999999999999716</v>
      </c>
      <c r="V25" s="370">
        <f t="shared" si="21"/>
        <v>32.000000000000043</v>
      </c>
      <c r="W25" s="17"/>
      <c r="X25" s="22"/>
      <c r="Y25" s="22"/>
      <c r="Z25" s="22"/>
      <c r="AA25" s="610"/>
      <c r="AB25" s="610"/>
      <c r="AC25" s="155"/>
      <c r="AD25" s="19"/>
      <c r="AE25" s="15">
        <f t="shared" si="8"/>
        <v>-87.500000000002501</v>
      </c>
      <c r="AF25" s="367">
        <f t="shared" si="9"/>
        <v>0.95624999999999871</v>
      </c>
      <c r="AG25" s="619"/>
    </row>
    <row r="26" spans="1:33" ht="15.75" customHeight="1">
      <c r="A26" s="638" t="s">
        <v>1734</v>
      </c>
      <c r="B26" s="33" t="s">
        <v>1738</v>
      </c>
      <c r="C26" s="620"/>
      <c r="D26" s="620"/>
      <c r="E26" s="368"/>
      <c r="F26" s="374"/>
      <c r="G26" s="366"/>
      <c r="H26" s="374"/>
      <c r="I26" s="23">
        <v>15.833333333333334</v>
      </c>
      <c r="J26" s="30">
        <v>2000</v>
      </c>
      <c r="K26" s="13">
        <f t="shared" si="1"/>
        <v>126.31578947368421</v>
      </c>
      <c r="L26" s="23">
        <v>15.833333333333334</v>
      </c>
      <c r="M26" s="14">
        <f>AVERAGE(M20:M25)</f>
        <v>1927.2873958827843</v>
      </c>
      <c r="N26" s="13">
        <f t="shared" si="3"/>
        <v>121.72341447680742</v>
      </c>
      <c r="O26" s="15">
        <f t="shared" si="4"/>
        <v>0</v>
      </c>
      <c r="P26" s="16">
        <f t="shared" si="5"/>
        <v>-4.5923749968767851</v>
      </c>
      <c r="Q26" s="367">
        <f t="shared" si="6"/>
        <v>0.96364369794139215</v>
      </c>
      <c r="R26" s="619"/>
      <c r="S26" s="31"/>
      <c r="T26" s="31"/>
      <c r="U26" s="13"/>
      <c r="V26" s="370"/>
      <c r="W26" s="13"/>
      <c r="X26" s="13"/>
      <c r="Y26" s="24">
        <f>SUM(Y20:Y25)</f>
        <v>0</v>
      </c>
      <c r="Z26" s="24">
        <f>SUM(Z20:Z25)</f>
        <v>0</v>
      </c>
      <c r="AA26" s="609"/>
      <c r="AB26" s="609"/>
      <c r="AC26" s="24">
        <v>6</v>
      </c>
      <c r="AD26" s="24">
        <f>SUM(AD20:AD25)</f>
        <v>0</v>
      </c>
      <c r="AE26" s="15">
        <f t="shared" si="8"/>
        <v>-72.712604117215733</v>
      </c>
      <c r="AF26" s="367">
        <f t="shared" si="9"/>
        <v>0.96364369794139215</v>
      </c>
      <c r="AG26" s="619"/>
    </row>
    <row r="27" spans="1:33" ht="15.75" customHeight="1">
      <c r="A27" s="636" t="s">
        <v>1739</v>
      </c>
      <c r="B27" s="33" t="s">
        <v>27</v>
      </c>
      <c r="C27" s="635" t="s">
        <v>28</v>
      </c>
      <c r="D27" s="635"/>
      <c r="E27" s="33">
        <v>31.29</v>
      </c>
      <c r="F27" s="374">
        <v>6986</v>
      </c>
      <c r="G27" s="366">
        <f t="shared" ref="G27:G32" si="23">E27*F27</f>
        <v>218591.94</v>
      </c>
      <c r="H27" s="375" t="s">
        <v>5</v>
      </c>
      <c r="I27" s="369">
        <v>18</v>
      </c>
      <c r="J27" s="30">
        <v>2400</v>
      </c>
      <c r="K27" s="13">
        <f t="shared" si="1"/>
        <v>133.33333333333334</v>
      </c>
      <c r="L27" s="369">
        <v>18</v>
      </c>
      <c r="M27" s="14">
        <f t="shared" ref="M27:M32" si="24">F27/V27*60</f>
        <v>2290.4918032786886</v>
      </c>
      <c r="N27" s="13">
        <f t="shared" si="3"/>
        <v>127.24954462659382</v>
      </c>
      <c r="O27" s="15">
        <f t="shared" si="4"/>
        <v>0</v>
      </c>
      <c r="P27" s="16">
        <f t="shared" si="5"/>
        <v>-6.0837887067395258</v>
      </c>
      <c r="Q27" s="367">
        <f t="shared" si="6"/>
        <v>0.9543715846994536</v>
      </c>
      <c r="R27" s="619">
        <f>Q33</f>
        <v>0.95328075193181783</v>
      </c>
      <c r="S27" s="31">
        <v>8.3333333333333329E-2</v>
      </c>
      <c r="T27" s="31">
        <v>0.21041666666666664</v>
      </c>
      <c r="U27" s="366"/>
      <c r="V27" s="370">
        <f t="shared" ref="V27:V32" si="25">(T27-S27)*24*60</f>
        <v>183</v>
      </c>
      <c r="W27" s="17">
        <f>T27</f>
        <v>0.21041666666666664</v>
      </c>
      <c r="X27" s="17">
        <f>S28</f>
        <v>0.22916666666666663</v>
      </c>
      <c r="Y27" s="17"/>
      <c r="Z27" s="17"/>
      <c r="AA27" s="610"/>
      <c r="AB27" s="610"/>
      <c r="AC27" s="155">
        <v>6</v>
      </c>
      <c r="AD27" s="19"/>
      <c r="AE27" s="15">
        <f t="shared" si="8"/>
        <v>-109.50819672131138</v>
      </c>
      <c r="AF27" s="367">
        <f t="shared" si="9"/>
        <v>0.9543715846994536</v>
      </c>
      <c r="AG27" s="619">
        <f>AF33</f>
        <v>0.95328075193181783</v>
      </c>
    </row>
    <row r="28" spans="1:33" ht="15.75" customHeight="1">
      <c r="A28" s="636" t="s">
        <v>1740</v>
      </c>
      <c r="B28" s="33" t="s">
        <v>27</v>
      </c>
      <c r="C28" s="635" t="s">
        <v>29</v>
      </c>
      <c r="D28" s="635"/>
      <c r="E28" s="33">
        <v>26.37</v>
      </c>
      <c r="F28" s="374">
        <v>4978</v>
      </c>
      <c r="G28" s="366">
        <f t="shared" si="23"/>
        <v>131269.86000000002</v>
      </c>
      <c r="H28" s="375" t="s">
        <v>5</v>
      </c>
      <c r="I28" s="369">
        <v>18</v>
      </c>
      <c r="J28" s="30">
        <v>2400</v>
      </c>
      <c r="K28" s="13">
        <f t="shared" si="1"/>
        <v>133.33333333333334</v>
      </c>
      <c r="L28" s="369">
        <v>18</v>
      </c>
      <c r="M28" s="14">
        <f t="shared" si="24"/>
        <v>2297.538461538461</v>
      </c>
      <c r="N28" s="13">
        <f t="shared" si="3"/>
        <v>127.64102564102561</v>
      </c>
      <c r="O28" s="15">
        <f t="shared" si="4"/>
        <v>0</v>
      </c>
      <c r="P28" s="16">
        <f t="shared" si="5"/>
        <v>-5.692307692307736</v>
      </c>
      <c r="Q28" s="367">
        <f t="shared" si="6"/>
        <v>0.95730769230769197</v>
      </c>
      <c r="R28" s="619"/>
      <c r="S28" s="31">
        <v>0.22916666666666663</v>
      </c>
      <c r="T28" s="31">
        <v>0.31944444444444442</v>
      </c>
      <c r="U28" s="366">
        <f t="shared" ref="U28:U32" si="26">(S28-T27)*24*60</f>
        <v>26.999999999999986</v>
      </c>
      <c r="V28" s="370">
        <f t="shared" si="25"/>
        <v>130.00000000000003</v>
      </c>
      <c r="W28" s="17"/>
      <c r="X28" s="17"/>
      <c r="Y28" s="17"/>
      <c r="Z28" s="17"/>
      <c r="AA28" s="610"/>
      <c r="AB28" s="610"/>
      <c r="AC28" s="155"/>
      <c r="AD28" s="19"/>
      <c r="AE28" s="15">
        <f t="shared" si="8"/>
        <v>-102.46153846153902</v>
      </c>
      <c r="AF28" s="367">
        <f t="shared" si="9"/>
        <v>0.95730769230769208</v>
      </c>
      <c r="AG28" s="619"/>
    </row>
    <row r="29" spans="1:33" ht="15.75" customHeight="1">
      <c r="A29" s="636" t="s">
        <v>1741</v>
      </c>
      <c r="B29" s="33" t="s">
        <v>27</v>
      </c>
      <c r="C29" s="635" t="s">
        <v>34</v>
      </c>
      <c r="D29" s="635"/>
      <c r="E29" s="33">
        <v>24.43</v>
      </c>
      <c r="F29" s="374">
        <v>3600</v>
      </c>
      <c r="G29" s="366">
        <f t="shared" si="23"/>
        <v>87948</v>
      </c>
      <c r="H29" s="375">
        <v>2</v>
      </c>
      <c r="I29" s="369">
        <v>14</v>
      </c>
      <c r="J29" s="30">
        <v>2400</v>
      </c>
      <c r="K29" s="13">
        <f t="shared" si="1"/>
        <v>171.42857142857142</v>
      </c>
      <c r="L29" s="369">
        <v>14</v>
      </c>
      <c r="M29" s="14">
        <f t="shared" si="24"/>
        <v>2297.872340425532</v>
      </c>
      <c r="N29" s="13">
        <f t="shared" si="3"/>
        <v>164.13373860182372</v>
      </c>
      <c r="O29" s="15">
        <f t="shared" si="4"/>
        <v>0</v>
      </c>
      <c r="P29" s="16">
        <f t="shared" si="5"/>
        <v>-7.2948328267476938</v>
      </c>
      <c r="Q29" s="367">
        <f t="shared" si="6"/>
        <v>0.95744680851063846</v>
      </c>
      <c r="R29" s="619"/>
      <c r="S29" s="31">
        <v>0.32291666666666663</v>
      </c>
      <c r="T29" s="31">
        <v>0.3881944444444444</v>
      </c>
      <c r="U29" s="366">
        <f t="shared" si="26"/>
        <v>4.9999999999999822</v>
      </c>
      <c r="V29" s="370">
        <f t="shared" si="25"/>
        <v>93.999999999999986</v>
      </c>
      <c r="W29" s="17"/>
      <c r="X29" s="17"/>
      <c r="Y29" s="17"/>
      <c r="Z29" s="17"/>
      <c r="AA29" s="610"/>
      <c r="AB29" s="610"/>
      <c r="AC29" s="155"/>
      <c r="AD29" s="19"/>
      <c r="AE29" s="15">
        <f t="shared" si="8"/>
        <v>-102.127659574468</v>
      </c>
      <c r="AF29" s="367">
        <f t="shared" si="9"/>
        <v>0.95744680851063835</v>
      </c>
      <c r="AG29" s="619"/>
    </row>
    <row r="30" spans="1:33" ht="15.75" customHeight="1">
      <c r="A30" s="636" t="s">
        <v>1742</v>
      </c>
      <c r="B30" s="33" t="s">
        <v>27</v>
      </c>
      <c r="C30" s="635" t="s">
        <v>75</v>
      </c>
      <c r="D30" s="635"/>
      <c r="E30" s="33">
        <v>25.98</v>
      </c>
      <c r="F30" s="374">
        <v>3252</v>
      </c>
      <c r="G30" s="366">
        <f t="shared" si="23"/>
        <v>84486.96</v>
      </c>
      <c r="H30" s="375" t="s">
        <v>5</v>
      </c>
      <c r="I30" s="369">
        <v>19</v>
      </c>
      <c r="J30" s="30">
        <v>2400</v>
      </c>
      <c r="K30" s="13">
        <f t="shared" si="1"/>
        <v>126.31578947368421</v>
      </c>
      <c r="L30" s="369">
        <v>19</v>
      </c>
      <c r="M30" s="14">
        <f t="shared" si="24"/>
        <v>2295.5294117647054</v>
      </c>
      <c r="N30" s="13">
        <f t="shared" si="3"/>
        <v>120.81733746130028</v>
      </c>
      <c r="O30" s="15">
        <f t="shared" si="4"/>
        <v>0</v>
      </c>
      <c r="P30" s="16">
        <f t="shared" si="5"/>
        <v>-5.4984520123839218</v>
      </c>
      <c r="Q30" s="367">
        <f t="shared" si="6"/>
        <v>0.95647058823529396</v>
      </c>
      <c r="R30" s="619"/>
      <c r="S30" s="31">
        <v>0.39166666666666661</v>
      </c>
      <c r="T30" s="31">
        <v>0.4506944444444444</v>
      </c>
      <c r="U30" s="366">
        <f t="shared" si="26"/>
        <v>4.9999999999999822</v>
      </c>
      <c r="V30" s="370">
        <f t="shared" si="25"/>
        <v>85.000000000000014</v>
      </c>
      <c r="W30" s="17"/>
      <c r="X30" s="17"/>
      <c r="Y30" s="17"/>
      <c r="Z30" s="17"/>
      <c r="AA30" s="610"/>
      <c r="AB30" s="610"/>
      <c r="AC30" s="155"/>
      <c r="AD30" s="19"/>
      <c r="AE30" s="15">
        <f t="shared" si="8"/>
        <v>-104.4705882352946</v>
      </c>
      <c r="AF30" s="367">
        <f t="shared" si="9"/>
        <v>0.95647058823529396</v>
      </c>
      <c r="AG30" s="619"/>
    </row>
    <row r="31" spans="1:33" ht="15.75" customHeight="1">
      <c r="A31" s="636" t="s">
        <v>1743</v>
      </c>
      <c r="B31" s="33" t="s">
        <v>27</v>
      </c>
      <c r="C31" s="635" t="s">
        <v>55</v>
      </c>
      <c r="D31" s="635"/>
      <c r="E31" s="33">
        <v>23.89</v>
      </c>
      <c r="F31" s="374">
        <v>447</v>
      </c>
      <c r="G31" s="366">
        <f t="shared" si="23"/>
        <v>10678.83</v>
      </c>
      <c r="H31" s="375" t="s">
        <v>5</v>
      </c>
      <c r="I31" s="369">
        <v>13</v>
      </c>
      <c r="J31" s="30">
        <v>2400</v>
      </c>
      <c r="K31" s="13">
        <f t="shared" si="1"/>
        <v>184.61538461538461</v>
      </c>
      <c r="L31" s="369">
        <v>13</v>
      </c>
      <c r="M31" s="14">
        <f t="shared" si="24"/>
        <v>2234.9999999999782</v>
      </c>
      <c r="N31" s="13">
        <f t="shared" si="3"/>
        <v>171.92307692307526</v>
      </c>
      <c r="O31" s="15">
        <f t="shared" si="4"/>
        <v>0</v>
      </c>
      <c r="P31" s="16">
        <f t="shared" si="5"/>
        <v>-12.692307692309356</v>
      </c>
      <c r="Q31" s="367">
        <f t="shared" si="6"/>
        <v>0.93124999999999103</v>
      </c>
      <c r="R31" s="619"/>
      <c r="S31" s="31">
        <v>0.45624999999999993</v>
      </c>
      <c r="T31" s="31">
        <v>0.46458333333333335</v>
      </c>
      <c r="U31" s="366">
        <f t="shared" si="26"/>
        <v>7.9999999999999716</v>
      </c>
      <c r="V31" s="370">
        <f t="shared" si="25"/>
        <v>12.000000000000117</v>
      </c>
      <c r="W31" s="17">
        <f>T31</f>
        <v>0.46458333333333335</v>
      </c>
      <c r="X31" s="17">
        <f>S32</f>
        <v>0.50486111111111098</v>
      </c>
      <c r="Y31" s="17"/>
      <c r="Z31" s="17"/>
      <c r="AA31" s="610"/>
      <c r="AB31" s="610"/>
      <c r="AC31" s="155"/>
      <c r="AD31" s="19"/>
      <c r="AE31" s="15">
        <f t="shared" si="8"/>
        <v>-165.00000000002183</v>
      </c>
      <c r="AF31" s="367">
        <f t="shared" si="9"/>
        <v>0.93124999999999092</v>
      </c>
      <c r="AG31" s="619"/>
    </row>
    <row r="32" spans="1:33" ht="15.75" customHeight="1">
      <c r="A32" s="636" t="s">
        <v>1744</v>
      </c>
      <c r="B32" s="33" t="s">
        <v>27</v>
      </c>
      <c r="C32" s="635" t="s">
        <v>34</v>
      </c>
      <c r="D32" s="635"/>
      <c r="E32" s="33">
        <v>24.43</v>
      </c>
      <c r="F32" s="374">
        <v>2850</v>
      </c>
      <c r="G32" s="366">
        <f t="shared" si="23"/>
        <v>69625.5</v>
      </c>
      <c r="H32" s="375" t="s">
        <v>5</v>
      </c>
      <c r="I32" s="369">
        <v>14</v>
      </c>
      <c r="J32" s="30">
        <v>2400</v>
      </c>
      <c r="K32" s="13">
        <f t="shared" si="1"/>
        <v>171.42857142857142</v>
      </c>
      <c r="L32" s="369">
        <v>14</v>
      </c>
      <c r="M32" s="14">
        <f t="shared" si="24"/>
        <v>2310.810810810809</v>
      </c>
      <c r="N32" s="13">
        <f t="shared" si="3"/>
        <v>165.05791505791493</v>
      </c>
      <c r="O32" s="15">
        <f t="shared" si="4"/>
        <v>0</v>
      </c>
      <c r="P32" s="16">
        <f t="shared" si="5"/>
        <v>-6.3706563706564907</v>
      </c>
      <c r="Q32" s="367">
        <f t="shared" si="6"/>
        <v>0.96283783783783716</v>
      </c>
      <c r="R32" s="619"/>
      <c r="S32" s="31">
        <v>0.50486111111111098</v>
      </c>
      <c r="T32" s="31">
        <v>0.55624999999999991</v>
      </c>
      <c r="U32" s="366">
        <f t="shared" si="26"/>
        <v>57.999999999999794</v>
      </c>
      <c r="V32" s="370">
        <f t="shared" si="25"/>
        <v>74.000000000000057</v>
      </c>
      <c r="W32" s="17"/>
      <c r="X32" s="17"/>
      <c r="Y32" s="17"/>
      <c r="Z32" s="17"/>
      <c r="AA32" s="610"/>
      <c r="AB32" s="610"/>
      <c r="AC32" s="155"/>
      <c r="AD32" s="19"/>
      <c r="AE32" s="15">
        <f t="shared" si="8"/>
        <v>-89.189189189190984</v>
      </c>
      <c r="AF32" s="367">
        <f t="shared" si="9"/>
        <v>0.96283783783783705</v>
      </c>
      <c r="AG32" s="619"/>
    </row>
    <row r="33" spans="1:33" ht="15.75" customHeight="1">
      <c r="A33" s="636" t="s">
        <v>1745</v>
      </c>
      <c r="B33" s="33" t="s">
        <v>1746</v>
      </c>
      <c r="C33" s="620"/>
      <c r="D33" s="620"/>
      <c r="E33" s="368"/>
      <c r="F33" s="374"/>
      <c r="G33" s="366"/>
      <c r="H33" s="374"/>
      <c r="I33" s="23">
        <v>16</v>
      </c>
      <c r="J33" s="30">
        <v>2400</v>
      </c>
      <c r="K33" s="13">
        <f t="shared" si="1"/>
        <v>150</v>
      </c>
      <c r="L33" s="23">
        <v>16</v>
      </c>
      <c r="M33" s="14">
        <f>AVERAGE(M27:M32)</f>
        <v>2287.8738046363628</v>
      </c>
      <c r="N33" s="13">
        <f t="shared" si="3"/>
        <v>142.99211278977268</v>
      </c>
      <c r="O33" s="15">
        <f t="shared" si="4"/>
        <v>0</v>
      </c>
      <c r="P33" s="16">
        <f t="shared" si="5"/>
        <v>-7.0078872102273237</v>
      </c>
      <c r="Q33" s="367">
        <f t="shared" si="6"/>
        <v>0.95328075193181783</v>
      </c>
      <c r="R33" s="619"/>
      <c r="S33" s="31"/>
      <c r="T33" s="31"/>
      <c r="U33" s="366"/>
      <c r="V33" s="370"/>
      <c r="W33" s="366"/>
      <c r="X33" s="366"/>
      <c r="Y33" s="24">
        <f>SUM(Y27:Y32)</f>
        <v>0</v>
      </c>
      <c r="Z33" s="24">
        <f>SUM(Z27:Z32)</f>
        <v>0</v>
      </c>
      <c r="AA33" s="609"/>
      <c r="AB33" s="609"/>
      <c r="AC33" s="24">
        <v>6</v>
      </c>
      <c r="AD33" s="24">
        <f>SUM(AD27:AD32)</f>
        <v>0</v>
      </c>
      <c r="AE33" s="15">
        <f t="shared" si="8"/>
        <v>-112.12619536363718</v>
      </c>
      <c r="AF33" s="367">
        <f t="shared" si="9"/>
        <v>0.95328075193181783</v>
      </c>
      <c r="AG33" s="619"/>
    </row>
    <row r="34" spans="1:33" ht="15.75" customHeight="1">
      <c r="A34" s="633" t="s">
        <v>1747</v>
      </c>
      <c r="B34" s="33" t="s">
        <v>27</v>
      </c>
      <c r="C34" s="611" t="s">
        <v>33</v>
      </c>
      <c r="D34" s="611"/>
      <c r="E34" s="33">
        <v>26.18</v>
      </c>
      <c r="F34" s="374">
        <v>4798</v>
      </c>
      <c r="G34" s="366">
        <f t="shared" ref="G34:G39" si="27">E34*F34</f>
        <v>125611.64</v>
      </c>
      <c r="H34" s="375" t="s">
        <v>5</v>
      </c>
      <c r="I34" s="369">
        <v>20</v>
      </c>
      <c r="J34" s="30">
        <v>2400</v>
      </c>
      <c r="K34" s="13">
        <f t="shared" si="1"/>
        <v>120</v>
      </c>
      <c r="L34" s="369">
        <v>20</v>
      </c>
      <c r="M34" s="14">
        <f t="shared" ref="M34:M39" si="28">F34/V34*60</f>
        <v>2284.761904761905</v>
      </c>
      <c r="N34" s="13">
        <f t="shared" si="3"/>
        <v>114.23809523809526</v>
      </c>
      <c r="O34" s="15">
        <f t="shared" si="4"/>
        <v>0</v>
      </c>
      <c r="P34" s="16">
        <f t="shared" si="5"/>
        <v>-5.761904761904745</v>
      </c>
      <c r="Q34" s="367">
        <f t="shared" si="6"/>
        <v>0.95198412698412715</v>
      </c>
      <c r="R34" s="619">
        <f>Q40</f>
        <v>0.95381527326839821</v>
      </c>
      <c r="S34" s="31">
        <v>8.3333333333333329E-2</v>
      </c>
      <c r="T34" s="31">
        <v>0.17083333333333334</v>
      </c>
      <c r="U34" s="366"/>
      <c r="V34" s="370">
        <f t="shared" ref="V34:V39" si="29">(T34-S34)*24*60</f>
        <v>126</v>
      </c>
      <c r="W34" s="22">
        <f>T34</f>
        <v>0.17083333333333334</v>
      </c>
      <c r="X34" s="22">
        <f>S35</f>
        <v>0.18958333333333335</v>
      </c>
      <c r="Y34" s="22"/>
      <c r="Z34" s="22"/>
      <c r="AA34" s="610"/>
      <c r="AB34" s="610"/>
      <c r="AC34" s="155">
        <v>6</v>
      </c>
      <c r="AD34" s="19"/>
      <c r="AE34" s="15">
        <f t="shared" si="8"/>
        <v>-115.23809523809496</v>
      </c>
      <c r="AF34" s="367">
        <f t="shared" si="9"/>
        <v>0.95198412698412715</v>
      </c>
      <c r="AG34" s="619">
        <f>AF40</f>
        <v>0.95381527326839821</v>
      </c>
    </row>
    <row r="35" spans="1:33" ht="15.75" customHeight="1">
      <c r="A35" s="633" t="s">
        <v>1748</v>
      </c>
      <c r="B35" s="33" t="s">
        <v>27</v>
      </c>
      <c r="C35" s="611" t="s">
        <v>30</v>
      </c>
      <c r="D35" s="611"/>
      <c r="E35" s="33">
        <v>26.18</v>
      </c>
      <c r="F35" s="374">
        <v>6402</v>
      </c>
      <c r="G35" s="366">
        <f t="shared" si="27"/>
        <v>167604.35999999999</v>
      </c>
      <c r="H35" s="375" t="s">
        <v>5</v>
      </c>
      <c r="I35" s="369">
        <v>18</v>
      </c>
      <c r="J35" s="30">
        <v>2400</v>
      </c>
      <c r="K35" s="13">
        <f t="shared" si="1"/>
        <v>133.33333333333334</v>
      </c>
      <c r="L35" s="369">
        <v>18</v>
      </c>
      <c r="M35" s="14">
        <f t="shared" si="28"/>
        <v>2286.4285714285711</v>
      </c>
      <c r="N35" s="13">
        <f t="shared" si="3"/>
        <v>127.0238095238095</v>
      </c>
      <c r="O35" s="15">
        <f t="shared" si="4"/>
        <v>0</v>
      </c>
      <c r="P35" s="16">
        <f t="shared" si="5"/>
        <v>-6.3095238095238386</v>
      </c>
      <c r="Q35" s="367">
        <f t="shared" si="6"/>
        <v>0.95267857142857126</v>
      </c>
      <c r="R35" s="619"/>
      <c r="S35" s="31">
        <v>0.18958333333333335</v>
      </c>
      <c r="T35" s="31">
        <v>0.30625000000000002</v>
      </c>
      <c r="U35" s="366">
        <f t="shared" ref="U35:U39" si="30">(S35-T34)*24*60</f>
        <v>27.000000000000025</v>
      </c>
      <c r="V35" s="370">
        <f t="shared" si="29"/>
        <v>168</v>
      </c>
      <c r="W35" s="366"/>
      <c r="X35" s="366"/>
      <c r="Y35" s="366"/>
      <c r="Z35" s="366"/>
      <c r="AA35" s="610"/>
      <c r="AB35" s="610"/>
      <c r="AC35" s="155"/>
      <c r="AD35" s="19"/>
      <c r="AE35" s="15">
        <f t="shared" si="8"/>
        <v>-113.5714285714289</v>
      </c>
      <c r="AF35" s="367">
        <f t="shared" si="9"/>
        <v>0.95267857142857126</v>
      </c>
      <c r="AG35" s="619"/>
    </row>
    <row r="36" spans="1:33">
      <c r="A36" s="634" t="s">
        <v>1749</v>
      </c>
      <c r="B36" s="33" t="s">
        <v>27</v>
      </c>
      <c r="C36" s="611" t="s">
        <v>35</v>
      </c>
      <c r="D36" s="611"/>
      <c r="E36" s="33">
        <v>34.1</v>
      </c>
      <c r="F36" s="374">
        <v>2800</v>
      </c>
      <c r="G36" s="366">
        <f t="shared" si="27"/>
        <v>95480</v>
      </c>
      <c r="H36" s="375">
        <v>2</v>
      </c>
      <c r="I36" s="369">
        <v>17</v>
      </c>
      <c r="J36" s="30">
        <v>1600</v>
      </c>
      <c r="K36" s="13">
        <f t="shared" si="1"/>
        <v>94.117647058823536</v>
      </c>
      <c r="L36" s="369">
        <v>17</v>
      </c>
      <c r="M36" s="14">
        <f t="shared" si="28"/>
        <v>1527.272727272727</v>
      </c>
      <c r="N36" s="13">
        <f t="shared" si="3"/>
        <v>89.839572192513359</v>
      </c>
      <c r="O36" s="15">
        <f t="shared" si="4"/>
        <v>0</v>
      </c>
      <c r="P36" s="16">
        <f t="shared" si="5"/>
        <v>-4.2780748663101775</v>
      </c>
      <c r="Q36" s="367">
        <f t="shared" si="6"/>
        <v>0.95454545454545436</v>
      </c>
      <c r="R36" s="619"/>
      <c r="S36" s="31">
        <v>0.30972222222222223</v>
      </c>
      <c r="T36" s="31">
        <v>0.38611111111111113</v>
      </c>
      <c r="U36" s="366">
        <f t="shared" si="30"/>
        <v>4.9999999999999822</v>
      </c>
      <c r="V36" s="370">
        <f t="shared" si="29"/>
        <v>110.00000000000001</v>
      </c>
      <c r="W36" s="366"/>
      <c r="X36" s="366"/>
      <c r="Y36" s="366"/>
      <c r="Z36" s="366"/>
      <c r="AA36" s="610"/>
      <c r="AB36" s="610"/>
      <c r="AC36" s="155"/>
      <c r="AD36" s="19"/>
      <c r="AE36" s="15">
        <f t="shared" si="8"/>
        <v>-72.727272727272975</v>
      </c>
      <c r="AF36" s="367">
        <f t="shared" si="9"/>
        <v>0.95454545454545436</v>
      </c>
      <c r="AG36" s="619"/>
    </row>
    <row r="37" spans="1:33">
      <c r="A37" s="634" t="s">
        <v>1750</v>
      </c>
      <c r="B37" s="33" t="s">
        <v>27</v>
      </c>
      <c r="C37" s="611" t="s">
        <v>54</v>
      </c>
      <c r="D37" s="611"/>
      <c r="E37" s="33">
        <v>24.25</v>
      </c>
      <c r="F37" s="374">
        <v>1254</v>
      </c>
      <c r="G37" s="366">
        <f t="shared" si="27"/>
        <v>30409.5</v>
      </c>
      <c r="H37" s="375" t="s">
        <v>5</v>
      </c>
      <c r="I37" s="369">
        <v>16</v>
      </c>
      <c r="J37" s="30">
        <v>2400</v>
      </c>
      <c r="K37" s="13">
        <f t="shared" si="1"/>
        <v>150</v>
      </c>
      <c r="L37" s="369">
        <v>16</v>
      </c>
      <c r="M37" s="14">
        <f t="shared" si="28"/>
        <v>2280.0000000000027</v>
      </c>
      <c r="N37" s="13">
        <f t="shared" si="3"/>
        <v>142.50000000000017</v>
      </c>
      <c r="O37" s="15">
        <f t="shared" si="4"/>
        <v>0</v>
      </c>
      <c r="P37" s="16">
        <f t="shared" si="5"/>
        <v>-7.4999999999998295</v>
      </c>
      <c r="Q37" s="367">
        <f t="shared" si="6"/>
        <v>0.95000000000000118</v>
      </c>
      <c r="R37" s="619"/>
      <c r="S37" s="31">
        <v>0.39097222222222222</v>
      </c>
      <c r="T37" s="31">
        <v>0.41388888888888886</v>
      </c>
      <c r="U37" s="366">
        <f t="shared" si="30"/>
        <v>6.9999999999999751</v>
      </c>
      <c r="V37" s="370">
        <f t="shared" si="29"/>
        <v>32.999999999999964</v>
      </c>
      <c r="W37" s="17"/>
      <c r="X37" s="17"/>
      <c r="Y37" s="17"/>
      <c r="Z37" s="17"/>
      <c r="AA37" s="610"/>
      <c r="AB37" s="610"/>
      <c r="AC37" s="155"/>
      <c r="AD37" s="19"/>
      <c r="AE37" s="15">
        <f t="shared" si="8"/>
        <v>-119.99999999999727</v>
      </c>
      <c r="AF37" s="367">
        <f t="shared" si="9"/>
        <v>0.95000000000000118</v>
      </c>
      <c r="AG37" s="619"/>
    </row>
    <row r="38" spans="1:33">
      <c r="A38" s="634" t="s">
        <v>1751</v>
      </c>
      <c r="B38" s="33" t="s">
        <v>27</v>
      </c>
      <c r="C38" s="611" t="s">
        <v>32</v>
      </c>
      <c r="D38" s="611"/>
      <c r="E38" s="33">
        <v>25.99</v>
      </c>
      <c r="F38" s="374">
        <v>2953</v>
      </c>
      <c r="G38" s="366">
        <f t="shared" si="27"/>
        <v>76748.47</v>
      </c>
      <c r="H38" s="375" t="s">
        <v>5</v>
      </c>
      <c r="I38" s="369">
        <v>14</v>
      </c>
      <c r="J38" s="30">
        <v>2400</v>
      </c>
      <c r="K38" s="13">
        <f t="shared" si="1"/>
        <v>171.42857142857142</v>
      </c>
      <c r="L38" s="369">
        <v>14</v>
      </c>
      <c r="M38" s="14">
        <f t="shared" si="28"/>
        <v>2301.0389610389598</v>
      </c>
      <c r="N38" s="13">
        <f t="shared" si="3"/>
        <v>164.35992578849712</v>
      </c>
      <c r="O38" s="15">
        <f t="shared" si="4"/>
        <v>0</v>
      </c>
      <c r="P38" s="16">
        <f t="shared" si="5"/>
        <v>-7.0686456400742941</v>
      </c>
      <c r="Q38" s="367">
        <f t="shared" si="6"/>
        <v>0.95876623376623327</v>
      </c>
      <c r="R38" s="619"/>
      <c r="S38" s="31">
        <v>0.41736111111111107</v>
      </c>
      <c r="T38" s="31">
        <v>0.47083333333333333</v>
      </c>
      <c r="U38" s="366">
        <f t="shared" si="30"/>
        <v>4.9999999999999822</v>
      </c>
      <c r="V38" s="370">
        <f t="shared" si="29"/>
        <v>77.000000000000043</v>
      </c>
      <c r="W38" s="17">
        <f>T38</f>
        <v>0.47083333333333333</v>
      </c>
      <c r="X38" s="17">
        <f>S39</f>
        <v>0.50902777777777775</v>
      </c>
      <c r="Y38" s="17"/>
      <c r="Z38" s="17"/>
      <c r="AA38" s="610"/>
      <c r="AB38" s="610"/>
      <c r="AC38" s="155"/>
      <c r="AD38" s="19"/>
      <c r="AE38" s="15">
        <f t="shared" si="8"/>
        <v>-98.961038961040231</v>
      </c>
      <c r="AF38" s="367">
        <f t="shared" si="9"/>
        <v>0.95876623376623327</v>
      </c>
      <c r="AG38" s="619"/>
    </row>
    <row r="39" spans="1:33">
      <c r="A39" s="634" t="s">
        <v>1752</v>
      </c>
      <c r="B39" s="33" t="s">
        <v>27</v>
      </c>
      <c r="C39" s="611" t="s">
        <v>35</v>
      </c>
      <c r="D39" s="611"/>
      <c r="E39" s="33">
        <v>34.1</v>
      </c>
      <c r="F39" s="374">
        <v>2294</v>
      </c>
      <c r="G39" s="366">
        <f t="shared" si="27"/>
        <v>78225.400000000009</v>
      </c>
      <c r="H39" s="375" t="s">
        <v>5</v>
      </c>
      <c r="I39" s="369">
        <v>17</v>
      </c>
      <c r="J39" s="30">
        <v>1600</v>
      </c>
      <c r="K39" s="13">
        <f t="shared" si="1"/>
        <v>94.117647058823536</v>
      </c>
      <c r="L39" s="369">
        <v>17</v>
      </c>
      <c r="M39" s="14">
        <f t="shared" si="28"/>
        <v>1529.3333333333333</v>
      </c>
      <c r="N39" s="13">
        <f t="shared" si="3"/>
        <v>89.960784313725483</v>
      </c>
      <c r="O39" s="15">
        <f t="shared" si="4"/>
        <v>0</v>
      </c>
      <c r="P39" s="16">
        <f t="shared" si="5"/>
        <v>-4.1568627450980529</v>
      </c>
      <c r="Q39" s="367">
        <f t="shared" si="6"/>
        <v>0.9558333333333332</v>
      </c>
      <c r="R39" s="619"/>
      <c r="S39" s="31">
        <v>0.50902777777777775</v>
      </c>
      <c r="T39" s="31">
        <v>0.57152777777777775</v>
      </c>
      <c r="U39" s="366">
        <f t="shared" si="30"/>
        <v>54.999999999999964</v>
      </c>
      <c r="V39" s="370">
        <f t="shared" si="29"/>
        <v>90</v>
      </c>
      <c r="W39" s="17"/>
      <c r="X39" s="17"/>
      <c r="Y39" s="17"/>
      <c r="Z39" s="17"/>
      <c r="AA39" s="610"/>
      <c r="AB39" s="610"/>
      <c r="AC39" s="155"/>
      <c r="AD39" s="19"/>
      <c r="AE39" s="15">
        <f t="shared" si="8"/>
        <v>-70.666666666666742</v>
      </c>
      <c r="AF39" s="367">
        <f t="shared" si="9"/>
        <v>0.95583333333333331</v>
      </c>
      <c r="AG39" s="619"/>
    </row>
    <row r="40" spans="1:33">
      <c r="A40" s="634" t="s">
        <v>1753</v>
      </c>
      <c r="B40" s="34" t="s">
        <v>1754</v>
      </c>
      <c r="C40" s="620"/>
      <c r="D40" s="620"/>
      <c r="E40" s="368"/>
      <c r="F40" s="34"/>
      <c r="G40" s="13"/>
      <c r="H40" s="374"/>
      <c r="I40" s="23">
        <v>17</v>
      </c>
      <c r="J40" s="30">
        <v>2133.3333333333335</v>
      </c>
      <c r="K40" s="13">
        <f t="shared" si="1"/>
        <v>125.49019607843138</v>
      </c>
      <c r="L40" s="23">
        <v>17</v>
      </c>
      <c r="M40" s="14">
        <f>AVERAGE(M34:M39)</f>
        <v>2034.8059163059163</v>
      </c>
      <c r="N40" s="13">
        <f t="shared" si="3"/>
        <v>119.6944656650539</v>
      </c>
      <c r="O40" s="15">
        <f t="shared" si="4"/>
        <v>0</v>
      </c>
      <c r="P40" s="16">
        <f t="shared" si="5"/>
        <v>-5.7957304133774841</v>
      </c>
      <c r="Q40" s="367">
        <f t="shared" si="6"/>
        <v>0.95381527326839821</v>
      </c>
      <c r="R40" s="619"/>
      <c r="S40" s="31"/>
      <c r="T40" s="31"/>
      <c r="U40" s="13"/>
      <c r="V40" s="370"/>
      <c r="W40" s="13"/>
      <c r="X40" s="13"/>
      <c r="Y40" s="24">
        <f>SUM(Y34:Y39)</f>
        <v>0</v>
      </c>
      <c r="Z40" s="24">
        <f>SUM(Z34:Z39)</f>
        <v>0</v>
      </c>
      <c r="AA40" s="609"/>
      <c r="AB40" s="609"/>
      <c r="AC40" s="24">
        <v>6</v>
      </c>
      <c r="AD40" s="24">
        <f>SUM(AD34:AD39)</f>
        <v>0</v>
      </c>
      <c r="AE40" s="15">
        <f t="shared" si="8"/>
        <v>-98.527417027417187</v>
      </c>
      <c r="AF40" s="367">
        <f t="shared" si="9"/>
        <v>0.95381527326839821</v>
      </c>
      <c r="AG40" s="619"/>
    </row>
    <row r="41" spans="1:33" ht="15.75" customHeight="1">
      <c r="A41" s="630" t="s">
        <v>1755</v>
      </c>
      <c r="B41" s="33" t="s">
        <v>36</v>
      </c>
      <c r="C41" s="612" t="s">
        <v>37</v>
      </c>
      <c r="D41" s="613"/>
      <c r="E41" s="33">
        <v>21.13</v>
      </c>
      <c r="F41" s="374">
        <v>4229</v>
      </c>
      <c r="G41" s="366">
        <f t="shared" ref="G41:G43" si="31">E41*F41</f>
        <v>89358.76999999999</v>
      </c>
      <c r="H41" s="375" t="s">
        <v>5</v>
      </c>
      <c r="I41" s="369">
        <v>10</v>
      </c>
      <c r="J41" s="30">
        <v>3000</v>
      </c>
      <c r="K41" s="13">
        <f t="shared" si="1"/>
        <v>300</v>
      </c>
      <c r="L41" s="369">
        <v>10</v>
      </c>
      <c r="M41" s="14">
        <f t="shared" ref="M41:M43" si="32">F41/V41*60</f>
        <v>2883.4090909090914</v>
      </c>
      <c r="N41" s="14">
        <f t="shared" si="3"/>
        <v>288.34090909090912</v>
      </c>
      <c r="O41" s="15">
        <f t="shared" si="4"/>
        <v>0</v>
      </c>
      <c r="P41" s="16">
        <f t="shared" si="5"/>
        <v>-11.659090909090878</v>
      </c>
      <c r="Q41" s="367">
        <f t="shared" si="6"/>
        <v>0.96113636363636379</v>
      </c>
      <c r="R41" s="625">
        <f>Q44</f>
        <v>0.95999259977827045</v>
      </c>
      <c r="S41" s="31">
        <v>0.20833333333333334</v>
      </c>
      <c r="T41" s="31">
        <v>0.26944444444444443</v>
      </c>
      <c r="U41" s="22"/>
      <c r="V41" s="370">
        <f t="shared" ref="V41:V43" si="33">(T41-S41)*24*60</f>
        <v>87.999999999999972</v>
      </c>
      <c r="W41" s="17"/>
      <c r="X41" s="17"/>
      <c r="Y41" s="20"/>
      <c r="Z41" s="20"/>
      <c r="AA41" s="614"/>
      <c r="AB41" s="615"/>
      <c r="AC41" s="155">
        <v>3</v>
      </c>
      <c r="AD41" s="19"/>
      <c r="AE41" s="15">
        <f t="shared" si="8"/>
        <v>-116.59090909090855</v>
      </c>
      <c r="AF41" s="367">
        <f t="shared" si="9"/>
        <v>0.96113636363636379</v>
      </c>
      <c r="AG41" s="625">
        <f>AF44</f>
        <v>0.95999259977827045</v>
      </c>
    </row>
    <row r="42" spans="1:33" ht="15.75" customHeight="1">
      <c r="A42" s="631" t="s">
        <v>1756</v>
      </c>
      <c r="B42" s="33" t="s">
        <v>36</v>
      </c>
      <c r="C42" s="612" t="s">
        <v>46</v>
      </c>
      <c r="D42" s="613"/>
      <c r="E42" s="33">
        <v>35.119999999999997</v>
      </c>
      <c r="F42" s="374">
        <v>3937</v>
      </c>
      <c r="G42" s="366">
        <f t="shared" si="31"/>
        <v>138267.44</v>
      </c>
      <c r="H42" s="375" t="s">
        <v>5</v>
      </c>
      <c r="I42" s="369">
        <v>10</v>
      </c>
      <c r="J42" s="30">
        <v>3000</v>
      </c>
      <c r="K42" s="13">
        <f t="shared" si="1"/>
        <v>300</v>
      </c>
      <c r="L42" s="369">
        <v>10</v>
      </c>
      <c r="M42" s="14">
        <f t="shared" si="32"/>
        <v>2880.7317073170721</v>
      </c>
      <c r="N42" s="14">
        <f t="shared" si="3"/>
        <v>288.07317073170719</v>
      </c>
      <c r="O42" s="15">
        <f t="shared" si="4"/>
        <v>0</v>
      </c>
      <c r="P42" s="16">
        <f t="shared" si="5"/>
        <v>-11.926829268292806</v>
      </c>
      <c r="Q42" s="367">
        <f t="shared" si="6"/>
        <v>0.96024390243902402</v>
      </c>
      <c r="R42" s="626"/>
      <c r="S42" s="31">
        <v>0.27361111111111108</v>
      </c>
      <c r="T42" s="31">
        <v>0.33055555555555555</v>
      </c>
      <c r="U42" s="366">
        <f t="shared" ref="U42:U43" si="34">(S42-T41)*24*60</f>
        <v>5.9999999999999787</v>
      </c>
      <c r="V42" s="370">
        <f t="shared" si="33"/>
        <v>82.000000000000028</v>
      </c>
      <c r="W42" s="17"/>
      <c r="X42" s="17"/>
      <c r="Y42" s="20"/>
      <c r="Z42" s="20"/>
      <c r="AA42" s="614"/>
      <c r="AB42" s="615"/>
      <c r="AC42" s="155"/>
      <c r="AD42" s="19"/>
      <c r="AE42" s="15">
        <f t="shared" si="8"/>
        <v>-119.26829268292795</v>
      </c>
      <c r="AF42" s="367">
        <f t="shared" si="9"/>
        <v>0.96024390243902402</v>
      </c>
      <c r="AG42" s="626"/>
    </row>
    <row r="43" spans="1:33" ht="15.75" customHeight="1">
      <c r="A43" s="631" t="s">
        <v>1757</v>
      </c>
      <c r="B43" s="33" t="s">
        <v>36</v>
      </c>
      <c r="C43" s="612" t="s">
        <v>1511</v>
      </c>
      <c r="D43" s="613"/>
      <c r="E43" s="33">
        <v>37.880000000000003</v>
      </c>
      <c r="F43" s="374">
        <v>3193</v>
      </c>
      <c r="G43" s="366">
        <f t="shared" si="31"/>
        <v>120950.84000000001</v>
      </c>
      <c r="H43" s="375" t="s">
        <v>5</v>
      </c>
      <c r="I43" s="369">
        <v>13</v>
      </c>
      <c r="J43" s="30">
        <v>2000</v>
      </c>
      <c r="K43" s="13">
        <f t="shared" si="1"/>
        <v>153.84615384615384</v>
      </c>
      <c r="L43" s="369">
        <v>13</v>
      </c>
      <c r="M43" s="14">
        <f t="shared" si="32"/>
        <v>1915.799999999999</v>
      </c>
      <c r="N43" s="14">
        <f t="shared" si="3"/>
        <v>147.36923076923068</v>
      </c>
      <c r="O43" s="15">
        <f t="shared" si="4"/>
        <v>0</v>
      </c>
      <c r="P43" s="16">
        <f t="shared" si="5"/>
        <v>-6.4769230769231569</v>
      </c>
      <c r="Q43" s="367">
        <f t="shared" si="6"/>
        <v>0.95789999999999953</v>
      </c>
      <c r="R43" s="626"/>
      <c r="S43" s="31">
        <v>0.3347222222222222</v>
      </c>
      <c r="T43" s="31">
        <v>0.40416666666666667</v>
      </c>
      <c r="U43" s="366">
        <f t="shared" si="34"/>
        <v>5.9999999999999787</v>
      </c>
      <c r="V43" s="370">
        <f t="shared" si="33"/>
        <v>100.00000000000004</v>
      </c>
      <c r="W43" s="17"/>
      <c r="X43" s="17"/>
      <c r="Y43" s="20"/>
      <c r="Z43" s="20"/>
      <c r="AA43" s="614"/>
      <c r="AB43" s="615"/>
      <c r="AC43" s="155"/>
      <c r="AD43" s="19"/>
      <c r="AE43" s="15">
        <f t="shared" si="8"/>
        <v>-84.200000000000955</v>
      </c>
      <c r="AF43" s="367">
        <f t="shared" si="9"/>
        <v>0.95789999999999953</v>
      </c>
      <c r="AG43" s="626"/>
    </row>
    <row r="44" spans="1:33" ht="15.75" customHeight="1">
      <c r="A44" s="632" t="s">
        <v>1756</v>
      </c>
      <c r="B44" s="33" t="s">
        <v>1758</v>
      </c>
      <c r="C44" s="607"/>
      <c r="D44" s="608"/>
      <c r="E44" s="360"/>
      <c r="F44" s="374"/>
      <c r="G44" s="366"/>
      <c r="H44" s="374"/>
      <c r="I44" s="23">
        <v>11</v>
      </c>
      <c r="J44" s="30">
        <v>2666.6666666666665</v>
      </c>
      <c r="K44" s="13">
        <f t="shared" si="1"/>
        <v>242.42424242424241</v>
      </c>
      <c r="L44" s="23">
        <v>11</v>
      </c>
      <c r="M44" s="14">
        <f>AVERAGE(M41:M43)</f>
        <v>2559.9802660753876</v>
      </c>
      <c r="N44" s="13">
        <f t="shared" si="3"/>
        <v>232.72547873412614</v>
      </c>
      <c r="O44" s="15">
        <f t="shared" si="4"/>
        <v>0</v>
      </c>
      <c r="P44" s="16">
        <f t="shared" si="5"/>
        <v>-9.6987636901162659</v>
      </c>
      <c r="Q44" s="367">
        <f t="shared" si="6"/>
        <v>0.95999259977827045</v>
      </c>
      <c r="R44" s="627"/>
      <c r="S44" s="31"/>
      <c r="T44" s="31"/>
      <c r="U44" s="366"/>
      <c r="V44" s="370"/>
      <c r="W44" s="17"/>
      <c r="X44" s="17"/>
      <c r="Y44" s="24">
        <f>SUM(Y41:Y43)</f>
        <v>0</v>
      </c>
      <c r="Z44" s="24">
        <f>SUM(Z41:Z43)</f>
        <v>0</v>
      </c>
      <c r="AA44" s="628"/>
      <c r="AB44" s="629"/>
      <c r="AC44" s="24">
        <v>3</v>
      </c>
      <c r="AD44" s="24">
        <f>SUM(AD41:AD43)</f>
        <v>0</v>
      </c>
      <c r="AE44" s="15">
        <f t="shared" si="8"/>
        <v>-106.68640059127893</v>
      </c>
      <c r="AF44" s="367">
        <f t="shared" si="9"/>
        <v>0.95999259977827045</v>
      </c>
      <c r="AG44" s="627"/>
    </row>
    <row r="45" spans="1:33" ht="15.75" customHeight="1">
      <c r="A45" s="623" t="s">
        <v>1759</v>
      </c>
      <c r="B45" s="33" t="s">
        <v>10</v>
      </c>
      <c r="C45" s="611" t="s">
        <v>42</v>
      </c>
      <c r="D45" s="611"/>
      <c r="E45" s="33">
        <v>46</v>
      </c>
      <c r="F45" s="35">
        <v>916</v>
      </c>
      <c r="G45" s="366">
        <f t="shared" ref="G45:G52" si="35">E45*F45</f>
        <v>42136</v>
      </c>
      <c r="H45" s="375" t="s">
        <v>5</v>
      </c>
      <c r="I45" s="369">
        <v>16</v>
      </c>
      <c r="J45" s="30">
        <v>2000</v>
      </c>
      <c r="K45" s="13">
        <f t="shared" si="1"/>
        <v>125</v>
      </c>
      <c r="L45" s="369">
        <v>16</v>
      </c>
      <c r="M45" s="14">
        <f t="shared" ref="M45" si="36">F45/V45*60</f>
        <v>1962.8571428571413</v>
      </c>
      <c r="N45" s="14">
        <f t="shared" si="3"/>
        <v>122.67857142857133</v>
      </c>
      <c r="O45" s="15">
        <f t="shared" si="4"/>
        <v>0</v>
      </c>
      <c r="P45" s="16">
        <f t="shared" si="5"/>
        <v>-2.3214285714286689</v>
      </c>
      <c r="Q45" s="367">
        <f t="shared" si="6"/>
        <v>0.98142857142857065</v>
      </c>
      <c r="R45" s="619">
        <f>Q53</f>
        <v>0.96849163195092658</v>
      </c>
      <c r="S45" s="31">
        <v>0.20833333333333334</v>
      </c>
      <c r="T45" s="31">
        <v>0.2277777777777778</v>
      </c>
      <c r="U45" s="22"/>
      <c r="V45" s="370">
        <f t="shared" ref="V45:V52" si="37">(T45-S45)*24*60</f>
        <v>28.000000000000021</v>
      </c>
      <c r="W45" s="17"/>
      <c r="X45" s="17"/>
      <c r="Y45" s="22"/>
      <c r="Z45" s="22"/>
      <c r="AA45" s="610"/>
      <c r="AB45" s="610"/>
      <c r="AC45" s="155">
        <v>8</v>
      </c>
      <c r="AD45" s="19"/>
      <c r="AE45" s="15">
        <f t="shared" si="8"/>
        <v>-37.142857142858702</v>
      </c>
      <c r="AF45" s="367">
        <f t="shared" si="9"/>
        <v>0.98142857142857065</v>
      </c>
      <c r="AG45" s="619">
        <f>AF53</f>
        <v>0.96849163195092647</v>
      </c>
    </row>
    <row r="46" spans="1:33" ht="15.75" customHeight="1">
      <c r="A46" s="623" t="s">
        <v>1760</v>
      </c>
      <c r="B46" s="33" t="s">
        <v>10</v>
      </c>
      <c r="C46" s="611" t="s">
        <v>43</v>
      </c>
      <c r="D46" s="611"/>
      <c r="E46" s="33">
        <v>46</v>
      </c>
      <c r="F46" s="35">
        <v>946</v>
      </c>
      <c r="G46" s="366">
        <f t="shared" si="35"/>
        <v>43516</v>
      </c>
      <c r="H46" s="375" t="s">
        <v>5</v>
      </c>
      <c r="I46" s="369">
        <v>17</v>
      </c>
      <c r="J46" s="30">
        <v>2000</v>
      </c>
      <c r="K46" s="13">
        <f t="shared" si="1"/>
        <v>117.64705882352941</v>
      </c>
      <c r="L46" s="369">
        <v>17</v>
      </c>
      <c r="M46" s="14">
        <f>F46/V46*60</f>
        <v>1957.2413793103465</v>
      </c>
      <c r="N46" s="14">
        <f t="shared" si="3"/>
        <v>115.13184584178509</v>
      </c>
      <c r="O46" s="15">
        <f t="shared" si="4"/>
        <v>0</v>
      </c>
      <c r="P46" s="16">
        <f t="shared" si="5"/>
        <v>-2.5152129817443125</v>
      </c>
      <c r="Q46" s="367">
        <f t="shared" si="6"/>
        <v>0.97862068965517335</v>
      </c>
      <c r="R46" s="619"/>
      <c r="S46" s="31">
        <v>0.23125000000000001</v>
      </c>
      <c r="T46" s="31">
        <v>0.25138888888888888</v>
      </c>
      <c r="U46" s="366">
        <f t="shared" ref="U46:U52" si="38">IF(S46=TIME(17,0,0),"",(S46-T45)*24*60)</f>
        <v>4.9999999999999822</v>
      </c>
      <c r="V46" s="370">
        <f t="shared" si="37"/>
        <v>28.999999999999979</v>
      </c>
      <c r="W46" s="17"/>
      <c r="X46" s="17"/>
      <c r="Y46" s="17"/>
      <c r="Z46" s="17"/>
      <c r="AA46" s="610"/>
      <c r="AB46" s="610"/>
      <c r="AC46" s="155"/>
      <c r="AD46" s="19"/>
      <c r="AE46" s="15">
        <f t="shared" si="8"/>
        <v>-42.758620689653526</v>
      </c>
      <c r="AF46" s="367">
        <f t="shared" si="9"/>
        <v>0.97862068965517324</v>
      </c>
      <c r="AG46" s="619"/>
    </row>
    <row r="47" spans="1:33" ht="15.75" customHeight="1">
      <c r="A47" s="623" t="s">
        <v>1761</v>
      </c>
      <c r="B47" s="33" t="s">
        <v>6</v>
      </c>
      <c r="C47" s="612" t="s">
        <v>41</v>
      </c>
      <c r="D47" s="613"/>
      <c r="E47" s="33">
        <v>51.44</v>
      </c>
      <c r="F47" s="35">
        <v>1031</v>
      </c>
      <c r="G47" s="366">
        <f t="shared" si="35"/>
        <v>53034.64</v>
      </c>
      <c r="H47" s="375" t="s">
        <v>5</v>
      </c>
      <c r="I47" s="369">
        <v>25</v>
      </c>
      <c r="J47" s="30">
        <v>2000</v>
      </c>
      <c r="K47" s="13">
        <f t="shared" si="1"/>
        <v>80</v>
      </c>
      <c r="L47" s="369">
        <v>25</v>
      </c>
      <c r="M47" s="14">
        <f t="shared" ref="M47:M52" si="39">F47/V47*60</f>
        <v>1933.125000000002</v>
      </c>
      <c r="N47" s="14">
        <f t="shared" si="3"/>
        <v>77.325000000000088</v>
      </c>
      <c r="O47" s="15">
        <f t="shared" si="4"/>
        <v>0</v>
      </c>
      <c r="P47" s="16">
        <f t="shared" si="5"/>
        <v>-2.6749999999999119</v>
      </c>
      <c r="Q47" s="367">
        <f t="shared" si="6"/>
        <v>0.9665625000000011</v>
      </c>
      <c r="R47" s="619"/>
      <c r="S47" s="31">
        <v>0.25486111111111109</v>
      </c>
      <c r="T47" s="31">
        <v>0.27708333333333329</v>
      </c>
      <c r="U47" s="366">
        <f t="shared" si="38"/>
        <v>4.9999999999999822</v>
      </c>
      <c r="V47" s="370">
        <f t="shared" si="37"/>
        <v>31.999999999999964</v>
      </c>
      <c r="W47" s="17"/>
      <c r="X47" s="17"/>
      <c r="Y47" s="20"/>
      <c r="Z47" s="20"/>
      <c r="AA47" s="610"/>
      <c r="AB47" s="610"/>
      <c r="AC47" s="155"/>
      <c r="AD47" s="19"/>
      <c r="AE47" s="15">
        <f t="shared" si="8"/>
        <v>-66.874999999997954</v>
      </c>
      <c r="AF47" s="367">
        <f t="shared" si="9"/>
        <v>0.96656250000000099</v>
      </c>
      <c r="AG47" s="619"/>
    </row>
    <row r="48" spans="1:33" ht="15.75" customHeight="1">
      <c r="A48" s="623" t="s">
        <v>1762</v>
      </c>
      <c r="B48" s="33" t="s">
        <v>6</v>
      </c>
      <c r="C48" s="362" t="s">
        <v>77</v>
      </c>
      <c r="D48" s="363"/>
      <c r="E48" s="33">
        <v>56.43</v>
      </c>
      <c r="F48" s="35">
        <v>1011</v>
      </c>
      <c r="G48" s="366">
        <f t="shared" si="35"/>
        <v>57050.73</v>
      </c>
      <c r="H48" s="375" t="s">
        <v>5</v>
      </c>
      <c r="I48" s="369">
        <v>23</v>
      </c>
      <c r="J48" s="30">
        <v>2000</v>
      </c>
      <c r="K48" s="13">
        <f t="shared" si="1"/>
        <v>86.956521739130437</v>
      </c>
      <c r="L48" s="369">
        <v>23</v>
      </c>
      <c r="M48" s="14">
        <f t="shared" si="39"/>
        <v>1956.7741935483891</v>
      </c>
      <c r="N48" s="14">
        <f t="shared" si="3"/>
        <v>85.077138849929966</v>
      </c>
      <c r="O48" s="15">
        <f t="shared" si="4"/>
        <v>0</v>
      </c>
      <c r="P48" s="16">
        <f t="shared" si="5"/>
        <v>-1.8793828892004711</v>
      </c>
      <c r="Q48" s="367">
        <f t="shared" si="6"/>
        <v>0.97838709677419455</v>
      </c>
      <c r="R48" s="619"/>
      <c r="S48" s="31">
        <v>0.28194444444444439</v>
      </c>
      <c r="T48" s="31">
        <v>0.30347222222222214</v>
      </c>
      <c r="U48" s="366">
        <f t="shared" si="38"/>
        <v>6.9999999999999751</v>
      </c>
      <c r="V48" s="370">
        <f t="shared" si="37"/>
        <v>30.999999999999972</v>
      </c>
      <c r="W48" s="17"/>
      <c r="X48" s="17"/>
      <c r="Y48" s="20"/>
      <c r="Z48" s="20"/>
      <c r="AA48" s="610"/>
      <c r="AB48" s="610"/>
      <c r="AC48" s="155"/>
      <c r="AD48" s="19"/>
      <c r="AE48" s="15">
        <f t="shared" si="8"/>
        <v>-43.225806451610879</v>
      </c>
      <c r="AF48" s="367">
        <f t="shared" si="9"/>
        <v>0.97838709677419455</v>
      </c>
      <c r="AG48" s="619"/>
    </row>
    <row r="49" spans="1:33" ht="15.75" customHeight="1">
      <c r="A49" s="623" t="s">
        <v>1763</v>
      </c>
      <c r="B49" s="33" t="s">
        <v>6</v>
      </c>
      <c r="C49" s="362" t="s">
        <v>1513</v>
      </c>
      <c r="D49" s="363"/>
      <c r="E49" s="33">
        <v>56.43</v>
      </c>
      <c r="F49" s="35">
        <v>1276</v>
      </c>
      <c r="G49" s="366">
        <f t="shared" si="35"/>
        <v>72004.679999999993</v>
      </c>
      <c r="H49" s="375" t="s">
        <v>5</v>
      </c>
      <c r="I49" s="369">
        <v>21</v>
      </c>
      <c r="J49" s="30">
        <v>2000</v>
      </c>
      <c r="K49" s="13">
        <f t="shared" si="1"/>
        <v>95.238095238095241</v>
      </c>
      <c r="L49" s="369">
        <v>21</v>
      </c>
      <c r="M49" s="14">
        <f t="shared" si="39"/>
        <v>1913.9999999999993</v>
      </c>
      <c r="N49" s="14">
        <f t="shared" si="3"/>
        <v>91.14285714285711</v>
      </c>
      <c r="O49" s="15">
        <f t="shared" si="4"/>
        <v>0</v>
      </c>
      <c r="P49" s="16">
        <f t="shared" si="5"/>
        <v>-4.0952380952381304</v>
      </c>
      <c r="Q49" s="367">
        <f t="shared" si="6"/>
        <v>0.95699999999999963</v>
      </c>
      <c r="R49" s="619"/>
      <c r="S49" s="31">
        <v>0.30902777777777768</v>
      </c>
      <c r="T49" s="31">
        <v>0.33680555555555547</v>
      </c>
      <c r="U49" s="366">
        <f t="shared" si="38"/>
        <v>7.9999999999999716</v>
      </c>
      <c r="V49" s="370">
        <f t="shared" si="37"/>
        <v>40.000000000000014</v>
      </c>
      <c r="W49" s="17"/>
      <c r="X49" s="17"/>
      <c r="Y49" s="20"/>
      <c r="Z49" s="20"/>
      <c r="AA49" s="610"/>
      <c r="AB49" s="610"/>
      <c r="AC49" s="155"/>
      <c r="AD49" s="19"/>
      <c r="AE49" s="15">
        <f t="shared" si="8"/>
        <v>-86.000000000000682</v>
      </c>
      <c r="AF49" s="367">
        <f t="shared" si="9"/>
        <v>0.95699999999999963</v>
      </c>
      <c r="AG49" s="619"/>
    </row>
    <row r="50" spans="1:33" ht="15.75" customHeight="1">
      <c r="A50" s="623" t="s">
        <v>1764</v>
      </c>
      <c r="B50" s="33" t="s">
        <v>6</v>
      </c>
      <c r="C50" s="612" t="s">
        <v>44</v>
      </c>
      <c r="D50" s="613"/>
      <c r="E50" s="33">
        <v>55.56</v>
      </c>
      <c r="F50" s="35">
        <v>1946</v>
      </c>
      <c r="G50" s="366">
        <f t="shared" si="35"/>
        <v>108119.76000000001</v>
      </c>
      <c r="H50" s="375" t="s">
        <v>5</v>
      </c>
      <c r="I50" s="369">
        <v>17</v>
      </c>
      <c r="J50" s="30">
        <v>2000</v>
      </c>
      <c r="K50" s="13">
        <f t="shared" si="1"/>
        <v>117.64705882352941</v>
      </c>
      <c r="L50" s="369">
        <v>17</v>
      </c>
      <c r="M50" s="14">
        <f t="shared" si="39"/>
        <v>1914.0983606557395</v>
      </c>
      <c r="N50" s="14">
        <f t="shared" si="3"/>
        <v>112.5940212150435</v>
      </c>
      <c r="O50" s="15">
        <f t="shared" si="4"/>
        <v>0</v>
      </c>
      <c r="P50" s="16">
        <f t="shared" si="5"/>
        <v>-5.0530376084859085</v>
      </c>
      <c r="Q50" s="367">
        <f t="shared" si="6"/>
        <v>0.95704918032786979</v>
      </c>
      <c r="R50" s="619"/>
      <c r="S50" s="31">
        <v>0.70833333333333337</v>
      </c>
      <c r="T50" s="31">
        <v>0.75069444444444444</v>
      </c>
      <c r="U50" s="366" t="str">
        <f t="shared" si="38"/>
        <v/>
      </c>
      <c r="V50" s="370">
        <f t="shared" si="37"/>
        <v>60.999999999999943</v>
      </c>
      <c r="W50" s="17"/>
      <c r="X50" s="17"/>
      <c r="Y50" s="20"/>
      <c r="Z50" s="20"/>
      <c r="AA50" s="614"/>
      <c r="AB50" s="615"/>
      <c r="AC50" s="155"/>
      <c r="AD50" s="19"/>
      <c r="AE50" s="15">
        <f t="shared" si="8"/>
        <v>-85.901639344260502</v>
      </c>
      <c r="AF50" s="367">
        <f t="shared" si="9"/>
        <v>0.95704918032786979</v>
      </c>
      <c r="AG50" s="619"/>
    </row>
    <row r="51" spans="1:33" ht="15.75" customHeight="1">
      <c r="A51" s="623" t="s">
        <v>1765</v>
      </c>
      <c r="B51" s="33" t="s">
        <v>6</v>
      </c>
      <c r="C51" s="612" t="s">
        <v>72</v>
      </c>
      <c r="D51" s="613"/>
      <c r="E51" s="33">
        <v>58.17</v>
      </c>
      <c r="F51" s="35">
        <v>1330</v>
      </c>
      <c r="G51" s="366">
        <f t="shared" si="35"/>
        <v>77366.100000000006</v>
      </c>
      <c r="H51" s="375" t="s">
        <v>5</v>
      </c>
      <c r="I51" s="369">
        <v>13</v>
      </c>
      <c r="J51" s="30">
        <v>2000</v>
      </c>
      <c r="K51" s="13">
        <f t="shared" si="1"/>
        <v>153.84615384615384</v>
      </c>
      <c r="L51" s="369">
        <v>13</v>
      </c>
      <c r="M51" s="14">
        <f t="shared" si="39"/>
        <v>1946.3414634146336</v>
      </c>
      <c r="N51" s="14">
        <f t="shared" si="3"/>
        <v>149.71857410881796</v>
      </c>
      <c r="O51" s="15">
        <f t="shared" si="4"/>
        <v>0</v>
      </c>
      <c r="P51" s="16">
        <f t="shared" si="5"/>
        <v>-4.1275797373358785</v>
      </c>
      <c r="Q51" s="367">
        <f t="shared" si="6"/>
        <v>0.97317073170731683</v>
      </c>
      <c r="R51" s="619"/>
      <c r="S51" s="31">
        <v>0.75486111111111109</v>
      </c>
      <c r="T51" s="31">
        <v>0.78333333333333333</v>
      </c>
      <c r="U51" s="366">
        <f t="shared" si="38"/>
        <v>5.9999999999999787</v>
      </c>
      <c r="V51" s="370">
        <f t="shared" si="37"/>
        <v>41.000000000000014</v>
      </c>
      <c r="W51" s="17"/>
      <c r="X51" s="17"/>
      <c r="Y51" s="20"/>
      <c r="Z51" s="20"/>
      <c r="AA51" s="614"/>
      <c r="AB51" s="615"/>
      <c r="AC51" s="155"/>
      <c r="AD51" s="19"/>
      <c r="AE51" s="15">
        <f t="shared" si="8"/>
        <v>-53.658536585366392</v>
      </c>
      <c r="AF51" s="367">
        <f t="shared" si="9"/>
        <v>0.97317073170731683</v>
      </c>
      <c r="AG51" s="619"/>
    </row>
    <row r="52" spans="1:33" ht="15.75" customHeight="1">
      <c r="A52" s="623" t="s">
        <v>1759</v>
      </c>
      <c r="B52" s="33" t="s">
        <v>6</v>
      </c>
      <c r="C52" s="612" t="s">
        <v>82</v>
      </c>
      <c r="D52" s="613"/>
      <c r="E52" s="33">
        <v>54.09</v>
      </c>
      <c r="F52" s="35">
        <v>1338</v>
      </c>
      <c r="G52" s="366">
        <f t="shared" si="35"/>
        <v>72372.42</v>
      </c>
      <c r="H52" s="375" t="s">
        <v>5</v>
      </c>
      <c r="I52" s="369">
        <v>14</v>
      </c>
      <c r="J52" s="30">
        <v>2000</v>
      </c>
      <c r="K52" s="13">
        <f t="shared" si="1"/>
        <v>142.85714285714286</v>
      </c>
      <c r="L52" s="369">
        <v>14</v>
      </c>
      <c r="M52" s="14">
        <f t="shared" si="39"/>
        <v>1911.4285714285709</v>
      </c>
      <c r="N52" s="14">
        <f t="shared" si="3"/>
        <v>136.53061224489792</v>
      </c>
      <c r="O52" s="15">
        <f t="shared" si="4"/>
        <v>0</v>
      </c>
      <c r="P52" s="16">
        <f t="shared" si="5"/>
        <v>-6.3265306122449374</v>
      </c>
      <c r="Q52" s="367">
        <f t="shared" si="6"/>
        <v>0.95571428571428541</v>
      </c>
      <c r="R52" s="619"/>
      <c r="S52" s="31">
        <v>0.78888888888888886</v>
      </c>
      <c r="T52" s="31">
        <v>0.81805555555555554</v>
      </c>
      <c r="U52" s="366">
        <f t="shared" si="38"/>
        <v>7.9999999999999716</v>
      </c>
      <c r="V52" s="370">
        <f t="shared" si="37"/>
        <v>42.000000000000014</v>
      </c>
      <c r="W52" s="17"/>
      <c r="X52" s="17"/>
      <c r="Y52" s="20"/>
      <c r="Z52" s="20"/>
      <c r="AA52" s="614"/>
      <c r="AB52" s="615"/>
      <c r="AC52" s="155"/>
      <c r="AD52" s="19"/>
      <c r="AE52" s="15">
        <f t="shared" si="8"/>
        <v>-88.571428571429124</v>
      </c>
      <c r="AF52" s="367">
        <f t="shared" si="9"/>
        <v>0.95571428571428541</v>
      </c>
      <c r="AG52" s="619"/>
    </row>
    <row r="53" spans="1:33">
      <c r="A53" s="624" t="s">
        <v>1764</v>
      </c>
      <c r="B53" s="33" t="s">
        <v>1766</v>
      </c>
      <c r="C53" s="620"/>
      <c r="D53" s="620"/>
      <c r="E53" s="368"/>
      <c r="F53" s="34"/>
      <c r="G53" s="13"/>
      <c r="H53" s="374"/>
      <c r="I53" s="23">
        <v>18.25</v>
      </c>
      <c r="J53" s="30">
        <v>2000</v>
      </c>
      <c r="K53" s="13">
        <f t="shared" si="1"/>
        <v>109.58904109589041</v>
      </c>
      <c r="L53" s="23">
        <v>18.25</v>
      </c>
      <c r="M53" s="14">
        <f>AVERAGE(M45:M52)</f>
        <v>1936.983263901853</v>
      </c>
      <c r="N53" s="13">
        <f t="shared" si="3"/>
        <v>106.13606925489606</v>
      </c>
      <c r="O53" s="15">
        <f t="shared" si="4"/>
        <v>0</v>
      </c>
      <c r="P53" s="16">
        <f t="shared" si="5"/>
        <v>-3.4529718409943513</v>
      </c>
      <c r="Q53" s="367">
        <f t="shared" si="6"/>
        <v>0.96849163195092658</v>
      </c>
      <c r="R53" s="619"/>
      <c r="S53" s="31"/>
      <c r="T53" s="31"/>
      <c r="U53" s="366"/>
      <c r="V53" s="370"/>
      <c r="W53" s="13"/>
      <c r="X53" s="13"/>
      <c r="Y53" s="24">
        <f>SUM(Y45:Y52)</f>
        <v>0</v>
      </c>
      <c r="Z53" s="24">
        <f>SUM(Z45:Z52)</f>
        <v>0</v>
      </c>
      <c r="AA53" s="609"/>
      <c r="AB53" s="609"/>
      <c r="AC53" s="24">
        <v>8</v>
      </c>
      <c r="AD53" s="24">
        <f>SUM(AD45:AD52)</f>
        <v>0</v>
      </c>
      <c r="AE53" s="15">
        <f>M53-J53</f>
        <v>-63.016736098147021</v>
      </c>
      <c r="AF53" s="367">
        <f t="shared" si="9"/>
        <v>0.96849163195092647</v>
      </c>
      <c r="AG53" s="619"/>
    </row>
    <row r="54" spans="1:33" ht="15.75" customHeight="1">
      <c r="A54" s="621" t="s">
        <v>1767</v>
      </c>
      <c r="B54" s="374" t="s">
        <v>36</v>
      </c>
      <c r="C54" s="611" t="s">
        <v>38</v>
      </c>
      <c r="D54" s="611"/>
      <c r="E54" s="33">
        <v>27.17</v>
      </c>
      <c r="F54" s="35">
        <v>4810</v>
      </c>
      <c r="G54" s="366">
        <f t="shared" ref="G54:G58" si="40">E54*F54</f>
        <v>130687.70000000001</v>
      </c>
      <c r="H54" s="375" t="s">
        <v>5</v>
      </c>
      <c r="I54" s="369">
        <v>10</v>
      </c>
      <c r="J54" s="30">
        <v>3000</v>
      </c>
      <c r="K54" s="13">
        <f t="shared" si="1"/>
        <v>300</v>
      </c>
      <c r="L54" s="369">
        <v>10</v>
      </c>
      <c r="M54" s="14">
        <f t="shared" ref="M54:M58" si="41">F54/V54*60</f>
        <v>2857.4257425742571</v>
      </c>
      <c r="N54" s="13">
        <f t="shared" si="3"/>
        <v>285.7425742574257</v>
      </c>
      <c r="O54" s="15">
        <f t="shared" si="4"/>
        <v>0</v>
      </c>
      <c r="P54" s="16">
        <f t="shared" si="5"/>
        <v>-14.257425742574299</v>
      </c>
      <c r="Q54" s="367">
        <f t="shared" si="6"/>
        <v>0.95247524752475232</v>
      </c>
      <c r="R54" s="619">
        <f>Q59</f>
        <v>0.96546067575545058</v>
      </c>
      <c r="S54" s="31">
        <v>0.20833333333333334</v>
      </c>
      <c r="T54" s="31">
        <v>0.27847222222222223</v>
      </c>
      <c r="U54" s="366"/>
      <c r="V54" s="370">
        <f t="shared" ref="V54:V58" si="42">(T54-S54)*24*60</f>
        <v>101</v>
      </c>
      <c r="W54" s="17"/>
      <c r="X54" s="17"/>
      <c r="Y54" s="22"/>
      <c r="Z54" s="22"/>
      <c r="AA54" s="610"/>
      <c r="AB54" s="610"/>
      <c r="AC54" s="155">
        <v>5</v>
      </c>
      <c r="AD54" s="19"/>
      <c r="AE54" s="15">
        <f t="shared" ref="AE54:AE68" si="43">M54-J54</f>
        <v>-142.57425742574287</v>
      </c>
      <c r="AF54" s="367">
        <f t="shared" si="9"/>
        <v>0.95247524752475232</v>
      </c>
      <c r="AG54" s="619">
        <f>AF59</f>
        <v>0.96546067575545047</v>
      </c>
    </row>
    <row r="55" spans="1:33" ht="15.75" customHeight="1">
      <c r="A55" s="621" t="s">
        <v>1768</v>
      </c>
      <c r="B55" s="374" t="s">
        <v>36</v>
      </c>
      <c r="C55" s="611" t="s">
        <v>47</v>
      </c>
      <c r="D55" s="611"/>
      <c r="E55" s="33">
        <v>26.78</v>
      </c>
      <c r="F55" s="35">
        <v>1925</v>
      </c>
      <c r="G55" s="366">
        <f t="shared" si="40"/>
        <v>51551.5</v>
      </c>
      <c r="H55" s="375" t="s">
        <v>5</v>
      </c>
      <c r="I55" s="369">
        <v>10</v>
      </c>
      <c r="J55" s="30">
        <v>3000</v>
      </c>
      <c r="K55" s="13">
        <f t="shared" si="1"/>
        <v>300</v>
      </c>
      <c r="L55" s="369">
        <v>10</v>
      </c>
      <c r="M55" s="14">
        <f t="shared" si="41"/>
        <v>2887.4999999999991</v>
      </c>
      <c r="N55" s="13">
        <f t="shared" si="3"/>
        <v>288.74999999999989</v>
      </c>
      <c r="O55" s="15">
        <f t="shared" si="4"/>
        <v>0</v>
      </c>
      <c r="P55" s="16">
        <f t="shared" si="5"/>
        <v>-11.250000000000114</v>
      </c>
      <c r="Q55" s="367">
        <f t="shared" si="6"/>
        <v>0.96249999999999958</v>
      </c>
      <c r="R55" s="619"/>
      <c r="S55" s="31">
        <v>0.28402777777777777</v>
      </c>
      <c r="T55" s="31">
        <v>0.31180555555555556</v>
      </c>
      <c r="U55" s="366">
        <f t="shared" ref="U55:U58" si="44">(S55-T54)*24*60</f>
        <v>7.9999999999999716</v>
      </c>
      <c r="V55" s="370">
        <f t="shared" si="42"/>
        <v>40.000000000000014</v>
      </c>
      <c r="W55" s="366"/>
      <c r="X55" s="366"/>
      <c r="Y55" s="366"/>
      <c r="Z55" s="366"/>
      <c r="AA55" s="610"/>
      <c r="AB55" s="610"/>
      <c r="AC55" s="155"/>
      <c r="AD55" s="19"/>
      <c r="AE55" s="15">
        <f t="shared" si="43"/>
        <v>-112.50000000000091</v>
      </c>
      <c r="AF55" s="367">
        <f t="shared" si="9"/>
        <v>0.96249999999999969</v>
      </c>
      <c r="AG55" s="619"/>
    </row>
    <row r="56" spans="1:33" ht="15.75" customHeight="1">
      <c r="A56" s="621" t="s">
        <v>1768</v>
      </c>
      <c r="B56" s="374" t="s">
        <v>36</v>
      </c>
      <c r="C56" s="611" t="s">
        <v>49</v>
      </c>
      <c r="D56" s="611"/>
      <c r="E56" s="33">
        <v>35.869999999999997</v>
      </c>
      <c r="F56" s="35">
        <v>2348</v>
      </c>
      <c r="G56" s="366">
        <f t="shared" si="40"/>
        <v>84222.76</v>
      </c>
      <c r="H56" s="375" t="s">
        <v>5</v>
      </c>
      <c r="I56" s="369">
        <v>10</v>
      </c>
      <c r="J56" s="30">
        <v>3000</v>
      </c>
      <c r="K56" s="13">
        <f t="shared" si="1"/>
        <v>300</v>
      </c>
      <c r="L56" s="369">
        <v>10</v>
      </c>
      <c r="M56" s="14">
        <f t="shared" si="41"/>
        <v>2875.1020408163272</v>
      </c>
      <c r="N56" s="13">
        <f t="shared" si="3"/>
        <v>287.51020408163271</v>
      </c>
      <c r="O56" s="15">
        <f t="shared" si="4"/>
        <v>0</v>
      </c>
      <c r="P56" s="16">
        <f t="shared" si="5"/>
        <v>-12.489795918367292</v>
      </c>
      <c r="Q56" s="367">
        <f t="shared" si="6"/>
        <v>0.95836734693877568</v>
      </c>
      <c r="R56" s="619"/>
      <c r="S56" s="31">
        <v>0.31666666666666665</v>
      </c>
      <c r="T56" s="31">
        <v>0.35069444444444442</v>
      </c>
      <c r="U56" s="366">
        <f t="shared" si="44"/>
        <v>6.9999999999999751</v>
      </c>
      <c r="V56" s="370">
        <f t="shared" si="42"/>
        <v>48.999999999999986</v>
      </c>
      <c r="W56" s="366"/>
      <c r="X56" s="366"/>
      <c r="Y56" s="366"/>
      <c r="Z56" s="366"/>
      <c r="AA56" s="610"/>
      <c r="AB56" s="610"/>
      <c r="AC56" s="155"/>
      <c r="AD56" s="19"/>
      <c r="AE56" s="15">
        <f t="shared" si="43"/>
        <v>-124.89795918367281</v>
      </c>
      <c r="AF56" s="367">
        <f t="shared" si="9"/>
        <v>0.95836734693877568</v>
      </c>
      <c r="AG56" s="619"/>
    </row>
    <row r="57" spans="1:33" ht="15.75" customHeight="1">
      <c r="A57" s="621" t="s">
        <v>1768</v>
      </c>
      <c r="B57" s="374" t="s">
        <v>36</v>
      </c>
      <c r="C57" s="611" t="s">
        <v>39</v>
      </c>
      <c r="D57" s="611"/>
      <c r="E57" s="33">
        <v>35.869999999999997</v>
      </c>
      <c r="F57" s="35">
        <v>749</v>
      </c>
      <c r="G57" s="366">
        <f t="shared" si="40"/>
        <v>26866.629999999997</v>
      </c>
      <c r="H57" s="375" t="s">
        <v>5</v>
      </c>
      <c r="I57" s="369">
        <v>9</v>
      </c>
      <c r="J57" s="30">
        <v>3000</v>
      </c>
      <c r="K57" s="13">
        <f t="shared" si="1"/>
        <v>333.33333333333331</v>
      </c>
      <c r="L57" s="369">
        <v>9</v>
      </c>
      <c r="M57" s="14">
        <f t="shared" si="41"/>
        <v>2995.9999999999945</v>
      </c>
      <c r="N57" s="13">
        <f t="shared" si="3"/>
        <v>332.88888888888829</v>
      </c>
      <c r="O57" s="15">
        <f t="shared" si="4"/>
        <v>0</v>
      </c>
      <c r="P57" s="16">
        <f t="shared" si="5"/>
        <v>-0.44444444444502551</v>
      </c>
      <c r="Q57" s="367">
        <f t="shared" si="6"/>
        <v>0.99866666666666493</v>
      </c>
      <c r="R57" s="619"/>
      <c r="S57" s="31">
        <v>0.35555555555555551</v>
      </c>
      <c r="T57" s="31">
        <v>0.3659722222222222</v>
      </c>
      <c r="U57" s="366">
        <f t="shared" si="44"/>
        <v>6.9999999999999751</v>
      </c>
      <c r="V57" s="370">
        <f t="shared" si="42"/>
        <v>15.000000000000027</v>
      </c>
      <c r="W57" s="366"/>
      <c r="X57" s="366"/>
      <c r="Y57" s="366"/>
      <c r="Z57" s="366"/>
      <c r="AA57" s="610"/>
      <c r="AB57" s="610"/>
      <c r="AC57" s="155"/>
      <c r="AD57" s="19"/>
      <c r="AE57" s="15">
        <f t="shared" si="43"/>
        <v>-4.000000000005457</v>
      </c>
      <c r="AF57" s="367">
        <f t="shared" si="9"/>
        <v>0.99866666666666482</v>
      </c>
      <c r="AG57" s="619"/>
    </row>
    <row r="58" spans="1:33">
      <c r="A58" s="622" t="s">
        <v>1769</v>
      </c>
      <c r="B58" s="374" t="s">
        <v>36</v>
      </c>
      <c r="C58" s="611" t="s">
        <v>74</v>
      </c>
      <c r="D58" s="611"/>
      <c r="E58" s="33">
        <v>33.770000000000003</v>
      </c>
      <c r="F58" s="35">
        <v>2436</v>
      </c>
      <c r="G58" s="366">
        <f t="shared" si="40"/>
        <v>82263.72</v>
      </c>
      <c r="H58" s="375" t="s">
        <v>5</v>
      </c>
      <c r="I58" s="369">
        <v>12</v>
      </c>
      <c r="J58" s="30">
        <v>3000</v>
      </c>
      <c r="K58" s="13">
        <f t="shared" si="1"/>
        <v>250</v>
      </c>
      <c r="L58" s="369">
        <v>12</v>
      </c>
      <c r="M58" s="14">
        <f t="shared" si="41"/>
        <v>2865.8823529411779</v>
      </c>
      <c r="N58" s="13">
        <f t="shared" si="3"/>
        <v>238.82352941176484</v>
      </c>
      <c r="O58" s="15">
        <f t="shared" si="4"/>
        <v>0</v>
      </c>
      <c r="P58" s="16">
        <f t="shared" si="5"/>
        <v>-11.176470588235162</v>
      </c>
      <c r="Q58" s="367">
        <f t="shared" si="6"/>
        <v>0.9552941176470594</v>
      </c>
      <c r="R58" s="619"/>
      <c r="S58" s="31">
        <v>0.36944444444444441</v>
      </c>
      <c r="T58" s="31">
        <v>0.40486111111111106</v>
      </c>
      <c r="U58" s="366">
        <f t="shared" si="44"/>
        <v>4.9999999999999822</v>
      </c>
      <c r="V58" s="370">
        <f t="shared" si="42"/>
        <v>50.999999999999979</v>
      </c>
      <c r="W58" s="17"/>
      <c r="X58" s="17"/>
      <c r="Y58" s="17"/>
      <c r="Z58" s="17"/>
      <c r="AA58" s="610"/>
      <c r="AB58" s="610"/>
      <c r="AC58" s="155"/>
      <c r="AD58" s="19"/>
      <c r="AE58" s="15">
        <f t="shared" si="43"/>
        <v>-134.11764705882206</v>
      </c>
      <c r="AF58" s="367">
        <f t="shared" si="9"/>
        <v>0.95529411764705929</v>
      </c>
      <c r="AG58" s="619"/>
    </row>
    <row r="59" spans="1:33">
      <c r="A59" s="622" t="s">
        <v>1768</v>
      </c>
      <c r="B59" s="33" t="s">
        <v>1770</v>
      </c>
      <c r="C59" s="620"/>
      <c r="D59" s="620"/>
      <c r="E59" s="368"/>
      <c r="F59" s="34"/>
      <c r="G59" s="13"/>
      <c r="H59" s="374"/>
      <c r="I59" s="23">
        <v>10.199999999999999</v>
      </c>
      <c r="J59" s="30">
        <v>3000</v>
      </c>
      <c r="K59" s="13">
        <f t="shared" si="1"/>
        <v>294.11764705882354</v>
      </c>
      <c r="L59" s="23">
        <v>10.199999999999999</v>
      </c>
      <c r="M59" s="14">
        <f>AVERAGE(M54:M58)</f>
        <v>2896.3820272663515</v>
      </c>
      <c r="N59" s="13">
        <f t="shared" si="3"/>
        <v>283.95902228101488</v>
      </c>
      <c r="O59" s="15">
        <f t="shared" si="4"/>
        <v>0</v>
      </c>
      <c r="P59" s="16">
        <f t="shared" si="5"/>
        <v>-10.158624777808654</v>
      </c>
      <c r="Q59" s="367">
        <f t="shared" si="6"/>
        <v>0.96546067575545058</v>
      </c>
      <c r="R59" s="619"/>
      <c r="S59" s="31"/>
      <c r="T59" s="31"/>
      <c r="U59" s="13"/>
      <c r="V59" s="370"/>
      <c r="W59" s="13"/>
      <c r="X59" s="13"/>
      <c r="Y59" s="24">
        <f>SUM(Y54:Y58)</f>
        <v>0</v>
      </c>
      <c r="Z59" s="24">
        <f>SUM(Z54:Z58)</f>
        <v>0</v>
      </c>
      <c r="AA59" s="609"/>
      <c r="AB59" s="609"/>
      <c r="AC59" s="24">
        <v>5</v>
      </c>
      <c r="AD59" s="24">
        <f>SUM(AD54:AD58)</f>
        <v>0</v>
      </c>
      <c r="AE59" s="15">
        <f t="shared" si="43"/>
        <v>-103.61797273364846</v>
      </c>
      <c r="AF59" s="367">
        <f t="shared" si="9"/>
        <v>0.96546067575545047</v>
      </c>
      <c r="AG59" s="619"/>
    </row>
    <row r="60" spans="1:33" ht="15.75" customHeight="1">
      <c r="A60" s="616" t="s">
        <v>1771</v>
      </c>
      <c r="B60" s="374" t="s">
        <v>27</v>
      </c>
      <c r="C60" s="611" t="s">
        <v>50</v>
      </c>
      <c r="D60" s="611"/>
      <c r="E60" s="33">
        <v>19.02</v>
      </c>
      <c r="F60" s="374">
        <v>4500</v>
      </c>
      <c r="G60" s="366">
        <f t="shared" ref="G60:G67" si="45">E60*F60</f>
        <v>85590</v>
      </c>
      <c r="H60" s="375">
        <v>2</v>
      </c>
      <c r="I60" s="369">
        <v>14</v>
      </c>
      <c r="J60" s="30">
        <v>2400</v>
      </c>
      <c r="K60" s="13">
        <f t="shared" si="1"/>
        <v>171.42857142857142</v>
      </c>
      <c r="L60" s="369">
        <v>14</v>
      </c>
      <c r="M60" s="14">
        <f t="shared" ref="M60:M67" si="46">F60/V60*60</f>
        <v>2288.1355932203392</v>
      </c>
      <c r="N60" s="13">
        <f t="shared" si="3"/>
        <v>163.43825665859566</v>
      </c>
      <c r="O60" s="15">
        <f t="shared" si="4"/>
        <v>0</v>
      </c>
      <c r="P60" s="16">
        <f t="shared" si="5"/>
        <v>-7.990314769975754</v>
      </c>
      <c r="Q60" s="367">
        <f t="shared" si="6"/>
        <v>0.95338983050847481</v>
      </c>
      <c r="R60" s="619">
        <f>Q68</f>
        <v>0.95856358119509866</v>
      </c>
      <c r="S60" s="31">
        <v>8.3333333333333329E-2</v>
      </c>
      <c r="T60" s="31">
        <v>0.16527777777777777</v>
      </c>
      <c r="U60" s="22"/>
      <c r="V60" s="370">
        <f t="shared" ref="V60:V67" si="47">(T60-S60)*24*60</f>
        <v>118</v>
      </c>
      <c r="W60" s="17">
        <f>T60</f>
        <v>0.16527777777777777</v>
      </c>
      <c r="X60" s="17">
        <f>S61</f>
        <v>0.18402777777777776</v>
      </c>
      <c r="Y60" s="17"/>
      <c r="Z60" s="17"/>
      <c r="AA60" s="610"/>
      <c r="AB60" s="610"/>
      <c r="AC60" s="155">
        <v>8</v>
      </c>
      <c r="AD60" s="19"/>
      <c r="AE60" s="15">
        <f t="shared" si="43"/>
        <v>-111.86440677966084</v>
      </c>
      <c r="AF60" s="367">
        <f t="shared" si="9"/>
        <v>0.9533898305084747</v>
      </c>
      <c r="AG60" s="619">
        <f>AF68</f>
        <v>0.95856358119509877</v>
      </c>
    </row>
    <row r="61" spans="1:33" ht="15.75" customHeight="1">
      <c r="A61" s="617" t="s">
        <v>1772</v>
      </c>
      <c r="B61" s="374" t="s">
        <v>27</v>
      </c>
      <c r="C61" s="611" t="s">
        <v>51</v>
      </c>
      <c r="D61" s="611"/>
      <c r="E61" s="33">
        <v>20.36</v>
      </c>
      <c r="F61" s="374">
        <v>3214</v>
      </c>
      <c r="G61" s="366">
        <f t="shared" si="45"/>
        <v>65437.04</v>
      </c>
      <c r="H61" s="375" t="s">
        <v>5</v>
      </c>
      <c r="I61" s="369">
        <v>17</v>
      </c>
      <c r="J61" s="30">
        <v>2400</v>
      </c>
      <c r="K61" s="13">
        <f t="shared" si="1"/>
        <v>141.1764705882353</v>
      </c>
      <c r="L61" s="369">
        <v>17</v>
      </c>
      <c r="M61" s="14">
        <f t="shared" si="46"/>
        <v>2295.7142857142858</v>
      </c>
      <c r="N61" s="13">
        <f t="shared" si="3"/>
        <v>135.0420168067227</v>
      </c>
      <c r="O61" s="15">
        <f t="shared" si="4"/>
        <v>0</v>
      </c>
      <c r="P61" s="16">
        <f t="shared" si="5"/>
        <v>-6.1344537815126046</v>
      </c>
      <c r="Q61" s="367">
        <f t="shared" si="6"/>
        <v>0.95654761904761909</v>
      </c>
      <c r="R61" s="619"/>
      <c r="S61" s="31">
        <v>0.18402777777777776</v>
      </c>
      <c r="T61" s="31">
        <v>0.24236111111111108</v>
      </c>
      <c r="U61" s="366">
        <f t="shared" ref="U61:U67" si="48">(S61-T60)*24*60</f>
        <v>26.999999999999986</v>
      </c>
      <c r="V61" s="370">
        <f t="shared" si="47"/>
        <v>83.999999999999986</v>
      </c>
      <c r="W61" s="17"/>
      <c r="X61" s="17"/>
      <c r="Y61" s="17"/>
      <c r="Z61" s="17"/>
      <c r="AA61" s="610"/>
      <c r="AB61" s="610"/>
      <c r="AC61" s="155"/>
      <c r="AD61" s="19"/>
      <c r="AE61" s="15">
        <f t="shared" si="43"/>
        <v>-104.28571428571422</v>
      </c>
      <c r="AF61" s="367">
        <f t="shared" si="9"/>
        <v>0.95654761904761909</v>
      </c>
      <c r="AG61" s="619"/>
    </row>
    <row r="62" spans="1:33" ht="15.75" customHeight="1">
      <c r="A62" s="617" t="s">
        <v>1773</v>
      </c>
      <c r="B62" s="374" t="s">
        <v>27</v>
      </c>
      <c r="C62" s="611" t="s">
        <v>876</v>
      </c>
      <c r="D62" s="611"/>
      <c r="E62" s="33">
        <v>23.8</v>
      </c>
      <c r="F62" s="374">
        <v>4111</v>
      </c>
      <c r="G62" s="366">
        <f t="shared" si="45"/>
        <v>97841.8</v>
      </c>
      <c r="H62" s="375" t="s">
        <v>5</v>
      </c>
      <c r="I62" s="369">
        <v>16</v>
      </c>
      <c r="J62" s="30">
        <v>2400</v>
      </c>
      <c r="K62" s="13">
        <f t="shared" si="1"/>
        <v>150</v>
      </c>
      <c r="L62" s="369">
        <v>16</v>
      </c>
      <c r="M62" s="14">
        <f t="shared" si="46"/>
        <v>2283.8888888888887</v>
      </c>
      <c r="N62" s="13">
        <f t="shared" si="3"/>
        <v>142.74305555555554</v>
      </c>
      <c r="O62" s="15">
        <f t="shared" si="4"/>
        <v>0</v>
      </c>
      <c r="P62" s="16">
        <f t="shared" si="5"/>
        <v>-7.2569444444444571</v>
      </c>
      <c r="Q62" s="367">
        <f t="shared" si="6"/>
        <v>0.95162037037037028</v>
      </c>
      <c r="R62" s="619"/>
      <c r="S62" s="31">
        <v>0.24583333333333329</v>
      </c>
      <c r="T62" s="31">
        <v>0.3208333333333333</v>
      </c>
      <c r="U62" s="366">
        <f t="shared" si="48"/>
        <v>4.9999999999999822</v>
      </c>
      <c r="V62" s="370">
        <f t="shared" si="47"/>
        <v>108.00000000000001</v>
      </c>
      <c r="W62" s="17"/>
      <c r="X62" s="17"/>
      <c r="Y62" s="17"/>
      <c r="Z62" s="17"/>
      <c r="AA62" s="610"/>
      <c r="AB62" s="610"/>
      <c r="AC62" s="155"/>
      <c r="AD62" s="19"/>
      <c r="AE62" s="15">
        <f t="shared" si="43"/>
        <v>-116.11111111111131</v>
      </c>
      <c r="AF62" s="367">
        <f t="shared" si="9"/>
        <v>0.95162037037037028</v>
      </c>
      <c r="AG62" s="619"/>
    </row>
    <row r="63" spans="1:33" ht="15.75" customHeight="1">
      <c r="A63" s="617" t="s">
        <v>1774</v>
      </c>
      <c r="B63" s="374" t="s">
        <v>27</v>
      </c>
      <c r="C63" s="611" t="s">
        <v>31</v>
      </c>
      <c r="D63" s="611"/>
      <c r="E63" s="33">
        <v>25.99</v>
      </c>
      <c r="F63" s="374">
        <v>943</v>
      </c>
      <c r="G63" s="366">
        <f t="shared" si="45"/>
        <v>24508.57</v>
      </c>
      <c r="H63" s="375" t="s">
        <v>5</v>
      </c>
      <c r="I63" s="369">
        <v>18</v>
      </c>
      <c r="J63" s="30">
        <v>2400</v>
      </c>
      <c r="K63" s="13">
        <f t="shared" si="1"/>
        <v>133.33333333333334</v>
      </c>
      <c r="L63" s="369">
        <v>18</v>
      </c>
      <c r="M63" s="14">
        <f t="shared" si="46"/>
        <v>2357.5000000000009</v>
      </c>
      <c r="N63" s="13">
        <f t="shared" si="3"/>
        <v>130.97222222222229</v>
      </c>
      <c r="O63" s="15">
        <f t="shared" si="4"/>
        <v>0</v>
      </c>
      <c r="P63" s="16">
        <f t="shared" si="5"/>
        <v>-2.3611111111110574</v>
      </c>
      <c r="Q63" s="367">
        <f t="shared" si="6"/>
        <v>0.98229166666666712</v>
      </c>
      <c r="R63" s="619"/>
      <c r="S63" s="31">
        <v>0.32430555555555551</v>
      </c>
      <c r="T63" s="31">
        <v>0.34097222222222218</v>
      </c>
      <c r="U63" s="366">
        <f t="shared" si="48"/>
        <v>4.9999999999999822</v>
      </c>
      <c r="V63" s="370">
        <f t="shared" si="47"/>
        <v>23.999999999999993</v>
      </c>
      <c r="W63" s="17"/>
      <c r="X63" s="17"/>
      <c r="Y63" s="17"/>
      <c r="Z63" s="17"/>
      <c r="AA63" s="610"/>
      <c r="AB63" s="610"/>
      <c r="AC63" s="155"/>
      <c r="AD63" s="19"/>
      <c r="AE63" s="15">
        <f t="shared" si="43"/>
        <v>-42.499999999999091</v>
      </c>
      <c r="AF63" s="367">
        <f t="shared" si="9"/>
        <v>0.98229166666666701</v>
      </c>
      <c r="AG63" s="619"/>
    </row>
    <row r="64" spans="1:33" ht="15.75" customHeight="1">
      <c r="A64" s="617" t="s">
        <v>1775</v>
      </c>
      <c r="B64" s="374" t="s">
        <v>27</v>
      </c>
      <c r="C64" s="611" t="s">
        <v>53</v>
      </c>
      <c r="D64" s="611"/>
      <c r="E64" s="33">
        <v>28.29</v>
      </c>
      <c r="F64" s="374">
        <v>2101</v>
      </c>
      <c r="G64" s="366">
        <f t="shared" si="45"/>
        <v>59437.29</v>
      </c>
      <c r="H64" s="375" t="s">
        <v>5</v>
      </c>
      <c r="I64" s="369">
        <v>19</v>
      </c>
      <c r="J64" s="30">
        <v>2400</v>
      </c>
      <c r="K64" s="13">
        <f t="shared" si="1"/>
        <v>126.31578947368421</v>
      </c>
      <c r="L64" s="369">
        <v>19</v>
      </c>
      <c r="M64" s="14">
        <f t="shared" si="46"/>
        <v>2292.0000000000014</v>
      </c>
      <c r="N64" s="13">
        <f t="shared" si="3"/>
        <v>120.6315789473685</v>
      </c>
      <c r="O64" s="15">
        <f t="shared" si="4"/>
        <v>0</v>
      </c>
      <c r="P64" s="16">
        <f t="shared" si="5"/>
        <v>-5.6842105263157094</v>
      </c>
      <c r="Q64" s="367">
        <f t="shared" si="6"/>
        <v>0.95500000000000063</v>
      </c>
      <c r="R64" s="619"/>
      <c r="S64" s="31">
        <v>0.34444444444444439</v>
      </c>
      <c r="T64" s="31">
        <v>0.38263888888888881</v>
      </c>
      <c r="U64" s="366">
        <f t="shared" si="48"/>
        <v>4.9999999999999822</v>
      </c>
      <c r="V64" s="370">
        <f t="shared" si="47"/>
        <v>54.999999999999964</v>
      </c>
      <c r="W64" s="17"/>
      <c r="X64" s="17"/>
      <c r="Y64" s="17"/>
      <c r="Z64" s="17"/>
      <c r="AA64" s="610"/>
      <c r="AB64" s="610"/>
      <c r="AC64" s="155"/>
      <c r="AD64" s="19"/>
      <c r="AE64" s="15">
        <f t="shared" si="43"/>
        <v>-107.99999999999864</v>
      </c>
      <c r="AF64" s="367">
        <f t="shared" si="9"/>
        <v>0.95500000000000052</v>
      </c>
      <c r="AG64" s="619"/>
    </row>
    <row r="65" spans="1:33" ht="15.75" customHeight="1">
      <c r="A65" s="617" t="s">
        <v>1772</v>
      </c>
      <c r="B65" s="374" t="s">
        <v>27</v>
      </c>
      <c r="C65" s="611" t="s">
        <v>52</v>
      </c>
      <c r="D65" s="611"/>
      <c r="E65" s="33">
        <v>25.98</v>
      </c>
      <c r="F65" s="374">
        <v>1449</v>
      </c>
      <c r="G65" s="366">
        <f t="shared" si="45"/>
        <v>37645.020000000004</v>
      </c>
      <c r="H65" s="375" t="s">
        <v>5</v>
      </c>
      <c r="I65" s="369">
        <v>17</v>
      </c>
      <c r="J65" s="30">
        <v>2400</v>
      </c>
      <c r="K65" s="13">
        <f t="shared" si="1"/>
        <v>141.1764705882353</v>
      </c>
      <c r="L65" s="369">
        <v>17</v>
      </c>
      <c r="M65" s="14">
        <f t="shared" si="46"/>
        <v>2287.8947368421032</v>
      </c>
      <c r="N65" s="13">
        <f t="shared" si="3"/>
        <v>134.58204334365314</v>
      </c>
      <c r="O65" s="15">
        <f t="shared" si="4"/>
        <v>0</v>
      </c>
      <c r="P65" s="16">
        <f t="shared" si="5"/>
        <v>-6.5944272445821639</v>
      </c>
      <c r="Q65" s="367">
        <f t="shared" si="6"/>
        <v>0.95328947368420969</v>
      </c>
      <c r="R65" s="619"/>
      <c r="S65" s="31">
        <v>0.38819444444444434</v>
      </c>
      <c r="T65" s="31">
        <v>0.41458333333333325</v>
      </c>
      <c r="U65" s="366">
        <f t="shared" si="48"/>
        <v>7.9999999999999716</v>
      </c>
      <c r="V65" s="370">
        <f t="shared" si="47"/>
        <v>38.000000000000028</v>
      </c>
      <c r="W65" s="17"/>
      <c r="X65" s="17"/>
      <c r="Y65" s="17"/>
      <c r="Z65" s="17"/>
      <c r="AA65" s="610"/>
      <c r="AB65" s="610"/>
      <c r="AC65" s="155"/>
      <c r="AD65" s="19"/>
      <c r="AE65" s="15">
        <f t="shared" si="43"/>
        <v>-112.10526315789684</v>
      </c>
      <c r="AF65" s="367">
        <f t="shared" si="9"/>
        <v>0.95328947368420969</v>
      </c>
      <c r="AG65" s="619"/>
    </row>
    <row r="66" spans="1:33" ht="15.75" customHeight="1">
      <c r="A66" s="617" t="s">
        <v>1776</v>
      </c>
      <c r="B66" s="374" t="s">
        <v>27</v>
      </c>
      <c r="C66" s="612" t="s">
        <v>197</v>
      </c>
      <c r="D66" s="613"/>
      <c r="E66" s="33">
        <v>23.89</v>
      </c>
      <c r="F66" s="374">
        <v>3190</v>
      </c>
      <c r="G66" s="366">
        <f t="shared" si="45"/>
        <v>76209.100000000006</v>
      </c>
      <c r="H66" s="375" t="s">
        <v>5</v>
      </c>
      <c r="I66" s="369">
        <v>17</v>
      </c>
      <c r="J66" s="30">
        <v>2400</v>
      </c>
      <c r="K66" s="13">
        <f t="shared" si="1"/>
        <v>141.1764705882353</v>
      </c>
      <c r="L66" s="369">
        <v>17</v>
      </c>
      <c r="M66" s="14">
        <f t="shared" si="46"/>
        <v>2306.0240963855413</v>
      </c>
      <c r="N66" s="13">
        <f t="shared" si="3"/>
        <v>135.64847625797302</v>
      </c>
      <c r="O66" s="15">
        <f t="shared" si="4"/>
        <v>0</v>
      </c>
      <c r="P66" s="16">
        <f t="shared" si="5"/>
        <v>-5.5279943302622883</v>
      </c>
      <c r="Q66" s="367">
        <f t="shared" si="6"/>
        <v>0.96084337349397542</v>
      </c>
      <c r="R66" s="619"/>
      <c r="S66" s="31">
        <v>0.42013888888888878</v>
      </c>
      <c r="T66" s="31">
        <v>0.47777777777777769</v>
      </c>
      <c r="U66" s="366">
        <f t="shared" si="48"/>
        <v>7.9999999999999716</v>
      </c>
      <c r="V66" s="370">
        <f t="shared" si="47"/>
        <v>83.000000000000028</v>
      </c>
      <c r="W66" s="17">
        <f>T66</f>
        <v>0.47777777777777769</v>
      </c>
      <c r="X66" s="17">
        <f>S67</f>
        <v>0.51874999999999982</v>
      </c>
      <c r="Y66" s="20"/>
      <c r="Z66" s="20"/>
      <c r="AA66" s="614"/>
      <c r="AB66" s="615"/>
      <c r="AC66" s="155"/>
      <c r="AD66" s="19"/>
      <c r="AE66" s="15">
        <f t="shared" si="43"/>
        <v>-93.97590361445873</v>
      </c>
      <c r="AF66" s="367">
        <f t="shared" si="9"/>
        <v>0.96084337349397553</v>
      </c>
      <c r="AG66" s="619"/>
    </row>
    <row r="67" spans="1:33" ht="15.75" customHeight="1">
      <c r="A67" s="617" t="s">
        <v>1777</v>
      </c>
      <c r="B67" s="374" t="s">
        <v>27</v>
      </c>
      <c r="C67" s="612" t="s">
        <v>50</v>
      </c>
      <c r="D67" s="613"/>
      <c r="E67" s="33">
        <v>19.02</v>
      </c>
      <c r="F67" s="374">
        <v>3631</v>
      </c>
      <c r="G67" s="366">
        <f t="shared" si="45"/>
        <v>69061.62</v>
      </c>
      <c r="H67" s="375" t="s">
        <v>5</v>
      </c>
      <c r="I67" s="369">
        <v>14</v>
      </c>
      <c r="J67" s="30">
        <v>2400</v>
      </c>
      <c r="K67" s="13">
        <f t="shared" si="1"/>
        <v>171.42857142857142</v>
      </c>
      <c r="L67" s="369">
        <v>14</v>
      </c>
      <c r="M67" s="14">
        <f t="shared" si="46"/>
        <v>2293.2631578947376</v>
      </c>
      <c r="N67" s="13">
        <f t="shared" si="3"/>
        <v>163.80451127819555</v>
      </c>
      <c r="O67" s="15">
        <f t="shared" si="4"/>
        <v>0</v>
      </c>
      <c r="P67" s="16">
        <f t="shared" si="5"/>
        <v>-7.6240601503758683</v>
      </c>
      <c r="Q67" s="367">
        <f t="shared" si="6"/>
        <v>0.95552631578947411</v>
      </c>
      <c r="R67" s="619"/>
      <c r="S67" s="31">
        <v>0.51874999999999982</v>
      </c>
      <c r="T67" s="31">
        <v>0.58472222222222203</v>
      </c>
      <c r="U67" s="366">
        <f t="shared" si="48"/>
        <v>58.999999999999872</v>
      </c>
      <c r="V67" s="370">
        <f t="shared" si="47"/>
        <v>94.999999999999986</v>
      </c>
      <c r="W67" s="17"/>
      <c r="X67" s="17"/>
      <c r="Y67" s="20"/>
      <c r="Z67" s="20"/>
      <c r="AA67" s="614"/>
      <c r="AB67" s="615"/>
      <c r="AC67" s="155"/>
      <c r="AD67" s="19"/>
      <c r="AE67" s="15">
        <f t="shared" si="43"/>
        <v>-106.73684210526244</v>
      </c>
      <c r="AF67" s="367">
        <f t="shared" si="9"/>
        <v>0.955526315789474</v>
      </c>
      <c r="AG67" s="619"/>
    </row>
    <row r="68" spans="1:33" ht="16.5" customHeight="1">
      <c r="A68" s="618" t="s">
        <v>1778</v>
      </c>
      <c r="B68" s="33" t="s">
        <v>1779</v>
      </c>
      <c r="C68" s="607"/>
      <c r="D68" s="608"/>
      <c r="E68" s="368"/>
      <c r="F68" s="34"/>
      <c r="G68" s="13"/>
      <c r="H68" s="374"/>
      <c r="I68" s="23">
        <v>16.5</v>
      </c>
      <c r="J68" s="30">
        <v>2400</v>
      </c>
      <c r="K68" s="13">
        <f t="shared" si="1"/>
        <v>145.45454545454547</v>
      </c>
      <c r="L68" s="23">
        <v>16.5</v>
      </c>
      <c r="M68" s="14">
        <f>AVERAGE(M60:M67)</f>
        <v>2300.5525948682371</v>
      </c>
      <c r="N68" s="13">
        <f t="shared" si="3"/>
        <v>139.42742999201437</v>
      </c>
      <c r="O68" s="15">
        <f t="shared" si="4"/>
        <v>0</v>
      </c>
      <c r="P68" s="16">
        <f t="shared" si="5"/>
        <v>-6.0271154625310999</v>
      </c>
      <c r="Q68" s="367">
        <f t="shared" si="6"/>
        <v>0.95856358119509866</v>
      </c>
      <c r="R68" s="619"/>
      <c r="S68" s="31"/>
      <c r="T68" s="31"/>
      <c r="U68" s="13"/>
      <c r="V68" s="370"/>
      <c r="W68" s="13"/>
      <c r="X68" s="13"/>
      <c r="Y68" s="24">
        <f>SUM(Y60:Y67)</f>
        <v>0</v>
      </c>
      <c r="Z68" s="24">
        <f>SUM(Z60:Z67)</f>
        <v>0</v>
      </c>
      <c r="AA68" s="609"/>
      <c r="AB68" s="609"/>
      <c r="AC68" s="24">
        <v>8</v>
      </c>
      <c r="AD68" s="24">
        <f>SUM(AD60:AD67)</f>
        <v>0</v>
      </c>
      <c r="AE68" s="15">
        <f t="shared" si="43"/>
        <v>-99.447405131762935</v>
      </c>
      <c r="AF68" s="367">
        <f t="shared" si="9"/>
        <v>0.95856358119509877</v>
      </c>
      <c r="AG68" s="619"/>
    </row>
    <row r="69" spans="1:33">
      <c r="D69" s="25"/>
      <c r="E69" s="25"/>
      <c r="H69" s="32"/>
    </row>
  </sheetData>
  <mergeCells count="18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19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19:D19"/>
    <mergeCell ref="AA19:AB19"/>
    <mergeCell ref="A20:A26"/>
    <mergeCell ref="C20:D20"/>
    <mergeCell ref="R20:R26"/>
    <mergeCell ref="AA20:AB20"/>
    <mergeCell ref="AA25:AB25"/>
    <mergeCell ref="A13:A19"/>
    <mergeCell ref="C13:D13"/>
    <mergeCell ref="R13:R19"/>
    <mergeCell ref="AA13:AB13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27:A33"/>
    <mergeCell ref="C27:D27"/>
    <mergeCell ref="R27:R33"/>
    <mergeCell ref="AA27:AB27"/>
    <mergeCell ref="AA32:AB32"/>
    <mergeCell ref="C33:D33"/>
    <mergeCell ref="AA33:AB33"/>
    <mergeCell ref="AG34:AG40"/>
    <mergeCell ref="C35:D35"/>
    <mergeCell ref="AA35:AB35"/>
    <mergeCell ref="C36:D36"/>
    <mergeCell ref="AA36:AB36"/>
    <mergeCell ref="C37:D37"/>
    <mergeCell ref="AG27:AG33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A37:AB37"/>
    <mergeCell ref="C38:D38"/>
    <mergeCell ref="AA38:AB38"/>
    <mergeCell ref="C39:D39"/>
    <mergeCell ref="AA39:AB39"/>
    <mergeCell ref="C40:D40"/>
    <mergeCell ref="AA40:AB40"/>
    <mergeCell ref="A34:A40"/>
    <mergeCell ref="C34:D34"/>
    <mergeCell ref="R34:R40"/>
    <mergeCell ref="AA34:AB34"/>
    <mergeCell ref="AG45:AG53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AA48:AB48"/>
    <mergeCell ref="AA49:AB49"/>
    <mergeCell ref="C50:D50"/>
    <mergeCell ref="AA50:AB50"/>
    <mergeCell ref="C51:D51"/>
    <mergeCell ref="AA51:AB51"/>
    <mergeCell ref="AA44:AB44"/>
    <mergeCell ref="A45:A53"/>
    <mergeCell ref="C45:D45"/>
    <mergeCell ref="R45:R53"/>
    <mergeCell ref="AA45:AB45"/>
    <mergeCell ref="C52:D52"/>
    <mergeCell ref="AA52:AB52"/>
    <mergeCell ref="C53:D53"/>
    <mergeCell ref="AA53:AB53"/>
    <mergeCell ref="A54:A59"/>
    <mergeCell ref="C54:D54"/>
    <mergeCell ref="R54:R59"/>
    <mergeCell ref="AA54:AB54"/>
    <mergeCell ref="AA59:AB59"/>
    <mergeCell ref="AG54:AG59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A60:A68"/>
    <mergeCell ref="C60:D60"/>
    <mergeCell ref="R60:R68"/>
    <mergeCell ref="AA60:AB60"/>
    <mergeCell ref="AG60:AG68"/>
    <mergeCell ref="C61:D61"/>
    <mergeCell ref="AA61:AB61"/>
    <mergeCell ref="C62:D62"/>
    <mergeCell ref="AA62:AB62"/>
    <mergeCell ref="C63:D63"/>
    <mergeCell ref="C67:D67"/>
    <mergeCell ref="AA67:AB67"/>
    <mergeCell ref="C68:D68"/>
    <mergeCell ref="AA68:AB68"/>
    <mergeCell ref="AA63:AB63"/>
    <mergeCell ref="C64:D64"/>
    <mergeCell ref="AA64:AB64"/>
    <mergeCell ref="C65:D65"/>
    <mergeCell ref="AA65:AB65"/>
    <mergeCell ref="C66:D66"/>
    <mergeCell ref="AA66:AB66"/>
  </mergeCells>
  <phoneticPr fontId="3" type="noConversion"/>
  <conditionalFormatting sqref="O57:O65 O53:O54 O68 O5:O9 O12:O14 O19:O50">
    <cfRule type="cellIs" dxfId="1479" priority="61" operator="greaterThan">
      <formula>0</formula>
    </cfRule>
  </conditionalFormatting>
  <conditionalFormatting sqref="P5:P7 P57:P58 AE57:AE58 P60:P65 P27:P32 P54 P9 P12:P14 P45:P50 P20:P25 P34:P43 AE60:AE68 AE5:AE54">
    <cfRule type="cellIs" dxfId="1478" priority="65" operator="lessThan">
      <formula>0</formula>
    </cfRule>
  </conditionalFormatting>
  <conditionalFormatting sqref="AF57:AF58 Q57:Q65 Q53:Q54 Q68 Q5:Q9 Q12:Q14 Q19:Q50 AF60:AF68 AF5:AF54">
    <cfRule type="cellIs" dxfId="1477" priority="62" operator="greaterThan">
      <formula>1</formula>
    </cfRule>
    <cfRule type="cellIs" dxfId="1476" priority="63" operator="lessThan">
      <formula>0.8</formula>
    </cfRule>
  </conditionalFormatting>
  <conditionalFormatting sqref="AG13:AG14 R13:R14 AG57 R57:R65 AG53:AG54 R53:R54 R68 AG5:AG9 R5:R9 AG19:AG50 R19:R50">
    <cfRule type="cellIs" dxfId="1475" priority="67" operator="lessThan">
      <formula>0.8</formula>
    </cfRule>
  </conditionalFormatting>
  <conditionalFormatting sqref="AG41">
    <cfRule type="cellIs" dxfId="1474" priority="69" operator="lessThan">
      <formula>0.8</formula>
    </cfRule>
  </conditionalFormatting>
  <conditionalFormatting sqref="AG20:AG25">
    <cfRule type="cellIs" dxfId="1473" priority="66" operator="lessThan">
      <formula>0.8</formula>
    </cfRule>
  </conditionalFormatting>
  <conditionalFormatting sqref="AG27">
    <cfRule type="cellIs" dxfId="1472" priority="68" operator="lessThan">
      <formula>0.8</formula>
    </cfRule>
  </conditionalFormatting>
  <conditionalFormatting sqref="AG34:AG39">
    <cfRule type="cellIs" dxfId="1471" priority="64" operator="lessThan">
      <formula>0.8</formula>
    </cfRule>
  </conditionalFormatting>
  <conditionalFormatting sqref="AE59">
    <cfRule type="cellIs" dxfId="1470" priority="60" operator="lessThan">
      <formula>0</formula>
    </cfRule>
  </conditionalFormatting>
  <conditionalFormatting sqref="AF59">
    <cfRule type="cellIs" dxfId="1469" priority="58" operator="greaterThan">
      <formula>1</formula>
    </cfRule>
    <cfRule type="cellIs" dxfId="1468" priority="59" operator="lessThan">
      <formula>0.8</formula>
    </cfRule>
  </conditionalFormatting>
  <conditionalFormatting sqref="O15:O16">
    <cfRule type="cellIs" dxfId="1467" priority="53" operator="greaterThan">
      <formula>0</formula>
    </cfRule>
  </conditionalFormatting>
  <conditionalFormatting sqref="P15:P16">
    <cfRule type="cellIs" dxfId="1466" priority="56" operator="lessThan">
      <formula>0</formula>
    </cfRule>
  </conditionalFormatting>
  <conditionalFormatting sqref="Q15:Q16">
    <cfRule type="cellIs" dxfId="1465" priority="54" operator="greaterThan">
      <formula>1</formula>
    </cfRule>
    <cfRule type="cellIs" dxfId="1464" priority="55" operator="lessThan">
      <formula>0.8</formula>
    </cfRule>
  </conditionalFormatting>
  <conditionalFormatting sqref="R15:R16 AG15:AG16">
    <cfRule type="cellIs" dxfId="1463" priority="57" operator="lessThan">
      <formula>0.8</formula>
    </cfRule>
  </conditionalFormatting>
  <conditionalFormatting sqref="O10:O11">
    <cfRule type="cellIs" dxfId="1462" priority="49" operator="greaterThan">
      <formula>0</formula>
    </cfRule>
  </conditionalFormatting>
  <conditionalFormatting sqref="P10:P11">
    <cfRule type="cellIs" dxfId="1461" priority="52" operator="lessThan">
      <formula>0</formula>
    </cfRule>
  </conditionalFormatting>
  <conditionalFormatting sqref="Q10:Q11">
    <cfRule type="cellIs" dxfId="1460" priority="50" operator="greaterThan">
      <formula>1</formula>
    </cfRule>
    <cfRule type="cellIs" dxfId="1459" priority="51" operator="lessThan">
      <formula>0.8</formula>
    </cfRule>
  </conditionalFormatting>
  <conditionalFormatting sqref="O51">
    <cfRule type="cellIs" dxfId="1458" priority="44" operator="greaterThan">
      <formula>0</formula>
    </cfRule>
  </conditionalFormatting>
  <conditionalFormatting sqref="P51">
    <cfRule type="cellIs" dxfId="1457" priority="47" operator="lessThan">
      <formula>0</formula>
    </cfRule>
  </conditionalFormatting>
  <conditionalFormatting sqref="Q51">
    <cfRule type="cellIs" dxfId="1456" priority="45" operator="greaterThan">
      <formula>1</formula>
    </cfRule>
    <cfRule type="cellIs" dxfId="1455" priority="46" operator="lessThan">
      <formula>0.8</formula>
    </cfRule>
  </conditionalFormatting>
  <conditionalFormatting sqref="R51 AG51">
    <cfRule type="cellIs" dxfId="1454" priority="48" operator="lessThan">
      <formula>0.8</formula>
    </cfRule>
  </conditionalFormatting>
  <conditionalFormatting sqref="O56">
    <cfRule type="cellIs" dxfId="1453" priority="39" operator="greaterThan">
      <formula>0</formula>
    </cfRule>
  </conditionalFormatting>
  <conditionalFormatting sqref="P56 AE56">
    <cfRule type="cellIs" dxfId="1452" priority="42" operator="lessThan">
      <formula>0</formula>
    </cfRule>
  </conditionalFormatting>
  <conditionalFormatting sqref="Q56 AF56">
    <cfRule type="cellIs" dxfId="1451" priority="40" operator="greaterThan">
      <formula>1</formula>
    </cfRule>
    <cfRule type="cellIs" dxfId="1450" priority="41" operator="lessThan">
      <formula>0.8</formula>
    </cfRule>
  </conditionalFormatting>
  <conditionalFormatting sqref="R56 AG56">
    <cfRule type="cellIs" dxfId="1449" priority="43" operator="lessThan">
      <formula>0.8</formula>
    </cfRule>
  </conditionalFormatting>
  <conditionalFormatting sqref="O66">
    <cfRule type="cellIs" dxfId="1448" priority="34" operator="greaterThan">
      <formula>0</formula>
    </cfRule>
  </conditionalFormatting>
  <conditionalFormatting sqref="P66">
    <cfRule type="cellIs" dxfId="1447" priority="37" operator="lessThan">
      <formula>0</formula>
    </cfRule>
  </conditionalFormatting>
  <conditionalFormatting sqref="Q66">
    <cfRule type="cellIs" dxfId="1446" priority="35" operator="greaterThan">
      <formula>1</formula>
    </cfRule>
    <cfRule type="cellIs" dxfId="1445" priority="36" operator="lessThan">
      <formula>0.8</formula>
    </cfRule>
  </conditionalFormatting>
  <conditionalFormatting sqref="R66">
    <cfRule type="cellIs" dxfId="1444" priority="38" operator="lessThan">
      <formula>0.8</formula>
    </cfRule>
  </conditionalFormatting>
  <conditionalFormatting sqref="O17">
    <cfRule type="cellIs" dxfId="1443" priority="29" operator="greaterThan">
      <formula>0</formula>
    </cfRule>
  </conditionalFormatting>
  <conditionalFormatting sqref="P17">
    <cfRule type="cellIs" dxfId="1442" priority="32" operator="lessThan">
      <formula>0</formula>
    </cfRule>
  </conditionalFormatting>
  <conditionalFormatting sqref="Q17">
    <cfRule type="cellIs" dxfId="1441" priority="30" operator="greaterThan">
      <formula>1</formula>
    </cfRule>
    <cfRule type="cellIs" dxfId="1440" priority="31" operator="lessThan">
      <formula>0.8</formula>
    </cfRule>
  </conditionalFormatting>
  <conditionalFormatting sqref="R17 AG17">
    <cfRule type="cellIs" dxfId="1439" priority="33" operator="lessThan">
      <formula>0.8</formula>
    </cfRule>
  </conditionalFormatting>
  <conditionalFormatting sqref="O52">
    <cfRule type="cellIs" dxfId="1438" priority="24" operator="greaterThan">
      <formula>0</formula>
    </cfRule>
  </conditionalFormatting>
  <conditionalFormatting sqref="P52">
    <cfRule type="cellIs" dxfId="1437" priority="27" operator="lessThan">
      <formula>0</formula>
    </cfRule>
  </conditionalFormatting>
  <conditionalFormatting sqref="Q52">
    <cfRule type="cellIs" dxfId="1436" priority="25" operator="greaterThan">
      <formula>1</formula>
    </cfRule>
    <cfRule type="cellIs" dxfId="1435" priority="26" operator="lessThan">
      <formula>0.8</formula>
    </cfRule>
  </conditionalFormatting>
  <conditionalFormatting sqref="AG52 R52">
    <cfRule type="cellIs" dxfId="1434" priority="28" operator="lessThan">
      <formula>0.8</formula>
    </cfRule>
  </conditionalFormatting>
  <conditionalFormatting sqref="O55">
    <cfRule type="cellIs" dxfId="1433" priority="19" operator="greaterThan">
      <formula>0</formula>
    </cfRule>
  </conditionalFormatting>
  <conditionalFormatting sqref="P55 AE55">
    <cfRule type="cellIs" dxfId="1432" priority="22" operator="lessThan">
      <formula>0</formula>
    </cfRule>
  </conditionalFormatting>
  <conditionalFormatting sqref="Q55 AF55">
    <cfRule type="cellIs" dxfId="1431" priority="20" operator="greaterThan">
      <formula>1</formula>
    </cfRule>
    <cfRule type="cellIs" dxfId="1430" priority="21" operator="lessThan">
      <formula>0.8</formula>
    </cfRule>
  </conditionalFormatting>
  <conditionalFormatting sqref="R55 AG55">
    <cfRule type="cellIs" dxfId="1429" priority="23" operator="lessThan">
      <formula>0.8</formula>
    </cfRule>
  </conditionalFormatting>
  <conditionalFormatting sqref="O18">
    <cfRule type="cellIs" dxfId="1428" priority="14" operator="greaterThan">
      <formula>0</formula>
    </cfRule>
  </conditionalFormatting>
  <conditionalFormatting sqref="P18">
    <cfRule type="cellIs" dxfId="1427" priority="17" operator="lessThan">
      <formula>0</formula>
    </cfRule>
  </conditionalFormatting>
  <conditionalFormatting sqref="Q18">
    <cfRule type="cellIs" dxfId="1426" priority="15" operator="greaterThan">
      <formula>1</formula>
    </cfRule>
    <cfRule type="cellIs" dxfId="1425" priority="16" operator="lessThan">
      <formula>0.8</formula>
    </cfRule>
  </conditionalFormatting>
  <conditionalFormatting sqref="AG18 R18">
    <cfRule type="cellIs" dxfId="1424" priority="18" operator="lessThan">
      <formula>0.8</formula>
    </cfRule>
  </conditionalFormatting>
  <conditionalFormatting sqref="P8">
    <cfRule type="cellIs" dxfId="1423" priority="13" operator="lessThan">
      <formula>0</formula>
    </cfRule>
  </conditionalFormatting>
  <conditionalFormatting sqref="P19">
    <cfRule type="cellIs" dxfId="1422" priority="12" operator="lessThan">
      <formula>0</formula>
    </cfRule>
  </conditionalFormatting>
  <conditionalFormatting sqref="P26">
    <cfRule type="cellIs" dxfId="1421" priority="11" operator="lessThan">
      <formula>0</formula>
    </cfRule>
  </conditionalFormatting>
  <conditionalFormatting sqref="P33">
    <cfRule type="cellIs" dxfId="1420" priority="10" operator="lessThan">
      <formula>0</formula>
    </cfRule>
  </conditionalFormatting>
  <conditionalFormatting sqref="P44">
    <cfRule type="cellIs" dxfId="1419" priority="9" operator="lessThan">
      <formula>0</formula>
    </cfRule>
  </conditionalFormatting>
  <conditionalFormatting sqref="P53">
    <cfRule type="cellIs" dxfId="1418" priority="8" operator="lessThan">
      <formula>0</formula>
    </cfRule>
  </conditionalFormatting>
  <conditionalFormatting sqref="P59">
    <cfRule type="cellIs" dxfId="1417" priority="7" operator="lessThan">
      <formula>0</formula>
    </cfRule>
  </conditionalFormatting>
  <conditionalFormatting sqref="P68">
    <cfRule type="cellIs" dxfId="1416" priority="6" operator="lessThan">
      <formula>0</formula>
    </cfRule>
  </conditionalFormatting>
  <conditionalFormatting sqref="O67">
    <cfRule type="cellIs" dxfId="1415" priority="1" operator="greaterThan">
      <formula>0</formula>
    </cfRule>
  </conditionalFormatting>
  <conditionalFormatting sqref="P67">
    <cfRule type="cellIs" dxfId="1414" priority="4" operator="lessThan">
      <formula>0</formula>
    </cfRule>
  </conditionalFormatting>
  <conditionalFormatting sqref="Q67">
    <cfRule type="cellIs" dxfId="1413" priority="2" operator="greaterThan">
      <formula>1</formula>
    </cfRule>
    <cfRule type="cellIs" dxfId="1412" priority="3" operator="lessThan">
      <formula>0.8</formula>
    </cfRule>
  </conditionalFormatting>
  <conditionalFormatting sqref="R67">
    <cfRule type="cellIs" dxfId="1411" priority="5" operator="lessThan">
      <formula>0.8</formula>
    </cfRule>
  </conditionalFormatting>
  <dataValidations count="1">
    <dataValidation type="list" allowBlank="1" showInputMessage="1" showErrorMessage="1" sqref="AB8 AA5:AB7 AB58 AA59:AB68 AA8:AA58 AB10:AB5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O3" sqref="O3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1585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596" t="str">
        <f>TEXT('0917 4度C'!A2,"yyyy.mm.ddaaaa")</f>
        <v>2026.09.17星期四</v>
      </c>
      <c r="D3" s="597"/>
      <c r="E3" s="39" t="s">
        <v>204</v>
      </c>
      <c r="F3" s="598">
        <f>'0917 4度C'!D1</f>
        <v>169184</v>
      </c>
      <c r="G3" s="599"/>
      <c r="H3" s="39" t="s">
        <v>1586</v>
      </c>
      <c r="I3" s="600">
        <f>'0917 4度C'!F1</f>
        <v>5689289.6099999994</v>
      </c>
      <c r="J3" s="601"/>
      <c r="K3" s="40"/>
      <c r="L3" s="41"/>
      <c r="M3" s="42"/>
      <c r="N3" s="42"/>
    </row>
    <row r="4" spans="2:17" ht="28.5" customHeight="1">
      <c r="B4" s="602" t="s">
        <v>90</v>
      </c>
      <c r="C4" s="588" t="s">
        <v>91</v>
      </c>
      <c r="D4" s="589"/>
      <c r="E4" s="605" t="s">
        <v>92</v>
      </c>
      <c r="F4" s="606"/>
      <c r="G4" s="605" t="s">
        <v>1587</v>
      </c>
      <c r="H4" s="606"/>
      <c r="I4" s="605" t="s">
        <v>1588</v>
      </c>
      <c r="J4" s="606"/>
      <c r="K4" s="586" t="s">
        <v>1589</v>
      </c>
      <c r="L4" s="587"/>
      <c r="M4" s="587" t="s">
        <v>1590</v>
      </c>
      <c r="N4" s="587"/>
    </row>
    <row r="5" spans="2:17" ht="28.5" customHeight="1">
      <c r="B5" s="603"/>
      <c r="C5" s="588" t="s">
        <v>1591</v>
      </c>
      <c r="D5" s="589"/>
      <c r="E5" s="588" t="s">
        <v>214</v>
      </c>
      <c r="F5" s="589"/>
      <c r="G5" s="590" t="s">
        <v>1592</v>
      </c>
      <c r="H5" s="591"/>
      <c r="I5" s="592" t="s">
        <v>1593</v>
      </c>
      <c r="J5" s="593"/>
      <c r="K5" s="43" t="s">
        <v>1594</v>
      </c>
      <c r="L5" s="44" t="s">
        <v>1595</v>
      </c>
      <c r="M5" s="43" t="s">
        <v>1594</v>
      </c>
      <c r="N5" s="44" t="s">
        <v>1596</v>
      </c>
    </row>
    <row r="6" spans="2:17" ht="28.5" customHeight="1">
      <c r="B6" s="603"/>
      <c r="C6" s="588" t="s">
        <v>56</v>
      </c>
      <c r="D6" s="589"/>
      <c r="E6" s="580">
        <f>AVERAGE(D13:M13)</f>
        <v>151.3796735573444</v>
      </c>
      <c r="F6" s="581">
        <f>AVERAGE(D31:O31,D13:J13)</f>
        <v>156.39931498587507</v>
      </c>
      <c r="G6" s="582">
        <f>AVERAGE(D13:J13)</f>
        <v>156.39931498587507</v>
      </c>
      <c r="H6" s="583"/>
      <c r="I6" s="582">
        <f>AVERAGE(K13:M13)</f>
        <v>139.66717689077279</v>
      </c>
      <c r="J6" s="583"/>
      <c r="K6" s="584">
        <f>'0917 4度C'!Y2</f>
        <v>0</v>
      </c>
      <c r="L6" s="569">
        <f>'0917 4度C'!Z2</f>
        <v>0</v>
      </c>
      <c r="M6" s="585">
        <f>'0917 4度C'!AC2</f>
        <v>58</v>
      </c>
      <c r="N6" s="569">
        <f>'0917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145.05711724471729</v>
      </c>
      <c r="F7" s="573">
        <f>AVERAGE(D32:O32,D14:J14)</f>
        <v>149.95666508628918</v>
      </c>
      <c r="G7" s="574">
        <f>AVERAGE(D14:J14)</f>
        <v>149.95666508628918</v>
      </c>
      <c r="H7" s="575"/>
      <c r="I7" s="574">
        <f>AVERAGE(K14:M14)</f>
        <v>133.62483894771611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0.95831724061024004</v>
      </c>
      <c r="F8" s="577">
        <f>AVERAGE(D15:J15,D33:O33)</f>
        <v>0.95900088675162565</v>
      </c>
      <c r="G8" s="578">
        <f>AVERAGE(D15:J15)</f>
        <v>0.95900088675162565</v>
      </c>
      <c r="H8" s="579"/>
      <c r="I8" s="578">
        <f>AVERAGE(K15:M15)</f>
        <v>0.95672206628034073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105</v>
      </c>
      <c r="N9" s="42"/>
      <c r="O9" s="42"/>
      <c r="P9" s="42"/>
      <c r="Q9" s="42"/>
    </row>
    <row r="10" spans="2:17" ht="30" customHeight="1">
      <c r="B10" s="552" t="s">
        <v>106</v>
      </c>
      <c r="C10" s="553"/>
      <c r="D10" s="554" t="s">
        <v>1597</v>
      </c>
      <c r="E10" s="555"/>
      <c r="F10" s="555"/>
      <c r="G10" s="555"/>
      <c r="H10" s="555"/>
      <c r="I10" s="555"/>
      <c r="J10" s="556"/>
      <c r="K10" s="557" t="s">
        <v>108</v>
      </c>
      <c r="L10" s="558"/>
      <c r="M10" s="559"/>
      <c r="P10" s="48"/>
      <c r="Q10" s="48"/>
    </row>
    <row r="11" spans="2:17" ht="17.25" customHeight="1">
      <c r="B11" s="560" t="s">
        <v>223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1598</v>
      </c>
      <c r="C13" s="55" t="s">
        <v>111</v>
      </c>
      <c r="D13" s="56">
        <f>SUMIFS('0917 4度C'!$K:$K,'0917 4度C'!$A:$A,"新豐6線",'0917 4度C'!$B:$B,"平均")</f>
        <v>136.36363636363637</v>
      </c>
      <c r="E13" s="57">
        <f>SUMIFS('0917 4度C'!$K:$K,'0917 4度C'!$A:$A,"新豐2線",'0917 4度C'!$B:$B,"平均")</f>
        <v>81.818181818181827</v>
      </c>
      <c r="F13" s="58">
        <f>SUMIFS('0917 4度C'!$K:$K,'0917 4度C'!$A:$A,"新豐5線",'0917 4度C'!$B:$B,"平均")</f>
        <v>104.16666666666667</v>
      </c>
      <c r="G13" s="58">
        <f>SUMIFS('0917 4度C'!$K:$K,'0917 4度C'!$A:$A,"新豐7線",'0917 4度C'!$B:$B,"平均")</f>
        <v>126.31578947368421</v>
      </c>
      <c r="H13" s="58">
        <f>SUMIFS('0917 4度C'!$K:$K,'0917 4度C'!$A:$A,"新豐3線",'0917 4度C'!$B:$B,"平均")</f>
        <v>242.42424242424241</v>
      </c>
      <c r="I13" s="58">
        <f>SUMIFS('0917 4度C'!$K:$K,'0917 4度C'!$A:$A,"新豐1線",'0917 4度C'!$B:$B,"平均")</f>
        <v>109.58904109589041</v>
      </c>
      <c r="J13" s="59">
        <f>SUMIFS('0917 4度C'!$K:$K,'0917 4度C'!$A:$A,"新豐10線",'0917 4度C'!$B:$B,"平均")</f>
        <v>294.11764705882354</v>
      </c>
      <c r="K13" s="60">
        <f>SUMIFS('0917 4度C'!$K:$K,'0917 4度C'!$A:$A,"新豐8線",'0917 4度C'!$B:$B,"平均")</f>
        <v>147.36842105263159</v>
      </c>
      <c r="L13" s="61">
        <f>SUMIFS('0917 4度C'!$K:$K,'0917 4度C'!$A:$A,"新豐9線",'0917 4度C'!$B:$B,"平均")</f>
        <v>126.66666666666667</v>
      </c>
      <c r="M13" s="59">
        <f>SUMIFS('0917 4度C'!$K:$K,'0917 4度C'!$A:$A,"新豐4線",'0917 4度C'!$B:$B,"平均")</f>
        <v>144.96644295302013</v>
      </c>
    </row>
    <row r="14" spans="2:17" ht="39.6" customHeight="1">
      <c r="B14" s="565"/>
      <c r="C14" s="62" t="s">
        <v>226</v>
      </c>
      <c r="D14" s="63">
        <f>SUMIFS('0917 4度C'!$N:$N,'0917 4度C'!$A:$A,"新豐6線",'0917 4度C'!$B:$B,"平均")</f>
        <v>130.7417290200232</v>
      </c>
      <c r="E14" s="64">
        <f>SUMIFS('0917 4度C'!$N:$N,'0917 4度C'!$A:$A,"新豐2線",'0917 4度C'!$B:$B,"平均")</f>
        <v>78.339918929939813</v>
      </c>
      <c r="F14" s="64">
        <f>SUMIFS('0917 4度C'!$N:$N,'0917 4度C'!$A:$A,"新豐5線",'0917 4度C'!$B:$B,"平均")</f>
        <v>99.910196460241011</v>
      </c>
      <c r="G14" s="64">
        <f>SUMIFS('0917 4度C'!$N:$N,'0917 4度C'!$A:$A,"新豐7線",'0917 4度C'!$B:$B,"平均")</f>
        <v>121.525795459183</v>
      </c>
      <c r="H14" s="64">
        <f>SUMIFS('0917 4度C'!$N:$N,'0917 4度C'!$A:$A,"新豐3線",'0917 4度C'!$B:$B,"平均")</f>
        <v>232.1096385542169</v>
      </c>
      <c r="I14" s="64">
        <f>SUMIFS('0917 4度C'!$N:$N,'0917 4度C'!$A:$A,"新豐1線",'0917 4度C'!$B:$B,"平均")</f>
        <v>105.159893140412</v>
      </c>
      <c r="J14" s="65">
        <f>SUMIFS('0917 4度C'!$N:$N,'0917 4度C'!$A:$A,"新豐10線",'0917 4度C'!$B:$B,"平均")</f>
        <v>281.90948404000829</v>
      </c>
      <c r="K14" s="66">
        <f>SUMIFS('0917 4度C'!$N:$N,'0917 4度C'!$A:$A,"新豐8線",'0917 4度C'!$B:$B,"平均")</f>
        <v>141.09399440382342</v>
      </c>
      <c r="L14" s="67">
        <f>SUMIFS('0917 4度C'!$N:$N,'0917 4度C'!$A:$A,"新豐9線",'0917 4度C'!$B:$B,"平均")</f>
        <v>121.15142016844324</v>
      </c>
      <c r="M14" s="65">
        <f>SUMIFS('0917 4度C'!$N:$N,'0917 4度C'!$A:$A,"新豐4線",'0917 4度C'!$B:$B,"平均")</f>
        <v>138.62910227088167</v>
      </c>
    </row>
    <row r="15" spans="2:17" ht="40.15" customHeight="1">
      <c r="B15" s="566"/>
      <c r="C15" s="68" t="s">
        <v>113</v>
      </c>
      <c r="D15" s="69">
        <f t="shared" ref="D15:M15" si="0">D14/D13</f>
        <v>0.95877267948017009</v>
      </c>
      <c r="E15" s="70">
        <f t="shared" si="0"/>
        <v>0.9574878980325976</v>
      </c>
      <c r="F15" s="70">
        <f t="shared" si="0"/>
        <v>0.95913788601831362</v>
      </c>
      <c r="G15" s="70">
        <f t="shared" si="0"/>
        <v>0.96207921405186547</v>
      </c>
      <c r="H15" s="70">
        <f t="shared" si="0"/>
        <v>0.95745225903614473</v>
      </c>
      <c r="I15" s="70">
        <f t="shared" si="0"/>
        <v>0.95958402490625949</v>
      </c>
      <c r="J15" s="71">
        <f t="shared" si="0"/>
        <v>0.9584922457360282</v>
      </c>
      <c r="K15" s="69">
        <f t="shared" si="0"/>
        <v>0.95742353345451592</v>
      </c>
      <c r="L15" s="70">
        <f t="shared" si="0"/>
        <v>0.95645858027718345</v>
      </c>
      <c r="M15" s="71">
        <f t="shared" si="0"/>
        <v>0.95628408510932261</v>
      </c>
    </row>
    <row r="16" spans="2:17" ht="17.25" customHeight="1">
      <c r="B16" s="567" t="s">
        <v>114</v>
      </c>
      <c r="C16" s="72" t="s">
        <v>1599</v>
      </c>
      <c r="D16" s="73">
        <f>VLOOKUP("新豐6線",'0917 4度C'!$A:$T,19,0)</f>
        <v>0.70833333333333337</v>
      </c>
      <c r="E16" s="74">
        <f>VLOOKUP("新豐2線",'0917 4度C'!$A:$T,19,0)</f>
        <v>8.3333333333333329E-2</v>
      </c>
      <c r="F16" s="74">
        <f>VLOOKUP("新豐5線",'0917 4度C'!$A:$T,19,0)</f>
        <v>0.25</v>
      </c>
      <c r="G16" s="74">
        <f>VLOOKUP("新豐7線",'0917 4度C'!$A:$T,19,0)</f>
        <v>0.25</v>
      </c>
      <c r="H16" s="74">
        <f>VLOOKUP("新豐3線",'0917 4度C'!$A:$T,19,0)</f>
        <v>0.20833333333333334</v>
      </c>
      <c r="I16" s="74">
        <f>VLOOKUP("新豐1線",'0917 4度C'!$A:$T,19,0)</f>
        <v>0.20833333333333334</v>
      </c>
      <c r="J16" s="75">
        <f>VLOOKUP("新豐10線",'0917 4度C'!$A:$T,19,0)</f>
        <v>0.20833333333333334</v>
      </c>
      <c r="K16" s="76">
        <f>VLOOKUP("新豐8線",'0917 4度C'!$A:$T,19,0)</f>
        <v>8.3333333333333329E-2</v>
      </c>
      <c r="L16" s="77">
        <f>VLOOKUP("新豐9線",'0917 4度C'!$A:$T,19,0)</f>
        <v>8.3333333333333329E-2</v>
      </c>
      <c r="M16" s="78">
        <f>VLOOKUP("新豐4線",'0917 4度C'!$A:$T,19,0)</f>
        <v>8.3333333333333329E-2</v>
      </c>
    </row>
    <row r="17" spans="2:13" ht="17.25" customHeight="1">
      <c r="B17" s="568"/>
      <c r="C17" s="72" t="s">
        <v>116</v>
      </c>
      <c r="D17" s="76">
        <f>LOOKUP(2,1/(('0917 4度C'!$A:$A="新豐6線")*('0917 4度C'!$T:$T&lt;&gt;"")),'0917 4度C'!$T:$T)</f>
        <v>0.82430555555555551</v>
      </c>
      <c r="E17" s="74">
        <f>LOOKUP(2,1/(('0917 4度C'!$A:$A="新豐2線")*('0917 4度C'!$T:$T&lt;&gt;"")),'0917 4度C'!$T:$T)</f>
        <v>0.47777777777777775</v>
      </c>
      <c r="F17" s="74">
        <f>LOOKUP(2,1/(('0917 4度C'!$A:$A="新豐5線")*('0917 4度C'!$T:$T&lt;&gt;"")),'0917 4度C'!$T:$T)</f>
        <v>0.7993055555555556</v>
      </c>
      <c r="G17" s="74">
        <f>LOOKUP(2,1/(('0917 4度C'!$A:$A="新豐7線")*('0917 4度C'!$T:$T&lt;&gt;"")),'0917 4度C'!$T:$T)</f>
        <v>0.81527777777777777</v>
      </c>
      <c r="H17" s="74">
        <f>LOOKUP(2,1/(('0917 4度C'!$A:$A="新豐3線")*('0917 4度C'!$T:$T&lt;&gt;"")),'0917 4度C'!$T:$T)</f>
        <v>0.47777777777777769</v>
      </c>
      <c r="I17" s="74">
        <f>LOOKUP(2,1/(('0917 4度C'!$A:$A="新豐1線")*('0917 4度C'!$T:$T&lt;&gt;"")),'0917 4度C'!$T:$T)</f>
        <v>0.82777777777777772</v>
      </c>
      <c r="J17" s="75">
        <f>LOOKUP(2,1/(('0917 4度C'!$A:$A="新豐10線")*('0917 4度C'!$T:$T&lt;&gt;"")),'0917 4度C'!$T:$T)</f>
        <v>0.46458333333333329</v>
      </c>
      <c r="K17" s="73">
        <f>LOOKUP(2,1/(('0917 4度C'!$A:$A="新豐8線")*('0917 4度C'!$T:$T&lt;&gt;"")),'0917 4度C'!$T:$T)</f>
        <v>0.69583333333333319</v>
      </c>
      <c r="L17" s="74">
        <f>LOOKUP(2,1/(('0917 4度C'!$A:$A="新豐9線")*('0917 4度C'!$T:$T&lt;&gt;"")),'0917 4度C'!$T:$T)</f>
        <v>0.70624999999999982</v>
      </c>
      <c r="M17" s="75">
        <f>LOOKUP(2,1/(('0917 4度C'!$A:$A="新豐4線")*('0917 4度C'!$T:$T&lt;&gt;"")),'0917 4度C'!$T:$T)</f>
        <v>0.69861111111111096</v>
      </c>
    </row>
    <row r="18" spans="2:13" ht="17.25" customHeight="1">
      <c r="B18" s="546" t="s">
        <v>117</v>
      </c>
      <c r="C18" s="79" t="s">
        <v>1600</v>
      </c>
      <c r="D18" s="80">
        <f>SUMIFS('0917 4度C'!$Y:$Y,'0917 4度C'!$A:$A,"新豐6線",'0917 4度C'!$B:$B,"平均")</f>
        <v>0</v>
      </c>
      <c r="E18" s="81">
        <f>SUMIFS('0917 4度C'!$Y:$Y,'0917 4度C'!$A:$A,"新豐2線",'0917 4度C'!$B:$B,"平均")</f>
        <v>0</v>
      </c>
      <c r="F18" s="81">
        <f>SUMIFS('0917 4度C'!$Y:$Y,'0917 4度C'!$A:$A,"新豐5線",'0917 4度C'!$B:$B,"平均")</f>
        <v>0</v>
      </c>
      <c r="G18" s="81">
        <f>SUMIFS('0917 4度C'!$Y:$Y,'0917 4度C'!$A:$A,"新豐7線",'0917 4度C'!$B:$B,"平均")</f>
        <v>0</v>
      </c>
      <c r="H18" s="81">
        <f>SUMIFS('0917 4度C'!$Y:$Y,'0917 4度C'!$A:$A,"新豐3線",'0917 4度C'!$B:$B,"平均")</f>
        <v>0</v>
      </c>
      <c r="I18" s="81">
        <f>SUMIFS('0917 4度C'!$Y:$Y,'0917 4度C'!$A:$A,"新豐1線",'0917 4度C'!$B:$B,"平均")</f>
        <v>0</v>
      </c>
      <c r="J18" s="82">
        <f>SUMIFS('0917 4度C'!$Y:$Y,'0917 4度C'!$A:$A,"新豐10線",'0917 4度C'!$B:$B,"平均")</f>
        <v>0</v>
      </c>
      <c r="K18" s="83">
        <f>SUMIFS('0917 4度C'!$Y:$Y,'0917 4度C'!$A:$A,"新豐8線",'0917 4度C'!$B:$B,"平均")</f>
        <v>0</v>
      </c>
      <c r="L18" s="81">
        <f>SUMIFS('0917 4度C'!$Y:$Y,'0917 4度C'!$A:$A,"新豐9線",'0917 4度C'!$B:$B,"平均")</f>
        <v>0</v>
      </c>
      <c r="M18" s="82">
        <f>SUMIFS('0917 4度C'!$Y:$Y,'0917 4度C'!$A:$A,"新豐4線",'0917 4度C'!$B:$B,"平均")</f>
        <v>0</v>
      </c>
    </row>
    <row r="19" spans="2:13" ht="17.25" customHeight="1">
      <c r="B19" s="547"/>
      <c r="C19" s="79" t="s">
        <v>78</v>
      </c>
      <c r="D19" s="80">
        <f>SUMIFS('0917 4度C'!$Z:$Z,'0917 4度C'!$A:$A,"新豐6線",'0917 4度C'!$B:$B,"平均")</f>
        <v>0</v>
      </c>
      <c r="E19" s="81">
        <f>SUMIFS('0917 4度C'!$Z:$Z,'0917 4度C'!$A:$A,"新豐2線",'0917 4度C'!$B:$B,"平均")</f>
        <v>0</v>
      </c>
      <c r="F19" s="81">
        <f>SUMIFS('0917 4度C'!$Z:$Z,'0917 4度C'!$A:$A,"新豐5線",'0917 4度C'!$B:$B,"平均")</f>
        <v>0</v>
      </c>
      <c r="G19" s="81">
        <f>SUMIFS('0917 4度C'!$Z:$Z,'0917 4度C'!$A:$A,"新豐7線",'0917 4度C'!$B:$B,"平均")</f>
        <v>0</v>
      </c>
      <c r="H19" s="81">
        <f>SUMIFS('0917 4度C'!$Z:$Z,'0917 4度C'!$A:$A,"新豐3線",'0917 4度C'!$B:$B,"平均")</f>
        <v>0</v>
      </c>
      <c r="I19" s="81">
        <f>SUMIFS('0917 4度C'!$Z:$Z,'0917 4度C'!$A:$A,"新豐1線",'0917 4度C'!$B:$B,"平均")</f>
        <v>0</v>
      </c>
      <c r="J19" s="82">
        <f>SUMIFS('0917 4度C'!$Z:$Z,'0917 4度C'!$A:$A,"新豐10線",'0917 4度C'!$B:$B,"平均")</f>
        <v>0</v>
      </c>
      <c r="K19" s="83">
        <f>SUMIFS('0917 4度C'!$Z:$Z,'0917 4度C'!$A:$A,"新豐8線",'0917 4度C'!$B:$B,"平均")</f>
        <v>0</v>
      </c>
      <c r="L19" s="81">
        <f>SUMIFS('0917 4度C'!$Z:$Z,'0917 4度C'!$A:$A,"新豐9線",'0917 4度C'!$B:$B,"平均")</f>
        <v>0</v>
      </c>
      <c r="M19" s="82">
        <f>SUMIFS('0917 4度C'!$Z:$Z,'0917 4度C'!$A:$A,"新豐4線",'0917 4度C'!$B:$B,"平均")</f>
        <v>0</v>
      </c>
    </row>
    <row r="20" spans="2:13" ht="17.25" customHeight="1">
      <c r="B20" s="546" t="s">
        <v>119</v>
      </c>
      <c r="C20" s="79" t="s">
        <v>118</v>
      </c>
      <c r="D20" s="80">
        <f>SUMIFS('0917 4度C'!$AC:$AC,'0917 4度C'!$A:$A,"新豐6線",'0917 4度C'!$B:$B,"平均")</f>
        <v>3</v>
      </c>
      <c r="E20" s="81">
        <f>SUMIFS('0917 4度C'!$AC:$AC,'0917 4度C'!$A:$A,"新豐2線",'0917 4度C'!$B:$B,"平均")</f>
        <v>3</v>
      </c>
      <c r="F20" s="81">
        <f>SUMIFS('0917 4度C'!$AC:$AC,'0917 4度C'!$A:$A,"新豐5線",'0917 4度C'!$B:$B,"平均")</f>
        <v>7</v>
      </c>
      <c r="G20" s="81">
        <f>SUMIFS('0917 4度C'!$AC:$AC,'0917 4度C'!$A:$A,"新豐7線",'0917 4度C'!$B:$B,"平均")</f>
        <v>6</v>
      </c>
      <c r="H20" s="81">
        <f>SUMIFS('0917 4度C'!$AC:$AC,'0917 4度C'!$A:$A,"新豐3線",'0917 4度C'!$B:$B,"平均")</f>
        <v>3</v>
      </c>
      <c r="I20" s="81">
        <f>SUMIFS('0917 4度C'!$AC:$AC,'0917 4度C'!$A:$A,"新豐1線",'0917 4度C'!$B:$B,"平均")</f>
        <v>8</v>
      </c>
      <c r="J20" s="82">
        <f>SUMIFS('0917 4度C'!$AC:$AC,'0917 4度C'!$A:$A,"新豐10線",'0917 4度C'!$B:$B,"平均")</f>
        <v>5</v>
      </c>
      <c r="K20" s="83">
        <f>SUMIFS('0917 4度C'!$AC:$AC,'0917 4度C'!$A:$A,"新豐8線",'0917 4度C'!$B:$B,"平均")</f>
        <v>7</v>
      </c>
      <c r="L20" s="81">
        <f>SUMIFS('0917 4度C'!$AC:$AC,'0917 4度C'!$A:$A,"新豐9線",'0917 4度C'!$B:$B,"平均")</f>
        <v>7</v>
      </c>
      <c r="M20" s="82">
        <f>SUMIFS('0917 4度C'!$AC:$AC,'0917 4度C'!$A:$A,"新豐4線",'0917 4度C'!$B:$B,"平均")</f>
        <v>9</v>
      </c>
    </row>
    <row r="21" spans="2:13" ht="17.25" customHeight="1">
      <c r="B21" s="547"/>
      <c r="C21" s="79" t="s">
        <v>334</v>
      </c>
      <c r="D21" s="80">
        <f>SUMIFS('0917 4度C'!$AD:$AD,'0917 4度C'!$A:$A,"新豐6線",'0917 4度C'!$B:$B,"平均")</f>
        <v>0</v>
      </c>
      <c r="E21" s="81">
        <f>SUMIFS('0917 4度C'!$AD:$AD,'0917 4度C'!$A:$A,"新豐2線",'0917 4度C'!$B:$B,"平均")</f>
        <v>0</v>
      </c>
      <c r="F21" s="81">
        <f>SUMIFS('0917 4度C'!$AD:$AD,'0917 4度C'!$A:$A,"新豐5線",'0917 4度C'!$B:$B,"平均")</f>
        <v>0</v>
      </c>
      <c r="G21" s="81">
        <f>SUMIFS('0917 4度C'!$AD:$AD,'0917 4度C'!$A:$A,"新豐7線",'0917 4度C'!$B:$B,"平均")</f>
        <v>0</v>
      </c>
      <c r="H21" s="81">
        <f>SUMIFS('0917 4度C'!$AD:$AD,'0917 4度C'!$A:$A,"新豐3線",'0917 4度C'!$B:$B,"平均")</f>
        <v>0</v>
      </c>
      <c r="I21" s="81">
        <f>SUMIFS('0917 4度C'!$AD:$AD,'0917 4度C'!$A:$A,"新豐1線",'0917 4度C'!$B:$B,"平均")</f>
        <v>0</v>
      </c>
      <c r="J21" s="82">
        <f>SUMIFS('0917 4度C'!$AD:$AD,'0917 4度C'!$A:$A,"新豐10線",'0917 4度C'!$B:$B,"平均")</f>
        <v>0</v>
      </c>
      <c r="K21" s="83">
        <f>SUMIFS('0917 4度C'!$AD:$AD,'0917 4度C'!$A:$A,"新豐8線",'0917 4度C'!$B:$B,"平均")</f>
        <v>0</v>
      </c>
      <c r="L21" s="81">
        <f>SUMIFS('0917 4度C'!$AD:$AD,'0917 4度C'!$A:$A,"新豐9線",'0917 4度C'!$B:$B,"平均")</f>
        <v>0</v>
      </c>
      <c r="M21" s="82">
        <f>SUMIFS('0917 4度C'!$AD:$AD,'0917 4度C'!$A:$A,"新豐4線",'0917 4度C'!$B:$B,"平均")</f>
        <v>0</v>
      </c>
    </row>
    <row r="22" spans="2:13" ht="17.25" customHeight="1">
      <c r="B22" s="548" t="s">
        <v>121</v>
      </c>
      <c r="C22" s="549"/>
      <c r="D22" s="84">
        <f>SUMIFS('0917 4度C'!$I:$I,'0917 4度C'!$A:$A,"新豐6線",'0917 4度C'!$B:$B,"平均")</f>
        <v>14.666666666666666</v>
      </c>
      <c r="E22" s="85">
        <f>SUMIFS('0917 4度C'!$I:$I,'0917 4度C'!$A:$A,"新豐2線",'0917 4度C'!$B:$B,"平均")</f>
        <v>18.333333333333332</v>
      </c>
      <c r="F22" s="85">
        <f>SUMIFS('0917 4度C'!$I:$I,'0917 4度C'!$A:$A,"新豐5線",'0917 4度C'!$B:$B,"平均")</f>
        <v>17.142857142857142</v>
      </c>
      <c r="G22" s="85">
        <f>SUMIFS('0917 4度C'!$I:$I,'0917 4度C'!$A:$A,"新豐7線",'0917 4度C'!$B:$B,"平均")</f>
        <v>15.833333333333334</v>
      </c>
      <c r="H22" s="85">
        <f>SUMIFS('0917 4度C'!$I:$I,'0917 4度C'!$A:$A,"新豐3線",'0917 4度C'!$B:$B,"平均")</f>
        <v>11</v>
      </c>
      <c r="I22" s="85">
        <f>SUMIFS('0917 4度C'!$I:$I,'0917 4度C'!$A:$A,"新豐1線",'0917 4度C'!$B:$B,"平均")</f>
        <v>18.25</v>
      </c>
      <c r="J22" s="86">
        <f>SUMIFS('0917 4度C'!$I:$I,'0917 4度C'!$A:$A,"新豐10線",'0917 4度C'!$B:$B,"平均")</f>
        <v>10.199999999999999</v>
      </c>
      <c r="K22" s="84">
        <f>SUMIFS('0917 4度C'!$I:$I,'0917 4度C'!$A:$A,"新豐8線",'0917 4度C'!$B:$B,"平均")</f>
        <v>16.285714285714285</v>
      </c>
      <c r="L22" s="85">
        <f>SUMIFS('0917 4度C'!$I:$I,'0917 4度C'!$A:$A,"新豐9線",'0917 4度C'!$B:$B,"平均")</f>
        <v>17.142857142857142</v>
      </c>
      <c r="M22" s="86">
        <f>SUMIFS('0917 4度C'!$I:$I,'0917 4度C'!$A:$A,"新豐4線",'0917 4度C'!$B:$B,"平均")</f>
        <v>16.555555555555557</v>
      </c>
    </row>
    <row r="23" spans="2:13" ht="17.25" customHeight="1">
      <c r="B23" s="548" t="s">
        <v>122</v>
      </c>
      <c r="C23" s="549"/>
      <c r="D23" s="87" t="s">
        <v>69</v>
      </c>
      <c r="E23" s="88" t="s">
        <v>70</v>
      </c>
      <c r="F23" s="88" t="s">
        <v>123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124</v>
      </c>
      <c r="L23" s="88" t="s">
        <v>124</v>
      </c>
      <c r="M23" s="89" t="s">
        <v>124</v>
      </c>
    </row>
    <row r="24" spans="2:13" ht="17.25" customHeight="1">
      <c r="B24" s="548" t="s">
        <v>125</v>
      </c>
      <c r="C24" s="549"/>
      <c r="D24" s="87"/>
      <c r="E24" s="88"/>
      <c r="F24" s="88" t="s">
        <v>126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127</v>
      </c>
      <c r="C25" s="551"/>
      <c r="D25" s="90"/>
      <c r="E25" s="91" t="s">
        <v>128</v>
      </c>
      <c r="F25" s="544" t="s">
        <v>129</v>
      </c>
      <c r="G25" s="545"/>
      <c r="H25" s="91" t="s">
        <v>79</v>
      </c>
      <c r="I25" s="91" t="s">
        <v>130</v>
      </c>
      <c r="J25" s="92" t="s">
        <v>79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41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44" activePane="bottomLeft" state="frozen"/>
      <selection activeCell="O4" sqref="O4"/>
      <selection pane="bottomLeft" activeCell="O3" sqref="O3:O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1601</v>
      </c>
      <c r="B1" s="1"/>
      <c r="C1" s="2" t="s">
        <v>1602</v>
      </c>
      <c r="D1" s="3">
        <f>SUM(F5:F72)</f>
        <v>169184</v>
      </c>
      <c r="E1" s="350" t="s">
        <v>1603</v>
      </c>
      <c r="F1" s="1">
        <f>SUM(G5:G72)</f>
        <v>5689289.6099999994</v>
      </c>
      <c r="G1" s="1" t="s">
        <v>1604</v>
      </c>
      <c r="H1" s="4">
        <f>L8+L12+L47+L56+L20+L62+L35+L43+L27+L72</f>
        <v>155.41031746031746</v>
      </c>
      <c r="I1" s="660" t="s">
        <v>1605</v>
      </c>
      <c r="J1" s="660"/>
      <c r="K1" s="660"/>
      <c r="L1" s="660" t="s">
        <v>1606</v>
      </c>
      <c r="M1" s="660"/>
      <c r="N1" s="660"/>
      <c r="O1" s="660" t="s">
        <v>1607</v>
      </c>
      <c r="P1" s="660"/>
      <c r="Q1" s="660"/>
      <c r="R1" s="660"/>
      <c r="S1" s="660" t="s">
        <v>1608</v>
      </c>
      <c r="T1" s="660"/>
      <c r="U1" s="660"/>
      <c r="V1" s="660"/>
      <c r="W1" s="660"/>
      <c r="X1" s="660"/>
      <c r="Y1" s="5" t="s">
        <v>1609</v>
      </c>
      <c r="Z1" s="6" t="s">
        <v>1610</v>
      </c>
      <c r="AA1" s="661" t="s">
        <v>1611</v>
      </c>
      <c r="AB1" s="661"/>
      <c r="AC1" s="7" t="s">
        <v>1609</v>
      </c>
      <c r="AD1" s="6" t="s">
        <v>1612</v>
      </c>
      <c r="AE1" s="660" t="s">
        <v>1613</v>
      </c>
      <c r="AF1" s="662"/>
      <c r="AG1" s="662"/>
    </row>
    <row r="2" spans="1:33" ht="26.25" customHeight="1">
      <c r="A2" s="27">
        <v>46282</v>
      </c>
      <c r="B2" s="28" t="s">
        <v>356</v>
      </c>
      <c r="C2" s="2" t="s">
        <v>1614</v>
      </c>
      <c r="D2" s="9">
        <f>AVERAGE(N8,N12,N47,N56,N20,N62,N27,N35,N43,N72)</f>
        <v>145.05711724471726</v>
      </c>
      <c r="E2" s="10" t="s">
        <v>0</v>
      </c>
      <c r="F2" s="11">
        <f>F1/D1</f>
        <v>33.627823021089462</v>
      </c>
      <c r="G2" s="1" t="s">
        <v>1615</v>
      </c>
      <c r="H2" s="355">
        <f>COUNT(H5:H72)</f>
        <v>6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SUM(Y8+Y12+Y20+Y27+Y35+Y43+Y47+Y56+Y62+Y72)</f>
        <v>0</v>
      </c>
      <c r="Z2" s="12">
        <f>SUM(Z8+Z12+Z20+Z27+Z35+Z43+Z47+Z56+Z62+Z72)</f>
        <v>0</v>
      </c>
      <c r="AA2" s="661"/>
      <c r="AB2" s="661"/>
      <c r="AC2" s="12">
        <f>SUM(AC8+AC12+AC20+AC27+AC35+AC43+AC47+AC56+AC62+AC72)</f>
        <v>58</v>
      </c>
      <c r="AD2" s="12">
        <f>SUM(AD8+AD12+AD20+AD27+AD35+AD43+AD47+AD56+AD62+AD72)</f>
        <v>0</v>
      </c>
      <c r="AE2" s="662"/>
      <c r="AF2" s="662"/>
      <c r="AG2" s="662"/>
    </row>
    <row r="3" spans="1:33" ht="40.5" customHeight="1">
      <c r="A3" s="610" t="s">
        <v>1616</v>
      </c>
      <c r="B3" s="610" t="s">
        <v>1617</v>
      </c>
      <c r="C3" s="610" t="s">
        <v>1618</v>
      </c>
      <c r="D3" s="610"/>
      <c r="E3" s="658" t="s">
        <v>1619</v>
      </c>
      <c r="F3" s="610" t="s">
        <v>1620</v>
      </c>
      <c r="G3" s="658" t="s">
        <v>1621</v>
      </c>
      <c r="H3" s="651" t="s">
        <v>1622</v>
      </c>
      <c r="I3" s="649" t="s">
        <v>1623</v>
      </c>
      <c r="J3" s="646" t="s">
        <v>1624</v>
      </c>
      <c r="K3" s="656" t="s">
        <v>1614</v>
      </c>
      <c r="L3" s="649" t="s">
        <v>1623</v>
      </c>
      <c r="M3" s="646" t="s">
        <v>1624</v>
      </c>
      <c r="N3" s="656" t="s">
        <v>1614</v>
      </c>
      <c r="O3" s="649" t="s">
        <v>1623</v>
      </c>
      <c r="P3" s="656" t="s">
        <v>1614</v>
      </c>
      <c r="Q3" s="647" t="s">
        <v>1625</v>
      </c>
      <c r="R3" s="623" t="s">
        <v>1626</v>
      </c>
      <c r="S3" s="610" t="s">
        <v>1</v>
      </c>
      <c r="T3" s="610"/>
      <c r="U3" s="651" t="s">
        <v>2</v>
      </c>
      <c r="V3" s="651" t="s">
        <v>1627</v>
      </c>
      <c r="W3" s="610" t="s">
        <v>1628</v>
      </c>
      <c r="X3" s="610"/>
      <c r="Y3" s="652" t="s">
        <v>1629</v>
      </c>
      <c r="Z3" s="609"/>
      <c r="AA3" s="653" t="s">
        <v>1630</v>
      </c>
      <c r="AB3" s="654"/>
      <c r="AC3" s="652" t="s">
        <v>1631</v>
      </c>
      <c r="AD3" s="609"/>
      <c r="AE3" s="646" t="s">
        <v>1624</v>
      </c>
      <c r="AF3" s="647" t="s">
        <v>1625</v>
      </c>
      <c r="AG3" s="623" t="s">
        <v>1626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350" t="s">
        <v>3</v>
      </c>
      <c r="T4" s="350" t="s">
        <v>4</v>
      </c>
      <c r="U4" s="651"/>
      <c r="V4" s="651"/>
      <c r="W4" s="350" t="s">
        <v>1632</v>
      </c>
      <c r="X4" s="350" t="s">
        <v>1633</v>
      </c>
      <c r="Y4" s="345" t="s">
        <v>1634</v>
      </c>
      <c r="Z4" s="345" t="s">
        <v>1635</v>
      </c>
      <c r="AA4" s="655"/>
      <c r="AB4" s="654"/>
      <c r="AC4" s="345" t="s">
        <v>1636</v>
      </c>
      <c r="AD4" s="345" t="s">
        <v>1637</v>
      </c>
      <c r="AE4" s="646"/>
      <c r="AF4" s="647"/>
      <c r="AG4" s="623"/>
    </row>
    <row r="5" spans="1:33">
      <c r="A5" s="648" t="s">
        <v>1638</v>
      </c>
      <c r="B5" s="33" t="s">
        <v>6</v>
      </c>
      <c r="C5" s="650" t="s">
        <v>7</v>
      </c>
      <c r="D5" s="650"/>
      <c r="E5" s="33">
        <v>50.92</v>
      </c>
      <c r="F5" s="356">
        <v>1886</v>
      </c>
      <c r="G5" s="350">
        <f t="shared" ref="G5:G7" si="0">E5*F5</f>
        <v>96035.12000000001</v>
      </c>
      <c r="H5" s="357" t="s">
        <v>5</v>
      </c>
      <c r="I5" s="353">
        <v>15</v>
      </c>
      <c r="J5" s="30">
        <v>2000</v>
      </c>
      <c r="K5" s="13">
        <f t="shared" ref="K5:K68" si="1">J5/I5</f>
        <v>133.33333333333334</v>
      </c>
      <c r="L5" s="353">
        <v>15</v>
      </c>
      <c r="M5" s="14">
        <f t="shared" ref="M5:M7" si="2">F5/V5*60</f>
        <v>1917.9661016949169</v>
      </c>
      <c r="N5" s="13">
        <f t="shared" ref="N5:N68" si="3">M5/L5</f>
        <v>127.86440677966112</v>
      </c>
      <c r="O5" s="15">
        <f t="shared" ref="O5:O68" si="4">L5-I5</f>
        <v>0</v>
      </c>
      <c r="P5" s="16">
        <f t="shared" ref="P5:P68" si="5">N5-K5</f>
        <v>-5.4689265536722189</v>
      </c>
      <c r="Q5" s="351">
        <f t="shared" ref="Q5:Q68" si="6">N5/K5</f>
        <v>0.95898305084745838</v>
      </c>
      <c r="R5" s="619">
        <f>Q8</f>
        <v>0.95877267948017009</v>
      </c>
      <c r="S5" s="31">
        <v>0.70833333333333337</v>
      </c>
      <c r="T5" s="31">
        <v>0.74930555555555556</v>
      </c>
      <c r="U5" s="350"/>
      <c r="V5" s="354">
        <f t="shared" ref="V5:V7" si="7">(T5-S5)*24*60</f>
        <v>58.99999999999995</v>
      </c>
      <c r="W5" s="17"/>
      <c r="X5" s="17"/>
      <c r="Y5" s="18"/>
      <c r="Z5" s="18"/>
      <c r="AA5" s="610"/>
      <c r="AB5" s="610"/>
      <c r="AC5" s="155">
        <v>3</v>
      </c>
      <c r="AD5" s="19"/>
      <c r="AE5" s="15">
        <f t="shared" ref="AE5:AE55" si="8">M5-J5</f>
        <v>-82.033898305083085</v>
      </c>
      <c r="AF5" s="351">
        <f t="shared" ref="AF5:AF68" si="9">M5/J5</f>
        <v>0.9589830508474585</v>
      </c>
      <c r="AG5" s="619">
        <f>AF8</f>
        <v>0.95877267948017009</v>
      </c>
    </row>
    <row r="6" spans="1:33">
      <c r="A6" s="649" t="s">
        <v>1639</v>
      </c>
      <c r="B6" s="33" t="s">
        <v>6</v>
      </c>
      <c r="C6" s="650" t="s">
        <v>8</v>
      </c>
      <c r="D6" s="650"/>
      <c r="E6" s="33">
        <v>50.98</v>
      </c>
      <c r="F6" s="356">
        <v>2091</v>
      </c>
      <c r="G6" s="350">
        <f t="shared" si="0"/>
        <v>106599.18</v>
      </c>
      <c r="H6" s="357" t="s">
        <v>5</v>
      </c>
      <c r="I6" s="353">
        <v>16</v>
      </c>
      <c r="J6" s="30">
        <v>2000</v>
      </c>
      <c r="K6" s="13">
        <f t="shared" si="1"/>
        <v>125</v>
      </c>
      <c r="L6" s="353">
        <v>16</v>
      </c>
      <c r="M6" s="14">
        <f t="shared" si="2"/>
        <v>1930.1538461538485</v>
      </c>
      <c r="N6" s="13">
        <f t="shared" si="3"/>
        <v>120.63461538461553</v>
      </c>
      <c r="O6" s="15">
        <f t="shared" si="4"/>
        <v>0</v>
      </c>
      <c r="P6" s="16">
        <f t="shared" si="5"/>
        <v>-4.3653846153844711</v>
      </c>
      <c r="Q6" s="351">
        <f t="shared" si="6"/>
        <v>0.96507692307692428</v>
      </c>
      <c r="R6" s="619"/>
      <c r="S6" s="31">
        <v>0.75277777777777777</v>
      </c>
      <c r="T6" s="31">
        <v>0.79791666666666661</v>
      </c>
      <c r="U6" s="350">
        <f t="shared" ref="U6:U7" si="10">IF(S6=TIME(17,0,0),"",(S6-T5)*24*60)</f>
        <v>4.9999999999999822</v>
      </c>
      <c r="V6" s="354">
        <f t="shared" si="7"/>
        <v>64.999999999999929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-69.846153846151537</v>
      </c>
      <c r="AF6" s="351">
        <f t="shared" si="9"/>
        <v>0.96507692307692428</v>
      </c>
      <c r="AG6" s="619"/>
    </row>
    <row r="7" spans="1:33">
      <c r="A7" s="649" t="s">
        <v>1639</v>
      </c>
      <c r="B7" s="33" t="s">
        <v>6</v>
      </c>
      <c r="C7" s="641" t="s">
        <v>25</v>
      </c>
      <c r="D7" s="642"/>
      <c r="E7" s="33">
        <v>56.43</v>
      </c>
      <c r="F7" s="356">
        <v>984</v>
      </c>
      <c r="G7" s="350">
        <f t="shared" si="0"/>
        <v>55527.12</v>
      </c>
      <c r="H7" s="357" t="s">
        <v>5</v>
      </c>
      <c r="I7" s="353">
        <v>13</v>
      </c>
      <c r="J7" s="30">
        <v>2000</v>
      </c>
      <c r="K7" s="13">
        <f t="shared" si="1"/>
        <v>153.84615384615384</v>
      </c>
      <c r="L7" s="353">
        <v>13</v>
      </c>
      <c r="M7" s="14">
        <f t="shared" si="2"/>
        <v>1904.5161290322551</v>
      </c>
      <c r="N7" s="13">
        <f t="shared" si="3"/>
        <v>146.50124069478886</v>
      </c>
      <c r="O7" s="15">
        <f t="shared" si="4"/>
        <v>0</v>
      </c>
      <c r="P7" s="16">
        <f t="shared" si="5"/>
        <v>-7.3449131513649775</v>
      </c>
      <c r="Q7" s="351">
        <f t="shared" si="6"/>
        <v>0.9522580645161276</v>
      </c>
      <c r="R7" s="619"/>
      <c r="S7" s="31">
        <v>0.8027777777777777</v>
      </c>
      <c r="T7" s="31">
        <v>0.82430555555555551</v>
      </c>
      <c r="U7" s="350">
        <f t="shared" si="10"/>
        <v>6.9999999999999751</v>
      </c>
      <c r="V7" s="354">
        <f t="shared" si="7"/>
        <v>31.00000000000005</v>
      </c>
      <c r="W7" s="17"/>
      <c r="X7" s="17"/>
      <c r="Y7" s="20"/>
      <c r="Z7" s="20"/>
      <c r="AA7" s="614"/>
      <c r="AB7" s="615"/>
      <c r="AC7" s="155"/>
      <c r="AD7" s="21"/>
      <c r="AE7" s="15">
        <f t="shared" si="8"/>
        <v>-95.483870967744906</v>
      </c>
      <c r="AF7" s="351">
        <f t="shared" si="9"/>
        <v>0.9522580645161276</v>
      </c>
      <c r="AG7" s="619"/>
    </row>
    <row r="8" spans="1:33">
      <c r="A8" s="649" t="s">
        <v>1639</v>
      </c>
      <c r="B8" s="33" t="s">
        <v>1640</v>
      </c>
      <c r="C8" s="620"/>
      <c r="D8" s="620"/>
      <c r="E8" s="352"/>
      <c r="F8" s="34"/>
      <c r="G8" s="13"/>
      <c r="H8" s="356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1917.5453589603401</v>
      </c>
      <c r="N8" s="13">
        <f t="shared" si="3"/>
        <v>130.7417290200232</v>
      </c>
      <c r="O8" s="15">
        <f t="shared" si="4"/>
        <v>0</v>
      </c>
      <c r="P8" s="16">
        <f t="shared" si="5"/>
        <v>-5.6219073436131737</v>
      </c>
      <c r="Q8" s="351">
        <f t="shared" si="6"/>
        <v>0.95877267948017009</v>
      </c>
      <c r="R8" s="619"/>
      <c r="S8" s="31"/>
      <c r="T8" s="31"/>
      <c r="U8" s="350"/>
      <c r="V8" s="354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-82.454641039659919</v>
      </c>
      <c r="AF8" s="351">
        <f t="shared" si="9"/>
        <v>0.95877267948017009</v>
      </c>
      <c r="AG8" s="619"/>
    </row>
    <row r="9" spans="1:33" ht="15.75" customHeight="1">
      <c r="A9" s="645" t="s">
        <v>1641</v>
      </c>
      <c r="B9" s="33" t="s">
        <v>10</v>
      </c>
      <c r="C9" s="641" t="s">
        <v>14</v>
      </c>
      <c r="D9" s="642"/>
      <c r="E9" s="33">
        <v>39.619999999999997</v>
      </c>
      <c r="F9" s="356">
        <v>4263</v>
      </c>
      <c r="G9" s="350">
        <f t="shared" ref="G9:G11" si="11">E9*F9</f>
        <v>168900.06</v>
      </c>
      <c r="H9" s="357" t="s">
        <v>5</v>
      </c>
      <c r="I9" s="353">
        <v>19</v>
      </c>
      <c r="J9" s="30">
        <v>1500</v>
      </c>
      <c r="K9" s="13">
        <f t="shared" si="1"/>
        <v>78.94736842105263</v>
      </c>
      <c r="L9" s="353">
        <v>19</v>
      </c>
      <c r="M9" s="14">
        <f t="shared" ref="M9:M11" si="12">F9/V9*60</f>
        <v>1436.9662921348317</v>
      </c>
      <c r="N9" s="13">
        <f t="shared" si="3"/>
        <v>75.629804849201676</v>
      </c>
      <c r="O9" s="15">
        <f t="shared" si="4"/>
        <v>0</v>
      </c>
      <c r="P9" s="16">
        <f t="shared" si="5"/>
        <v>-3.317563571850954</v>
      </c>
      <c r="Q9" s="351">
        <f t="shared" si="6"/>
        <v>0.9579775280898879</v>
      </c>
      <c r="R9" s="619">
        <f>Q12</f>
        <v>0.9574878980325976</v>
      </c>
      <c r="S9" s="31">
        <v>8.3333333333333329E-2</v>
      </c>
      <c r="T9" s="31">
        <v>0.20694444444444443</v>
      </c>
      <c r="U9" s="350"/>
      <c r="V9" s="354">
        <f t="shared" ref="V9:V11" si="13">(T9-S9)*24*60</f>
        <v>177.99999999999997</v>
      </c>
      <c r="W9" s="17">
        <f>T9</f>
        <v>0.20694444444444443</v>
      </c>
      <c r="X9" s="17">
        <f>S10</f>
        <v>0.22708333333333333</v>
      </c>
      <c r="Y9" s="17"/>
      <c r="Z9" s="17"/>
      <c r="AA9" s="610"/>
      <c r="AB9" s="610"/>
      <c r="AC9" s="155">
        <v>3</v>
      </c>
      <c r="AD9" s="19"/>
      <c r="AE9" s="15">
        <f t="shared" si="8"/>
        <v>-63.033707865168253</v>
      </c>
      <c r="AF9" s="351">
        <f t="shared" si="9"/>
        <v>0.95797752808988779</v>
      </c>
      <c r="AG9" s="619">
        <f>AF12</f>
        <v>0.95748789803259771</v>
      </c>
    </row>
    <row r="10" spans="1:33" ht="15.75" customHeight="1">
      <c r="A10" s="645" t="s">
        <v>1641</v>
      </c>
      <c r="B10" s="33" t="s">
        <v>10</v>
      </c>
      <c r="C10" s="641" t="s">
        <v>11</v>
      </c>
      <c r="D10" s="642"/>
      <c r="E10" s="33">
        <v>39.799999999999997</v>
      </c>
      <c r="F10" s="356">
        <v>6291</v>
      </c>
      <c r="G10" s="350">
        <f t="shared" si="11"/>
        <v>250381.8</v>
      </c>
      <c r="H10" s="357" t="s">
        <v>5</v>
      </c>
      <c r="I10" s="353">
        <v>17</v>
      </c>
      <c r="J10" s="30">
        <v>1500</v>
      </c>
      <c r="K10" s="13">
        <f t="shared" si="1"/>
        <v>88.235294117647058</v>
      </c>
      <c r="L10" s="353">
        <v>17</v>
      </c>
      <c r="M10" s="14">
        <f t="shared" si="12"/>
        <v>1429.7727272727277</v>
      </c>
      <c r="N10" s="13">
        <f t="shared" si="3"/>
        <v>84.104278074866329</v>
      </c>
      <c r="O10" s="15">
        <f t="shared" si="4"/>
        <v>0</v>
      </c>
      <c r="P10" s="16">
        <f t="shared" si="5"/>
        <v>-4.131016042780729</v>
      </c>
      <c r="Q10" s="351">
        <f t="shared" si="6"/>
        <v>0.95318181818181835</v>
      </c>
      <c r="R10" s="619"/>
      <c r="S10" s="31">
        <v>0.22708333333333333</v>
      </c>
      <c r="T10" s="31">
        <v>0.41041666666666665</v>
      </c>
      <c r="U10" s="350">
        <f t="shared" ref="U10:U11" si="14">IF(S10=TIME(17,0,0),"",(S10-T9)*24*60)</f>
        <v>29.000000000000018</v>
      </c>
      <c r="V10" s="354">
        <f t="shared" si="13"/>
        <v>263.99999999999994</v>
      </c>
      <c r="W10" s="17"/>
      <c r="X10" s="17"/>
      <c r="Y10" s="17"/>
      <c r="Z10" s="17"/>
      <c r="AA10" s="610"/>
      <c r="AB10" s="610"/>
      <c r="AC10" s="155"/>
      <c r="AD10" s="19"/>
      <c r="AE10" s="15">
        <f t="shared" si="8"/>
        <v>-70.227272727272293</v>
      </c>
      <c r="AF10" s="351">
        <f t="shared" si="9"/>
        <v>0.95318181818181846</v>
      </c>
      <c r="AG10" s="619"/>
    </row>
    <row r="11" spans="1:33" ht="15.75" customHeight="1">
      <c r="A11" s="645" t="s">
        <v>1641</v>
      </c>
      <c r="B11" s="33" t="s">
        <v>10</v>
      </c>
      <c r="C11" s="641" t="s">
        <v>13</v>
      </c>
      <c r="D11" s="642"/>
      <c r="E11" s="33">
        <v>39.520000000000003</v>
      </c>
      <c r="F11" s="356">
        <v>2211</v>
      </c>
      <c r="G11" s="350">
        <f t="shared" si="11"/>
        <v>87378.72</v>
      </c>
      <c r="H11" s="357" t="s">
        <v>5</v>
      </c>
      <c r="I11" s="353">
        <v>19</v>
      </c>
      <c r="J11" s="30">
        <v>1500</v>
      </c>
      <c r="K11" s="13">
        <f t="shared" si="1"/>
        <v>78.94736842105263</v>
      </c>
      <c r="L11" s="353">
        <v>19</v>
      </c>
      <c r="M11" s="14">
        <f t="shared" si="12"/>
        <v>1441.9565217391305</v>
      </c>
      <c r="N11" s="13">
        <f t="shared" si="3"/>
        <v>75.892448512585815</v>
      </c>
      <c r="O11" s="15">
        <f t="shared" si="4"/>
        <v>0</v>
      </c>
      <c r="P11" s="16">
        <f t="shared" si="5"/>
        <v>-3.0549199084668146</v>
      </c>
      <c r="Q11" s="351">
        <f t="shared" si="6"/>
        <v>0.96130434782608698</v>
      </c>
      <c r="R11" s="619"/>
      <c r="S11" s="31">
        <v>0.41388888888888886</v>
      </c>
      <c r="T11" s="31">
        <v>0.47777777777777775</v>
      </c>
      <c r="U11" s="350">
        <f t="shared" si="14"/>
        <v>4.9999999999999822</v>
      </c>
      <c r="V11" s="354">
        <f t="shared" si="13"/>
        <v>92</v>
      </c>
      <c r="W11" s="17"/>
      <c r="X11" s="17"/>
      <c r="Y11" s="17"/>
      <c r="Z11" s="17"/>
      <c r="AA11" s="610"/>
      <c r="AB11" s="610"/>
      <c r="AC11" s="155"/>
      <c r="AD11" s="19"/>
      <c r="AE11" s="15">
        <f t="shared" si="8"/>
        <v>-58.043478260869506</v>
      </c>
      <c r="AF11" s="351">
        <f t="shared" si="9"/>
        <v>0.96130434782608698</v>
      </c>
      <c r="AG11" s="619"/>
    </row>
    <row r="12" spans="1:33" ht="16.5" customHeight="1">
      <c r="A12" s="645" t="s">
        <v>1641</v>
      </c>
      <c r="B12" s="33" t="s">
        <v>1640</v>
      </c>
      <c r="C12" s="620"/>
      <c r="D12" s="620"/>
      <c r="E12" s="352"/>
      <c r="F12" s="30"/>
      <c r="G12" s="14"/>
      <c r="H12" s="356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1436.2318470488965</v>
      </c>
      <c r="N12" s="13">
        <f t="shared" si="3"/>
        <v>78.339918929939813</v>
      </c>
      <c r="O12" s="15">
        <f t="shared" si="4"/>
        <v>0</v>
      </c>
      <c r="P12" s="16">
        <f t="shared" si="5"/>
        <v>-3.4782628882420141</v>
      </c>
      <c r="Q12" s="351">
        <f t="shared" si="6"/>
        <v>0.9574878980325976</v>
      </c>
      <c r="R12" s="619"/>
      <c r="S12" s="31"/>
      <c r="T12" s="31"/>
      <c r="U12" s="13"/>
      <c r="V12" s="354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-63.768152951103502</v>
      </c>
      <c r="AF12" s="351">
        <f t="shared" si="9"/>
        <v>0.95748789803259771</v>
      </c>
      <c r="AG12" s="619"/>
    </row>
    <row r="13" spans="1:33" ht="16.5" customHeight="1">
      <c r="A13" s="643" t="s">
        <v>1642</v>
      </c>
      <c r="B13" s="356" t="s">
        <v>15</v>
      </c>
      <c r="C13" s="635" t="s">
        <v>16</v>
      </c>
      <c r="D13" s="635"/>
      <c r="E13" s="33">
        <v>31.11</v>
      </c>
      <c r="F13" s="356">
        <v>1945</v>
      </c>
      <c r="G13" s="350">
        <f t="shared" ref="G13:G19" si="15">E13*F13</f>
        <v>60508.95</v>
      </c>
      <c r="H13" s="357" t="s">
        <v>5</v>
      </c>
      <c r="I13" s="353">
        <v>14</v>
      </c>
      <c r="J13" s="30">
        <v>2000</v>
      </c>
      <c r="K13" s="13">
        <f t="shared" si="1"/>
        <v>142.85714285714286</v>
      </c>
      <c r="L13" s="353">
        <v>14</v>
      </c>
      <c r="M13" s="14">
        <f t="shared" ref="M13:M19" si="16">F13/V13*60</f>
        <v>1913.11475409836</v>
      </c>
      <c r="N13" s="13">
        <f t="shared" si="3"/>
        <v>136.65105386416857</v>
      </c>
      <c r="O13" s="15">
        <f t="shared" si="4"/>
        <v>0</v>
      </c>
      <c r="P13" s="16">
        <f t="shared" si="5"/>
        <v>-6.2060889929742871</v>
      </c>
      <c r="Q13" s="351">
        <f t="shared" si="6"/>
        <v>0.95655737704917998</v>
      </c>
      <c r="R13" s="619">
        <f>Q20</f>
        <v>0.95913788601831362</v>
      </c>
      <c r="S13" s="31">
        <v>0.25</v>
      </c>
      <c r="T13" s="31">
        <v>0.29236111111111113</v>
      </c>
      <c r="U13" s="350"/>
      <c r="V13" s="354">
        <f t="shared" ref="V13:V19" si="17">(T13-S13)*24*60</f>
        <v>61.000000000000021</v>
      </c>
      <c r="W13" s="17"/>
      <c r="X13" s="17"/>
      <c r="Y13" s="22"/>
      <c r="Z13" s="22"/>
      <c r="AA13" s="610"/>
      <c r="AB13" s="610"/>
      <c r="AC13" s="155">
        <v>7</v>
      </c>
      <c r="AD13" s="19"/>
      <c r="AE13" s="15">
        <f t="shared" si="8"/>
        <v>-86.885245901640019</v>
      </c>
      <c r="AF13" s="351">
        <f t="shared" si="9"/>
        <v>0.95655737704917998</v>
      </c>
      <c r="AG13" s="619">
        <f>AF20</f>
        <v>0.95913788601831362</v>
      </c>
    </row>
    <row r="14" spans="1:33" ht="16.5" customHeight="1">
      <c r="A14" s="644" t="s">
        <v>1642</v>
      </c>
      <c r="B14" s="356" t="s">
        <v>17</v>
      </c>
      <c r="C14" s="635" t="s">
        <v>18</v>
      </c>
      <c r="D14" s="635"/>
      <c r="E14" s="33">
        <v>41</v>
      </c>
      <c r="F14" s="356">
        <v>1646</v>
      </c>
      <c r="G14" s="350">
        <f t="shared" si="15"/>
        <v>67486</v>
      </c>
      <c r="H14" s="357" t="s">
        <v>5</v>
      </c>
      <c r="I14" s="353">
        <v>26</v>
      </c>
      <c r="J14" s="30">
        <v>1500</v>
      </c>
      <c r="K14" s="13">
        <f t="shared" si="1"/>
        <v>57.692307692307693</v>
      </c>
      <c r="L14" s="353">
        <v>26</v>
      </c>
      <c r="M14" s="14">
        <f t="shared" si="16"/>
        <v>1431.304347826087</v>
      </c>
      <c r="N14" s="13">
        <f t="shared" si="3"/>
        <v>55.050167224080269</v>
      </c>
      <c r="O14" s="15">
        <f t="shared" si="4"/>
        <v>0</v>
      </c>
      <c r="P14" s="16">
        <f t="shared" si="5"/>
        <v>-2.6421404682274243</v>
      </c>
      <c r="Q14" s="351">
        <f t="shared" si="6"/>
        <v>0.9542028985507246</v>
      </c>
      <c r="R14" s="619"/>
      <c r="S14" s="31">
        <v>0.29652777777777778</v>
      </c>
      <c r="T14" s="31">
        <v>0.34444444444444444</v>
      </c>
      <c r="U14" s="350">
        <f t="shared" ref="U14:U19" si="18">IF(S14=TIME(17,0,0),"",(S14-T13)*24*60)</f>
        <v>5.9999999999999787</v>
      </c>
      <c r="V14" s="354">
        <f t="shared" si="17"/>
        <v>69</v>
      </c>
      <c r="W14" s="17"/>
      <c r="X14" s="17"/>
      <c r="Y14" s="17"/>
      <c r="Z14" s="17"/>
      <c r="AA14" s="610"/>
      <c r="AB14" s="610"/>
      <c r="AC14" s="155"/>
      <c r="AD14" s="19"/>
      <c r="AE14" s="15">
        <f t="shared" si="8"/>
        <v>-68.695652173913004</v>
      </c>
      <c r="AF14" s="351">
        <f t="shared" si="9"/>
        <v>0.95420289855072471</v>
      </c>
      <c r="AG14" s="619"/>
    </row>
    <row r="15" spans="1:33" ht="16.5" customHeight="1">
      <c r="A15" s="644" t="s">
        <v>1642</v>
      </c>
      <c r="B15" s="356" t="s">
        <v>15</v>
      </c>
      <c r="C15" s="635" t="s">
        <v>76</v>
      </c>
      <c r="D15" s="635"/>
      <c r="E15" s="33">
        <v>68.88</v>
      </c>
      <c r="F15" s="356">
        <v>1269</v>
      </c>
      <c r="G15" s="350">
        <f t="shared" si="15"/>
        <v>87408.72</v>
      </c>
      <c r="H15" s="357" t="s">
        <v>5</v>
      </c>
      <c r="I15" s="353">
        <v>16</v>
      </c>
      <c r="J15" s="30">
        <v>2000</v>
      </c>
      <c r="K15" s="13">
        <f t="shared" si="1"/>
        <v>125</v>
      </c>
      <c r="L15" s="353">
        <v>16</v>
      </c>
      <c r="M15" s="14">
        <f t="shared" si="16"/>
        <v>1903.4999999999993</v>
      </c>
      <c r="N15" s="13">
        <f t="shared" si="3"/>
        <v>118.96874999999996</v>
      </c>
      <c r="O15" s="15">
        <f t="shared" si="4"/>
        <v>0</v>
      </c>
      <c r="P15" s="16">
        <f t="shared" si="5"/>
        <v>-6.0312500000000426</v>
      </c>
      <c r="Q15" s="351">
        <f t="shared" si="6"/>
        <v>0.95174999999999965</v>
      </c>
      <c r="R15" s="619"/>
      <c r="S15" s="31">
        <v>0.35</v>
      </c>
      <c r="T15" s="31">
        <v>0.37777777777777777</v>
      </c>
      <c r="U15" s="350">
        <f t="shared" si="18"/>
        <v>7.9999999999999716</v>
      </c>
      <c r="V15" s="354">
        <f t="shared" si="17"/>
        <v>40.000000000000014</v>
      </c>
      <c r="W15" s="17"/>
      <c r="X15" s="17"/>
      <c r="Y15" s="17"/>
      <c r="Z15" s="17"/>
      <c r="AA15" s="610"/>
      <c r="AB15" s="610"/>
      <c r="AC15" s="155"/>
      <c r="AD15" s="19"/>
      <c r="AE15" s="15">
        <f t="shared" si="8"/>
        <v>-96.500000000000682</v>
      </c>
      <c r="AF15" s="351">
        <f t="shared" si="9"/>
        <v>0.95174999999999965</v>
      </c>
      <c r="AG15" s="619"/>
    </row>
    <row r="16" spans="1:33" ht="16.5" customHeight="1">
      <c r="A16" s="644" t="s">
        <v>1642</v>
      </c>
      <c r="B16" s="356" t="s">
        <v>10</v>
      </c>
      <c r="C16" s="635" t="s">
        <v>12</v>
      </c>
      <c r="D16" s="635"/>
      <c r="E16" s="33">
        <v>39.46</v>
      </c>
      <c r="F16" s="356">
        <v>2208</v>
      </c>
      <c r="G16" s="350">
        <f t="shared" si="15"/>
        <v>87127.680000000008</v>
      </c>
      <c r="H16" s="357" t="s">
        <v>5</v>
      </c>
      <c r="I16" s="353">
        <v>15</v>
      </c>
      <c r="J16" s="30">
        <v>1500</v>
      </c>
      <c r="K16" s="13">
        <f t="shared" si="1"/>
        <v>100</v>
      </c>
      <c r="L16" s="353">
        <v>15</v>
      </c>
      <c r="M16" s="14">
        <f t="shared" si="16"/>
        <v>1440</v>
      </c>
      <c r="N16" s="13">
        <f t="shared" si="3"/>
        <v>96</v>
      </c>
      <c r="O16" s="15">
        <f t="shared" si="4"/>
        <v>0</v>
      </c>
      <c r="P16" s="16">
        <f t="shared" si="5"/>
        <v>-4</v>
      </c>
      <c r="Q16" s="351">
        <f t="shared" si="6"/>
        <v>0.96</v>
      </c>
      <c r="R16" s="619"/>
      <c r="S16" s="31">
        <v>0.38263888888888886</v>
      </c>
      <c r="T16" s="31">
        <v>0.44652777777777775</v>
      </c>
      <c r="U16" s="350">
        <f t="shared" si="18"/>
        <v>6.9999999999999751</v>
      </c>
      <c r="V16" s="354">
        <f t="shared" si="17"/>
        <v>92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-60</v>
      </c>
      <c r="AF16" s="351">
        <f t="shared" si="9"/>
        <v>0.96</v>
      </c>
      <c r="AG16" s="619"/>
    </row>
    <row r="17" spans="1:33" ht="16.5" customHeight="1">
      <c r="A17" s="644" t="s">
        <v>1642</v>
      </c>
      <c r="B17" s="356" t="s">
        <v>6</v>
      </c>
      <c r="C17" s="635" t="s">
        <v>20</v>
      </c>
      <c r="D17" s="635"/>
      <c r="E17" s="33">
        <v>54.5</v>
      </c>
      <c r="F17" s="356">
        <v>661</v>
      </c>
      <c r="G17" s="350">
        <f t="shared" si="15"/>
        <v>36024.5</v>
      </c>
      <c r="H17" s="357" t="s">
        <v>5</v>
      </c>
      <c r="I17" s="353">
        <v>19</v>
      </c>
      <c r="J17" s="30">
        <v>1500</v>
      </c>
      <c r="K17" s="13">
        <f t="shared" si="1"/>
        <v>78.94736842105263</v>
      </c>
      <c r="L17" s="353">
        <v>19</v>
      </c>
      <c r="M17" s="14">
        <f t="shared" si="16"/>
        <v>1468.8888888888855</v>
      </c>
      <c r="N17" s="13">
        <f t="shared" si="3"/>
        <v>77.30994152046766</v>
      </c>
      <c r="O17" s="15">
        <f t="shared" si="4"/>
        <v>0</v>
      </c>
      <c r="P17" s="16">
        <f t="shared" si="5"/>
        <v>-1.6374269005849698</v>
      </c>
      <c r="Q17" s="351">
        <f t="shared" si="6"/>
        <v>0.97925925925925705</v>
      </c>
      <c r="R17" s="619"/>
      <c r="S17" s="31">
        <v>0.70833333333333337</v>
      </c>
      <c r="T17" s="31">
        <v>0.72708333333333341</v>
      </c>
      <c r="U17" s="350" t="str">
        <f t="shared" si="18"/>
        <v/>
      </c>
      <c r="V17" s="354">
        <f t="shared" si="17"/>
        <v>27.000000000000064</v>
      </c>
      <c r="W17" s="17"/>
      <c r="X17" s="17"/>
      <c r="Y17" s="17"/>
      <c r="Z17" s="17"/>
      <c r="AA17" s="610"/>
      <c r="AB17" s="610"/>
      <c r="AC17" s="155"/>
      <c r="AD17" s="19"/>
      <c r="AE17" s="15">
        <f t="shared" si="8"/>
        <v>-31.111111111114496</v>
      </c>
      <c r="AF17" s="351">
        <f t="shared" si="9"/>
        <v>0.97925925925925705</v>
      </c>
      <c r="AG17" s="619"/>
    </row>
    <row r="18" spans="1:33" ht="16.5" customHeight="1">
      <c r="A18" s="644" t="s">
        <v>1642</v>
      </c>
      <c r="B18" s="356" t="s">
        <v>6</v>
      </c>
      <c r="C18" s="358" t="s">
        <v>19</v>
      </c>
      <c r="D18" s="359"/>
      <c r="E18" s="33">
        <v>50.67</v>
      </c>
      <c r="F18" s="356">
        <v>482</v>
      </c>
      <c r="G18" s="350">
        <f t="shared" si="15"/>
        <v>24422.940000000002</v>
      </c>
      <c r="H18" s="357" t="s">
        <v>5</v>
      </c>
      <c r="I18" s="353">
        <v>17</v>
      </c>
      <c r="J18" s="30">
        <v>2000</v>
      </c>
      <c r="K18" s="13">
        <f t="shared" si="1"/>
        <v>117.64705882352941</v>
      </c>
      <c r="L18" s="353">
        <v>17</v>
      </c>
      <c r="M18" s="14">
        <f t="shared" si="16"/>
        <v>1928.0000000000068</v>
      </c>
      <c r="N18" s="13">
        <f t="shared" si="3"/>
        <v>113.41176470588276</v>
      </c>
      <c r="O18" s="15">
        <f t="shared" si="4"/>
        <v>0</v>
      </c>
      <c r="P18" s="16">
        <f t="shared" si="5"/>
        <v>-4.2352941176466459</v>
      </c>
      <c r="Q18" s="351">
        <f t="shared" si="6"/>
        <v>0.96400000000000352</v>
      </c>
      <c r="R18" s="619"/>
      <c r="S18" s="31">
        <v>0.73125000000000007</v>
      </c>
      <c r="T18" s="31">
        <v>0.7416666666666667</v>
      </c>
      <c r="U18" s="350">
        <f t="shared" si="18"/>
        <v>5.9999999999999787</v>
      </c>
      <c r="V18" s="354">
        <f t="shared" si="17"/>
        <v>14.999999999999947</v>
      </c>
      <c r="W18" s="17"/>
      <c r="X18" s="17"/>
      <c r="Y18" s="20"/>
      <c r="Z18" s="20"/>
      <c r="AA18" s="348"/>
      <c r="AB18" s="349"/>
      <c r="AC18" s="155"/>
      <c r="AD18" s="19"/>
      <c r="AE18" s="15">
        <f t="shared" si="8"/>
        <v>-71.999999999993179</v>
      </c>
      <c r="AF18" s="351">
        <f t="shared" si="9"/>
        <v>0.96400000000000341</v>
      </c>
      <c r="AG18" s="619"/>
    </row>
    <row r="19" spans="1:33" ht="16.5" customHeight="1">
      <c r="A19" s="644" t="s">
        <v>1642</v>
      </c>
      <c r="B19" s="356" t="s">
        <v>6</v>
      </c>
      <c r="C19" s="358" t="s">
        <v>45</v>
      </c>
      <c r="D19" s="359"/>
      <c r="E19" s="33">
        <v>51.06</v>
      </c>
      <c r="F19" s="356">
        <v>2444</v>
      </c>
      <c r="G19" s="350">
        <f t="shared" si="15"/>
        <v>124790.64</v>
      </c>
      <c r="H19" s="357" t="s">
        <v>5</v>
      </c>
      <c r="I19" s="353">
        <v>13</v>
      </c>
      <c r="J19" s="30">
        <v>2000</v>
      </c>
      <c r="K19" s="13">
        <f t="shared" si="1"/>
        <v>153.84615384615384</v>
      </c>
      <c r="L19" s="353">
        <v>13</v>
      </c>
      <c r="M19" s="14">
        <f t="shared" si="16"/>
        <v>1904.4155844155835</v>
      </c>
      <c r="N19" s="13">
        <f t="shared" si="3"/>
        <v>146.49350649350643</v>
      </c>
      <c r="O19" s="15">
        <f t="shared" si="4"/>
        <v>0</v>
      </c>
      <c r="P19" s="16">
        <f t="shared" si="5"/>
        <v>-7.3526473526474092</v>
      </c>
      <c r="Q19" s="351">
        <f t="shared" si="6"/>
        <v>0.95220779220779184</v>
      </c>
      <c r="R19" s="619"/>
      <c r="S19" s="31">
        <v>0.74583333333333335</v>
      </c>
      <c r="T19" s="31">
        <v>0.7993055555555556</v>
      </c>
      <c r="U19" s="350">
        <f t="shared" si="18"/>
        <v>5.9999999999999787</v>
      </c>
      <c r="V19" s="354">
        <f t="shared" si="17"/>
        <v>77.000000000000043</v>
      </c>
      <c r="W19" s="17"/>
      <c r="X19" s="17"/>
      <c r="Y19" s="20"/>
      <c r="Z19" s="20"/>
      <c r="AA19" s="348"/>
      <c r="AB19" s="349"/>
      <c r="AC19" s="155"/>
      <c r="AD19" s="19"/>
      <c r="AE19" s="15">
        <f t="shared" si="8"/>
        <v>-95.584415584416547</v>
      </c>
      <c r="AF19" s="351">
        <f t="shared" si="9"/>
        <v>0.95220779220779173</v>
      </c>
      <c r="AG19" s="619"/>
    </row>
    <row r="20" spans="1:33" ht="16.5" customHeight="1">
      <c r="A20" s="644" t="s">
        <v>1642</v>
      </c>
      <c r="B20" s="33" t="s">
        <v>1640</v>
      </c>
      <c r="C20" s="620"/>
      <c r="D20" s="620"/>
      <c r="E20" s="352"/>
      <c r="F20" s="34"/>
      <c r="G20" s="13"/>
      <c r="H20" s="356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1712.746225032703</v>
      </c>
      <c r="N20" s="13">
        <f t="shared" si="3"/>
        <v>99.910196460241011</v>
      </c>
      <c r="O20" s="15">
        <f t="shared" si="4"/>
        <v>0</v>
      </c>
      <c r="P20" s="16">
        <f t="shared" si="5"/>
        <v>-4.2564702064256608</v>
      </c>
      <c r="Q20" s="351">
        <f t="shared" si="6"/>
        <v>0.95913788601831362</v>
      </c>
      <c r="R20" s="619"/>
      <c r="S20" s="31"/>
      <c r="T20" s="31"/>
      <c r="U20" s="350"/>
      <c r="V20" s="354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-72.968060681582756</v>
      </c>
      <c r="AF20" s="351">
        <f t="shared" si="9"/>
        <v>0.95913788601831362</v>
      </c>
      <c r="AG20" s="619"/>
    </row>
    <row r="21" spans="1:33" ht="15.75" customHeight="1">
      <c r="A21" s="637" t="s">
        <v>1643</v>
      </c>
      <c r="B21" s="33" t="s">
        <v>6</v>
      </c>
      <c r="C21" s="635" t="s">
        <v>22</v>
      </c>
      <c r="D21" s="635"/>
      <c r="E21" s="33">
        <v>50.67</v>
      </c>
      <c r="F21" s="356">
        <v>1605</v>
      </c>
      <c r="G21" s="350">
        <f t="shared" ref="G21:G26" si="19">E21*F21</f>
        <v>81325.350000000006</v>
      </c>
      <c r="H21" s="357" t="s">
        <v>5</v>
      </c>
      <c r="I21" s="353">
        <v>17</v>
      </c>
      <c r="J21" s="30">
        <v>2000</v>
      </c>
      <c r="K21" s="13">
        <f t="shared" si="1"/>
        <v>117.64705882352941</v>
      </c>
      <c r="L21" s="353">
        <v>17</v>
      </c>
      <c r="M21" s="14">
        <f t="shared" ref="M21:M26" si="20">F21/V21*60</f>
        <v>1926.0000000000005</v>
      </c>
      <c r="N21" s="13">
        <f t="shared" si="3"/>
        <v>113.29411764705885</v>
      </c>
      <c r="O21" s="15">
        <f t="shared" si="4"/>
        <v>0</v>
      </c>
      <c r="P21" s="16">
        <f t="shared" si="5"/>
        <v>-4.3529411764705515</v>
      </c>
      <c r="Q21" s="351">
        <f t="shared" si="6"/>
        <v>0.9630000000000003</v>
      </c>
      <c r="R21" s="619">
        <f>Q27</f>
        <v>0.96207921405186547</v>
      </c>
      <c r="S21" s="31">
        <v>0.25</v>
      </c>
      <c r="T21" s="31">
        <v>0.28472222222222221</v>
      </c>
      <c r="U21" s="350"/>
      <c r="V21" s="354">
        <f t="shared" ref="V21:V26" si="21">(T21-S21)*24*60</f>
        <v>49.999999999999986</v>
      </c>
      <c r="W21" s="17"/>
      <c r="X21" s="17"/>
      <c r="Y21" s="22"/>
      <c r="Z21" s="22"/>
      <c r="AA21" s="610"/>
      <c r="AB21" s="610"/>
      <c r="AC21" s="155">
        <v>6</v>
      </c>
      <c r="AD21" s="19"/>
      <c r="AE21" s="15">
        <f t="shared" si="8"/>
        <v>-73.999999999999545</v>
      </c>
      <c r="AF21" s="351">
        <f t="shared" si="9"/>
        <v>0.96300000000000019</v>
      </c>
      <c r="AG21" s="619">
        <f>AF27</f>
        <v>0.96207921405186547</v>
      </c>
    </row>
    <row r="22" spans="1:33" ht="15.75" customHeight="1">
      <c r="A22" s="638" t="s">
        <v>1643</v>
      </c>
      <c r="B22" s="33" t="s">
        <v>6</v>
      </c>
      <c r="C22" s="635" t="s">
        <v>23</v>
      </c>
      <c r="D22" s="635"/>
      <c r="E22" s="33">
        <v>57.73</v>
      </c>
      <c r="F22" s="356">
        <v>2330</v>
      </c>
      <c r="G22" s="350">
        <f t="shared" si="19"/>
        <v>134510.9</v>
      </c>
      <c r="H22" s="357" t="s">
        <v>5</v>
      </c>
      <c r="I22" s="353">
        <v>14</v>
      </c>
      <c r="J22" s="30">
        <v>2000</v>
      </c>
      <c r="K22" s="13">
        <f t="shared" si="1"/>
        <v>142.85714285714286</v>
      </c>
      <c r="L22" s="353">
        <v>14</v>
      </c>
      <c r="M22" s="14">
        <f t="shared" si="20"/>
        <v>1915.0684931506853</v>
      </c>
      <c r="N22" s="13">
        <f t="shared" si="3"/>
        <v>136.79060665362039</v>
      </c>
      <c r="O22" s="15">
        <f t="shared" si="4"/>
        <v>0</v>
      </c>
      <c r="P22" s="16">
        <f t="shared" si="5"/>
        <v>-6.0665362035224746</v>
      </c>
      <c r="Q22" s="351">
        <f t="shared" si="6"/>
        <v>0.9575342465753427</v>
      </c>
      <c r="R22" s="619"/>
      <c r="S22" s="31">
        <v>0.28819444444444442</v>
      </c>
      <c r="T22" s="31">
        <v>0.33888888888888885</v>
      </c>
      <c r="U22" s="350">
        <f t="shared" ref="U22:U26" si="22">IF(S22=TIME(17,0,0),"",(S22-T21)*24*60)</f>
        <v>4.9999999999999822</v>
      </c>
      <c r="V22" s="354">
        <f t="shared" si="21"/>
        <v>72.999999999999986</v>
      </c>
      <c r="W22" s="17"/>
      <c r="X22" s="350"/>
      <c r="Y22" s="350"/>
      <c r="Z22" s="350"/>
      <c r="AA22" s="610"/>
      <c r="AB22" s="610"/>
      <c r="AC22" s="155"/>
      <c r="AD22" s="19"/>
      <c r="AE22" s="15">
        <f t="shared" si="8"/>
        <v>-84.931506849314701</v>
      </c>
      <c r="AF22" s="351">
        <f t="shared" si="9"/>
        <v>0.9575342465753427</v>
      </c>
      <c r="AG22" s="619"/>
    </row>
    <row r="23" spans="1:33" ht="15.75" customHeight="1">
      <c r="A23" s="638" t="s">
        <v>1643</v>
      </c>
      <c r="B23" s="33" t="s">
        <v>6</v>
      </c>
      <c r="C23" s="635" t="s">
        <v>24</v>
      </c>
      <c r="D23" s="635"/>
      <c r="E23" s="33">
        <v>53.27</v>
      </c>
      <c r="F23" s="356">
        <v>1535</v>
      </c>
      <c r="G23" s="350">
        <f t="shared" si="19"/>
        <v>81769.450000000012</v>
      </c>
      <c r="H23" s="357" t="s">
        <v>5</v>
      </c>
      <c r="I23" s="353">
        <v>16</v>
      </c>
      <c r="J23" s="30">
        <v>2000</v>
      </c>
      <c r="K23" s="13">
        <f t="shared" si="1"/>
        <v>125</v>
      </c>
      <c r="L23" s="353">
        <v>16</v>
      </c>
      <c r="M23" s="14">
        <f t="shared" si="20"/>
        <v>1918.7500000000005</v>
      </c>
      <c r="N23" s="13">
        <f t="shared" si="3"/>
        <v>119.92187500000003</v>
      </c>
      <c r="O23" s="15">
        <f t="shared" si="4"/>
        <v>0</v>
      </c>
      <c r="P23" s="16">
        <f t="shared" si="5"/>
        <v>-5.0781249999999716</v>
      </c>
      <c r="Q23" s="351">
        <f t="shared" si="6"/>
        <v>0.9593750000000002</v>
      </c>
      <c r="R23" s="619"/>
      <c r="S23" s="31">
        <v>0.34444444444444439</v>
      </c>
      <c r="T23" s="31">
        <v>0.37777777777777771</v>
      </c>
      <c r="U23" s="350">
        <f t="shared" si="22"/>
        <v>7.9999999999999716</v>
      </c>
      <c r="V23" s="354">
        <f t="shared" si="21"/>
        <v>47.999999999999986</v>
      </c>
      <c r="W23" s="17"/>
      <c r="X23" s="350"/>
      <c r="Y23" s="350"/>
      <c r="Z23" s="350"/>
      <c r="AA23" s="610"/>
      <c r="AB23" s="610"/>
      <c r="AC23" s="155"/>
      <c r="AD23" s="19"/>
      <c r="AE23" s="15">
        <f t="shared" si="8"/>
        <v>-81.249999999999545</v>
      </c>
      <c r="AF23" s="351">
        <f t="shared" si="9"/>
        <v>0.9593750000000002</v>
      </c>
      <c r="AG23" s="619"/>
    </row>
    <row r="24" spans="1:33" ht="15.75" customHeight="1">
      <c r="A24" s="638" t="s">
        <v>1643</v>
      </c>
      <c r="B24" s="33" t="s">
        <v>6</v>
      </c>
      <c r="C24" s="635" t="s">
        <v>21</v>
      </c>
      <c r="D24" s="635"/>
      <c r="E24" s="33">
        <v>50.49</v>
      </c>
      <c r="F24" s="356">
        <v>1698</v>
      </c>
      <c r="G24" s="350">
        <f t="shared" si="19"/>
        <v>85732.02</v>
      </c>
      <c r="H24" s="357" t="s">
        <v>5</v>
      </c>
      <c r="I24" s="353">
        <v>15</v>
      </c>
      <c r="J24" s="30">
        <v>2000</v>
      </c>
      <c r="K24" s="13">
        <f t="shared" si="1"/>
        <v>133.33333333333334</v>
      </c>
      <c r="L24" s="353">
        <v>15</v>
      </c>
      <c r="M24" s="14">
        <f t="shared" si="20"/>
        <v>1922.2641509433975</v>
      </c>
      <c r="N24" s="13">
        <f t="shared" si="3"/>
        <v>128.15094339622649</v>
      </c>
      <c r="O24" s="15">
        <f t="shared" si="4"/>
        <v>0</v>
      </c>
      <c r="P24" s="16">
        <f t="shared" si="5"/>
        <v>-5.1823899371068478</v>
      </c>
      <c r="Q24" s="351">
        <f t="shared" si="6"/>
        <v>0.96113207547169865</v>
      </c>
      <c r="R24" s="619"/>
      <c r="S24" s="31">
        <v>0.70833333333333337</v>
      </c>
      <c r="T24" s="31">
        <v>0.74513888888888891</v>
      </c>
      <c r="U24" s="350" t="str">
        <f t="shared" si="22"/>
        <v/>
      </c>
      <c r="V24" s="354">
        <f t="shared" si="21"/>
        <v>52.999999999999972</v>
      </c>
      <c r="W24" s="17"/>
      <c r="X24" s="350"/>
      <c r="Y24" s="350"/>
      <c r="Z24" s="350"/>
      <c r="AA24" s="610"/>
      <c r="AB24" s="610"/>
      <c r="AC24" s="155"/>
      <c r="AD24" s="19"/>
      <c r="AE24" s="15">
        <f t="shared" si="8"/>
        <v>-77.735849056602547</v>
      </c>
      <c r="AF24" s="351">
        <f t="shared" si="9"/>
        <v>0.96113207547169877</v>
      </c>
      <c r="AG24" s="619"/>
    </row>
    <row r="25" spans="1:33" ht="15.75" customHeight="1">
      <c r="A25" s="638" t="s">
        <v>1643</v>
      </c>
      <c r="B25" s="33" t="s">
        <v>6</v>
      </c>
      <c r="C25" s="635" t="s">
        <v>26</v>
      </c>
      <c r="D25" s="635"/>
      <c r="E25" s="33">
        <v>54.09</v>
      </c>
      <c r="F25" s="356">
        <v>1695</v>
      </c>
      <c r="G25" s="350">
        <f t="shared" si="19"/>
        <v>91682.55</v>
      </c>
      <c r="H25" s="357" t="s">
        <v>5</v>
      </c>
      <c r="I25" s="353">
        <v>18</v>
      </c>
      <c r="J25" s="30">
        <v>2000</v>
      </c>
      <c r="K25" s="13">
        <f t="shared" si="1"/>
        <v>111.11111111111111</v>
      </c>
      <c r="L25" s="353">
        <v>18</v>
      </c>
      <c r="M25" s="14">
        <f t="shared" si="20"/>
        <v>1918.8679245283031</v>
      </c>
      <c r="N25" s="13">
        <f t="shared" si="3"/>
        <v>106.60377358490572</v>
      </c>
      <c r="O25" s="15">
        <f t="shared" si="4"/>
        <v>0</v>
      </c>
      <c r="P25" s="16">
        <f t="shared" si="5"/>
        <v>-4.5073375262053901</v>
      </c>
      <c r="Q25" s="351">
        <f t="shared" si="6"/>
        <v>0.95943396226415145</v>
      </c>
      <c r="R25" s="619"/>
      <c r="S25" s="31">
        <v>0.74930555555555556</v>
      </c>
      <c r="T25" s="31">
        <v>0.78611111111111109</v>
      </c>
      <c r="U25" s="350">
        <f t="shared" si="22"/>
        <v>5.9999999999999787</v>
      </c>
      <c r="V25" s="354">
        <f t="shared" si="21"/>
        <v>52.999999999999972</v>
      </c>
      <c r="W25" s="17"/>
      <c r="X25" s="17"/>
      <c r="Y25" s="350"/>
      <c r="Z25" s="350"/>
      <c r="AA25" s="610"/>
      <c r="AB25" s="610"/>
      <c r="AC25" s="155"/>
      <c r="AD25" s="19"/>
      <c r="AE25" s="15">
        <f t="shared" si="8"/>
        <v>-81.132075471696908</v>
      </c>
      <c r="AF25" s="351">
        <f t="shared" si="9"/>
        <v>0.95943396226415156</v>
      </c>
      <c r="AG25" s="619"/>
    </row>
    <row r="26" spans="1:33" ht="15.75" customHeight="1">
      <c r="A26" s="638" t="s">
        <v>1643</v>
      </c>
      <c r="B26" s="33" t="s">
        <v>6</v>
      </c>
      <c r="C26" s="635" t="s">
        <v>9</v>
      </c>
      <c r="D26" s="635"/>
      <c r="E26" s="33">
        <v>50.67</v>
      </c>
      <c r="F26" s="356">
        <v>1134</v>
      </c>
      <c r="G26" s="350">
        <f t="shared" si="19"/>
        <v>57459.78</v>
      </c>
      <c r="H26" s="357" t="s">
        <v>5</v>
      </c>
      <c r="I26" s="353">
        <v>15</v>
      </c>
      <c r="J26" s="30">
        <v>2000</v>
      </c>
      <c r="K26" s="13">
        <f t="shared" si="1"/>
        <v>133.33333333333334</v>
      </c>
      <c r="L26" s="353">
        <v>15</v>
      </c>
      <c r="M26" s="14">
        <f t="shared" si="20"/>
        <v>1943.9999999999982</v>
      </c>
      <c r="N26" s="13">
        <f t="shared" si="3"/>
        <v>129.59999999999988</v>
      </c>
      <c r="O26" s="15">
        <f t="shared" si="4"/>
        <v>0</v>
      </c>
      <c r="P26" s="16">
        <f t="shared" si="5"/>
        <v>-3.7333333333334622</v>
      </c>
      <c r="Q26" s="351">
        <f t="shared" si="6"/>
        <v>0.97199999999999909</v>
      </c>
      <c r="R26" s="619"/>
      <c r="S26" s="31">
        <v>0.79097222222222219</v>
      </c>
      <c r="T26" s="31">
        <v>0.81527777777777777</v>
      </c>
      <c r="U26" s="350">
        <f t="shared" si="22"/>
        <v>6.9999999999999751</v>
      </c>
      <c r="V26" s="354">
        <f t="shared" si="21"/>
        <v>35.000000000000036</v>
      </c>
      <c r="W26" s="17"/>
      <c r="X26" s="22"/>
      <c r="Y26" s="22"/>
      <c r="Z26" s="22"/>
      <c r="AA26" s="610"/>
      <c r="AB26" s="610"/>
      <c r="AC26" s="155"/>
      <c r="AD26" s="19"/>
      <c r="AE26" s="15">
        <f t="shared" si="8"/>
        <v>-56.000000000001819</v>
      </c>
      <c r="AF26" s="351">
        <f t="shared" si="9"/>
        <v>0.97199999999999909</v>
      </c>
      <c r="AG26" s="619"/>
    </row>
    <row r="27" spans="1:33" ht="15.75" customHeight="1">
      <c r="A27" s="638" t="s">
        <v>1643</v>
      </c>
      <c r="B27" s="33" t="s">
        <v>1640</v>
      </c>
      <c r="C27" s="620"/>
      <c r="D27" s="620"/>
      <c r="E27" s="352"/>
      <c r="F27" s="356"/>
      <c r="G27" s="350"/>
      <c r="H27" s="356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1924.158428103731</v>
      </c>
      <c r="N27" s="13">
        <f t="shared" si="3"/>
        <v>121.525795459183</v>
      </c>
      <c r="O27" s="15">
        <f t="shared" si="4"/>
        <v>0</v>
      </c>
      <c r="P27" s="16">
        <f t="shared" si="5"/>
        <v>-4.7899940145012039</v>
      </c>
      <c r="Q27" s="351">
        <f t="shared" si="6"/>
        <v>0.96207921405186547</v>
      </c>
      <c r="R27" s="619"/>
      <c r="S27" s="31"/>
      <c r="T27" s="31"/>
      <c r="U27" s="13"/>
      <c r="V27" s="354"/>
      <c r="W27" s="13"/>
      <c r="X27" s="13"/>
      <c r="Y27" s="24">
        <f>SUM(Y21:Y26)</f>
        <v>0</v>
      </c>
      <c r="Z27" s="24">
        <f>SUM(Z21:Z26)</f>
        <v>0</v>
      </c>
      <c r="AA27" s="609"/>
      <c r="AB27" s="609"/>
      <c r="AC27" s="24">
        <v>6</v>
      </c>
      <c r="AD27" s="24">
        <f>SUM(AD21:AD26)</f>
        <v>0</v>
      </c>
      <c r="AE27" s="15">
        <f t="shared" si="8"/>
        <v>-75.841571896268988</v>
      </c>
      <c r="AF27" s="351">
        <f t="shared" si="9"/>
        <v>0.96207921405186547</v>
      </c>
      <c r="AG27" s="619"/>
    </row>
    <row r="28" spans="1:33" ht="15.75" customHeight="1">
      <c r="A28" s="636" t="s">
        <v>1644</v>
      </c>
      <c r="B28" s="33" t="s">
        <v>27</v>
      </c>
      <c r="C28" s="635" t="s">
        <v>28</v>
      </c>
      <c r="D28" s="635"/>
      <c r="E28" s="33">
        <v>31.29</v>
      </c>
      <c r="F28" s="356">
        <v>5300</v>
      </c>
      <c r="G28" s="350">
        <f t="shared" ref="G28:G34" si="23">E28*F28</f>
        <v>165837</v>
      </c>
      <c r="H28" s="357">
        <v>2</v>
      </c>
      <c r="I28" s="353">
        <v>18</v>
      </c>
      <c r="J28" s="30">
        <v>2400</v>
      </c>
      <c r="K28" s="13">
        <f t="shared" si="1"/>
        <v>133.33333333333334</v>
      </c>
      <c r="L28" s="353">
        <v>18</v>
      </c>
      <c r="M28" s="14">
        <f t="shared" ref="M28:M34" si="24">F28/V28*60</f>
        <v>2287.7697841726617</v>
      </c>
      <c r="N28" s="13">
        <f t="shared" si="3"/>
        <v>127.09832134292566</v>
      </c>
      <c r="O28" s="15">
        <f t="shared" si="4"/>
        <v>0</v>
      </c>
      <c r="P28" s="16">
        <f t="shared" si="5"/>
        <v>-6.2350119904076848</v>
      </c>
      <c r="Q28" s="351">
        <f t="shared" si="6"/>
        <v>0.9532374100719424</v>
      </c>
      <c r="R28" s="619">
        <f>Q35</f>
        <v>0.95742353345451592</v>
      </c>
      <c r="S28" s="31">
        <v>8.3333333333333329E-2</v>
      </c>
      <c r="T28" s="31">
        <v>0.17986111111111111</v>
      </c>
      <c r="U28" s="350"/>
      <c r="V28" s="354">
        <f t="shared" ref="V28:V34" si="25">(T28-S28)*24*60</f>
        <v>139</v>
      </c>
      <c r="W28" s="17">
        <f>T28</f>
        <v>0.17986111111111111</v>
      </c>
      <c r="X28" s="17">
        <f>S29</f>
        <v>0.2013888888888889</v>
      </c>
      <c r="Y28" s="17"/>
      <c r="Z28" s="17"/>
      <c r="AA28" s="610"/>
      <c r="AB28" s="610"/>
      <c r="AC28" s="155">
        <v>7</v>
      </c>
      <c r="AD28" s="19"/>
      <c r="AE28" s="15">
        <f t="shared" si="8"/>
        <v>-112.23021582733827</v>
      </c>
      <c r="AF28" s="351">
        <f t="shared" si="9"/>
        <v>0.9532374100719424</v>
      </c>
      <c r="AG28" s="619">
        <f>AF35</f>
        <v>0.95742353345451592</v>
      </c>
    </row>
    <row r="29" spans="1:33" ht="15.75" customHeight="1">
      <c r="A29" s="636" t="s">
        <v>1645</v>
      </c>
      <c r="B29" s="33" t="s">
        <v>27</v>
      </c>
      <c r="C29" s="635" t="s">
        <v>29</v>
      </c>
      <c r="D29" s="635"/>
      <c r="E29" s="33">
        <v>26.37</v>
      </c>
      <c r="F29" s="356">
        <v>6784</v>
      </c>
      <c r="G29" s="350">
        <f t="shared" si="23"/>
        <v>178894.08000000002</v>
      </c>
      <c r="H29" s="357" t="s">
        <v>5</v>
      </c>
      <c r="I29" s="353">
        <v>18</v>
      </c>
      <c r="J29" s="30">
        <v>2400</v>
      </c>
      <c r="K29" s="13">
        <f t="shared" si="1"/>
        <v>133.33333333333334</v>
      </c>
      <c r="L29" s="353">
        <v>18</v>
      </c>
      <c r="M29" s="14">
        <f t="shared" si="24"/>
        <v>2286.7415730337079</v>
      </c>
      <c r="N29" s="13">
        <f t="shared" si="3"/>
        <v>127.04119850187266</v>
      </c>
      <c r="O29" s="15">
        <f t="shared" si="4"/>
        <v>0</v>
      </c>
      <c r="P29" s="16">
        <f t="shared" si="5"/>
        <v>-6.292134831460686</v>
      </c>
      <c r="Q29" s="351">
        <f t="shared" si="6"/>
        <v>0.95280898876404485</v>
      </c>
      <c r="R29" s="619"/>
      <c r="S29" s="31">
        <v>0.2013888888888889</v>
      </c>
      <c r="T29" s="31">
        <v>0.32500000000000001</v>
      </c>
      <c r="U29" s="350">
        <f t="shared" ref="U29:U34" si="26">(S29-T28)*24*60</f>
        <v>31.000000000000011</v>
      </c>
      <c r="V29" s="354">
        <f t="shared" si="25"/>
        <v>178</v>
      </c>
      <c r="W29" s="17"/>
      <c r="X29" s="17"/>
      <c r="Y29" s="17"/>
      <c r="Z29" s="17"/>
      <c r="AA29" s="610"/>
      <c r="AB29" s="610"/>
      <c r="AC29" s="155"/>
      <c r="AD29" s="19"/>
      <c r="AE29" s="15">
        <f t="shared" si="8"/>
        <v>-113.25842696629206</v>
      </c>
      <c r="AF29" s="351">
        <f t="shared" si="9"/>
        <v>0.95280898876404496</v>
      </c>
      <c r="AG29" s="619"/>
    </row>
    <row r="30" spans="1:33" ht="15.75" customHeight="1">
      <c r="A30" s="636" t="s">
        <v>1645</v>
      </c>
      <c r="B30" s="33" t="s">
        <v>27</v>
      </c>
      <c r="C30" s="635" t="s">
        <v>34</v>
      </c>
      <c r="D30" s="635"/>
      <c r="E30" s="33">
        <v>24.43</v>
      </c>
      <c r="F30" s="356">
        <v>3300</v>
      </c>
      <c r="G30" s="350">
        <f t="shared" si="23"/>
        <v>80619</v>
      </c>
      <c r="H30" s="357">
        <v>2</v>
      </c>
      <c r="I30" s="353">
        <v>14</v>
      </c>
      <c r="J30" s="30">
        <v>2400</v>
      </c>
      <c r="K30" s="13">
        <f t="shared" si="1"/>
        <v>171.42857142857142</v>
      </c>
      <c r="L30" s="353">
        <v>14</v>
      </c>
      <c r="M30" s="14">
        <f t="shared" si="24"/>
        <v>2302.3255813953483</v>
      </c>
      <c r="N30" s="13">
        <f t="shared" si="3"/>
        <v>164.45182724252487</v>
      </c>
      <c r="O30" s="15">
        <f t="shared" si="4"/>
        <v>0</v>
      </c>
      <c r="P30" s="16">
        <f t="shared" si="5"/>
        <v>-6.9767441860465453</v>
      </c>
      <c r="Q30" s="351">
        <f t="shared" si="6"/>
        <v>0.95930232558139517</v>
      </c>
      <c r="R30" s="619"/>
      <c r="S30" s="31">
        <v>0.32847222222222222</v>
      </c>
      <c r="T30" s="31">
        <v>0.38819444444444445</v>
      </c>
      <c r="U30" s="350">
        <f t="shared" si="26"/>
        <v>4.9999999999999822</v>
      </c>
      <c r="V30" s="354">
        <f t="shared" si="25"/>
        <v>86.000000000000014</v>
      </c>
      <c r="W30" s="17"/>
      <c r="X30" s="17"/>
      <c r="Y30" s="17"/>
      <c r="Z30" s="17"/>
      <c r="AA30" s="610"/>
      <c r="AB30" s="610"/>
      <c r="AC30" s="155"/>
      <c r="AD30" s="19"/>
      <c r="AE30" s="15">
        <f t="shared" si="8"/>
        <v>-97.674418604651692</v>
      </c>
      <c r="AF30" s="351">
        <f t="shared" si="9"/>
        <v>0.95930232558139517</v>
      </c>
      <c r="AG30" s="619"/>
    </row>
    <row r="31" spans="1:33" ht="15.75" customHeight="1">
      <c r="A31" s="636" t="s">
        <v>192</v>
      </c>
      <c r="B31" s="33" t="s">
        <v>27</v>
      </c>
      <c r="C31" s="635" t="s">
        <v>75</v>
      </c>
      <c r="D31" s="635"/>
      <c r="E31" s="33">
        <v>25.98</v>
      </c>
      <c r="F31" s="356">
        <v>4353</v>
      </c>
      <c r="G31" s="350">
        <f t="shared" si="23"/>
        <v>113090.94</v>
      </c>
      <c r="H31" s="357" t="s">
        <v>5</v>
      </c>
      <c r="I31" s="353">
        <v>19</v>
      </c>
      <c r="J31" s="30">
        <v>2400</v>
      </c>
      <c r="K31" s="13">
        <f t="shared" si="1"/>
        <v>126.31578947368421</v>
      </c>
      <c r="L31" s="353">
        <v>19</v>
      </c>
      <c r="M31" s="14">
        <f t="shared" si="24"/>
        <v>2291.0526315789471</v>
      </c>
      <c r="N31" s="13">
        <f t="shared" si="3"/>
        <v>120.58171745152353</v>
      </c>
      <c r="O31" s="15">
        <f t="shared" si="4"/>
        <v>0</v>
      </c>
      <c r="P31" s="16">
        <f t="shared" si="5"/>
        <v>-5.7340720221606745</v>
      </c>
      <c r="Q31" s="351">
        <f t="shared" si="6"/>
        <v>0.95460526315789462</v>
      </c>
      <c r="R31" s="619"/>
      <c r="S31" s="31">
        <v>0.39305555555555555</v>
      </c>
      <c r="T31" s="31">
        <v>0.47222222222222221</v>
      </c>
      <c r="U31" s="350">
        <f t="shared" si="26"/>
        <v>6.9999999999999751</v>
      </c>
      <c r="V31" s="354">
        <f t="shared" si="25"/>
        <v>114</v>
      </c>
      <c r="W31" s="17"/>
      <c r="X31" s="17"/>
      <c r="Y31" s="17"/>
      <c r="Z31" s="17"/>
      <c r="AA31" s="610"/>
      <c r="AB31" s="610"/>
      <c r="AC31" s="155"/>
      <c r="AD31" s="19"/>
      <c r="AE31" s="15">
        <f t="shared" si="8"/>
        <v>-108.94736842105294</v>
      </c>
      <c r="AF31" s="351">
        <f t="shared" si="9"/>
        <v>0.95460526315789462</v>
      </c>
      <c r="AG31" s="619"/>
    </row>
    <row r="32" spans="1:33" ht="15.75" customHeight="1">
      <c r="A32" s="636" t="s">
        <v>192</v>
      </c>
      <c r="B32" s="33" t="s">
        <v>27</v>
      </c>
      <c r="C32" s="635" t="s">
        <v>55</v>
      </c>
      <c r="D32" s="635"/>
      <c r="E32" s="33">
        <v>23.89</v>
      </c>
      <c r="F32" s="356">
        <v>661</v>
      </c>
      <c r="G32" s="350">
        <f t="shared" si="23"/>
        <v>15791.29</v>
      </c>
      <c r="H32" s="357" t="s">
        <v>5</v>
      </c>
      <c r="I32" s="353">
        <v>13</v>
      </c>
      <c r="J32" s="30">
        <v>2400</v>
      </c>
      <c r="K32" s="13">
        <f t="shared" si="1"/>
        <v>184.61538461538461</v>
      </c>
      <c r="L32" s="353">
        <v>13</v>
      </c>
      <c r="M32" s="14">
        <f t="shared" si="24"/>
        <v>2332.9411764705851</v>
      </c>
      <c r="N32" s="13">
        <f t="shared" si="3"/>
        <v>179.45701357466038</v>
      </c>
      <c r="O32" s="15">
        <f t="shared" si="4"/>
        <v>0</v>
      </c>
      <c r="P32" s="16">
        <f t="shared" si="5"/>
        <v>-5.1583710407242336</v>
      </c>
      <c r="Q32" s="351">
        <f t="shared" si="6"/>
        <v>0.97205882352941042</v>
      </c>
      <c r="R32" s="619"/>
      <c r="S32" s="31">
        <v>0.47569444444444442</v>
      </c>
      <c r="T32" s="31">
        <v>0.48749999999999999</v>
      </c>
      <c r="U32" s="350">
        <f t="shared" si="26"/>
        <v>4.9999999999999822</v>
      </c>
      <c r="V32" s="354">
        <f t="shared" si="25"/>
        <v>17.000000000000021</v>
      </c>
      <c r="W32" s="17">
        <f>T32</f>
        <v>0.48749999999999999</v>
      </c>
      <c r="X32" s="17">
        <f>S33</f>
        <v>0.52847222222222212</v>
      </c>
      <c r="Y32" s="17"/>
      <c r="Z32" s="17"/>
      <c r="AA32" s="610"/>
      <c r="AB32" s="610"/>
      <c r="AC32" s="155"/>
      <c r="AD32" s="19"/>
      <c r="AE32" s="15">
        <f t="shared" si="8"/>
        <v>-67.058823529414894</v>
      </c>
      <c r="AF32" s="351">
        <f t="shared" si="9"/>
        <v>0.97205882352941042</v>
      </c>
      <c r="AG32" s="619"/>
    </row>
    <row r="33" spans="1:33" ht="15.75" customHeight="1">
      <c r="A33" s="636" t="s">
        <v>192</v>
      </c>
      <c r="B33" s="33" t="s">
        <v>27</v>
      </c>
      <c r="C33" s="635" t="s">
        <v>34</v>
      </c>
      <c r="D33" s="635"/>
      <c r="E33" s="33">
        <v>24.43</v>
      </c>
      <c r="F33" s="356">
        <v>4968</v>
      </c>
      <c r="G33" s="350">
        <f t="shared" si="23"/>
        <v>121368.24</v>
      </c>
      <c r="H33" s="357" t="s">
        <v>5</v>
      </c>
      <c r="I33" s="353">
        <v>14</v>
      </c>
      <c r="J33" s="30">
        <v>2400</v>
      </c>
      <c r="K33" s="13">
        <f t="shared" si="1"/>
        <v>171.42857142857142</v>
      </c>
      <c r="L33" s="353">
        <v>14</v>
      </c>
      <c r="M33" s="14">
        <f t="shared" si="24"/>
        <v>2292.9230769230762</v>
      </c>
      <c r="N33" s="13">
        <f t="shared" si="3"/>
        <v>163.78021978021974</v>
      </c>
      <c r="O33" s="15">
        <f t="shared" si="4"/>
        <v>0</v>
      </c>
      <c r="P33" s="16">
        <f t="shared" si="5"/>
        <v>-7.648351648351678</v>
      </c>
      <c r="Q33" s="351">
        <f t="shared" si="6"/>
        <v>0.95538461538461517</v>
      </c>
      <c r="R33" s="619"/>
      <c r="S33" s="31">
        <v>0.52847222222222212</v>
      </c>
      <c r="T33" s="31">
        <v>0.61874999999999991</v>
      </c>
      <c r="U33" s="350">
        <f t="shared" si="26"/>
        <v>58.999999999999872</v>
      </c>
      <c r="V33" s="354">
        <f t="shared" si="25"/>
        <v>130.00000000000003</v>
      </c>
      <c r="W33" s="17"/>
      <c r="X33" s="17"/>
      <c r="Y33" s="17"/>
      <c r="Z33" s="17"/>
      <c r="AA33" s="610"/>
      <c r="AB33" s="610"/>
      <c r="AC33" s="155"/>
      <c r="AD33" s="19"/>
      <c r="AE33" s="15">
        <f t="shared" si="8"/>
        <v>-107.07692307692378</v>
      </c>
      <c r="AF33" s="351">
        <f t="shared" si="9"/>
        <v>0.95538461538461505</v>
      </c>
      <c r="AG33" s="619"/>
    </row>
    <row r="34" spans="1:33" ht="15.75" customHeight="1">
      <c r="A34" s="636" t="s">
        <v>192</v>
      </c>
      <c r="B34" s="33" t="s">
        <v>27</v>
      </c>
      <c r="C34" s="635" t="s">
        <v>28</v>
      </c>
      <c r="D34" s="635"/>
      <c r="E34" s="33">
        <v>31.29</v>
      </c>
      <c r="F34" s="356">
        <v>3971</v>
      </c>
      <c r="G34" s="350">
        <f t="shared" si="23"/>
        <v>124252.59</v>
      </c>
      <c r="H34" s="357" t="s">
        <v>5</v>
      </c>
      <c r="I34" s="353">
        <v>18</v>
      </c>
      <c r="J34" s="30">
        <v>2400</v>
      </c>
      <c r="K34" s="13">
        <f t="shared" si="1"/>
        <v>133.33333333333334</v>
      </c>
      <c r="L34" s="353">
        <v>18</v>
      </c>
      <c r="M34" s="14">
        <f t="shared" si="24"/>
        <v>2290.9615384615395</v>
      </c>
      <c r="N34" s="13">
        <f t="shared" si="3"/>
        <v>127.27564102564108</v>
      </c>
      <c r="O34" s="15">
        <f t="shared" si="4"/>
        <v>0</v>
      </c>
      <c r="P34" s="16">
        <f t="shared" si="5"/>
        <v>-6.057692307692264</v>
      </c>
      <c r="Q34" s="351">
        <f t="shared" si="6"/>
        <v>0.95456730769230802</v>
      </c>
      <c r="R34" s="619"/>
      <c r="S34" s="31">
        <v>0.62361111111111101</v>
      </c>
      <c r="T34" s="31">
        <v>0.69583333333333319</v>
      </c>
      <c r="U34" s="350">
        <f t="shared" si="26"/>
        <v>6.9999999999999751</v>
      </c>
      <c r="V34" s="354">
        <f t="shared" si="25"/>
        <v>103.99999999999994</v>
      </c>
      <c r="W34" s="17"/>
      <c r="X34" s="17"/>
      <c r="Y34" s="17"/>
      <c r="Z34" s="17"/>
      <c r="AA34" s="610"/>
      <c r="AB34" s="610"/>
      <c r="AC34" s="155"/>
      <c r="AD34" s="19"/>
      <c r="AE34" s="15">
        <f t="shared" si="8"/>
        <v>-109.03846153846052</v>
      </c>
      <c r="AF34" s="351">
        <f t="shared" si="9"/>
        <v>0.95456730769230813</v>
      </c>
      <c r="AG34" s="619"/>
    </row>
    <row r="35" spans="1:33" ht="15.75" customHeight="1">
      <c r="A35" s="636" t="s">
        <v>192</v>
      </c>
      <c r="B35" s="33" t="s">
        <v>80</v>
      </c>
      <c r="C35" s="620"/>
      <c r="D35" s="620"/>
      <c r="E35" s="352"/>
      <c r="F35" s="356"/>
      <c r="G35" s="350"/>
      <c r="H35" s="356"/>
      <c r="I35" s="23">
        <v>16.285714285714285</v>
      </c>
      <c r="J35" s="30">
        <v>2400</v>
      </c>
      <c r="K35" s="13">
        <f t="shared" si="1"/>
        <v>147.36842105263159</v>
      </c>
      <c r="L35" s="23">
        <v>16.285714285714285</v>
      </c>
      <c r="M35" s="14">
        <f>AVERAGE(M28:M34)</f>
        <v>2297.8164802908382</v>
      </c>
      <c r="N35" s="13">
        <f t="shared" si="3"/>
        <v>141.09399440382342</v>
      </c>
      <c r="O35" s="15">
        <f t="shared" si="4"/>
        <v>0</v>
      </c>
      <c r="P35" s="16">
        <f t="shared" si="5"/>
        <v>-6.2744266488081735</v>
      </c>
      <c r="Q35" s="351">
        <f t="shared" si="6"/>
        <v>0.95742353345451592</v>
      </c>
      <c r="R35" s="619"/>
      <c r="S35" s="31"/>
      <c r="T35" s="31"/>
      <c r="U35" s="350"/>
      <c r="V35" s="354"/>
      <c r="W35" s="350"/>
      <c r="X35" s="350"/>
      <c r="Y35" s="24">
        <f>SUM(Y28:Y34)</f>
        <v>0</v>
      </c>
      <c r="Z35" s="24">
        <f>SUM(Z28:Z34)</f>
        <v>0</v>
      </c>
      <c r="AA35" s="609"/>
      <c r="AB35" s="609"/>
      <c r="AC35" s="24">
        <v>7</v>
      </c>
      <c r="AD35" s="24">
        <f>SUM(AD28:AD34)</f>
        <v>0</v>
      </c>
      <c r="AE35" s="15">
        <f t="shared" si="8"/>
        <v>-102.18351970916183</v>
      </c>
      <c r="AF35" s="351">
        <f t="shared" si="9"/>
        <v>0.95742353345451592</v>
      </c>
      <c r="AG35" s="619"/>
    </row>
    <row r="36" spans="1:33" ht="15.75" customHeight="1">
      <c r="A36" s="633" t="s">
        <v>83</v>
      </c>
      <c r="B36" s="33" t="s">
        <v>27</v>
      </c>
      <c r="C36" s="611" t="s">
        <v>33</v>
      </c>
      <c r="D36" s="611"/>
      <c r="E36" s="33">
        <v>26.18</v>
      </c>
      <c r="F36" s="356">
        <v>6436</v>
      </c>
      <c r="G36" s="350">
        <f t="shared" ref="G36:G42" si="27">E36*F36</f>
        <v>168494.48</v>
      </c>
      <c r="H36" s="357" t="s">
        <v>5</v>
      </c>
      <c r="I36" s="353">
        <v>20</v>
      </c>
      <c r="J36" s="30">
        <v>2400</v>
      </c>
      <c r="K36" s="13">
        <f t="shared" si="1"/>
        <v>120</v>
      </c>
      <c r="L36" s="353">
        <v>20</v>
      </c>
      <c r="M36" s="14">
        <f t="shared" ref="M36:M42" si="28">F36/V36*60</f>
        <v>2298.5714285714284</v>
      </c>
      <c r="N36" s="13">
        <f t="shared" si="3"/>
        <v>114.92857142857142</v>
      </c>
      <c r="O36" s="15">
        <f t="shared" si="4"/>
        <v>0</v>
      </c>
      <c r="P36" s="16">
        <f t="shared" si="5"/>
        <v>-5.0714285714285836</v>
      </c>
      <c r="Q36" s="351">
        <f t="shared" si="6"/>
        <v>0.95773809523809517</v>
      </c>
      <c r="R36" s="619">
        <f>Q43</f>
        <v>0.95645858027718345</v>
      </c>
      <c r="S36" s="31">
        <v>8.3333333333333329E-2</v>
      </c>
      <c r="T36" s="31">
        <v>0.19999999999999998</v>
      </c>
      <c r="U36" s="350"/>
      <c r="V36" s="354">
        <f t="shared" ref="V36:V42" si="29">(T36-S36)*24*60</f>
        <v>168</v>
      </c>
      <c r="W36" s="22">
        <f>T36</f>
        <v>0.19999999999999998</v>
      </c>
      <c r="X36" s="22">
        <f>S37</f>
        <v>0.22013888888888888</v>
      </c>
      <c r="Y36" s="22"/>
      <c r="Z36" s="22"/>
      <c r="AA36" s="610"/>
      <c r="AB36" s="610"/>
      <c r="AC36" s="155">
        <v>7</v>
      </c>
      <c r="AD36" s="19"/>
      <c r="AE36" s="15">
        <f t="shared" si="8"/>
        <v>-101.42857142857156</v>
      </c>
      <c r="AF36" s="351">
        <f t="shared" si="9"/>
        <v>0.95773809523809517</v>
      </c>
      <c r="AG36" s="619">
        <f>AF43</f>
        <v>0.95645858027718333</v>
      </c>
    </row>
    <row r="37" spans="1:33" ht="15.75" customHeight="1">
      <c r="A37" s="633" t="s">
        <v>83</v>
      </c>
      <c r="B37" s="33" t="s">
        <v>27</v>
      </c>
      <c r="C37" s="611" t="s">
        <v>30</v>
      </c>
      <c r="D37" s="611"/>
      <c r="E37" s="33">
        <v>26.18</v>
      </c>
      <c r="F37" s="356">
        <v>4600</v>
      </c>
      <c r="G37" s="350">
        <f t="shared" si="27"/>
        <v>120428</v>
      </c>
      <c r="H37" s="357">
        <v>2</v>
      </c>
      <c r="I37" s="353">
        <v>18</v>
      </c>
      <c r="J37" s="30">
        <v>2400</v>
      </c>
      <c r="K37" s="13">
        <f t="shared" si="1"/>
        <v>133.33333333333334</v>
      </c>
      <c r="L37" s="353">
        <v>18</v>
      </c>
      <c r="M37" s="14">
        <f t="shared" si="28"/>
        <v>2300.0000000000005</v>
      </c>
      <c r="N37" s="13">
        <f t="shared" si="3"/>
        <v>127.7777777777778</v>
      </c>
      <c r="O37" s="15">
        <f t="shared" si="4"/>
        <v>0</v>
      </c>
      <c r="P37" s="16">
        <f t="shared" si="5"/>
        <v>-5.5555555555555429</v>
      </c>
      <c r="Q37" s="351">
        <f t="shared" si="6"/>
        <v>0.95833333333333348</v>
      </c>
      <c r="R37" s="619"/>
      <c r="S37" s="31">
        <v>0.22013888888888888</v>
      </c>
      <c r="T37" s="31">
        <v>0.3034722222222222</v>
      </c>
      <c r="U37" s="350">
        <f t="shared" ref="U37:U42" si="30">(S37-T36)*24*60</f>
        <v>29.000000000000018</v>
      </c>
      <c r="V37" s="354">
        <f t="shared" si="29"/>
        <v>119.99999999999997</v>
      </c>
      <c r="W37" s="350"/>
      <c r="X37" s="350"/>
      <c r="Y37" s="350"/>
      <c r="Z37" s="350"/>
      <c r="AA37" s="610"/>
      <c r="AB37" s="610"/>
      <c r="AC37" s="155"/>
      <c r="AD37" s="19"/>
      <c r="AE37" s="15">
        <f t="shared" si="8"/>
        <v>-99.999999999999545</v>
      </c>
      <c r="AF37" s="351">
        <f t="shared" si="9"/>
        <v>0.95833333333333348</v>
      </c>
      <c r="AG37" s="619"/>
    </row>
    <row r="38" spans="1:33">
      <c r="A38" s="634" t="s">
        <v>83</v>
      </c>
      <c r="B38" s="33" t="s">
        <v>27</v>
      </c>
      <c r="C38" s="611" t="s">
        <v>35</v>
      </c>
      <c r="D38" s="611"/>
      <c r="E38" s="33">
        <v>34.1</v>
      </c>
      <c r="F38" s="356">
        <v>2500</v>
      </c>
      <c r="G38" s="350">
        <f t="shared" si="27"/>
        <v>85250</v>
      </c>
      <c r="H38" s="357">
        <v>2</v>
      </c>
      <c r="I38" s="353">
        <v>17</v>
      </c>
      <c r="J38" s="30">
        <v>1600</v>
      </c>
      <c r="K38" s="13">
        <f t="shared" si="1"/>
        <v>94.117647058823536</v>
      </c>
      <c r="L38" s="353">
        <v>17</v>
      </c>
      <c r="M38" s="14">
        <f t="shared" si="28"/>
        <v>1530.6122448979597</v>
      </c>
      <c r="N38" s="13">
        <f t="shared" si="3"/>
        <v>90.03601440576233</v>
      </c>
      <c r="O38" s="15">
        <f t="shared" si="4"/>
        <v>0</v>
      </c>
      <c r="P38" s="16">
        <f t="shared" si="5"/>
        <v>-4.0816326530612059</v>
      </c>
      <c r="Q38" s="351">
        <f t="shared" si="6"/>
        <v>0.95663265306122469</v>
      </c>
      <c r="R38" s="619"/>
      <c r="S38" s="31">
        <v>0.30902777777777773</v>
      </c>
      <c r="T38" s="31">
        <v>0.37708333333333327</v>
      </c>
      <c r="U38" s="350">
        <f t="shared" si="30"/>
        <v>7.9999999999999716</v>
      </c>
      <c r="V38" s="354">
        <f t="shared" si="29"/>
        <v>97.999999999999972</v>
      </c>
      <c r="W38" s="350"/>
      <c r="X38" s="350"/>
      <c r="Y38" s="350"/>
      <c r="Z38" s="350"/>
      <c r="AA38" s="610"/>
      <c r="AB38" s="610"/>
      <c r="AC38" s="155"/>
      <c r="AD38" s="19"/>
      <c r="AE38" s="15">
        <f t="shared" si="8"/>
        <v>-69.387755102040273</v>
      </c>
      <c r="AF38" s="351">
        <f t="shared" si="9"/>
        <v>0.9566326530612248</v>
      </c>
      <c r="AG38" s="619"/>
    </row>
    <row r="39" spans="1:33">
      <c r="A39" s="634" t="s">
        <v>83</v>
      </c>
      <c r="B39" s="33" t="s">
        <v>27</v>
      </c>
      <c r="C39" s="611" t="s">
        <v>54</v>
      </c>
      <c r="D39" s="611"/>
      <c r="E39" s="33">
        <v>24.25</v>
      </c>
      <c r="F39" s="356">
        <v>1918</v>
      </c>
      <c r="G39" s="350">
        <f t="shared" si="27"/>
        <v>46511.5</v>
      </c>
      <c r="H39" s="357" t="s">
        <v>5</v>
      </c>
      <c r="I39" s="353">
        <v>16</v>
      </c>
      <c r="J39" s="30">
        <v>2400</v>
      </c>
      <c r="K39" s="13">
        <f t="shared" si="1"/>
        <v>150</v>
      </c>
      <c r="L39" s="353">
        <v>16</v>
      </c>
      <c r="M39" s="14">
        <f t="shared" si="28"/>
        <v>2301.6000000000008</v>
      </c>
      <c r="N39" s="13">
        <f t="shared" si="3"/>
        <v>143.85000000000005</v>
      </c>
      <c r="O39" s="15">
        <f t="shared" si="4"/>
        <v>0</v>
      </c>
      <c r="P39" s="16">
        <f t="shared" si="5"/>
        <v>-6.1499999999999488</v>
      </c>
      <c r="Q39" s="351">
        <f t="shared" si="6"/>
        <v>0.9590000000000003</v>
      </c>
      <c r="R39" s="619"/>
      <c r="S39" s="31">
        <v>0.38124999999999992</v>
      </c>
      <c r="T39" s="31">
        <v>0.41597222222222213</v>
      </c>
      <c r="U39" s="350">
        <f t="shared" si="30"/>
        <v>5.9999999999999787</v>
      </c>
      <c r="V39" s="354">
        <f t="shared" si="29"/>
        <v>49.999999999999986</v>
      </c>
      <c r="W39" s="17"/>
      <c r="X39" s="17"/>
      <c r="Y39" s="17"/>
      <c r="Z39" s="17"/>
      <c r="AA39" s="610"/>
      <c r="AB39" s="610"/>
      <c r="AC39" s="155"/>
      <c r="AD39" s="19"/>
      <c r="AE39" s="15">
        <f t="shared" si="8"/>
        <v>-98.399999999999181</v>
      </c>
      <c r="AF39" s="351">
        <f t="shared" si="9"/>
        <v>0.9590000000000003</v>
      </c>
      <c r="AG39" s="619"/>
    </row>
    <row r="40" spans="1:33">
      <c r="A40" s="634" t="s">
        <v>83</v>
      </c>
      <c r="B40" s="33" t="s">
        <v>27</v>
      </c>
      <c r="C40" s="611" t="s">
        <v>32</v>
      </c>
      <c r="D40" s="611"/>
      <c r="E40" s="33">
        <v>25.99</v>
      </c>
      <c r="F40" s="356">
        <v>3933</v>
      </c>
      <c r="G40" s="350">
        <f t="shared" si="27"/>
        <v>102218.67</v>
      </c>
      <c r="H40" s="357" t="s">
        <v>5</v>
      </c>
      <c r="I40" s="353">
        <v>14</v>
      </c>
      <c r="J40" s="30">
        <v>2400</v>
      </c>
      <c r="K40" s="13">
        <f t="shared" si="1"/>
        <v>171.42857142857142</v>
      </c>
      <c r="L40" s="353">
        <v>14</v>
      </c>
      <c r="M40" s="14">
        <f t="shared" si="28"/>
        <v>2291.067961165048</v>
      </c>
      <c r="N40" s="13">
        <f t="shared" si="3"/>
        <v>163.64771151178914</v>
      </c>
      <c r="O40" s="15">
        <f t="shared" si="4"/>
        <v>0</v>
      </c>
      <c r="P40" s="16">
        <f t="shared" si="5"/>
        <v>-7.7808599167822763</v>
      </c>
      <c r="Q40" s="351">
        <f t="shared" si="6"/>
        <v>0.95461165048543672</v>
      </c>
      <c r="R40" s="619"/>
      <c r="S40" s="31">
        <v>0.41944444444444434</v>
      </c>
      <c r="T40" s="31">
        <v>0.49097222222222214</v>
      </c>
      <c r="U40" s="350">
        <f t="shared" si="30"/>
        <v>4.9999999999999822</v>
      </c>
      <c r="V40" s="354">
        <f t="shared" si="29"/>
        <v>103.00000000000003</v>
      </c>
      <c r="W40" s="17">
        <f>T40</f>
        <v>0.49097222222222214</v>
      </c>
      <c r="X40" s="17">
        <f>S41</f>
        <v>0.53124999999999989</v>
      </c>
      <c r="Y40" s="17"/>
      <c r="Z40" s="17"/>
      <c r="AA40" s="610"/>
      <c r="AB40" s="610"/>
      <c r="AC40" s="155"/>
      <c r="AD40" s="19"/>
      <c r="AE40" s="15">
        <f t="shared" si="8"/>
        <v>-108.93203883495198</v>
      </c>
      <c r="AF40" s="351">
        <f t="shared" si="9"/>
        <v>0.95461165048543672</v>
      </c>
      <c r="AG40" s="619"/>
    </row>
    <row r="41" spans="1:33">
      <c r="A41" s="634" t="s">
        <v>83</v>
      </c>
      <c r="B41" s="33" t="s">
        <v>27</v>
      </c>
      <c r="C41" s="611" t="s">
        <v>35</v>
      </c>
      <c r="D41" s="611"/>
      <c r="E41" s="33">
        <v>34.1</v>
      </c>
      <c r="F41" s="356">
        <v>3888</v>
      </c>
      <c r="G41" s="350">
        <f t="shared" si="27"/>
        <v>132580.80000000002</v>
      </c>
      <c r="H41" s="357" t="s">
        <v>5</v>
      </c>
      <c r="I41" s="353">
        <v>17</v>
      </c>
      <c r="J41" s="30">
        <v>1600</v>
      </c>
      <c r="K41" s="13">
        <f t="shared" si="1"/>
        <v>94.117647058823536</v>
      </c>
      <c r="L41" s="353">
        <v>17</v>
      </c>
      <c r="M41" s="14">
        <f t="shared" si="28"/>
        <v>1524.7058823529417</v>
      </c>
      <c r="N41" s="13">
        <f t="shared" si="3"/>
        <v>89.688581314878917</v>
      </c>
      <c r="O41" s="15">
        <f t="shared" si="4"/>
        <v>0</v>
      </c>
      <c r="P41" s="16">
        <f t="shared" si="5"/>
        <v>-4.4290657439446193</v>
      </c>
      <c r="Q41" s="351">
        <f t="shared" si="6"/>
        <v>0.9529411764705884</v>
      </c>
      <c r="R41" s="619"/>
      <c r="S41" s="31">
        <v>0.53124999999999989</v>
      </c>
      <c r="T41" s="31">
        <v>0.63749999999999984</v>
      </c>
      <c r="U41" s="350">
        <f t="shared" si="30"/>
        <v>57.999999999999957</v>
      </c>
      <c r="V41" s="354">
        <f t="shared" si="29"/>
        <v>152.99999999999994</v>
      </c>
      <c r="W41" s="17"/>
      <c r="X41" s="17"/>
      <c r="Y41" s="17"/>
      <c r="Z41" s="17"/>
      <c r="AA41" s="610"/>
      <c r="AB41" s="610"/>
      <c r="AC41" s="155"/>
      <c r="AD41" s="19"/>
      <c r="AE41" s="15">
        <f t="shared" si="8"/>
        <v>-75.294117647058329</v>
      </c>
      <c r="AF41" s="351">
        <f t="shared" si="9"/>
        <v>0.95294117647058851</v>
      </c>
      <c r="AG41" s="619"/>
    </row>
    <row r="42" spans="1:33">
      <c r="A42" s="634" t="s">
        <v>83</v>
      </c>
      <c r="B42" s="33" t="s">
        <v>27</v>
      </c>
      <c r="C42" s="611" t="s">
        <v>30</v>
      </c>
      <c r="D42" s="611"/>
      <c r="E42" s="33">
        <v>26.18</v>
      </c>
      <c r="F42" s="356">
        <v>3552</v>
      </c>
      <c r="G42" s="350">
        <f t="shared" si="27"/>
        <v>92991.360000000001</v>
      </c>
      <c r="H42" s="357" t="s">
        <v>5</v>
      </c>
      <c r="I42" s="353">
        <v>18</v>
      </c>
      <c r="J42" s="30">
        <v>2400</v>
      </c>
      <c r="K42" s="13">
        <f t="shared" si="1"/>
        <v>133.33333333333334</v>
      </c>
      <c r="L42" s="353">
        <v>18</v>
      </c>
      <c r="M42" s="14">
        <f t="shared" si="28"/>
        <v>2291.6129032258068</v>
      </c>
      <c r="N42" s="13">
        <f t="shared" si="3"/>
        <v>127.31182795698926</v>
      </c>
      <c r="O42" s="15">
        <f t="shared" si="4"/>
        <v>0</v>
      </c>
      <c r="P42" s="16">
        <f t="shared" si="5"/>
        <v>-6.0215053763440807</v>
      </c>
      <c r="Q42" s="351">
        <f t="shared" si="6"/>
        <v>0.95483870967741935</v>
      </c>
      <c r="R42" s="619"/>
      <c r="S42" s="31">
        <v>0.6416666666666665</v>
      </c>
      <c r="T42" s="31">
        <v>0.70624999999999982</v>
      </c>
      <c r="U42" s="350">
        <f t="shared" si="30"/>
        <v>5.9999999999999787</v>
      </c>
      <c r="V42" s="354">
        <f t="shared" si="29"/>
        <v>92.999999999999986</v>
      </c>
      <c r="W42" s="17"/>
      <c r="X42" s="17"/>
      <c r="Y42" s="20"/>
      <c r="Z42" s="20"/>
      <c r="AA42" s="614"/>
      <c r="AB42" s="615"/>
      <c r="AC42" s="155"/>
      <c r="AD42" s="19"/>
      <c r="AE42" s="15">
        <f t="shared" si="8"/>
        <v>-108.3870967741932</v>
      </c>
      <c r="AF42" s="351">
        <f t="shared" si="9"/>
        <v>0.95483870967741946</v>
      </c>
      <c r="AG42" s="619"/>
    </row>
    <row r="43" spans="1:33">
      <c r="A43" s="634" t="s">
        <v>83</v>
      </c>
      <c r="B43" s="34" t="s">
        <v>1646</v>
      </c>
      <c r="C43" s="620"/>
      <c r="D43" s="620"/>
      <c r="E43" s="352"/>
      <c r="F43" s="34"/>
      <c r="G43" s="13"/>
      <c r="H43" s="356"/>
      <c r="I43" s="23">
        <v>17.142857142857142</v>
      </c>
      <c r="J43" s="30">
        <v>2171.4285714285716</v>
      </c>
      <c r="K43" s="13">
        <f t="shared" si="1"/>
        <v>126.66666666666667</v>
      </c>
      <c r="L43" s="23">
        <v>17.142857142857142</v>
      </c>
      <c r="M43" s="14">
        <f>AVERAGE(M36:M42)</f>
        <v>2076.881488601884</v>
      </c>
      <c r="N43" s="13">
        <f t="shared" si="3"/>
        <v>121.15142016844324</v>
      </c>
      <c r="O43" s="15">
        <f t="shared" si="4"/>
        <v>0</v>
      </c>
      <c r="P43" s="16">
        <f t="shared" si="5"/>
        <v>-5.5152464982234335</v>
      </c>
      <c r="Q43" s="351">
        <f t="shared" si="6"/>
        <v>0.95645858027718345</v>
      </c>
      <c r="R43" s="619"/>
      <c r="S43" s="31"/>
      <c r="T43" s="31"/>
      <c r="U43" s="13"/>
      <c r="V43" s="354"/>
      <c r="W43" s="13"/>
      <c r="X43" s="13"/>
      <c r="Y43" s="24">
        <f>SUM(Y36:Y42)</f>
        <v>0</v>
      </c>
      <c r="Z43" s="24">
        <f>SUM(Z36:Z42)</f>
        <v>0</v>
      </c>
      <c r="AA43" s="609"/>
      <c r="AB43" s="609"/>
      <c r="AC43" s="24">
        <v>7</v>
      </c>
      <c r="AD43" s="24">
        <f>SUM(AD36:AD42)</f>
        <v>0</v>
      </c>
      <c r="AE43" s="15">
        <f t="shared" si="8"/>
        <v>-94.547082826687529</v>
      </c>
      <c r="AF43" s="351">
        <f t="shared" si="9"/>
        <v>0.95645858027718333</v>
      </c>
      <c r="AG43" s="619"/>
    </row>
    <row r="44" spans="1:33" ht="15.75" customHeight="1">
      <c r="A44" s="630" t="s">
        <v>198</v>
      </c>
      <c r="B44" s="33" t="s">
        <v>36</v>
      </c>
      <c r="C44" s="612" t="s">
        <v>37</v>
      </c>
      <c r="D44" s="613"/>
      <c r="E44" s="33">
        <v>21.13</v>
      </c>
      <c r="F44" s="356">
        <v>5362</v>
      </c>
      <c r="G44" s="350">
        <f t="shared" ref="G44:G46" si="31">E44*F44</f>
        <v>113299.06</v>
      </c>
      <c r="H44" s="357" t="s">
        <v>5</v>
      </c>
      <c r="I44" s="353">
        <v>10</v>
      </c>
      <c r="J44" s="30">
        <v>3000</v>
      </c>
      <c r="K44" s="13">
        <f t="shared" si="1"/>
        <v>300</v>
      </c>
      <c r="L44" s="353">
        <v>10</v>
      </c>
      <c r="M44" s="14">
        <f t="shared" ref="M44:M46" si="32">F44/V44*60</f>
        <v>2872.5000000000014</v>
      </c>
      <c r="N44" s="14">
        <f t="shared" si="3"/>
        <v>287.25000000000011</v>
      </c>
      <c r="O44" s="15">
        <f t="shared" si="4"/>
        <v>0</v>
      </c>
      <c r="P44" s="16">
        <f t="shared" si="5"/>
        <v>-12.749999999999886</v>
      </c>
      <c r="Q44" s="351">
        <f t="shared" si="6"/>
        <v>0.95750000000000035</v>
      </c>
      <c r="R44" s="625">
        <f>Q47</f>
        <v>0.95745225903614473</v>
      </c>
      <c r="S44" s="31">
        <v>0.20833333333333334</v>
      </c>
      <c r="T44" s="31">
        <v>0.28611111111111109</v>
      </c>
      <c r="U44" s="22"/>
      <c r="V44" s="354">
        <f t="shared" ref="V44:V46" si="33">(T44-S44)*24*60</f>
        <v>111.99999999999996</v>
      </c>
      <c r="W44" s="17"/>
      <c r="X44" s="17"/>
      <c r="Y44" s="20"/>
      <c r="Z44" s="20"/>
      <c r="AA44" s="614"/>
      <c r="AB44" s="615"/>
      <c r="AC44" s="155">
        <v>3</v>
      </c>
      <c r="AD44" s="19"/>
      <c r="AE44" s="15">
        <f t="shared" si="8"/>
        <v>-127.49999999999864</v>
      </c>
      <c r="AF44" s="351">
        <f t="shared" si="9"/>
        <v>0.95750000000000046</v>
      </c>
      <c r="AG44" s="625">
        <f>AF47</f>
        <v>0.95745225903614484</v>
      </c>
    </row>
    <row r="45" spans="1:33" ht="15.75" customHeight="1">
      <c r="A45" s="631" t="s">
        <v>198</v>
      </c>
      <c r="B45" s="33" t="s">
        <v>36</v>
      </c>
      <c r="C45" s="612" t="s">
        <v>46</v>
      </c>
      <c r="D45" s="613"/>
      <c r="E45" s="33">
        <v>35.119999999999997</v>
      </c>
      <c r="F45" s="356">
        <v>4796</v>
      </c>
      <c r="G45" s="350">
        <f t="shared" si="31"/>
        <v>168435.52</v>
      </c>
      <c r="H45" s="357" t="s">
        <v>5</v>
      </c>
      <c r="I45" s="353">
        <v>10</v>
      </c>
      <c r="J45" s="30">
        <v>3000</v>
      </c>
      <c r="K45" s="13">
        <f t="shared" si="1"/>
        <v>300</v>
      </c>
      <c r="L45" s="353">
        <v>10</v>
      </c>
      <c r="M45" s="14">
        <f t="shared" si="32"/>
        <v>2877.6000000000008</v>
      </c>
      <c r="N45" s="14">
        <f t="shared" si="3"/>
        <v>287.7600000000001</v>
      </c>
      <c r="O45" s="15">
        <f t="shared" si="4"/>
        <v>0</v>
      </c>
      <c r="P45" s="16">
        <f t="shared" si="5"/>
        <v>-12.239999999999895</v>
      </c>
      <c r="Q45" s="351">
        <f t="shared" si="6"/>
        <v>0.95920000000000039</v>
      </c>
      <c r="R45" s="626"/>
      <c r="S45" s="31">
        <v>0.2895833333333333</v>
      </c>
      <c r="T45" s="31">
        <v>0.35902777777777772</v>
      </c>
      <c r="U45" s="350">
        <f t="shared" ref="U45:U46" si="34">(S45-T44)*24*60</f>
        <v>4.9999999999999822</v>
      </c>
      <c r="V45" s="354">
        <f t="shared" si="33"/>
        <v>99.999999999999972</v>
      </c>
      <c r="W45" s="17"/>
      <c r="X45" s="17"/>
      <c r="Y45" s="20"/>
      <c r="Z45" s="20"/>
      <c r="AA45" s="614"/>
      <c r="AB45" s="615"/>
      <c r="AC45" s="155"/>
      <c r="AD45" s="19"/>
      <c r="AE45" s="15">
        <f t="shared" si="8"/>
        <v>-122.39999999999918</v>
      </c>
      <c r="AF45" s="351">
        <f t="shared" si="9"/>
        <v>0.95920000000000027</v>
      </c>
      <c r="AG45" s="626"/>
    </row>
    <row r="46" spans="1:33" ht="15.75" customHeight="1">
      <c r="A46" s="631" t="s">
        <v>198</v>
      </c>
      <c r="B46" s="33" t="s">
        <v>36</v>
      </c>
      <c r="C46" s="612" t="s">
        <v>1511</v>
      </c>
      <c r="D46" s="613"/>
      <c r="E46" s="33">
        <v>37.880000000000003</v>
      </c>
      <c r="F46" s="356">
        <v>5283</v>
      </c>
      <c r="G46" s="350">
        <f t="shared" si="31"/>
        <v>200120.04</v>
      </c>
      <c r="H46" s="357" t="s">
        <v>5</v>
      </c>
      <c r="I46" s="353">
        <v>13</v>
      </c>
      <c r="J46" s="30">
        <v>2000</v>
      </c>
      <c r="K46" s="13">
        <f t="shared" si="1"/>
        <v>153.84615384615384</v>
      </c>
      <c r="L46" s="353">
        <v>13</v>
      </c>
      <c r="M46" s="14">
        <f t="shared" si="32"/>
        <v>1909.5180722891569</v>
      </c>
      <c r="N46" s="14">
        <f t="shared" si="3"/>
        <v>146.88600556070438</v>
      </c>
      <c r="O46" s="15">
        <f t="shared" si="4"/>
        <v>0</v>
      </c>
      <c r="P46" s="16">
        <f t="shared" si="5"/>
        <v>-6.9601482854494634</v>
      </c>
      <c r="Q46" s="351">
        <f t="shared" si="6"/>
        <v>0.95475903614457847</v>
      </c>
      <c r="R46" s="626"/>
      <c r="S46" s="31">
        <v>0.36249999999999993</v>
      </c>
      <c r="T46" s="31">
        <v>0.47777777777777769</v>
      </c>
      <c r="U46" s="350">
        <f t="shared" si="34"/>
        <v>4.9999999999999822</v>
      </c>
      <c r="V46" s="354">
        <f t="shared" si="33"/>
        <v>165.99999999999997</v>
      </c>
      <c r="W46" s="17"/>
      <c r="X46" s="17"/>
      <c r="Y46" s="20"/>
      <c r="Z46" s="20"/>
      <c r="AA46" s="614"/>
      <c r="AB46" s="615"/>
      <c r="AC46" s="155"/>
      <c r="AD46" s="19"/>
      <c r="AE46" s="15">
        <f t="shared" si="8"/>
        <v>-90.481927710843138</v>
      </c>
      <c r="AF46" s="351">
        <f t="shared" si="9"/>
        <v>0.95475903614457847</v>
      </c>
      <c r="AG46" s="626"/>
    </row>
    <row r="47" spans="1:33" ht="15.75" customHeight="1">
      <c r="A47" s="632" t="s">
        <v>198</v>
      </c>
      <c r="B47" s="33" t="s">
        <v>80</v>
      </c>
      <c r="C47" s="607"/>
      <c r="D47" s="608"/>
      <c r="E47" s="344"/>
      <c r="F47" s="356"/>
      <c r="G47" s="350"/>
      <c r="H47" s="356"/>
      <c r="I47" s="23">
        <v>11</v>
      </c>
      <c r="J47" s="30">
        <v>2666.6666666666665</v>
      </c>
      <c r="K47" s="13">
        <f t="shared" si="1"/>
        <v>242.42424242424241</v>
      </c>
      <c r="L47" s="23">
        <v>11</v>
      </c>
      <c r="M47" s="14">
        <f>AVERAGE(M44:M46)</f>
        <v>2553.206024096386</v>
      </c>
      <c r="N47" s="13">
        <f t="shared" si="3"/>
        <v>232.1096385542169</v>
      </c>
      <c r="O47" s="15">
        <f t="shared" si="4"/>
        <v>0</v>
      </c>
      <c r="P47" s="16">
        <f t="shared" si="5"/>
        <v>-10.314603870025508</v>
      </c>
      <c r="Q47" s="351">
        <f t="shared" si="6"/>
        <v>0.95745225903614473</v>
      </c>
      <c r="R47" s="627"/>
      <c r="S47" s="31"/>
      <c r="T47" s="31"/>
      <c r="U47" s="350"/>
      <c r="V47" s="354"/>
      <c r="W47" s="17"/>
      <c r="X47" s="17"/>
      <c r="Y47" s="24">
        <f>SUM(Y44:Y46)</f>
        <v>0</v>
      </c>
      <c r="Z47" s="24">
        <f>SUM(Z44:Z46)</f>
        <v>0</v>
      </c>
      <c r="AA47" s="628"/>
      <c r="AB47" s="629"/>
      <c r="AC47" s="24">
        <v>3</v>
      </c>
      <c r="AD47" s="24">
        <f>SUM(AD44:AD46)</f>
        <v>0</v>
      </c>
      <c r="AE47" s="15">
        <f t="shared" si="8"/>
        <v>-113.46064257028047</v>
      </c>
      <c r="AF47" s="351">
        <f t="shared" si="9"/>
        <v>0.95745225903614484</v>
      </c>
      <c r="AG47" s="627"/>
    </row>
    <row r="48" spans="1:33" ht="15.75" customHeight="1">
      <c r="A48" s="623" t="s">
        <v>297</v>
      </c>
      <c r="B48" s="33" t="s">
        <v>10</v>
      </c>
      <c r="C48" s="611" t="s">
        <v>42</v>
      </c>
      <c r="D48" s="611"/>
      <c r="E48" s="33">
        <v>46</v>
      </c>
      <c r="F48" s="35">
        <v>1204</v>
      </c>
      <c r="G48" s="350">
        <f t="shared" ref="G48:G55" si="35">E48*F48</f>
        <v>55384</v>
      </c>
      <c r="H48" s="357" t="s">
        <v>5</v>
      </c>
      <c r="I48" s="353">
        <v>16</v>
      </c>
      <c r="J48" s="30">
        <v>2000</v>
      </c>
      <c r="K48" s="13">
        <f t="shared" si="1"/>
        <v>125</v>
      </c>
      <c r="L48" s="353">
        <v>16</v>
      </c>
      <c r="M48" s="14">
        <f t="shared" ref="M48" si="36">F48/V48*60</f>
        <v>1901.0526315789482</v>
      </c>
      <c r="N48" s="14">
        <f t="shared" si="3"/>
        <v>118.81578947368426</v>
      </c>
      <c r="O48" s="15">
        <f t="shared" si="4"/>
        <v>0</v>
      </c>
      <c r="P48" s="16">
        <f t="shared" si="5"/>
        <v>-6.1842105263157379</v>
      </c>
      <c r="Q48" s="351">
        <f t="shared" si="6"/>
        <v>0.95052631578947411</v>
      </c>
      <c r="R48" s="619">
        <f>Q56</f>
        <v>0.95958402490625949</v>
      </c>
      <c r="S48" s="31">
        <v>0.20833333333333334</v>
      </c>
      <c r="T48" s="31">
        <v>0.23472222222222222</v>
      </c>
      <c r="U48" s="22"/>
      <c r="V48" s="354">
        <f t="shared" ref="V48:V55" si="37">(T48-S48)*24*60</f>
        <v>37.999999999999986</v>
      </c>
      <c r="W48" s="17"/>
      <c r="X48" s="17"/>
      <c r="Y48" s="22"/>
      <c r="Z48" s="22"/>
      <c r="AA48" s="610"/>
      <c r="AB48" s="610"/>
      <c r="AC48" s="155">
        <v>8</v>
      </c>
      <c r="AD48" s="19"/>
      <c r="AE48" s="15">
        <f t="shared" si="8"/>
        <v>-98.947368421051806</v>
      </c>
      <c r="AF48" s="351">
        <f t="shared" si="9"/>
        <v>0.95052631578947411</v>
      </c>
      <c r="AG48" s="619">
        <f>AF56</f>
        <v>0.95958402490625949</v>
      </c>
    </row>
    <row r="49" spans="1:33" ht="15.75" customHeight="1">
      <c r="A49" s="623" t="s">
        <v>297</v>
      </c>
      <c r="B49" s="33" t="s">
        <v>10</v>
      </c>
      <c r="C49" s="611" t="s">
        <v>43</v>
      </c>
      <c r="D49" s="611"/>
      <c r="E49" s="33">
        <v>46</v>
      </c>
      <c r="F49" s="35">
        <v>1392</v>
      </c>
      <c r="G49" s="350">
        <f t="shared" si="35"/>
        <v>64032</v>
      </c>
      <c r="H49" s="357" t="s">
        <v>5</v>
      </c>
      <c r="I49" s="353">
        <v>17</v>
      </c>
      <c r="J49" s="30">
        <v>2000</v>
      </c>
      <c r="K49" s="13">
        <f t="shared" si="1"/>
        <v>117.64705882352941</v>
      </c>
      <c r="L49" s="353">
        <v>17</v>
      </c>
      <c r="M49" s="14">
        <f>F49/V49*60</f>
        <v>1942.3255813953506</v>
      </c>
      <c r="N49" s="14">
        <f t="shared" si="3"/>
        <v>114.25444596443239</v>
      </c>
      <c r="O49" s="15">
        <f t="shared" si="4"/>
        <v>0</v>
      </c>
      <c r="P49" s="16">
        <f t="shared" si="5"/>
        <v>-3.3926128590970137</v>
      </c>
      <c r="Q49" s="351">
        <f t="shared" si="6"/>
        <v>0.97116279069767542</v>
      </c>
      <c r="R49" s="619"/>
      <c r="S49" s="31">
        <v>0.2388888888888889</v>
      </c>
      <c r="T49" s="31">
        <v>0.26874999999999999</v>
      </c>
      <c r="U49" s="350">
        <f t="shared" ref="U49:U55" si="38">IF(S49=TIME(17,0,0),"",(S49-T48)*24*60)</f>
        <v>6.0000000000000187</v>
      </c>
      <c r="V49" s="354">
        <f t="shared" si="37"/>
        <v>42.999999999999964</v>
      </c>
      <c r="W49" s="17"/>
      <c r="X49" s="17"/>
      <c r="Y49" s="17"/>
      <c r="Z49" s="17"/>
      <c r="AA49" s="610"/>
      <c r="AB49" s="610"/>
      <c r="AC49" s="155"/>
      <c r="AD49" s="19"/>
      <c r="AE49" s="15">
        <f t="shared" si="8"/>
        <v>-57.674418604649418</v>
      </c>
      <c r="AF49" s="351">
        <f t="shared" si="9"/>
        <v>0.9711627906976753</v>
      </c>
      <c r="AG49" s="619"/>
    </row>
    <row r="50" spans="1:33" ht="15.75" customHeight="1">
      <c r="A50" s="623" t="s">
        <v>297</v>
      </c>
      <c r="B50" s="33" t="s">
        <v>6</v>
      </c>
      <c r="C50" s="612" t="s">
        <v>41</v>
      </c>
      <c r="D50" s="613"/>
      <c r="E50" s="33">
        <v>51.44</v>
      </c>
      <c r="F50" s="35">
        <v>1455</v>
      </c>
      <c r="G50" s="350">
        <f t="shared" si="35"/>
        <v>74845.2</v>
      </c>
      <c r="H50" s="357" t="s">
        <v>5</v>
      </c>
      <c r="I50" s="353">
        <v>25</v>
      </c>
      <c r="J50" s="30">
        <v>2000</v>
      </c>
      <c r="K50" s="13">
        <f t="shared" si="1"/>
        <v>80</v>
      </c>
      <c r="L50" s="353">
        <v>25</v>
      </c>
      <c r="M50" s="14">
        <f t="shared" ref="M50:M55" si="39">F50/V50*60</f>
        <v>1940.0000000000002</v>
      </c>
      <c r="N50" s="14">
        <f t="shared" si="3"/>
        <v>77.600000000000009</v>
      </c>
      <c r="O50" s="15">
        <f t="shared" si="4"/>
        <v>0</v>
      </c>
      <c r="P50" s="16">
        <f t="shared" si="5"/>
        <v>-2.3999999999999915</v>
      </c>
      <c r="Q50" s="351">
        <f t="shared" si="6"/>
        <v>0.97000000000000008</v>
      </c>
      <c r="R50" s="619"/>
      <c r="S50" s="31">
        <v>0.27361111111111108</v>
      </c>
      <c r="T50" s="31">
        <v>0.30486111111111108</v>
      </c>
      <c r="U50" s="350">
        <f t="shared" si="38"/>
        <v>6.9999999999999751</v>
      </c>
      <c r="V50" s="354">
        <f t="shared" si="37"/>
        <v>45</v>
      </c>
      <c r="W50" s="17"/>
      <c r="X50" s="17"/>
      <c r="Y50" s="20"/>
      <c r="Z50" s="20"/>
      <c r="AA50" s="610"/>
      <c r="AB50" s="610"/>
      <c r="AC50" s="155"/>
      <c r="AD50" s="19"/>
      <c r="AE50" s="15">
        <f t="shared" si="8"/>
        <v>-59.999999999999773</v>
      </c>
      <c r="AF50" s="351">
        <f t="shared" si="9"/>
        <v>0.97000000000000008</v>
      </c>
      <c r="AG50" s="619"/>
    </row>
    <row r="51" spans="1:33" ht="15.75" customHeight="1">
      <c r="A51" s="623" t="s">
        <v>297</v>
      </c>
      <c r="B51" s="33" t="s">
        <v>6</v>
      </c>
      <c r="C51" s="346" t="s">
        <v>77</v>
      </c>
      <c r="D51" s="347"/>
      <c r="E51" s="33">
        <v>56.43</v>
      </c>
      <c r="F51" s="35">
        <v>1354</v>
      </c>
      <c r="G51" s="350">
        <f t="shared" si="35"/>
        <v>76406.22</v>
      </c>
      <c r="H51" s="357" t="s">
        <v>5</v>
      </c>
      <c r="I51" s="353">
        <v>23</v>
      </c>
      <c r="J51" s="30">
        <v>2000</v>
      </c>
      <c r="K51" s="13">
        <f t="shared" si="1"/>
        <v>86.956521739130437</v>
      </c>
      <c r="L51" s="353">
        <v>23</v>
      </c>
      <c r="M51" s="14">
        <f t="shared" si="39"/>
        <v>1934.2857142857135</v>
      </c>
      <c r="N51" s="14">
        <f t="shared" si="3"/>
        <v>84.099378881987548</v>
      </c>
      <c r="O51" s="15">
        <f t="shared" si="4"/>
        <v>0</v>
      </c>
      <c r="P51" s="16">
        <f t="shared" si="5"/>
        <v>-2.8571428571428896</v>
      </c>
      <c r="Q51" s="351">
        <f t="shared" si="6"/>
        <v>0.96714285714285675</v>
      </c>
      <c r="R51" s="619"/>
      <c r="S51" s="31">
        <v>0.30902777777777773</v>
      </c>
      <c r="T51" s="31">
        <v>0.33819444444444441</v>
      </c>
      <c r="U51" s="350">
        <f t="shared" si="38"/>
        <v>5.9999999999999787</v>
      </c>
      <c r="V51" s="354">
        <f t="shared" si="37"/>
        <v>42.000000000000014</v>
      </c>
      <c r="W51" s="17"/>
      <c r="X51" s="17"/>
      <c r="Y51" s="20"/>
      <c r="Z51" s="20"/>
      <c r="AA51" s="610"/>
      <c r="AB51" s="610"/>
      <c r="AC51" s="155"/>
      <c r="AD51" s="19"/>
      <c r="AE51" s="15">
        <f t="shared" si="8"/>
        <v>-65.714285714286461</v>
      </c>
      <c r="AF51" s="351">
        <f t="shared" si="9"/>
        <v>0.96714285714285675</v>
      </c>
      <c r="AG51" s="619"/>
    </row>
    <row r="52" spans="1:33" ht="15.75" customHeight="1">
      <c r="A52" s="623" t="s">
        <v>297</v>
      </c>
      <c r="B52" s="33" t="s">
        <v>6</v>
      </c>
      <c r="C52" s="346" t="s">
        <v>1513</v>
      </c>
      <c r="D52" s="347"/>
      <c r="E52" s="33">
        <v>56.43</v>
      </c>
      <c r="F52" s="35">
        <v>2896</v>
      </c>
      <c r="G52" s="350">
        <f t="shared" si="35"/>
        <v>163421.28</v>
      </c>
      <c r="H52" s="357" t="s">
        <v>5</v>
      </c>
      <c r="I52" s="353">
        <v>21</v>
      </c>
      <c r="J52" s="30">
        <v>2000</v>
      </c>
      <c r="K52" s="13">
        <f t="shared" si="1"/>
        <v>95.238095238095241</v>
      </c>
      <c r="L52" s="353">
        <v>21</v>
      </c>
      <c r="M52" s="14">
        <f t="shared" si="39"/>
        <v>1909.4505494505495</v>
      </c>
      <c r="N52" s="14">
        <f t="shared" si="3"/>
        <v>90.926216640502361</v>
      </c>
      <c r="O52" s="15">
        <f t="shared" si="4"/>
        <v>0</v>
      </c>
      <c r="P52" s="16">
        <f t="shared" si="5"/>
        <v>-4.3118785975928802</v>
      </c>
      <c r="Q52" s="351">
        <f t="shared" si="6"/>
        <v>0.9547252747252748</v>
      </c>
      <c r="R52" s="619"/>
      <c r="S52" s="31">
        <v>0.34374999999999994</v>
      </c>
      <c r="T52" s="31">
        <v>0.40694444444444439</v>
      </c>
      <c r="U52" s="350">
        <f t="shared" si="38"/>
        <v>7.9999999999999716</v>
      </c>
      <c r="V52" s="354">
        <f t="shared" si="37"/>
        <v>91</v>
      </c>
      <c r="W52" s="17"/>
      <c r="X52" s="17"/>
      <c r="Y52" s="20"/>
      <c r="Z52" s="20"/>
      <c r="AA52" s="610"/>
      <c r="AB52" s="610"/>
      <c r="AC52" s="155"/>
      <c r="AD52" s="19"/>
      <c r="AE52" s="15">
        <f t="shared" si="8"/>
        <v>-90.549450549450512</v>
      </c>
      <c r="AF52" s="351">
        <f t="shared" si="9"/>
        <v>0.9547252747252748</v>
      </c>
      <c r="AG52" s="619"/>
    </row>
    <row r="53" spans="1:33" ht="15.75" customHeight="1">
      <c r="A53" s="623" t="s">
        <v>297</v>
      </c>
      <c r="B53" s="33" t="s">
        <v>6</v>
      </c>
      <c r="C53" s="612" t="s">
        <v>44</v>
      </c>
      <c r="D53" s="613"/>
      <c r="E53" s="33">
        <v>55.56</v>
      </c>
      <c r="F53" s="35">
        <v>2099</v>
      </c>
      <c r="G53" s="350">
        <f t="shared" si="35"/>
        <v>116620.44</v>
      </c>
      <c r="H53" s="357" t="s">
        <v>5</v>
      </c>
      <c r="I53" s="353">
        <v>17</v>
      </c>
      <c r="J53" s="30">
        <v>2000</v>
      </c>
      <c r="K53" s="13">
        <f t="shared" si="1"/>
        <v>117.64705882352941</v>
      </c>
      <c r="L53" s="353">
        <v>17</v>
      </c>
      <c r="M53" s="14">
        <f t="shared" si="39"/>
        <v>1908.1818181818203</v>
      </c>
      <c r="N53" s="14">
        <f t="shared" si="3"/>
        <v>112.24598930481295</v>
      </c>
      <c r="O53" s="15">
        <f t="shared" si="4"/>
        <v>0</v>
      </c>
      <c r="P53" s="16">
        <f t="shared" si="5"/>
        <v>-5.4010695187164544</v>
      </c>
      <c r="Q53" s="351">
        <f t="shared" si="6"/>
        <v>0.9540909090909101</v>
      </c>
      <c r="R53" s="619"/>
      <c r="S53" s="31">
        <v>0.70833333333333337</v>
      </c>
      <c r="T53" s="31">
        <v>0.75416666666666665</v>
      </c>
      <c r="U53" s="350" t="str">
        <f t="shared" si="38"/>
        <v/>
      </c>
      <c r="V53" s="354">
        <f t="shared" si="37"/>
        <v>65.999999999999929</v>
      </c>
      <c r="W53" s="17"/>
      <c r="X53" s="17"/>
      <c r="Y53" s="20"/>
      <c r="Z53" s="20"/>
      <c r="AA53" s="614"/>
      <c r="AB53" s="615"/>
      <c r="AC53" s="155"/>
      <c r="AD53" s="19"/>
      <c r="AE53" s="15">
        <f t="shared" si="8"/>
        <v>-91.81818181817971</v>
      </c>
      <c r="AF53" s="351">
        <f t="shared" si="9"/>
        <v>0.9540909090909101</v>
      </c>
      <c r="AG53" s="619"/>
    </row>
    <row r="54" spans="1:33" ht="15.75" customHeight="1">
      <c r="A54" s="623" t="s">
        <v>297</v>
      </c>
      <c r="B54" s="33" t="s">
        <v>6</v>
      </c>
      <c r="C54" s="612" t="s">
        <v>72</v>
      </c>
      <c r="D54" s="613"/>
      <c r="E54" s="33">
        <v>58.17</v>
      </c>
      <c r="F54" s="35">
        <v>1463</v>
      </c>
      <c r="G54" s="350">
        <f t="shared" si="35"/>
        <v>85102.71</v>
      </c>
      <c r="H54" s="357" t="s">
        <v>5</v>
      </c>
      <c r="I54" s="353">
        <v>13</v>
      </c>
      <c r="J54" s="30">
        <v>2000</v>
      </c>
      <c r="K54" s="13">
        <f t="shared" si="1"/>
        <v>153.84615384615384</v>
      </c>
      <c r="L54" s="353">
        <v>13</v>
      </c>
      <c r="M54" s="14">
        <f t="shared" si="39"/>
        <v>1908.2608695652175</v>
      </c>
      <c r="N54" s="14">
        <f t="shared" si="3"/>
        <v>146.78929765886289</v>
      </c>
      <c r="O54" s="15">
        <f t="shared" si="4"/>
        <v>0</v>
      </c>
      <c r="P54" s="16">
        <f t="shared" si="5"/>
        <v>-7.056856187290947</v>
      </c>
      <c r="Q54" s="351">
        <f t="shared" si="6"/>
        <v>0.95413043478260884</v>
      </c>
      <c r="R54" s="619"/>
      <c r="S54" s="31">
        <v>0.75972222222222219</v>
      </c>
      <c r="T54" s="31">
        <v>0.79166666666666663</v>
      </c>
      <c r="U54" s="350">
        <f t="shared" si="38"/>
        <v>7.9999999999999716</v>
      </c>
      <c r="V54" s="354">
        <f t="shared" si="37"/>
        <v>46</v>
      </c>
      <c r="W54" s="17"/>
      <c r="X54" s="17"/>
      <c r="Y54" s="20"/>
      <c r="Z54" s="20"/>
      <c r="AA54" s="614"/>
      <c r="AB54" s="615"/>
      <c r="AC54" s="155"/>
      <c r="AD54" s="19"/>
      <c r="AE54" s="15">
        <f t="shared" si="8"/>
        <v>-91.73913043478251</v>
      </c>
      <c r="AF54" s="351">
        <f t="shared" si="9"/>
        <v>0.95413043478260873</v>
      </c>
      <c r="AG54" s="619"/>
    </row>
    <row r="55" spans="1:33" ht="15.75" customHeight="1">
      <c r="A55" s="623" t="s">
        <v>297</v>
      </c>
      <c r="B55" s="33" t="s">
        <v>6</v>
      </c>
      <c r="C55" s="612" t="s">
        <v>82</v>
      </c>
      <c r="D55" s="613"/>
      <c r="E55" s="33">
        <v>54.09</v>
      </c>
      <c r="F55" s="35">
        <v>1496</v>
      </c>
      <c r="G55" s="350">
        <f t="shared" si="35"/>
        <v>80918.64</v>
      </c>
      <c r="H55" s="357" t="s">
        <v>5</v>
      </c>
      <c r="I55" s="353">
        <v>14</v>
      </c>
      <c r="J55" s="30">
        <v>2000</v>
      </c>
      <c r="K55" s="13">
        <f t="shared" si="1"/>
        <v>142.85714285714286</v>
      </c>
      <c r="L55" s="353">
        <v>14</v>
      </c>
      <c r="M55" s="14">
        <f t="shared" si="39"/>
        <v>1909.7872340425536</v>
      </c>
      <c r="N55" s="14">
        <f t="shared" si="3"/>
        <v>136.41337386018239</v>
      </c>
      <c r="O55" s="15">
        <f t="shared" si="4"/>
        <v>0</v>
      </c>
      <c r="P55" s="16">
        <f t="shared" si="5"/>
        <v>-6.4437689969604719</v>
      </c>
      <c r="Q55" s="351">
        <f t="shared" si="6"/>
        <v>0.95489361702127673</v>
      </c>
      <c r="R55" s="619"/>
      <c r="S55" s="31">
        <v>0.79513888888888884</v>
      </c>
      <c r="T55" s="31">
        <v>0.82777777777777772</v>
      </c>
      <c r="U55" s="350">
        <f t="shared" si="38"/>
        <v>4.9999999999999822</v>
      </c>
      <c r="V55" s="354">
        <f t="shared" si="37"/>
        <v>46.999999999999993</v>
      </c>
      <c r="W55" s="17"/>
      <c r="X55" s="17"/>
      <c r="Y55" s="20"/>
      <c r="Z55" s="20"/>
      <c r="AA55" s="614"/>
      <c r="AB55" s="615"/>
      <c r="AC55" s="155"/>
      <c r="AD55" s="19"/>
      <c r="AE55" s="15">
        <f t="shared" si="8"/>
        <v>-90.212765957446436</v>
      </c>
      <c r="AF55" s="351">
        <f t="shared" si="9"/>
        <v>0.95489361702127673</v>
      </c>
      <c r="AG55" s="619"/>
    </row>
    <row r="56" spans="1:33">
      <c r="A56" s="624" t="s">
        <v>297</v>
      </c>
      <c r="B56" s="33" t="s">
        <v>80</v>
      </c>
      <c r="C56" s="620"/>
      <c r="D56" s="620"/>
      <c r="E56" s="352"/>
      <c r="F56" s="34"/>
      <c r="G56" s="13"/>
      <c r="H56" s="356"/>
      <c r="I56" s="23">
        <v>18.25</v>
      </c>
      <c r="J56" s="30">
        <v>2000</v>
      </c>
      <c r="K56" s="13">
        <f t="shared" si="1"/>
        <v>109.58904109589041</v>
      </c>
      <c r="L56" s="23">
        <v>18.25</v>
      </c>
      <c r="M56" s="14">
        <f>AVERAGE(M48:M55)</f>
        <v>1919.168049812519</v>
      </c>
      <c r="N56" s="13">
        <f t="shared" si="3"/>
        <v>105.159893140412</v>
      </c>
      <c r="O56" s="15">
        <f t="shared" si="4"/>
        <v>0</v>
      </c>
      <c r="P56" s="16">
        <f t="shared" si="5"/>
        <v>-4.4291479554784132</v>
      </c>
      <c r="Q56" s="351">
        <f t="shared" si="6"/>
        <v>0.95958402490625949</v>
      </c>
      <c r="R56" s="619"/>
      <c r="S56" s="31"/>
      <c r="T56" s="31"/>
      <c r="U56" s="350"/>
      <c r="V56" s="354"/>
      <c r="W56" s="13"/>
      <c r="X56" s="13"/>
      <c r="Y56" s="24">
        <f>SUM(Y48:Y55)</f>
        <v>0</v>
      </c>
      <c r="Z56" s="24">
        <f>SUM(Z48:Z55)</f>
        <v>0</v>
      </c>
      <c r="AA56" s="609"/>
      <c r="AB56" s="609"/>
      <c r="AC56" s="24">
        <v>8</v>
      </c>
      <c r="AD56" s="24">
        <f>SUM(AD48:AD55)</f>
        <v>0</v>
      </c>
      <c r="AE56" s="15">
        <f>M56-J56</f>
        <v>-80.83195018748097</v>
      </c>
      <c r="AF56" s="351">
        <f t="shared" si="9"/>
        <v>0.95958402490625949</v>
      </c>
      <c r="AG56" s="619"/>
    </row>
    <row r="57" spans="1:33" ht="15.75" customHeight="1">
      <c r="A57" s="621" t="s">
        <v>199</v>
      </c>
      <c r="B57" s="356" t="s">
        <v>36</v>
      </c>
      <c r="C57" s="611" t="s">
        <v>38</v>
      </c>
      <c r="D57" s="611"/>
      <c r="E57" s="33">
        <v>27.17</v>
      </c>
      <c r="F57" s="35">
        <v>6720</v>
      </c>
      <c r="G57" s="350">
        <f t="shared" ref="G57:G61" si="40">E57*F57</f>
        <v>182582.40000000002</v>
      </c>
      <c r="H57" s="357" t="s">
        <v>5</v>
      </c>
      <c r="I57" s="353">
        <v>10</v>
      </c>
      <c r="J57" s="30">
        <v>3000</v>
      </c>
      <c r="K57" s="13">
        <f t="shared" si="1"/>
        <v>300</v>
      </c>
      <c r="L57" s="353">
        <v>10</v>
      </c>
      <c r="M57" s="14">
        <f t="shared" ref="M57:M61" si="41">F57/V57*60</f>
        <v>2859.5744680851058</v>
      </c>
      <c r="N57" s="13">
        <f t="shared" si="3"/>
        <v>285.95744680851055</v>
      </c>
      <c r="O57" s="15">
        <f t="shared" si="4"/>
        <v>0</v>
      </c>
      <c r="P57" s="16">
        <f t="shared" si="5"/>
        <v>-14.042553191489446</v>
      </c>
      <c r="Q57" s="351">
        <f t="shared" si="6"/>
        <v>0.95319148936170184</v>
      </c>
      <c r="R57" s="619">
        <f>Q62</f>
        <v>0.9584922457360282</v>
      </c>
      <c r="S57" s="31">
        <v>0.20833333333333334</v>
      </c>
      <c r="T57" s="31">
        <v>0.30625000000000002</v>
      </c>
      <c r="U57" s="350"/>
      <c r="V57" s="354">
        <f t="shared" ref="V57:V61" si="42">(T57-S57)*24*60</f>
        <v>141.00000000000003</v>
      </c>
      <c r="W57" s="17"/>
      <c r="X57" s="17"/>
      <c r="Y57" s="22"/>
      <c r="Z57" s="22"/>
      <c r="AA57" s="610"/>
      <c r="AB57" s="610"/>
      <c r="AC57" s="155">
        <v>5</v>
      </c>
      <c r="AD57" s="19"/>
      <c r="AE57" s="15">
        <f t="shared" ref="AE57:AE72" si="43">M57-J57</f>
        <v>-140.42553191489424</v>
      </c>
      <c r="AF57" s="351">
        <f t="shared" si="9"/>
        <v>0.95319148936170195</v>
      </c>
      <c r="AG57" s="619">
        <f>AF62</f>
        <v>0.9584922457360282</v>
      </c>
    </row>
    <row r="58" spans="1:33" ht="15.75" customHeight="1">
      <c r="A58" s="621" t="s">
        <v>199</v>
      </c>
      <c r="B58" s="356" t="s">
        <v>36</v>
      </c>
      <c r="C58" s="611" t="s">
        <v>47</v>
      </c>
      <c r="D58" s="611"/>
      <c r="E58" s="33">
        <v>26.78</v>
      </c>
      <c r="F58" s="35">
        <v>2555</v>
      </c>
      <c r="G58" s="350">
        <f t="shared" si="40"/>
        <v>68422.900000000009</v>
      </c>
      <c r="H58" s="357" t="s">
        <v>5</v>
      </c>
      <c r="I58" s="353">
        <v>10</v>
      </c>
      <c r="J58" s="30">
        <v>3000</v>
      </c>
      <c r="K58" s="13">
        <f t="shared" si="1"/>
        <v>300</v>
      </c>
      <c r="L58" s="353">
        <v>10</v>
      </c>
      <c r="M58" s="14">
        <f t="shared" si="41"/>
        <v>2892.4528301886808</v>
      </c>
      <c r="N58" s="13">
        <f t="shared" si="3"/>
        <v>289.24528301886807</v>
      </c>
      <c r="O58" s="15">
        <f t="shared" si="4"/>
        <v>0</v>
      </c>
      <c r="P58" s="16">
        <f t="shared" si="5"/>
        <v>-10.754716981131935</v>
      </c>
      <c r="Q58" s="351">
        <f t="shared" si="6"/>
        <v>0.96415094339622687</v>
      </c>
      <c r="R58" s="619"/>
      <c r="S58" s="31">
        <v>0.31041666666666667</v>
      </c>
      <c r="T58" s="31">
        <v>0.34722222222222221</v>
      </c>
      <c r="U58" s="350">
        <f t="shared" ref="U58:U61" si="44">(S58-T57)*24*60</f>
        <v>5.9999999999999787</v>
      </c>
      <c r="V58" s="354">
        <f t="shared" si="42"/>
        <v>52.999999999999972</v>
      </c>
      <c r="W58" s="350"/>
      <c r="X58" s="350"/>
      <c r="Y58" s="350"/>
      <c r="Z58" s="350"/>
      <c r="AA58" s="610"/>
      <c r="AB58" s="610"/>
      <c r="AC58" s="155"/>
      <c r="AD58" s="19"/>
      <c r="AE58" s="15">
        <f t="shared" si="43"/>
        <v>-107.54716981131924</v>
      </c>
      <c r="AF58" s="351">
        <f t="shared" si="9"/>
        <v>0.96415094339622687</v>
      </c>
      <c r="AG58" s="619"/>
    </row>
    <row r="59" spans="1:33" ht="15.75" customHeight="1">
      <c r="A59" s="621" t="s">
        <v>199</v>
      </c>
      <c r="B59" s="356" t="s">
        <v>36</v>
      </c>
      <c r="C59" s="611" t="s">
        <v>49</v>
      </c>
      <c r="D59" s="611"/>
      <c r="E59" s="33">
        <v>35.869999999999997</v>
      </c>
      <c r="F59" s="35">
        <v>2956</v>
      </c>
      <c r="G59" s="350">
        <f t="shared" si="40"/>
        <v>106031.71999999999</v>
      </c>
      <c r="H59" s="357" t="s">
        <v>5</v>
      </c>
      <c r="I59" s="353">
        <v>10</v>
      </c>
      <c r="J59" s="30">
        <v>3000</v>
      </c>
      <c r="K59" s="13">
        <f t="shared" si="1"/>
        <v>300</v>
      </c>
      <c r="L59" s="353">
        <v>10</v>
      </c>
      <c r="M59" s="14">
        <f t="shared" si="41"/>
        <v>2860.6451612903215</v>
      </c>
      <c r="N59" s="13">
        <f t="shared" si="3"/>
        <v>286.06451612903214</v>
      </c>
      <c r="O59" s="15">
        <f t="shared" si="4"/>
        <v>0</v>
      </c>
      <c r="P59" s="16">
        <f t="shared" si="5"/>
        <v>-13.935483870967857</v>
      </c>
      <c r="Q59" s="351">
        <f t="shared" si="6"/>
        <v>0.95354838709677381</v>
      </c>
      <c r="R59" s="619"/>
      <c r="S59" s="31">
        <v>0.35069444444444442</v>
      </c>
      <c r="T59" s="31">
        <v>0.39374999999999999</v>
      </c>
      <c r="U59" s="350">
        <f t="shared" si="44"/>
        <v>4.9999999999999822</v>
      </c>
      <c r="V59" s="354">
        <f t="shared" si="42"/>
        <v>62.000000000000021</v>
      </c>
      <c r="W59" s="350"/>
      <c r="X59" s="350"/>
      <c r="Y59" s="350"/>
      <c r="Z59" s="350"/>
      <c r="AA59" s="610"/>
      <c r="AB59" s="610"/>
      <c r="AC59" s="155"/>
      <c r="AD59" s="19"/>
      <c r="AE59" s="15">
        <f t="shared" si="43"/>
        <v>-139.35483870967846</v>
      </c>
      <c r="AF59" s="351">
        <f t="shared" si="9"/>
        <v>0.95354838709677381</v>
      </c>
      <c r="AG59" s="619"/>
    </row>
    <row r="60" spans="1:33" ht="15.75" customHeight="1">
      <c r="A60" s="621" t="s">
        <v>199</v>
      </c>
      <c r="B60" s="356" t="s">
        <v>36</v>
      </c>
      <c r="C60" s="611" t="s">
        <v>39</v>
      </c>
      <c r="D60" s="611"/>
      <c r="E60" s="33">
        <v>35.869999999999997</v>
      </c>
      <c r="F60" s="35">
        <v>1101</v>
      </c>
      <c r="G60" s="350">
        <f t="shared" si="40"/>
        <v>39492.869999999995</v>
      </c>
      <c r="H60" s="357" t="s">
        <v>5</v>
      </c>
      <c r="I60" s="353">
        <v>9</v>
      </c>
      <c r="J60" s="30">
        <v>3000</v>
      </c>
      <c r="K60" s="13">
        <f t="shared" si="1"/>
        <v>333.33333333333331</v>
      </c>
      <c r="L60" s="353">
        <v>9</v>
      </c>
      <c r="M60" s="14">
        <f t="shared" si="41"/>
        <v>2872.1739130434785</v>
      </c>
      <c r="N60" s="13">
        <f t="shared" si="3"/>
        <v>319.13043478260875</v>
      </c>
      <c r="O60" s="15">
        <f t="shared" si="4"/>
        <v>0</v>
      </c>
      <c r="P60" s="16">
        <f t="shared" si="5"/>
        <v>-14.202898550724569</v>
      </c>
      <c r="Q60" s="351">
        <f t="shared" si="6"/>
        <v>0.95739130434782627</v>
      </c>
      <c r="R60" s="619"/>
      <c r="S60" s="31">
        <v>0.3972222222222222</v>
      </c>
      <c r="T60" s="31">
        <v>0.41319444444444442</v>
      </c>
      <c r="U60" s="350">
        <f t="shared" si="44"/>
        <v>4.9999999999999822</v>
      </c>
      <c r="V60" s="354">
        <f t="shared" si="42"/>
        <v>23</v>
      </c>
      <c r="W60" s="350"/>
      <c r="X60" s="350"/>
      <c r="Y60" s="350"/>
      <c r="Z60" s="350"/>
      <c r="AA60" s="610"/>
      <c r="AB60" s="610"/>
      <c r="AC60" s="155"/>
      <c r="AD60" s="19"/>
      <c r="AE60" s="15">
        <f t="shared" si="43"/>
        <v>-127.82608695652152</v>
      </c>
      <c r="AF60" s="351">
        <f t="shared" si="9"/>
        <v>0.95739130434782616</v>
      </c>
      <c r="AG60" s="619"/>
    </row>
    <row r="61" spans="1:33">
      <c r="A61" s="622" t="s">
        <v>199</v>
      </c>
      <c r="B61" s="356" t="s">
        <v>36</v>
      </c>
      <c r="C61" s="611" t="s">
        <v>74</v>
      </c>
      <c r="D61" s="611"/>
      <c r="E61" s="33">
        <v>33.770000000000003</v>
      </c>
      <c r="F61" s="35">
        <v>3230</v>
      </c>
      <c r="G61" s="350">
        <f t="shared" si="40"/>
        <v>109077.1</v>
      </c>
      <c r="H61" s="357" t="s">
        <v>5</v>
      </c>
      <c r="I61" s="353">
        <v>12</v>
      </c>
      <c r="J61" s="30">
        <v>3000</v>
      </c>
      <c r="K61" s="13">
        <f t="shared" si="1"/>
        <v>250</v>
      </c>
      <c r="L61" s="353">
        <v>12</v>
      </c>
      <c r="M61" s="14">
        <f t="shared" si="41"/>
        <v>2892.5373134328356</v>
      </c>
      <c r="N61" s="13">
        <f t="shared" si="3"/>
        <v>241.04477611940297</v>
      </c>
      <c r="O61" s="15">
        <f t="shared" si="4"/>
        <v>0</v>
      </c>
      <c r="P61" s="16">
        <f t="shared" si="5"/>
        <v>-8.9552238805970319</v>
      </c>
      <c r="Q61" s="351">
        <f t="shared" si="6"/>
        <v>0.9641791044776119</v>
      </c>
      <c r="R61" s="619"/>
      <c r="S61" s="31">
        <v>0.41805555555555551</v>
      </c>
      <c r="T61" s="31">
        <v>0.46458333333333329</v>
      </c>
      <c r="U61" s="350">
        <f t="shared" si="44"/>
        <v>6.9999999999999751</v>
      </c>
      <c r="V61" s="354">
        <f t="shared" si="42"/>
        <v>67</v>
      </c>
      <c r="W61" s="17"/>
      <c r="X61" s="17"/>
      <c r="Y61" s="17"/>
      <c r="Z61" s="17"/>
      <c r="AA61" s="610"/>
      <c r="AB61" s="610"/>
      <c r="AC61" s="155"/>
      <c r="AD61" s="19"/>
      <c r="AE61" s="15">
        <f t="shared" si="43"/>
        <v>-107.46268656716438</v>
      </c>
      <c r="AF61" s="351">
        <f t="shared" si="9"/>
        <v>0.9641791044776119</v>
      </c>
      <c r="AG61" s="619"/>
    </row>
    <row r="62" spans="1:33">
      <c r="A62" s="622" t="s">
        <v>199</v>
      </c>
      <c r="B62" s="33" t="s">
        <v>80</v>
      </c>
      <c r="C62" s="620"/>
      <c r="D62" s="620"/>
      <c r="E62" s="352"/>
      <c r="F62" s="34"/>
      <c r="G62" s="13"/>
      <c r="H62" s="356"/>
      <c r="I62" s="23">
        <v>10.199999999999999</v>
      </c>
      <c r="J62" s="30">
        <v>3000</v>
      </c>
      <c r="K62" s="13">
        <f t="shared" si="1"/>
        <v>294.11764705882354</v>
      </c>
      <c r="L62" s="23">
        <v>10.199999999999999</v>
      </c>
      <c r="M62" s="14">
        <f>AVERAGE(M57:M61)</f>
        <v>2875.4767372080846</v>
      </c>
      <c r="N62" s="13">
        <f t="shared" si="3"/>
        <v>281.90948404000829</v>
      </c>
      <c r="O62" s="15">
        <f t="shared" si="4"/>
        <v>0</v>
      </c>
      <c r="P62" s="16">
        <f t="shared" si="5"/>
        <v>-12.208163018815242</v>
      </c>
      <c r="Q62" s="351">
        <f t="shared" si="6"/>
        <v>0.9584922457360282</v>
      </c>
      <c r="R62" s="619"/>
      <c r="S62" s="31"/>
      <c r="T62" s="31"/>
      <c r="U62" s="13"/>
      <c r="V62" s="354"/>
      <c r="W62" s="13"/>
      <c r="X62" s="13"/>
      <c r="Y62" s="24">
        <f>SUM(Y57:Y61)</f>
        <v>0</v>
      </c>
      <c r="Z62" s="24">
        <f>SUM(Z57:Z61)</f>
        <v>0</v>
      </c>
      <c r="AA62" s="609"/>
      <c r="AB62" s="609"/>
      <c r="AC62" s="24">
        <v>5</v>
      </c>
      <c r="AD62" s="24">
        <f>SUM(AD57:AD61)</f>
        <v>0</v>
      </c>
      <c r="AE62" s="15">
        <f t="shared" si="43"/>
        <v>-124.52326279191539</v>
      </c>
      <c r="AF62" s="351">
        <f t="shared" si="9"/>
        <v>0.9584922457360282</v>
      </c>
      <c r="AG62" s="619"/>
    </row>
    <row r="63" spans="1:33" ht="15.75" customHeight="1">
      <c r="A63" s="616" t="s">
        <v>200</v>
      </c>
      <c r="B63" s="356" t="s">
        <v>27</v>
      </c>
      <c r="C63" s="611" t="s">
        <v>50</v>
      </c>
      <c r="D63" s="611"/>
      <c r="E63" s="33">
        <v>19.02</v>
      </c>
      <c r="F63" s="356">
        <v>4100</v>
      </c>
      <c r="G63" s="350">
        <f t="shared" ref="G63:G71" si="45">E63*F63</f>
        <v>77982</v>
      </c>
      <c r="H63" s="357">
        <v>2</v>
      </c>
      <c r="I63" s="353">
        <v>14</v>
      </c>
      <c r="J63" s="30">
        <v>2400</v>
      </c>
      <c r="K63" s="13">
        <f t="shared" si="1"/>
        <v>171.42857142857142</v>
      </c>
      <c r="L63" s="353">
        <v>14</v>
      </c>
      <c r="M63" s="14">
        <f t="shared" ref="M63:M71" si="46">F63/V63*60</f>
        <v>2299.065420560748</v>
      </c>
      <c r="N63" s="13">
        <f t="shared" si="3"/>
        <v>164.21895861148201</v>
      </c>
      <c r="O63" s="15">
        <f t="shared" si="4"/>
        <v>0</v>
      </c>
      <c r="P63" s="16">
        <f t="shared" si="5"/>
        <v>-7.2096128170894076</v>
      </c>
      <c r="Q63" s="351">
        <f t="shared" si="6"/>
        <v>0.95794392523364513</v>
      </c>
      <c r="R63" s="619">
        <f>Q72</f>
        <v>0.95628408510932261</v>
      </c>
      <c r="S63" s="31">
        <v>8.3333333333333329E-2</v>
      </c>
      <c r="T63" s="31">
        <v>0.15763888888888888</v>
      </c>
      <c r="U63" s="22"/>
      <c r="V63" s="354">
        <f t="shared" ref="V63:V71" si="47">(T63-S63)*24*60</f>
        <v>107</v>
      </c>
      <c r="W63" s="17">
        <f>T63</f>
        <v>0.15763888888888888</v>
      </c>
      <c r="X63" s="17">
        <f>S64</f>
        <v>0.17499999999999996</v>
      </c>
      <c r="Y63" s="17"/>
      <c r="Z63" s="17"/>
      <c r="AA63" s="610"/>
      <c r="AB63" s="610"/>
      <c r="AC63" s="155">
        <v>9</v>
      </c>
      <c r="AD63" s="19"/>
      <c r="AE63" s="15">
        <f t="shared" si="43"/>
        <v>-100.93457943925205</v>
      </c>
      <c r="AF63" s="351">
        <f t="shared" si="9"/>
        <v>0.95794392523364502</v>
      </c>
      <c r="AG63" s="619">
        <f>AF72</f>
        <v>0.95628408510932272</v>
      </c>
    </row>
    <row r="64" spans="1:33" ht="15.75" customHeight="1">
      <c r="A64" s="617" t="s">
        <v>200</v>
      </c>
      <c r="B64" s="356" t="s">
        <v>27</v>
      </c>
      <c r="C64" s="611" t="s">
        <v>51</v>
      </c>
      <c r="D64" s="611"/>
      <c r="E64" s="33">
        <v>20.36</v>
      </c>
      <c r="F64" s="356">
        <v>2500</v>
      </c>
      <c r="G64" s="350">
        <f t="shared" si="45"/>
        <v>50900</v>
      </c>
      <c r="H64" s="357">
        <v>2</v>
      </c>
      <c r="I64" s="353">
        <v>17</v>
      </c>
      <c r="J64" s="30">
        <v>2400</v>
      </c>
      <c r="K64" s="13">
        <f t="shared" si="1"/>
        <v>141.1764705882353</v>
      </c>
      <c r="L64" s="353">
        <v>17</v>
      </c>
      <c r="M64" s="14">
        <f t="shared" si="46"/>
        <v>2307.6923076923072</v>
      </c>
      <c r="N64" s="13">
        <f t="shared" si="3"/>
        <v>135.7466063348416</v>
      </c>
      <c r="O64" s="15">
        <f t="shared" si="4"/>
        <v>0</v>
      </c>
      <c r="P64" s="16">
        <f t="shared" si="5"/>
        <v>-5.4298642533937027</v>
      </c>
      <c r="Q64" s="351">
        <f t="shared" si="6"/>
        <v>0.96153846153846123</v>
      </c>
      <c r="R64" s="619"/>
      <c r="S64" s="31">
        <v>0.17499999999999996</v>
      </c>
      <c r="T64" s="31">
        <v>0.22013888888888886</v>
      </c>
      <c r="U64" s="350">
        <f t="shared" ref="U64:U71" si="48">(S64-T63)*24*60</f>
        <v>24.99999999999995</v>
      </c>
      <c r="V64" s="354">
        <f t="shared" si="47"/>
        <v>65.000000000000014</v>
      </c>
      <c r="W64" s="17"/>
      <c r="X64" s="17"/>
      <c r="Y64" s="17"/>
      <c r="Z64" s="17"/>
      <c r="AA64" s="610"/>
      <c r="AB64" s="610"/>
      <c r="AC64" s="155"/>
      <c r="AD64" s="19"/>
      <c r="AE64" s="15">
        <f t="shared" si="43"/>
        <v>-92.307692307692832</v>
      </c>
      <c r="AF64" s="351">
        <f t="shared" si="9"/>
        <v>0.96153846153846134</v>
      </c>
      <c r="AG64" s="619"/>
    </row>
    <row r="65" spans="1:33" ht="15.75" customHeight="1">
      <c r="A65" s="617" t="s">
        <v>200</v>
      </c>
      <c r="B65" s="356" t="s">
        <v>27</v>
      </c>
      <c r="C65" s="611" t="s">
        <v>876</v>
      </c>
      <c r="D65" s="611"/>
      <c r="E65" s="33">
        <v>23.8</v>
      </c>
      <c r="F65" s="356">
        <v>4155</v>
      </c>
      <c r="G65" s="350">
        <f t="shared" si="45"/>
        <v>98889</v>
      </c>
      <c r="H65" s="357" t="s">
        <v>5</v>
      </c>
      <c r="I65" s="353">
        <v>16</v>
      </c>
      <c r="J65" s="30">
        <v>2400</v>
      </c>
      <c r="K65" s="13">
        <f t="shared" si="1"/>
        <v>150</v>
      </c>
      <c r="L65" s="353">
        <v>16</v>
      </c>
      <c r="M65" s="14">
        <f t="shared" si="46"/>
        <v>2287.1559633027523</v>
      </c>
      <c r="N65" s="13">
        <f t="shared" si="3"/>
        <v>142.94724770642202</v>
      </c>
      <c r="O65" s="15">
        <f t="shared" si="4"/>
        <v>0</v>
      </c>
      <c r="P65" s="16">
        <f t="shared" si="5"/>
        <v>-7.0527522935779814</v>
      </c>
      <c r="Q65" s="351">
        <f t="shared" si="6"/>
        <v>0.95298165137614677</v>
      </c>
      <c r="R65" s="619"/>
      <c r="S65" s="31">
        <v>0.22430555555555554</v>
      </c>
      <c r="T65" s="31">
        <v>0.3</v>
      </c>
      <c r="U65" s="350">
        <f t="shared" si="48"/>
        <v>6.0000000000000187</v>
      </c>
      <c r="V65" s="354">
        <f t="shared" si="47"/>
        <v>109.00000000000001</v>
      </c>
      <c r="W65" s="17"/>
      <c r="X65" s="17"/>
      <c r="Y65" s="17"/>
      <c r="Z65" s="17"/>
      <c r="AA65" s="610"/>
      <c r="AB65" s="610"/>
      <c r="AC65" s="155"/>
      <c r="AD65" s="19"/>
      <c r="AE65" s="15">
        <f t="shared" si="43"/>
        <v>-112.8440366972477</v>
      </c>
      <c r="AF65" s="351">
        <f t="shared" si="9"/>
        <v>0.95298165137614677</v>
      </c>
      <c r="AG65" s="619"/>
    </row>
    <row r="66" spans="1:33" ht="15.75" customHeight="1">
      <c r="A66" s="617" t="s">
        <v>200</v>
      </c>
      <c r="B66" s="356" t="s">
        <v>27</v>
      </c>
      <c r="C66" s="611" t="s">
        <v>31</v>
      </c>
      <c r="D66" s="611"/>
      <c r="E66" s="33">
        <v>25.99</v>
      </c>
      <c r="F66" s="356">
        <v>1407</v>
      </c>
      <c r="G66" s="350">
        <f t="shared" si="45"/>
        <v>36567.93</v>
      </c>
      <c r="H66" s="357" t="s">
        <v>5</v>
      </c>
      <c r="I66" s="353">
        <v>18</v>
      </c>
      <c r="J66" s="30">
        <v>2400</v>
      </c>
      <c r="K66" s="13">
        <f t="shared" si="1"/>
        <v>133.33333333333334</v>
      </c>
      <c r="L66" s="353">
        <v>18</v>
      </c>
      <c r="M66" s="14">
        <f t="shared" si="46"/>
        <v>2281.6216216216199</v>
      </c>
      <c r="N66" s="13">
        <f t="shared" si="3"/>
        <v>126.75675675675666</v>
      </c>
      <c r="O66" s="15">
        <f t="shared" si="4"/>
        <v>0</v>
      </c>
      <c r="P66" s="16">
        <f t="shared" si="5"/>
        <v>-6.5765765765766844</v>
      </c>
      <c r="Q66" s="351">
        <f t="shared" si="6"/>
        <v>0.9506756756756749</v>
      </c>
      <c r="R66" s="619"/>
      <c r="S66" s="31">
        <v>0.30416666666666664</v>
      </c>
      <c r="T66" s="31">
        <v>0.3298611111111111</v>
      </c>
      <c r="U66" s="350">
        <f t="shared" si="48"/>
        <v>5.9999999999999787</v>
      </c>
      <c r="V66" s="354">
        <f t="shared" si="47"/>
        <v>37.000000000000028</v>
      </c>
      <c r="W66" s="17"/>
      <c r="X66" s="17"/>
      <c r="Y66" s="17"/>
      <c r="Z66" s="17"/>
      <c r="AA66" s="610"/>
      <c r="AB66" s="610"/>
      <c r="AC66" s="155"/>
      <c r="AD66" s="19"/>
      <c r="AE66" s="15">
        <f t="shared" si="43"/>
        <v>-118.37837837838015</v>
      </c>
      <c r="AF66" s="351">
        <f t="shared" si="9"/>
        <v>0.9506756756756749</v>
      </c>
      <c r="AG66" s="619"/>
    </row>
    <row r="67" spans="1:33" ht="15.75" customHeight="1">
      <c r="A67" s="617" t="s">
        <v>200</v>
      </c>
      <c r="B67" s="356" t="s">
        <v>27</v>
      </c>
      <c r="C67" s="611" t="s">
        <v>53</v>
      </c>
      <c r="D67" s="611"/>
      <c r="E67" s="33">
        <v>28.29</v>
      </c>
      <c r="F67" s="356">
        <v>2816</v>
      </c>
      <c r="G67" s="350">
        <f t="shared" si="45"/>
        <v>79664.639999999999</v>
      </c>
      <c r="H67" s="357" t="s">
        <v>5</v>
      </c>
      <c r="I67" s="353">
        <v>19</v>
      </c>
      <c r="J67" s="30">
        <v>2400</v>
      </c>
      <c r="K67" s="13">
        <f t="shared" si="1"/>
        <v>126.31578947368421</v>
      </c>
      <c r="L67" s="353">
        <v>19</v>
      </c>
      <c r="M67" s="14">
        <f t="shared" si="46"/>
        <v>2283.2432432432443</v>
      </c>
      <c r="N67" s="13">
        <f t="shared" si="3"/>
        <v>120.17069701280234</v>
      </c>
      <c r="O67" s="15">
        <f t="shared" si="4"/>
        <v>0</v>
      </c>
      <c r="P67" s="16">
        <f t="shared" si="5"/>
        <v>-6.1450924608818696</v>
      </c>
      <c r="Q67" s="351">
        <f t="shared" si="6"/>
        <v>0.95135135135135185</v>
      </c>
      <c r="R67" s="619"/>
      <c r="S67" s="31">
        <v>0.33333333333333331</v>
      </c>
      <c r="T67" s="31">
        <v>0.38472222222222219</v>
      </c>
      <c r="U67" s="350">
        <f t="shared" si="48"/>
        <v>4.9999999999999822</v>
      </c>
      <c r="V67" s="354">
        <f t="shared" si="47"/>
        <v>73.999999999999972</v>
      </c>
      <c r="W67" s="17"/>
      <c r="X67" s="17"/>
      <c r="Y67" s="17"/>
      <c r="Z67" s="17"/>
      <c r="AA67" s="610"/>
      <c r="AB67" s="610"/>
      <c r="AC67" s="155"/>
      <c r="AD67" s="19"/>
      <c r="AE67" s="15">
        <f t="shared" si="43"/>
        <v>-116.75675675675575</v>
      </c>
      <c r="AF67" s="351">
        <f t="shared" si="9"/>
        <v>0.95135135135135174</v>
      </c>
      <c r="AG67" s="619"/>
    </row>
    <row r="68" spans="1:33" ht="15.75" customHeight="1">
      <c r="A68" s="617" t="s">
        <v>200</v>
      </c>
      <c r="B68" s="356" t="s">
        <v>27</v>
      </c>
      <c r="C68" s="611" t="s">
        <v>52</v>
      </c>
      <c r="D68" s="611"/>
      <c r="E68" s="33">
        <v>25.98</v>
      </c>
      <c r="F68" s="356">
        <v>1908</v>
      </c>
      <c r="G68" s="350">
        <f t="shared" si="45"/>
        <v>49569.840000000004</v>
      </c>
      <c r="H68" s="357" t="s">
        <v>5</v>
      </c>
      <c r="I68" s="353">
        <v>17</v>
      </c>
      <c r="J68" s="30">
        <v>2400</v>
      </c>
      <c r="K68" s="13">
        <f t="shared" si="1"/>
        <v>141.1764705882353</v>
      </c>
      <c r="L68" s="353">
        <v>17</v>
      </c>
      <c r="M68" s="14">
        <f t="shared" si="46"/>
        <v>2289.6000000000008</v>
      </c>
      <c r="N68" s="13">
        <f t="shared" si="3"/>
        <v>134.68235294117653</v>
      </c>
      <c r="O68" s="15">
        <f t="shared" si="4"/>
        <v>0</v>
      </c>
      <c r="P68" s="16">
        <f t="shared" si="5"/>
        <v>-6.494117647058772</v>
      </c>
      <c r="Q68" s="351">
        <f t="shared" si="6"/>
        <v>0.9540000000000004</v>
      </c>
      <c r="R68" s="619"/>
      <c r="S68" s="31">
        <v>0.38958333333333328</v>
      </c>
      <c r="T68" s="31">
        <v>0.42430555555555549</v>
      </c>
      <c r="U68" s="350">
        <f t="shared" si="48"/>
        <v>6.9999999999999751</v>
      </c>
      <c r="V68" s="354">
        <f t="shared" si="47"/>
        <v>49.999999999999986</v>
      </c>
      <c r="W68" s="17"/>
      <c r="X68" s="17"/>
      <c r="Y68" s="17"/>
      <c r="Z68" s="17"/>
      <c r="AA68" s="610"/>
      <c r="AB68" s="610"/>
      <c r="AC68" s="155"/>
      <c r="AD68" s="19"/>
      <c r="AE68" s="15">
        <f t="shared" si="43"/>
        <v>-110.39999999999918</v>
      </c>
      <c r="AF68" s="351">
        <f t="shared" si="9"/>
        <v>0.95400000000000029</v>
      </c>
      <c r="AG68" s="619"/>
    </row>
    <row r="69" spans="1:33" ht="15.75" customHeight="1">
      <c r="A69" s="617" t="s">
        <v>200</v>
      </c>
      <c r="B69" s="356" t="s">
        <v>27</v>
      </c>
      <c r="C69" s="612" t="s">
        <v>197</v>
      </c>
      <c r="D69" s="613"/>
      <c r="E69" s="33">
        <v>23.89</v>
      </c>
      <c r="F69" s="356">
        <v>4065</v>
      </c>
      <c r="G69" s="350">
        <f t="shared" si="45"/>
        <v>97112.85</v>
      </c>
      <c r="H69" s="357" t="s">
        <v>5</v>
      </c>
      <c r="I69" s="353">
        <v>17</v>
      </c>
      <c r="J69" s="30">
        <v>2400</v>
      </c>
      <c r="K69" s="13">
        <f t="shared" ref="K69:K72" si="49">J69/I69</f>
        <v>141.1764705882353</v>
      </c>
      <c r="L69" s="353">
        <v>17</v>
      </c>
      <c r="M69" s="14">
        <f t="shared" si="46"/>
        <v>2300.9433962264161</v>
      </c>
      <c r="N69" s="13">
        <f t="shared" ref="N69:N72" si="50">M69/L69</f>
        <v>135.34961154273037</v>
      </c>
      <c r="O69" s="15">
        <f t="shared" ref="O69:O72" si="51">L69-I69</f>
        <v>0</v>
      </c>
      <c r="P69" s="16">
        <f t="shared" ref="P69:P72" si="52">N69-K69</f>
        <v>-5.8268590455049321</v>
      </c>
      <c r="Q69" s="351">
        <f t="shared" ref="Q69:Q72" si="53">N69/K69</f>
        <v>0.95872641509434009</v>
      </c>
      <c r="R69" s="619"/>
      <c r="S69" s="31">
        <v>0.4277777777777777</v>
      </c>
      <c r="T69" s="31">
        <v>0.50138888888888877</v>
      </c>
      <c r="U69" s="350">
        <f t="shared" si="48"/>
        <v>4.9999999999999822</v>
      </c>
      <c r="V69" s="354">
        <f t="shared" si="47"/>
        <v>105.99999999999994</v>
      </c>
      <c r="W69" s="17">
        <f>T69</f>
        <v>0.50138888888888877</v>
      </c>
      <c r="X69" s="17">
        <f>S70</f>
        <v>0.54236111111111096</v>
      </c>
      <c r="Y69" s="20"/>
      <c r="Z69" s="20"/>
      <c r="AA69" s="614"/>
      <c r="AB69" s="615"/>
      <c r="AC69" s="155"/>
      <c r="AD69" s="19"/>
      <c r="AE69" s="15">
        <f t="shared" si="43"/>
        <v>-99.056603773583902</v>
      </c>
      <c r="AF69" s="351">
        <f t="shared" ref="AF69:AF72" si="54">M69/J69</f>
        <v>0.95872641509434009</v>
      </c>
      <c r="AG69" s="619"/>
    </row>
    <row r="70" spans="1:33" ht="15.75" customHeight="1">
      <c r="A70" s="617" t="s">
        <v>200</v>
      </c>
      <c r="B70" s="356" t="s">
        <v>27</v>
      </c>
      <c r="C70" s="612" t="s">
        <v>50</v>
      </c>
      <c r="D70" s="613"/>
      <c r="E70" s="33">
        <v>19.02</v>
      </c>
      <c r="F70" s="356">
        <v>6393</v>
      </c>
      <c r="G70" s="350">
        <f t="shared" si="45"/>
        <v>121594.86</v>
      </c>
      <c r="H70" s="357" t="s">
        <v>5</v>
      </c>
      <c r="I70" s="353">
        <v>14</v>
      </c>
      <c r="J70" s="30">
        <v>2400</v>
      </c>
      <c r="K70" s="13">
        <f t="shared" si="49"/>
        <v>171.42857142857142</v>
      </c>
      <c r="L70" s="353">
        <v>14</v>
      </c>
      <c r="M70" s="14">
        <f t="shared" si="46"/>
        <v>2283.2142857142849</v>
      </c>
      <c r="N70" s="13">
        <f t="shared" si="50"/>
        <v>163.0867346938775</v>
      </c>
      <c r="O70" s="15">
        <f t="shared" si="51"/>
        <v>0</v>
      </c>
      <c r="P70" s="16">
        <f t="shared" si="52"/>
        <v>-8.3418367346939135</v>
      </c>
      <c r="Q70" s="351">
        <f t="shared" si="53"/>
        <v>0.9513392857142855</v>
      </c>
      <c r="R70" s="619"/>
      <c r="S70" s="31">
        <v>0.54236111111111096</v>
      </c>
      <c r="T70" s="31">
        <v>0.65902777777777766</v>
      </c>
      <c r="U70" s="350">
        <f t="shared" si="48"/>
        <v>58.99999999999995</v>
      </c>
      <c r="V70" s="354">
        <f t="shared" si="47"/>
        <v>168.00000000000006</v>
      </c>
      <c r="W70" s="17"/>
      <c r="X70" s="17"/>
      <c r="Y70" s="20"/>
      <c r="Z70" s="20"/>
      <c r="AA70" s="614"/>
      <c r="AB70" s="615"/>
      <c r="AC70" s="155"/>
      <c r="AD70" s="19"/>
      <c r="AE70" s="15">
        <f t="shared" si="43"/>
        <v>-116.78571428571513</v>
      </c>
      <c r="AF70" s="351">
        <f t="shared" si="54"/>
        <v>0.95133928571428539</v>
      </c>
      <c r="AG70" s="619"/>
    </row>
    <row r="71" spans="1:33" ht="15.75" customHeight="1">
      <c r="A71" s="617" t="s">
        <v>200</v>
      </c>
      <c r="B71" s="356" t="s">
        <v>27</v>
      </c>
      <c r="C71" s="612" t="s">
        <v>51</v>
      </c>
      <c r="D71" s="613"/>
      <c r="E71" s="33">
        <v>20.36</v>
      </c>
      <c r="F71" s="356">
        <v>1936</v>
      </c>
      <c r="G71" s="350">
        <f t="shared" si="45"/>
        <v>39416.959999999999</v>
      </c>
      <c r="H71" s="357" t="s">
        <v>5</v>
      </c>
      <c r="I71" s="353">
        <v>17</v>
      </c>
      <c r="J71" s="30">
        <v>2400</v>
      </c>
      <c r="K71" s="13">
        <f t="shared" si="49"/>
        <v>141.1764705882353</v>
      </c>
      <c r="L71" s="353">
        <v>17</v>
      </c>
      <c r="M71" s="14">
        <f t="shared" si="46"/>
        <v>2323.2000000000007</v>
      </c>
      <c r="N71" s="13">
        <f t="shared" si="50"/>
        <v>136.65882352941182</v>
      </c>
      <c r="O71" s="15">
        <f t="shared" si="51"/>
        <v>0</v>
      </c>
      <c r="P71" s="16">
        <f t="shared" si="52"/>
        <v>-4.5176470588234849</v>
      </c>
      <c r="Q71" s="351">
        <f t="shared" si="53"/>
        <v>0.9680000000000003</v>
      </c>
      <c r="R71" s="619"/>
      <c r="S71" s="31">
        <v>0.66388888888888875</v>
      </c>
      <c r="T71" s="31">
        <v>0.69861111111111096</v>
      </c>
      <c r="U71" s="350">
        <f t="shared" si="48"/>
        <v>6.9999999999999751</v>
      </c>
      <c r="V71" s="354">
        <f t="shared" si="47"/>
        <v>49.999999999999986</v>
      </c>
      <c r="W71" s="17"/>
      <c r="X71" s="17"/>
      <c r="Y71" s="20"/>
      <c r="Z71" s="20"/>
      <c r="AA71" s="614"/>
      <c r="AB71" s="615"/>
      <c r="AC71" s="155"/>
      <c r="AD71" s="19"/>
      <c r="AE71" s="15">
        <f t="shared" si="43"/>
        <v>-76.799999999999272</v>
      </c>
      <c r="AF71" s="351">
        <f t="shared" si="54"/>
        <v>0.9680000000000003</v>
      </c>
      <c r="AG71" s="619"/>
    </row>
    <row r="72" spans="1:33" ht="16.5" customHeight="1">
      <c r="A72" s="618" t="s">
        <v>200</v>
      </c>
      <c r="B72" s="33" t="s">
        <v>80</v>
      </c>
      <c r="C72" s="607"/>
      <c r="D72" s="608"/>
      <c r="E72" s="352"/>
      <c r="F72" s="34"/>
      <c r="G72" s="13"/>
      <c r="H72" s="356"/>
      <c r="I72" s="23">
        <v>16.555555555555557</v>
      </c>
      <c r="J72" s="30">
        <v>2400</v>
      </c>
      <c r="K72" s="13">
        <f t="shared" si="49"/>
        <v>144.96644295302013</v>
      </c>
      <c r="L72" s="23">
        <v>16.555555555555557</v>
      </c>
      <c r="M72" s="14">
        <f>AVERAGE(M63:M71)</f>
        <v>2295.0818042623746</v>
      </c>
      <c r="N72" s="13">
        <f t="shared" si="50"/>
        <v>138.62910227088167</v>
      </c>
      <c r="O72" s="15">
        <f t="shared" si="51"/>
        <v>0</v>
      </c>
      <c r="P72" s="16">
        <f t="shared" si="52"/>
        <v>-6.3373406821384606</v>
      </c>
      <c r="Q72" s="351">
        <f t="shared" si="53"/>
        <v>0.95628408510932261</v>
      </c>
      <c r="R72" s="619"/>
      <c r="S72" s="31"/>
      <c r="T72" s="31"/>
      <c r="U72" s="13"/>
      <c r="V72" s="354"/>
      <c r="W72" s="13"/>
      <c r="X72" s="13"/>
      <c r="Y72" s="24">
        <f>SUM(Y63:Y71)</f>
        <v>0</v>
      </c>
      <c r="Z72" s="24">
        <f>SUM(Z63:Z71)</f>
        <v>0</v>
      </c>
      <c r="AA72" s="609"/>
      <c r="AB72" s="609"/>
      <c r="AC72" s="24">
        <v>9</v>
      </c>
      <c r="AD72" s="24">
        <f>SUM(AD63:AD71)</f>
        <v>0</v>
      </c>
      <c r="AE72" s="15">
        <f t="shared" si="43"/>
        <v>-104.91819573762541</v>
      </c>
      <c r="AF72" s="351">
        <f t="shared" si="54"/>
        <v>0.95628408510932272</v>
      </c>
      <c r="AG72" s="619"/>
    </row>
    <row r="73" spans="1:33">
      <c r="D73" s="25"/>
      <c r="E73" s="25"/>
    </row>
  </sheetData>
  <mergeCells count="193">
    <mergeCell ref="A63:A72"/>
    <mergeCell ref="C63:D63"/>
    <mergeCell ref="R63:R72"/>
    <mergeCell ref="AA63:AB63"/>
    <mergeCell ref="AG63:AG72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C72:D72"/>
    <mergeCell ref="AA72:AB72"/>
    <mergeCell ref="AA66:AB66"/>
    <mergeCell ref="C67:D67"/>
    <mergeCell ref="AA67:AB67"/>
    <mergeCell ref="C68:D68"/>
    <mergeCell ref="AA68:AB68"/>
    <mergeCell ref="C69:D69"/>
    <mergeCell ref="AA69:AB69"/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57:A62"/>
    <mergeCell ref="C57:D57"/>
    <mergeCell ref="R57:R62"/>
    <mergeCell ref="AA57:AB57"/>
    <mergeCell ref="AA62:AB62"/>
    <mergeCell ref="AA52:AB52"/>
    <mergeCell ref="C53:D53"/>
    <mergeCell ref="AA53:AB53"/>
    <mergeCell ref="C54:D54"/>
    <mergeCell ref="AA54:AB54"/>
    <mergeCell ref="C55:D55"/>
    <mergeCell ref="AA55:AB55"/>
    <mergeCell ref="A48:A56"/>
    <mergeCell ref="C48:D48"/>
    <mergeCell ref="R48:R56"/>
    <mergeCell ref="AA48:AB48"/>
    <mergeCell ref="AG48:AG56"/>
    <mergeCell ref="C49:D49"/>
    <mergeCell ref="AA49:AB49"/>
    <mergeCell ref="C50:D50"/>
    <mergeCell ref="AA50:AB50"/>
    <mergeCell ref="AA51:AB51"/>
    <mergeCell ref="AG44:AG47"/>
    <mergeCell ref="C45:D45"/>
    <mergeCell ref="AA45:AB45"/>
    <mergeCell ref="C46:D46"/>
    <mergeCell ref="AA46:AB46"/>
    <mergeCell ref="C47:D47"/>
    <mergeCell ref="AA47:AB47"/>
    <mergeCell ref="C56:D56"/>
    <mergeCell ref="AA56:AB56"/>
    <mergeCell ref="A44:A47"/>
    <mergeCell ref="C44:D44"/>
    <mergeCell ref="R44:R47"/>
    <mergeCell ref="AA44:AB44"/>
    <mergeCell ref="C39:D39"/>
    <mergeCell ref="AA39:AB39"/>
    <mergeCell ref="C40:D40"/>
    <mergeCell ref="AA40:AB40"/>
    <mergeCell ref="C41:D41"/>
    <mergeCell ref="AA41:AB41"/>
    <mergeCell ref="A36:A43"/>
    <mergeCell ref="C36:D36"/>
    <mergeCell ref="R36:R43"/>
    <mergeCell ref="AA36:AB36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G36:AG43"/>
    <mergeCell ref="C37:D37"/>
    <mergeCell ref="AA37:AB37"/>
    <mergeCell ref="C38:D38"/>
    <mergeCell ref="AA38:AB38"/>
    <mergeCell ref="C42:D42"/>
    <mergeCell ref="AA42:AB42"/>
    <mergeCell ref="C43:D43"/>
    <mergeCell ref="AA43:AB43"/>
    <mergeCell ref="A28:A35"/>
    <mergeCell ref="C28:D28"/>
    <mergeCell ref="R28:R35"/>
    <mergeCell ref="AA28:AB28"/>
    <mergeCell ref="AA33:AB33"/>
    <mergeCell ref="C34:D34"/>
    <mergeCell ref="AA34:AB34"/>
    <mergeCell ref="C35:D35"/>
    <mergeCell ref="AA35:AB35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60:O68 O56:O57 O72 O5:O9 O12:O14 O20:O53">
    <cfRule type="cellIs" dxfId="1409" priority="66" operator="greaterThan">
      <formula>0</formula>
    </cfRule>
  </conditionalFormatting>
  <conditionalFormatting sqref="P5:P7 P60:P61 AE60:AE61 P63:P68 P28:P34 P57 P9 P12:P14 P21:P26 P48:P53 P36:P46 AE5:AE57 AE63:AE72">
    <cfRule type="cellIs" dxfId="1408" priority="70" operator="lessThan">
      <formula>0</formula>
    </cfRule>
  </conditionalFormatting>
  <conditionalFormatting sqref="AF60:AF61 Q60:Q68 Q56:Q57 Q72 Q5:Q9 Q12:Q14 Q20:Q53 AF5:AF57 AF63:AF72">
    <cfRule type="cellIs" dxfId="1407" priority="67" operator="greaterThan">
      <formula>1</formula>
    </cfRule>
    <cfRule type="cellIs" dxfId="1406" priority="68" operator="lessThan">
      <formula>0.8</formula>
    </cfRule>
  </conditionalFormatting>
  <conditionalFormatting sqref="AG13:AG14 R13:R14 AG60 R60:R68 AG56:AG57 R56:R57 R72 AG5:AG9 R5:R9 AG20:AG53 R20:R53">
    <cfRule type="cellIs" dxfId="1405" priority="72" operator="lessThan">
      <formula>0.8</formula>
    </cfRule>
  </conditionalFormatting>
  <conditionalFormatting sqref="AG44">
    <cfRule type="cellIs" dxfId="1404" priority="74" operator="lessThan">
      <formula>0.8</formula>
    </cfRule>
  </conditionalFormatting>
  <conditionalFormatting sqref="AG21:AG26">
    <cfRule type="cellIs" dxfId="1403" priority="71" operator="lessThan">
      <formula>0.8</formula>
    </cfRule>
  </conditionalFormatting>
  <conditionalFormatting sqref="AG28">
    <cfRule type="cellIs" dxfId="1402" priority="73" operator="lessThan">
      <formula>0.8</formula>
    </cfRule>
  </conditionalFormatting>
  <conditionalFormatting sqref="AG36:AG42">
    <cfRule type="cellIs" dxfId="1401" priority="69" operator="lessThan">
      <formula>0.8</formula>
    </cfRule>
  </conditionalFormatting>
  <conditionalFormatting sqref="AE62">
    <cfRule type="cellIs" dxfId="1400" priority="65" operator="lessThan">
      <formula>0</formula>
    </cfRule>
  </conditionalFormatting>
  <conditionalFormatting sqref="AF62">
    <cfRule type="cellIs" dxfId="1399" priority="63" operator="greaterThan">
      <formula>1</formula>
    </cfRule>
    <cfRule type="cellIs" dxfId="1398" priority="64" operator="lessThan">
      <formula>0.8</formula>
    </cfRule>
  </conditionalFormatting>
  <conditionalFormatting sqref="O15:O16">
    <cfRule type="cellIs" dxfId="1397" priority="58" operator="greaterThan">
      <formula>0</formula>
    </cfRule>
  </conditionalFormatting>
  <conditionalFormatting sqref="P15:P16">
    <cfRule type="cellIs" dxfId="1396" priority="61" operator="lessThan">
      <formula>0</formula>
    </cfRule>
  </conditionalFormatting>
  <conditionalFormatting sqref="Q15:Q16">
    <cfRule type="cellIs" dxfId="1395" priority="59" operator="greaterThan">
      <formula>1</formula>
    </cfRule>
    <cfRule type="cellIs" dxfId="1394" priority="60" operator="lessThan">
      <formula>0.8</formula>
    </cfRule>
  </conditionalFormatting>
  <conditionalFormatting sqref="R15:R16 AG15:AG16">
    <cfRule type="cellIs" dxfId="1393" priority="62" operator="lessThan">
      <formula>0.8</formula>
    </cfRule>
  </conditionalFormatting>
  <conditionalFormatting sqref="O10:O11">
    <cfRule type="cellIs" dxfId="1392" priority="54" operator="greaterThan">
      <formula>0</formula>
    </cfRule>
  </conditionalFormatting>
  <conditionalFormatting sqref="P10:P11">
    <cfRule type="cellIs" dxfId="1391" priority="57" operator="lessThan">
      <formula>0</formula>
    </cfRule>
  </conditionalFormatting>
  <conditionalFormatting sqref="Q10:Q11">
    <cfRule type="cellIs" dxfId="1390" priority="55" operator="greaterThan">
      <formula>1</formula>
    </cfRule>
    <cfRule type="cellIs" dxfId="1389" priority="56" operator="lessThan">
      <formula>0.8</formula>
    </cfRule>
  </conditionalFormatting>
  <conditionalFormatting sqref="O54">
    <cfRule type="cellIs" dxfId="1388" priority="49" operator="greaterThan">
      <formula>0</formula>
    </cfRule>
  </conditionalFormatting>
  <conditionalFormatting sqref="P54">
    <cfRule type="cellIs" dxfId="1387" priority="52" operator="lessThan">
      <formula>0</formula>
    </cfRule>
  </conditionalFormatting>
  <conditionalFormatting sqref="Q54">
    <cfRule type="cellIs" dxfId="1386" priority="50" operator="greaterThan">
      <formula>1</formula>
    </cfRule>
    <cfRule type="cellIs" dxfId="1385" priority="51" operator="lessThan">
      <formula>0.8</formula>
    </cfRule>
  </conditionalFormatting>
  <conditionalFormatting sqref="R54 AG54">
    <cfRule type="cellIs" dxfId="1384" priority="53" operator="lessThan">
      <formula>0.8</formula>
    </cfRule>
  </conditionalFormatting>
  <conditionalFormatting sqref="O59">
    <cfRule type="cellIs" dxfId="1383" priority="44" operator="greaterThan">
      <formula>0</formula>
    </cfRule>
  </conditionalFormatting>
  <conditionalFormatting sqref="P59 AE59">
    <cfRule type="cellIs" dxfId="1382" priority="47" operator="lessThan">
      <formula>0</formula>
    </cfRule>
  </conditionalFormatting>
  <conditionalFormatting sqref="Q59 AF59">
    <cfRule type="cellIs" dxfId="1381" priority="45" operator="greaterThan">
      <formula>1</formula>
    </cfRule>
    <cfRule type="cellIs" dxfId="1380" priority="46" operator="lessThan">
      <formula>0.8</formula>
    </cfRule>
  </conditionalFormatting>
  <conditionalFormatting sqref="R59 AG59">
    <cfRule type="cellIs" dxfId="1379" priority="48" operator="lessThan">
      <formula>0.8</formula>
    </cfRule>
  </conditionalFormatting>
  <conditionalFormatting sqref="O69">
    <cfRule type="cellIs" dxfId="1378" priority="39" operator="greaterThan">
      <formula>0</formula>
    </cfRule>
  </conditionalFormatting>
  <conditionalFormatting sqref="P69">
    <cfRule type="cellIs" dxfId="1377" priority="42" operator="lessThan">
      <formula>0</formula>
    </cfRule>
  </conditionalFormatting>
  <conditionalFormatting sqref="Q69">
    <cfRule type="cellIs" dxfId="1376" priority="40" operator="greaterThan">
      <formula>1</formula>
    </cfRule>
    <cfRule type="cellIs" dxfId="1375" priority="41" operator="lessThan">
      <formula>0.8</formula>
    </cfRule>
  </conditionalFormatting>
  <conditionalFormatting sqref="R69">
    <cfRule type="cellIs" dxfId="1374" priority="43" operator="lessThan">
      <formula>0.8</formula>
    </cfRule>
  </conditionalFormatting>
  <conditionalFormatting sqref="O17:O18">
    <cfRule type="cellIs" dxfId="1373" priority="34" operator="greaterThan">
      <formula>0</formula>
    </cfRule>
  </conditionalFormatting>
  <conditionalFormatting sqref="P17:P18">
    <cfRule type="cellIs" dxfId="1372" priority="37" operator="lessThan">
      <formula>0</formula>
    </cfRule>
  </conditionalFormatting>
  <conditionalFormatting sqref="Q17:Q18">
    <cfRule type="cellIs" dxfId="1371" priority="35" operator="greaterThan">
      <formula>1</formula>
    </cfRule>
    <cfRule type="cellIs" dxfId="1370" priority="36" operator="lessThan">
      <formula>0.8</formula>
    </cfRule>
  </conditionalFormatting>
  <conditionalFormatting sqref="R17:R18 AG17:AG18">
    <cfRule type="cellIs" dxfId="1369" priority="38" operator="lessThan">
      <formula>0.8</formula>
    </cfRule>
  </conditionalFormatting>
  <conditionalFormatting sqref="O55">
    <cfRule type="cellIs" dxfId="1368" priority="29" operator="greaterThan">
      <formula>0</formula>
    </cfRule>
  </conditionalFormatting>
  <conditionalFormatting sqref="P55">
    <cfRule type="cellIs" dxfId="1367" priority="32" operator="lessThan">
      <formula>0</formula>
    </cfRule>
  </conditionalFormatting>
  <conditionalFormatting sqref="Q55">
    <cfRule type="cellIs" dxfId="1366" priority="30" operator="greaterThan">
      <formula>1</formula>
    </cfRule>
    <cfRule type="cellIs" dxfId="1365" priority="31" operator="lessThan">
      <formula>0.8</formula>
    </cfRule>
  </conditionalFormatting>
  <conditionalFormatting sqref="AG55 R55">
    <cfRule type="cellIs" dxfId="1364" priority="33" operator="lessThan">
      <formula>0.8</formula>
    </cfRule>
  </conditionalFormatting>
  <conditionalFormatting sqref="O58">
    <cfRule type="cellIs" dxfId="1363" priority="24" operator="greaterThan">
      <formula>0</formula>
    </cfRule>
  </conditionalFormatting>
  <conditionalFormatting sqref="P58 AE58">
    <cfRule type="cellIs" dxfId="1362" priority="27" operator="lessThan">
      <formula>0</formula>
    </cfRule>
  </conditionalFormatting>
  <conditionalFormatting sqref="Q58 AF58">
    <cfRule type="cellIs" dxfId="1361" priority="25" operator="greaterThan">
      <formula>1</formula>
    </cfRule>
    <cfRule type="cellIs" dxfId="1360" priority="26" operator="lessThan">
      <formula>0.8</formula>
    </cfRule>
  </conditionalFormatting>
  <conditionalFormatting sqref="R58 AG58">
    <cfRule type="cellIs" dxfId="1359" priority="28" operator="lessThan">
      <formula>0.8</formula>
    </cfRule>
  </conditionalFormatting>
  <conditionalFormatting sqref="O19">
    <cfRule type="cellIs" dxfId="1358" priority="19" operator="greaterThan">
      <formula>0</formula>
    </cfRule>
  </conditionalFormatting>
  <conditionalFormatting sqref="P19">
    <cfRule type="cellIs" dxfId="1357" priority="22" operator="lessThan">
      <formula>0</formula>
    </cfRule>
  </conditionalFormatting>
  <conditionalFormatting sqref="Q19">
    <cfRule type="cellIs" dxfId="1356" priority="20" operator="greaterThan">
      <formula>1</formula>
    </cfRule>
    <cfRule type="cellIs" dxfId="1355" priority="21" operator="lessThan">
      <formula>0.8</formula>
    </cfRule>
  </conditionalFormatting>
  <conditionalFormatting sqref="AG19 R19">
    <cfRule type="cellIs" dxfId="1354" priority="23" operator="lessThan">
      <formula>0.8</formula>
    </cfRule>
  </conditionalFormatting>
  <conditionalFormatting sqref="P8">
    <cfRule type="cellIs" dxfId="1353" priority="18" operator="lessThan">
      <formula>0</formula>
    </cfRule>
  </conditionalFormatting>
  <conditionalFormatting sqref="P20">
    <cfRule type="cellIs" dxfId="1352" priority="17" operator="lessThan">
      <formula>0</formula>
    </cfRule>
  </conditionalFormatting>
  <conditionalFormatting sqref="P27">
    <cfRule type="cellIs" dxfId="1351" priority="16" operator="lessThan">
      <formula>0</formula>
    </cfRule>
  </conditionalFormatting>
  <conditionalFormatting sqref="P35">
    <cfRule type="cellIs" dxfId="1350" priority="15" operator="lessThan">
      <formula>0</formula>
    </cfRule>
  </conditionalFormatting>
  <conditionalFormatting sqref="P47">
    <cfRule type="cellIs" dxfId="1349" priority="14" operator="lessThan">
      <formula>0</formula>
    </cfRule>
  </conditionalFormatting>
  <conditionalFormatting sqref="P56">
    <cfRule type="cellIs" dxfId="1348" priority="13" operator="lessThan">
      <formula>0</formula>
    </cfRule>
  </conditionalFormatting>
  <conditionalFormatting sqref="P62">
    <cfRule type="cellIs" dxfId="1347" priority="12" operator="lessThan">
      <formula>0</formula>
    </cfRule>
  </conditionalFormatting>
  <conditionalFormatting sqref="P72">
    <cfRule type="cellIs" dxfId="1346" priority="11" operator="lessThan">
      <formula>0</formula>
    </cfRule>
  </conditionalFormatting>
  <conditionalFormatting sqref="O70">
    <cfRule type="cellIs" dxfId="1345" priority="6" operator="greaterThan">
      <formula>0</formula>
    </cfRule>
  </conditionalFormatting>
  <conditionalFormatting sqref="P70">
    <cfRule type="cellIs" dxfId="1344" priority="9" operator="lessThan">
      <formula>0</formula>
    </cfRule>
  </conditionalFormatting>
  <conditionalFormatting sqref="Q70">
    <cfRule type="cellIs" dxfId="1343" priority="7" operator="greaterThan">
      <formula>1</formula>
    </cfRule>
    <cfRule type="cellIs" dxfId="1342" priority="8" operator="lessThan">
      <formula>0.8</formula>
    </cfRule>
  </conditionalFormatting>
  <conditionalFormatting sqref="R70">
    <cfRule type="cellIs" dxfId="1341" priority="10" operator="lessThan">
      <formula>0.8</formula>
    </cfRule>
  </conditionalFormatting>
  <conditionalFormatting sqref="O71">
    <cfRule type="cellIs" dxfId="1340" priority="1" operator="greaterThan">
      <formula>0</formula>
    </cfRule>
  </conditionalFormatting>
  <conditionalFormatting sqref="P71">
    <cfRule type="cellIs" dxfId="1339" priority="4" operator="lessThan">
      <formula>0</formula>
    </cfRule>
  </conditionalFormatting>
  <conditionalFormatting sqref="Q71">
    <cfRule type="cellIs" dxfId="1338" priority="2" operator="greaterThan">
      <formula>1</formula>
    </cfRule>
    <cfRule type="cellIs" dxfId="1337" priority="3" operator="lessThan">
      <formula>0.8</formula>
    </cfRule>
  </conditionalFormatting>
  <conditionalFormatting sqref="R71">
    <cfRule type="cellIs" dxfId="1336" priority="5" operator="lessThan">
      <formula>0.8</formula>
    </cfRule>
  </conditionalFormatting>
  <dataValidations count="1">
    <dataValidation type="list" allowBlank="1" showInputMessage="1" showErrorMessage="1" sqref="AB8 AA5:AB7 AB61 AA8:AA61 AB10:AB57 AA62:AB72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9" sqref="G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1516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1517</v>
      </c>
      <c r="C3" s="596" t="str">
        <f>TEXT('0916 4度C'!A2,"yyyy.mm.ddaaaa")</f>
        <v>2026.09.16星期三</v>
      </c>
      <c r="D3" s="597"/>
      <c r="E3" s="39" t="s">
        <v>1518</v>
      </c>
      <c r="F3" s="598">
        <f>'0916 4度C'!D1</f>
        <v>185226</v>
      </c>
      <c r="G3" s="599"/>
      <c r="H3" s="39" t="s">
        <v>1519</v>
      </c>
      <c r="I3" s="600">
        <f>'0916 4度C'!F1</f>
        <v>6348487.54</v>
      </c>
      <c r="J3" s="601"/>
      <c r="K3" s="40"/>
      <c r="L3" s="41"/>
      <c r="M3" s="42"/>
      <c r="N3" s="42"/>
    </row>
    <row r="4" spans="2:17" ht="28.5" customHeight="1">
      <c r="B4" s="602" t="s">
        <v>1520</v>
      </c>
      <c r="C4" s="588" t="s">
        <v>1521</v>
      </c>
      <c r="D4" s="589"/>
      <c r="E4" s="605" t="s">
        <v>1522</v>
      </c>
      <c r="F4" s="606"/>
      <c r="G4" s="605" t="s">
        <v>1523</v>
      </c>
      <c r="H4" s="606"/>
      <c r="I4" s="605" t="s">
        <v>210</v>
      </c>
      <c r="J4" s="606"/>
      <c r="K4" s="586" t="s">
        <v>1524</v>
      </c>
      <c r="L4" s="587"/>
      <c r="M4" s="587" t="s">
        <v>1525</v>
      </c>
      <c r="N4" s="587"/>
    </row>
    <row r="5" spans="2:17" ht="28.5" customHeight="1">
      <c r="B5" s="603"/>
      <c r="C5" s="588" t="s">
        <v>1526</v>
      </c>
      <c r="D5" s="589"/>
      <c r="E5" s="588" t="s">
        <v>1527</v>
      </c>
      <c r="F5" s="589"/>
      <c r="G5" s="590" t="s">
        <v>1528</v>
      </c>
      <c r="H5" s="591"/>
      <c r="I5" s="592" t="s">
        <v>1529</v>
      </c>
      <c r="J5" s="593"/>
      <c r="K5" s="43" t="s">
        <v>1530</v>
      </c>
      <c r="L5" s="44" t="s">
        <v>1531</v>
      </c>
      <c r="M5" s="43" t="s">
        <v>1530</v>
      </c>
      <c r="N5" s="44" t="s">
        <v>1532</v>
      </c>
    </row>
    <row r="6" spans="2:17" ht="28.5" customHeight="1">
      <c r="B6" s="603"/>
      <c r="C6" s="588" t="s">
        <v>56</v>
      </c>
      <c r="D6" s="589"/>
      <c r="E6" s="580">
        <f>AVERAGE(D13:M13)</f>
        <v>150.70926983233488</v>
      </c>
      <c r="F6" s="581">
        <f>AVERAGE(D31:O31,D13:J13)</f>
        <v>155.78133167142457</v>
      </c>
      <c r="G6" s="582">
        <f>AVERAGE(D13:J13)</f>
        <v>155.78133167142457</v>
      </c>
      <c r="H6" s="583"/>
      <c r="I6" s="582">
        <f>AVERAGE(K13:M13)</f>
        <v>138.8744588744589</v>
      </c>
      <c r="J6" s="583"/>
      <c r="K6" s="584">
        <f>'0916 4度C'!Y2</f>
        <v>0</v>
      </c>
      <c r="L6" s="569">
        <f>'0916 4度C'!Z2</f>
        <v>0</v>
      </c>
      <c r="M6" s="585">
        <f>'0916 4度C'!AC2</f>
        <v>62</v>
      </c>
      <c r="N6" s="569">
        <f>'0916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144.4016849432727</v>
      </c>
      <c r="F7" s="573">
        <f>AVERAGE(D32:O32,D14:J14)</f>
        <v>149.30837568332376</v>
      </c>
      <c r="G7" s="574">
        <f>AVERAGE(D14:J14)</f>
        <v>149.30837568332376</v>
      </c>
      <c r="H7" s="575"/>
      <c r="I7" s="574">
        <f>AVERAGE(K14:M14)</f>
        <v>132.95273988315355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0.95824925262134442</v>
      </c>
      <c r="F8" s="577">
        <f>AVERAGE(D15:J15,D33:O33)</f>
        <v>0.95866488306781916</v>
      </c>
      <c r="G8" s="578">
        <f>AVERAGE(D15:J15)</f>
        <v>0.95866488306781916</v>
      </c>
      <c r="H8" s="579"/>
      <c r="I8" s="578">
        <f>AVERAGE(K15:M15)</f>
        <v>0.95727944824623723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1533</v>
      </c>
      <c r="N9" s="42"/>
      <c r="O9" s="42"/>
      <c r="P9" s="42"/>
      <c r="Q9" s="42"/>
    </row>
    <row r="10" spans="2:17" ht="30" customHeight="1">
      <c r="B10" s="552" t="s">
        <v>1534</v>
      </c>
      <c r="C10" s="553"/>
      <c r="D10" s="554" t="s">
        <v>107</v>
      </c>
      <c r="E10" s="555"/>
      <c r="F10" s="555"/>
      <c r="G10" s="555"/>
      <c r="H10" s="555"/>
      <c r="I10" s="555"/>
      <c r="J10" s="556"/>
      <c r="K10" s="557" t="s">
        <v>108</v>
      </c>
      <c r="L10" s="558"/>
      <c r="M10" s="559"/>
      <c r="P10" s="48"/>
      <c r="Q10" s="48"/>
    </row>
    <row r="11" spans="2:17" ht="17.25" customHeight="1">
      <c r="B11" s="560" t="s">
        <v>1535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147</v>
      </c>
      <c r="C13" s="55" t="s">
        <v>1536</v>
      </c>
      <c r="D13" s="56">
        <f>SUMIFS('0916 4度C'!$K:$K,'0916 4度C'!$A:$A,"新豐6線",'0916 4度C'!$B:$B,"平均")</f>
        <v>136.36363636363637</v>
      </c>
      <c r="E13" s="57">
        <f>SUMIFS('0916 4度C'!$K:$K,'0916 4度C'!$A:$A,"新豐2線",'0916 4度C'!$B:$B,"平均")</f>
        <v>81.818181818181827</v>
      </c>
      <c r="F13" s="58">
        <f>SUMIFS('0916 4度C'!$K:$K,'0916 4度C'!$A:$A,"新豐5線",'0916 4度C'!$B:$B,"平均")</f>
        <v>104.16666666666667</v>
      </c>
      <c r="G13" s="58">
        <f>SUMIFS('0916 4度C'!$K:$K,'0916 4度C'!$A:$A,"新豐7線",'0916 4度C'!$B:$B,"平均")</f>
        <v>126.31578947368421</v>
      </c>
      <c r="H13" s="58">
        <f>SUMIFS('0916 4度C'!$K:$K,'0916 4度C'!$A:$A,"新豐3線",'0916 4度C'!$B:$B,"平均")</f>
        <v>242.42424242424241</v>
      </c>
      <c r="I13" s="58">
        <f>SUMIFS('0916 4度C'!$K:$K,'0916 4度C'!$A:$A,"新豐1線",'0916 4度C'!$B:$B,"平均")</f>
        <v>105.26315789473684</v>
      </c>
      <c r="J13" s="59">
        <f>SUMIFS('0916 4度C'!$K:$K,'0916 4度C'!$A:$A,"新豐10線",'0916 4度C'!$B:$B,"平均")</f>
        <v>294.11764705882354</v>
      </c>
      <c r="K13" s="60">
        <f>SUMIFS('0916 4度C'!$K:$K,'0916 4度C'!$A:$A,"新豐8線",'0916 4度C'!$B:$B,"平均")</f>
        <v>145.45454545454547</v>
      </c>
      <c r="L13" s="61">
        <f>SUMIFS('0916 4度C'!$K:$K,'0916 4度C'!$A:$A,"新豐9線",'0916 4度C'!$B:$B,"平均")</f>
        <v>125.71428571428571</v>
      </c>
      <c r="M13" s="59">
        <f>SUMIFS('0916 4度C'!$K:$K,'0916 4度C'!$A:$A,"新豐4線",'0916 4度C'!$B:$B,"平均")</f>
        <v>145.45454545454547</v>
      </c>
    </row>
    <row r="14" spans="2:17" ht="39.6" customHeight="1">
      <c r="B14" s="565"/>
      <c r="C14" s="62" t="s">
        <v>1537</v>
      </c>
      <c r="D14" s="63">
        <f>SUMIFS('0916 4度C'!$N:$N,'0916 4度C'!$A:$A,"新豐6線",'0916 4度C'!$B:$B,"平均")</f>
        <v>130.88553215077599</v>
      </c>
      <c r="E14" s="64">
        <f>SUMIFS('0916 4度C'!$N:$N,'0916 4度C'!$A:$A,"新豐2線",'0916 4度C'!$B:$B,"平均")</f>
        <v>78.246099063490348</v>
      </c>
      <c r="F14" s="64">
        <f>SUMIFS('0916 4度C'!$N:$N,'0916 4度C'!$A:$A,"新豐5線",'0916 4度C'!$B:$B,"平均")</f>
        <v>100.0624146531856</v>
      </c>
      <c r="G14" s="64">
        <f>SUMIFS('0916 4度C'!$N:$N,'0916 4度C'!$A:$A,"新豐7線",'0916 4度C'!$B:$B,"平均")</f>
        <v>121.15793081683259</v>
      </c>
      <c r="H14" s="64">
        <f>SUMIFS('0916 4度C'!$N:$N,'0916 4度C'!$A:$A,"新豐3線",'0916 4度C'!$B:$B,"平均")</f>
        <v>231.29265181724202</v>
      </c>
      <c r="I14" s="64">
        <f>SUMIFS('0916 4度C'!$N:$N,'0916 4度C'!$A:$A,"新豐1線",'0916 4度C'!$B:$B,"平均")</f>
        <v>101.09668997571107</v>
      </c>
      <c r="J14" s="65">
        <f>SUMIFS('0916 4度C'!$N:$N,'0916 4度C'!$A:$A,"新豐10線",'0916 4度C'!$B:$B,"平均")</f>
        <v>282.41731130602886</v>
      </c>
      <c r="K14" s="66">
        <f>SUMIFS('0916 4度C'!$N:$N,'0916 4度C'!$A:$A,"新豐8線",'0916 4度C'!$B:$B,"平均")</f>
        <v>139.48364163300434</v>
      </c>
      <c r="L14" s="67">
        <f>SUMIFS('0916 4度C'!$N:$N,'0916 4度C'!$A:$A,"新豐9線",'0916 4度C'!$B:$B,"平均")</f>
        <v>120.1321205166621</v>
      </c>
      <c r="M14" s="65">
        <f>SUMIFS('0916 4度C'!$N:$N,'0916 4度C'!$A:$A,"新豐4線",'0916 4度C'!$B:$B,"平均")</f>
        <v>139.24245749979426</v>
      </c>
    </row>
    <row r="15" spans="2:17" ht="40.15" customHeight="1">
      <c r="B15" s="566"/>
      <c r="C15" s="68" t="s">
        <v>1538</v>
      </c>
      <c r="D15" s="69">
        <f t="shared" ref="D15:M15" si="0">D14/D13</f>
        <v>0.95982723577235718</v>
      </c>
      <c r="E15" s="70">
        <f t="shared" si="0"/>
        <v>0.95634121077599299</v>
      </c>
      <c r="F15" s="70">
        <f t="shared" si="0"/>
        <v>0.9605991806705817</v>
      </c>
      <c r="G15" s="70">
        <f t="shared" si="0"/>
        <v>0.95916695229992466</v>
      </c>
      <c r="H15" s="70">
        <f t="shared" si="0"/>
        <v>0.95408218874612338</v>
      </c>
      <c r="I15" s="70">
        <f t="shared" si="0"/>
        <v>0.96041855476925519</v>
      </c>
      <c r="J15" s="71">
        <f t="shared" si="0"/>
        <v>0.96021885844049815</v>
      </c>
      <c r="K15" s="69">
        <f t="shared" si="0"/>
        <v>0.95895003622690478</v>
      </c>
      <c r="L15" s="70">
        <f t="shared" si="0"/>
        <v>0.95559641320072131</v>
      </c>
      <c r="M15" s="71">
        <f t="shared" si="0"/>
        <v>0.95729189531108538</v>
      </c>
    </row>
    <row r="16" spans="2:17" ht="17.25" customHeight="1">
      <c r="B16" s="567" t="s">
        <v>1539</v>
      </c>
      <c r="C16" s="72" t="s">
        <v>115</v>
      </c>
      <c r="D16" s="73">
        <f>VLOOKUP("新豐6線",'0916 4度C'!$A:$T,19,0)</f>
        <v>0.70833333333333337</v>
      </c>
      <c r="E16" s="74">
        <f>VLOOKUP("新豐2線",'0916 4度C'!$A:$T,19,0)</f>
        <v>8.3333333333333329E-2</v>
      </c>
      <c r="F16" s="74">
        <f>VLOOKUP("新豐5線",'0916 4度C'!$A:$T,19,0)</f>
        <v>0.25</v>
      </c>
      <c r="G16" s="74">
        <f>VLOOKUP("新豐7線",'0916 4度C'!$A:$T,19,0)</f>
        <v>0.25</v>
      </c>
      <c r="H16" s="74">
        <f>VLOOKUP("新豐3線",'0916 4度C'!$A:$T,19,0)</f>
        <v>0.20833333333333334</v>
      </c>
      <c r="I16" s="74">
        <f>VLOOKUP("新豐1線",'0916 4度C'!$A:$T,19,0)</f>
        <v>0.20833333333333334</v>
      </c>
      <c r="J16" s="75">
        <f>VLOOKUP("新豐10線",'0916 4度C'!$A:$T,19,0)</f>
        <v>0.20833333333333334</v>
      </c>
      <c r="K16" s="76">
        <f>VLOOKUP("新豐8線",'0916 4度C'!$A:$T,19,0)</f>
        <v>8.3333333333333329E-2</v>
      </c>
      <c r="L16" s="77">
        <f>VLOOKUP("新豐9線",'0916 4度C'!$A:$T,19,0)</f>
        <v>8.3333333333333329E-2</v>
      </c>
      <c r="M16" s="78">
        <f>VLOOKUP("新豐4線",'0916 4度C'!$A:$T,19,0)</f>
        <v>8.3333333333333329E-2</v>
      </c>
    </row>
    <row r="17" spans="2:13" ht="17.25" customHeight="1">
      <c r="B17" s="568"/>
      <c r="C17" s="72" t="s">
        <v>1540</v>
      </c>
      <c r="D17" s="76">
        <f>LOOKUP(2,1/(('0916 4度C'!$A:$A="新豐6線")*('0916 4度C'!$T:$T&lt;&gt;"")),'0916 4度C'!$T:$T)</f>
        <v>0.8534722222222223</v>
      </c>
      <c r="E17" s="74">
        <f>LOOKUP(2,1/(('0916 4度C'!$A:$A="新豐2線")*('0916 4度C'!$T:$T&lt;&gt;"")),'0916 4度C'!$T:$T)</f>
        <v>0.48958333333333337</v>
      </c>
      <c r="F17" s="74">
        <f>LOOKUP(2,1/(('0916 4度C'!$A:$A="新豐5線")*('0916 4度C'!$T:$T&lt;&gt;"")),'0916 4度C'!$T:$T)</f>
        <v>0.84861111111111109</v>
      </c>
      <c r="G17" s="74">
        <f>LOOKUP(2,1/(('0916 4度C'!$A:$A="新豐7線")*('0916 4度C'!$T:$T&lt;&gt;"")),'0916 4度C'!$T:$T)</f>
        <v>0.84375</v>
      </c>
      <c r="H17" s="74">
        <f>LOOKUP(2,1/(('0916 4度C'!$A:$A="新豐3線")*('0916 4度C'!$T:$T&lt;&gt;"")),'0916 4度C'!$T:$T)</f>
        <v>0.50555555555555554</v>
      </c>
      <c r="I17" s="74">
        <f>LOOKUP(2,1/(('0916 4度C'!$A:$A="新豐1線")*('0916 4度C'!$T:$T&lt;&gt;"")),'0916 4度C'!$T:$T)</f>
        <v>0.85486111111111107</v>
      </c>
      <c r="J17" s="75">
        <f>LOOKUP(2,1/(('0916 4度C'!$A:$A="新豐10線")*('0916 4度C'!$T:$T&lt;&gt;"")),'0916 4度C'!$T:$T)</f>
        <v>0.46736111111111106</v>
      </c>
      <c r="K17" s="73">
        <f>LOOKUP(2,1/(('0916 4度C'!$A:$A="新豐8線")*('0916 4度C'!$T:$T&lt;&gt;"")),'0916 4度C'!$T:$T)</f>
        <v>0.73124999999999996</v>
      </c>
      <c r="L17" s="74">
        <f>LOOKUP(2,1/(('0916 4度C'!$A:$A="新豐9線")*('0916 4度C'!$T:$T&lt;&gt;"")),'0916 4度C'!$T:$T)</f>
        <v>0.74652777777777757</v>
      </c>
      <c r="M17" s="75">
        <f>LOOKUP(2,1/(('0916 4度C'!$A:$A="新豐4線")*('0916 4度C'!$T:$T&lt;&gt;"")),'0916 4度C'!$T:$T)</f>
        <v>0.74444444444444424</v>
      </c>
    </row>
    <row r="18" spans="2:13" ht="17.25" customHeight="1">
      <c r="B18" s="546" t="s">
        <v>1541</v>
      </c>
      <c r="C18" s="79" t="s">
        <v>1542</v>
      </c>
      <c r="D18" s="80">
        <f>SUMIFS('0916 4度C'!$Y:$Y,'0916 4度C'!$A:$A,"新豐6線",'0916 4度C'!$B:$B,"平均")</f>
        <v>0</v>
      </c>
      <c r="E18" s="81">
        <f>SUMIFS('0916 4度C'!$Y:$Y,'0916 4度C'!$A:$A,"新豐2線",'0916 4度C'!$B:$B,"平均")</f>
        <v>0</v>
      </c>
      <c r="F18" s="81">
        <f>SUMIFS('0916 4度C'!$Y:$Y,'0916 4度C'!$A:$A,"新豐5線",'0916 4度C'!$B:$B,"平均")</f>
        <v>0</v>
      </c>
      <c r="G18" s="81">
        <f>SUMIFS('0916 4度C'!$Y:$Y,'0916 4度C'!$A:$A,"新豐7線",'0916 4度C'!$B:$B,"平均")</f>
        <v>0</v>
      </c>
      <c r="H18" s="81">
        <f>SUMIFS('0916 4度C'!$Y:$Y,'0916 4度C'!$A:$A,"新豐3線",'0916 4度C'!$B:$B,"平均")</f>
        <v>0</v>
      </c>
      <c r="I18" s="81">
        <f>SUMIFS('0916 4度C'!$Y:$Y,'0916 4度C'!$A:$A,"新豐1線",'0916 4度C'!$B:$B,"平均")</f>
        <v>0</v>
      </c>
      <c r="J18" s="82">
        <f>SUMIFS('0916 4度C'!$Y:$Y,'0916 4度C'!$A:$A,"新豐10線",'0916 4度C'!$B:$B,"平均")</f>
        <v>0</v>
      </c>
      <c r="K18" s="83">
        <f>SUMIFS('0916 4度C'!$Y:$Y,'0916 4度C'!$A:$A,"新豐8線",'0916 4度C'!$B:$B,"平均")</f>
        <v>0</v>
      </c>
      <c r="L18" s="81">
        <f>SUMIFS('0916 4度C'!$Y:$Y,'0916 4度C'!$A:$A,"新豐9線",'0916 4度C'!$B:$B,"平均")</f>
        <v>0</v>
      </c>
      <c r="M18" s="82">
        <f>SUMIFS('0916 4度C'!$Y:$Y,'0916 4度C'!$A:$A,"新豐4線",'0916 4度C'!$B:$B,"平均")</f>
        <v>0</v>
      </c>
    </row>
    <row r="19" spans="2:13" ht="17.25" customHeight="1">
      <c r="B19" s="547"/>
      <c r="C19" s="79" t="s">
        <v>1543</v>
      </c>
      <c r="D19" s="80">
        <f>SUMIFS('0916 4度C'!$Z:$Z,'0916 4度C'!$A:$A,"新豐6線",'0916 4度C'!$B:$B,"平均")</f>
        <v>0</v>
      </c>
      <c r="E19" s="81">
        <f>SUMIFS('0916 4度C'!$Z:$Z,'0916 4度C'!$A:$A,"新豐2線",'0916 4度C'!$B:$B,"平均")</f>
        <v>0</v>
      </c>
      <c r="F19" s="81">
        <f>SUMIFS('0916 4度C'!$Z:$Z,'0916 4度C'!$A:$A,"新豐5線",'0916 4度C'!$B:$B,"平均")</f>
        <v>0</v>
      </c>
      <c r="G19" s="81">
        <f>SUMIFS('0916 4度C'!$Z:$Z,'0916 4度C'!$A:$A,"新豐7線",'0916 4度C'!$B:$B,"平均")</f>
        <v>0</v>
      </c>
      <c r="H19" s="81">
        <f>SUMIFS('0916 4度C'!$Z:$Z,'0916 4度C'!$A:$A,"新豐3線",'0916 4度C'!$B:$B,"平均")</f>
        <v>0</v>
      </c>
      <c r="I19" s="81">
        <f>SUMIFS('0916 4度C'!$Z:$Z,'0916 4度C'!$A:$A,"新豐1線",'0916 4度C'!$B:$B,"平均")</f>
        <v>0</v>
      </c>
      <c r="J19" s="82">
        <f>SUMIFS('0916 4度C'!$Z:$Z,'0916 4度C'!$A:$A,"新豐10線",'0916 4度C'!$B:$B,"平均")</f>
        <v>0</v>
      </c>
      <c r="K19" s="83">
        <f>SUMIFS('0916 4度C'!$Z:$Z,'0916 4度C'!$A:$A,"新豐8線",'0916 4度C'!$B:$B,"平均")</f>
        <v>0</v>
      </c>
      <c r="L19" s="81">
        <f>SUMIFS('0916 4度C'!$Z:$Z,'0916 4度C'!$A:$A,"新豐9線",'0916 4度C'!$B:$B,"平均")</f>
        <v>0</v>
      </c>
      <c r="M19" s="82">
        <f>SUMIFS('0916 4度C'!$Z:$Z,'0916 4度C'!$A:$A,"新豐4線",'0916 4度C'!$B:$B,"平均")</f>
        <v>0</v>
      </c>
    </row>
    <row r="20" spans="2:13" ht="17.25" customHeight="1">
      <c r="B20" s="546" t="s">
        <v>1544</v>
      </c>
      <c r="C20" s="79" t="s">
        <v>1545</v>
      </c>
      <c r="D20" s="80">
        <f>SUMIFS('0916 4度C'!$AC:$AC,'0916 4度C'!$A:$A,"新豐6線",'0916 4度C'!$B:$B,"平均")</f>
        <v>3</v>
      </c>
      <c r="E20" s="81">
        <f>SUMIFS('0916 4度C'!$AC:$AC,'0916 4度C'!$A:$A,"新豐2線",'0916 4度C'!$B:$B,"平均")</f>
        <v>3</v>
      </c>
      <c r="F20" s="81">
        <f>SUMIFS('0916 4度C'!$AC:$AC,'0916 4度C'!$A:$A,"新豐5線",'0916 4度C'!$B:$B,"平均")</f>
        <v>7</v>
      </c>
      <c r="G20" s="81">
        <f>SUMIFS('0916 4度C'!$AC:$AC,'0916 4度C'!$A:$A,"新豐7線",'0916 4度C'!$B:$B,"平均")</f>
        <v>6</v>
      </c>
      <c r="H20" s="81">
        <f>SUMIFS('0916 4度C'!$AC:$AC,'0916 4度C'!$A:$A,"新豐3線",'0916 4度C'!$B:$B,"平均")</f>
        <v>3</v>
      </c>
      <c r="I20" s="81">
        <f>SUMIFS('0916 4度C'!$AC:$AC,'0916 4度C'!$A:$A,"新豐1線",'0916 4度C'!$B:$B,"平均")</f>
        <v>9</v>
      </c>
      <c r="J20" s="82">
        <f>SUMIFS('0916 4度C'!$AC:$AC,'0916 4度C'!$A:$A,"新豐10線",'0916 4度C'!$B:$B,"平均")</f>
        <v>5</v>
      </c>
      <c r="K20" s="83">
        <f>SUMIFS('0916 4度C'!$AC:$AC,'0916 4度C'!$A:$A,"新豐8線",'0916 4度C'!$B:$B,"平均")</f>
        <v>8</v>
      </c>
      <c r="L20" s="81">
        <f>SUMIFS('0916 4度C'!$AC:$AC,'0916 4度C'!$A:$A,"新豐9線",'0916 4度C'!$B:$B,"平均")</f>
        <v>8</v>
      </c>
      <c r="M20" s="82">
        <f>SUMIFS('0916 4度C'!$AC:$AC,'0916 4度C'!$A:$A,"新豐4線",'0916 4度C'!$B:$B,"平均")</f>
        <v>10</v>
      </c>
    </row>
    <row r="21" spans="2:13" ht="17.25" customHeight="1">
      <c r="B21" s="547"/>
      <c r="C21" s="79" t="s">
        <v>1546</v>
      </c>
      <c r="D21" s="80">
        <f>SUMIFS('0916 4度C'!$AD:$AD,'0916 4度C'!$A:$A,"新豐6線",'0916 4度C'!$B:$B,"平均")</f>
        <v>0</v>
      </c>
      <c r="E21" s="81">
        <f>SUMIFS('0916 4度C'!$AD:$AD,'0916 4度C'!$A:$A,"新豐2線",'0916 4度C'!$B:$B,"平均")</f>
        <v>0</v>
      </c>
      <c r="F21" s="81">
        <f>SUMIFS('0916 4度C'!$AD:$AD,'0916 4度C'!$A:$A,"新豐5線",'0916 4度C'!$B:$B,"平均")</f>
        <v>0</v>
      </c>
      <c r="G21" s="81">
        <f>SUMIFS('0916 4度C'!$AD:$AD,'0916 4度C'!$A:$A,"新豐7線",'0916 4度C'!$B:$B,"平均")</f>
        <v>0</v>
      </c>
      <c r="H21" s="81">
        <f>SUMIFS('0916 4度C'!$AD:$AD,'0916 4度C'!$A:$A,"新豐3線",'0916 4度C'!$B:$B,"平均")</f>
        <v>0</v>
      </c>
      <c r="I21" s="81">
        <f>SUMIFS('0916 4度C'!$AD:$AD,'0916 4度C'!$A:$A,"新豐1線",'0916 4度C'!$B:$B,"平均")</f>
        <v>0</v>
      </c>
      <c r="J21" s="82">
        <f>SUMIFS('0916 4度C'!$AD:$AD,'0916 4度C'!$A:$A,"新豐10線",'0916 4度C'!$B:$B,"平均")</f>
        <v>0</v>
      </c>
      <c r="K21" s="83">
        <f>SUMIFS('0916 4度C'!$AD:$AD,'0916 4度C'!$A:$A,"新豐8線",'0916 4度C'!$B:$B,"平均")</f>
        <v>0</v>
      </c>
      <c r="L21" s="81">
        <f>SUMIFS('0916 4度C'!$AD:$AD,'0916 4度C'!$A:$A,"新豐9線",'0916 4度C'!$B:$B,"平均")</f>
        <v>0</v>
      </c>
      <c r="M21" s="82">
        <f>SUMIFS('0916 4度C'!$AD:$AD,'0916 4度C'!$A:$A,"新豐4線",'0916 4度C'!$B:$B,"平均")</f>
        <v>0</v>
      </c>
    </row>
    <row r="22" spans="2:13" ht="17.25" customHeight="1">
      <c r="B22" s="548" t="s">
        <v>1547</v>
      </c>
      <c r="C22" s="549"/>
      <c r="D22" s="84">
        <f>SUMIFS('0916 4度C'!$I:$I,'0916 4度C'!$A:$A,"新豐6線",'0916 4度C'!$B:$B,"平均")</f>
        <v>14.666666666666666</v>
      </c>
      <c r="E22" s="85">
        <f>SUMIFS('0916 4度C'!$I:$I,'0916 4度C'!$A:$A,"新豐2線",'0916 4度C'!$B:$B,"平均")</f>
        <v>18.333333333333332</v>
      </c>
      <c r="F22" s="85">
        <f>SUMIFS('0916 4度C'!$I:$I,'0916 4度C'!$A:$A,"新豐5線",'0916 4度C'!$B:$B,"平均")</f>
        <v>17.142857142857142</v>
      </c>
      <c r="G22" s="85">
        <f>SUMIFS('0916 4度C'!$I:$I,'0916 4度C'!$A:$A,"新豐7線",'0916 4度C'!$B:$B,"平均")</f>
        <v>15.833333333333334</v>
      </c>
      <c r="H22" s="85">
        <f>SUMIFS('0916 4度C'!$I:$I,'0916 4度C'!$A:$A,"新豐3線",'0916 4度C'!$B:$B,"平均")</f>
        <v>11</v>
      </c>
      <c r="I22" s="85">
        <f>SUMIFS('0916 4度C'!$I:$I,'0916 4度C'!$A:$A,"新豐1線",'0916 4度C'!$B:$B,"平均")</f>
        <v>19</v>
      </c>
      <c r="J22" s="86">
        <f>SUMIFS('0916 4度C'!$I:$I,'0916 4度C'!$A:$A,"新豐10線",'0916 4度C'!$B:$B,"平均")</f>
        <v>10.199999999999999</v>
      </c>
      <c r="K22" s="84">
        <f>SUMIFS('0916 4度C'!$I:$I,'0916 4度C'!$A:$A,"新豐8線",'0916 4度C'!$B:$B,"平均")</f>
        <v>16.5</v>
      </c>
      <c r="L22" s="85">
        <f>SUMIFS('0916 4度C'!$I:$I,'0916 4度C'!$A:$A,"新豐9線",'0916 4度C'!$B:$B,"平均")</f>
        <v>17.5</v>
      </c>
      <c r="M22" s="86">
        <f>SUMIFS('0916 4度C'!$I:$I,'0916 4度C'!$A:$A,"新豐4線",'0916 4度C'!$B:$B,"平均")</f>
        <v>16.5</v>
      </c>
    </row>
    <row r="23" spans="2:13" ht="17.25" customHeight="1">
      <c r="B23" s="548" t="s">
        <v>1548</v>
      </c>
      <c r="C23" s="549"/>
      <c r="D23" s="87" t="s">
        <v>69</v>
      </c>
      <c r="E23" s="88" t="s">
        <v>70</v>
      </c>
      <c r="F23" s="88" t="s">
        <v>1549</v>
      </c>
      <c r="G23" s="88" t="s">
        <v>1550</v>
      </c>
      <c r="H23" s="88" t="s">
        <v>71</v>
      </c>
      <c r="I23" s="88" t="s">
        <v>69</v>
      </c>
      <c r="J23" s="89" t="s">
        <v>71</v>
      </c>
      <c r="K23" s="87" t="s">
        <v>533</v>
      </c>
      <c r="L23" s="88" t="s">
        <v>1551</v>
      </c>
      <c r="M23" s="89" t="s">
        <v>533</v>
      </c>
    </row>
    <row r="24" spans="2:13" ht="17.25" customHeight="1">
      <c r="B24" s="548" t="s">
        <v>1552</v>
      </c>
      <c r="C24" s="549"/>
      <c r="D24" s="87"/>
      <c r="E24" s="88"/>
      <c r="F24" s="88" t="s">
        <v>1553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1554</v>
      </c>
      <c r="C25" s="551"/>
      <c r="D25" s="90"/>
      <c r="E25" s="91" t="s">
        <v>128</v>
      </c>
      <c r="F25" s="544" t="s">
        <v>1555</v>
      </c>
      <c r="G25" s="545"/>
      <c r="H25" s="91" t="s">
        <v>1556</v>
      </c>
      <c r="I25" s="91" t="s">
        <v>130</v>
      </c>
      <c r="J25" s="92" t="s">
        <v>79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3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5" activePane="bottomLeft" state="frozen"/>
      <selection activeCell="G9" sqref="G9"/>
      <selection pane="bottomLeft" activeCell="G9" sqref="G9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1557</v>
      </c>
      <c r="B1" s="1"/>
      <c r="C1" s="2" t="s">
        <v>1558</v>
      </c>
      <c r="D1" s="3">
        <f>SUM(F5:F76)</f>
        <v>185226</v>
      </c>
      <c r="E1" s="334" t="s">
        <v>134</v>
      </c>
      <c r="F1" s="1">
        <f>SUM(G5:G76)</f>
        <v>6348487.54</v>
      </c>
      <c r="G1" s="1" t="s">
        <v>135</v>
      </c>
      <c r="H1" s="4">
        <f>L8+L12+L49+L59+L20+L65+L36+L45+L27+L76</f>
        <v>156.67619047619047</v>
      </c>
      <c r="I1" s="660" t="s">
        <v>465</v>
      </c>
      <c r="J1" s="660"/>
      <c r="K1" s="660"/>
      <c r="L1" s="660" t="s">
        <v>137</v>
      </c>
      <c r="M1" s="660"/>
      <c r="N1" s="660"/>
      <c r="O1" s="660" t="s">
        <v>138</v>
      </c>
      <c r="P1" s="660"/>
      <c r="Q1" s="660"/>
      <c r="R1" s="660"/>
      <c r="S1" s="660" t="s">
        <v>139</v>
      </c>
      <c r="T1" s="660"/>
      <c r="U1" s="660"/>
      <c r="V1" s="660"/>
      <c r="W1" s="660"/>
      <c r="X1" s="660"/>
      <c r="Y1" s="5" t="s">
        <v>1559</v>
      </c>
      <c r="Z1" s="6" t="s">
        <v>141</v>
      </c>
      <c r="AA1" s="661" t="s">
        <v>1560</v>
      </c>
      <c r="AB1" s="661"/>
      <c r="AC1" s="7" t="s">
        <v>140</v>
      </c>
      <c r="AD1" s="6" t="s">
        <v>144</v>
      </c>
      <c r="AE1" s="660" t="s">
        <v>145</v>
      </c>
      <c r="AF1" s="662"/>
      <c r="AG1" s="662"/>
    </row>
    <row r="2" spans="1:33" ht="26.25" customHeight="1">
      <c r="A2" s="27">
        <v>46281</v>
      </c>
      <c r="B2" s="28" t="s">
        <v>260</v>
      </c>
      <c r="C2" s="2" t="s">
        <v>147</v>
      </c>
      <c r="D2" s="9">
        <f>AVERAGE(N8,N12,N49,N59,N20,N65,N27,N36,N45,N76)</f>
        <v>144.4016849432727</v>
      </c>
      <c r="E2" s="10" t="s">
        <v>0</v>
      </c>
      <c r="F2" s="11">
        <f>F1/D1</f>
        <v>34.274278664982241</v>
      </c>
      <c r="G2" s="1" t="s">
        <v>1561</v>
      </c>
      <c r="H2" s="339">
        <f>COUNT(H5:H76)</f>
        <v>9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SUM(Y8+Y12+Y20+Y27+Y36+Y45+Y49+Y59+Y65+Y76)</f>
        <v>0</v>
      </c>
      <c r="Z2" s="12">
        <f>SUM(Z8+Z12+Z20+Z27+Z36+Z45+Z49+Z59+Z65+Z76)</f>
        <v>0</v>
      </c>
      <c r="AA2" s="661"/>
      <c r="AB2" s="661"/>
      <c r="AC2" s="12">
        <f>SUM(AC8+AC12+AC20+AC27+AC36+AC45+AC49+AC59+AC65+AC76)</f>
        <v>62</v>
      </c>
      <c r="AD2" s="12">
        <f>SUM(AD8+AD12+AD20+AD27+AD36+AD45+AD49+AD59+AD65+AD76)</f>
        <v>0</v>
      </c>
      <c r="AE2" s="662"/>
      <c r="AF2" s="662"/>
      <c r="AG2" s="662"/>
    </row>
    <row r="3" spans="1:33" ht="40.5" customHeight="1">
      <c r="A3" s="610" t="s">
        <v>263</v>
      </c>
      <c r="B3" s="610" t="s">
        <v>150</v>
      </c>
      <c r="C3" s="610" t="s">
        <v>151</v>
      </c>
      <c r="D3" s="610"/>
      <c r="E3" s="658" t="s">
        <v>266</v>
      </c>
      <c r="F3" s="610" t="s">
        <v>362</v>
      </c>
      <c r="G3" s="658" t="s">
        <v>154</v>
      </c>
      <c r="H3" s="651" t="s">
        <v>155</v>
      </c>
      <c r="I3" s="649" t="s">
        <v>156</v>
      </c>
      <c r="J3" s="646" t="s">
        <v>157</v>
      </c>
      <c r="K3" s="656" t="s">
        <v>147</v>
      </c>
      <c r="L3" s="649" t="s">
        <v>156</v>
      </c>
      <c r="M3" s="646" t="s">
        <v>157</v>
      </c>
      <c r="N3" s="656" t="s">
        <v>147</v>
      </c>
      <c r="O3" s="649" t="s">
        <v>156</v>
      </c>
      <c r="P3" s="656" t="s">
        <v>147</v>
      </c>
      <c r="Q3" s="647" t="s">
        <v>161</v>
      </c>
      <c r="R3" s="623" t="s">
        <v>162</v>
      </c>
      <c r="S3" s="610" t="s">
        <v>1</v>
      </c>
      <c r="T3" s="610"/>
      <c r="U3" s="651" t="s">
        <v>2</v>
      </c>
      <c r="V3" s="651" t="s">
        <v>1562</v>
      </c>
      <c r="W3" s="610" t="s">
        <v>1563</v>
      </c>
      <c r="X3" s="610"/>
      <c r="Y3" s="652" t="s">
        <v>1564</v>
      </c>
      <c r="Z3" s="609"/>
      <c r="AA3" s="653" t="s">
        <v>1565</v>
      </c>
      <c r="AB3" s="654"/>
      <c r="AC3" s="652" t="s">
        <v>1566</v>
      </c>
      <c r="AD3" s="609"/>
      <c r="AE3" s="646" t="s">
        <v>1567</v>
      </c>
      <c r="AF3" s="647" t="s">
        <v>1568</v>
      </c>
      <c r="AG3" s="623" t="s">
        <v>1569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334" t="s">
        <v>3</v>
      </c>
      <c r="T4" s="334" t="s">
        <v>4</v>
      </c>
      <c r="U4" s="651"/>
      <c r="V4" s="651"/>
      <c r="W4" s="334" t="s">
        <v>1570</v>
      </c>
      <c r="X4" s="334" t="s">
        <v>1571</v>
      </c>
      <c r="Y4" s="329" t="s">
        <v>1572</v>
      </c>
      <c r="Z4" s="329" t="s">
        <v>1573</v>
      </c>
      <c r="AA4" s="655"/>
      <c r="AB4" s="654"/>
      <c r="AC4" s="329" t="s">
        <v>1574</v>
      </c>
      <c r="AD4" s="329" t="s">
        <v>1575</v>
      </c>
      <c r="AE4" s="646"/>
      <c r="AF4" s="647"/>
      <c r="AG4" s="623"/>
    </row>
    <row r="5" spans="1:33">
      <c r="A5" s="648" t="s">
        <v>1576</v>
      </c>
      <c r="B5" s="33" t="s">
        <v>6</v>
      </c>
      <c r="C5" s="650" t="s">
        <v>7</v>
      </c>
      <c r="D5" s="650"/>
      <c r="E5" s="33">
        <v>50.92</v>
      </c>
      <c r="F5" s="342">
        <v>2301</v>
      </c>
      <c r="G5" s="334">
        <f t="shared" ref="G5:G7" si="0">E5*F5</f>
        <v>117166.92</v>
      </c>
      <c r="H5" s="343" t="s">
        <v>5</v>
      </c>
      <c r="I5" s="337">
        <v>15</v>
      </c>
      <c r="J5" s="30">
        <v>2000</v>
      </c>
      <c r="K5" s="13">
        <f t="shared" ref="K5:K68" si="1">J5/I5</f>
        <v>133.33333333333334</v>
      </c>
      <c r="L5" s="337">
        <v>15</v>
      </c>
      <c r="M5" s="14">
        <f t="shared" ref="M5:M7" si="2">F5/V5*60</f>
        <v>1917.4999999999984</v>
      </c>
      <c r="N5" s="13">
        <f t="shared" ref="N5:N68" si="3">M5/L5</f>
        <v>127.83333333333323</v>
      </c>
      <c r="O5" s="15">
        <f t="shared" ref="O5:O68" si="4">L5-I5</f>
        <v>0</v>
      </c>
      <c r="P5" s="16">
        <f t="shared" ref="P5:P68" si="5">N5-K5</f>
        <v>-5.5000000000001137</v>
      </c>
      <c r="Q5" s="335">
        <f t="shared" ref="Q5:Q68" si="6">N5/K5</f>
        <v>0.9587499999999991</v>
      </c>
      <c r="R5" s="619">
        <f>Q8</f>
        <v>0.95982723577235718</v>
      </c>
      <c r="S5" s="31">
        <v>0.70833333333333337</v>
      </c>
      <c r="T5" s="31">
        <v>0.75833333333333341</v>
      </c>
      <c r="U5" s="334"/>
      <c r="V5" s="338">
        <f t="shared" ref="V5:V7" si="7">(T5-S5)*24*60</f>
        <v>72.000000000000057</v>
      </c>
      <c r="W5" s="17"/>
      <c r="X5" s="17"/>
      <c r="Y5" s="18"/>
      <c r="Z5" s="18"/>
      <c r="AA5" s="610"/>
      <c r="AB5" s="610"/>
      <c r="AC5" s="155">
        <v>3</v>
      </c>
      <c r="AD5" s="19"/>
      <c r="AE5" s="15">
        <f t="shared" ref="AE5:AE58" si="8">M5-J5</f>
        <v>-82.500000000001592</v>
      </c>
      <c r="AF5" s="335">
        <f t="shared" ref="AF5:AF68" si="9">M5/J5</f>
        <v>0.95874999999999921</v>
      </c>
      <c r="AG5" s="619">
        <f>AF8</f>
        <v>0.95982723577235718</v>
      </c>
    </row>
    <row r="6" spans="1:33">
      <c r="A6" s="649" t="s">
        <v>177</v>
      </c>
      <c r="B6" s="33" t="s">
        <v>6</v>
      </c>
      <c r="C6" s="650" t="s">
        <v>8</v>
      </c>
      <c r="D6" s="650"/>
      <c r="E6" s="33">
        <v>50.98</v>
      </c>
      <c r="F6" s="342">
        <v>2616</v>
      </c>
      <c r="G6" s="334">
        <f t="shared" si="0"/>
        <v>133363.68</v>
      </c>
      <c r="H6" s="343" t="s">
        <v>5</v>
      </c>
      <c r="I6" s="337">
        <v>16</v>
      </c>
      <c r="J6" s="30">
        <v>2000</v>
      </c>
      <c r="K6" s="13">
        <f t="shared" si="1"/>
        <v>125</v>
      </c>
      <c r="L6" s="337">
        <v>16</v>
      </c>
      <c r="M6" s="14">
        <f t="shared" si="2"/>
        <v>1914.146341463414</v>
      </c>
      <c r="N6" s="13">
        <f t="shared" si="3"/>
        <v>119.63414634146338</v>
      </c>
      <c r="O6" s="15">
        <f t="shared" si="4"/>
        <v>0</v>
      </c>
      <c r="P6" s="16">
        <f t="shared" si="5"/>
        <v>-5.3658536585366221</v>
      </c>
      <c r="Q6" s="335">
        <f t="shared" si="6"/>
        <v>0.95707317073170706</v>
      </c>
      <c r="R6" s="619"/>
      <c r="S6" s="31">
        <v>0.76319444444444451</v>
      </c>
      <c r="T6" s="31">
        <v>0.82013888888888897</v>
      </c>
      <c r="U6" s="334">
        <f t="shared" ref="U6:U7" si="10">IF(S6=TIME(17,0,0),"",(S6-T5)*24*60)</f>
        <v>6.9999999999999751</v>
      </c>
      <c r="V6" s="338">
        <f t="shared" si="7"/>
        <v>82.000000000000028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-85.853658536585954</v>
      </c>
      <c r="AF6" s="335">
        <f t="shared" si="9"/>
        <v>0.95707317073170706</v>
      </c>
      <c r="AG6" s="619"/>
    </row>
    <row r="7" spans="1:33">
      <c r="A7" s="649" t="s">
        <v>177</v>
      </c>
      <c r="B7" s="33" t="s">
        <v>6</v>
      </c>
      <c r="C7" s="641" t="s">
        <v>25</v>
      </c>
      <c r="D7" s="642"/>
      <c r="E7" s="33">
        <v>56.43</v>
      </c>
      <c r="F7" s="342">
        <v>1317</v>
      </c>
      <c r="G7" s="334">
        <f t="shared" si="0"/>
        <v>74318.31</v>
      </c>
      <c r="H7" s="343" t="s">
        <v>5</v>
      </c>
      <c r="I7" s="337">
        <v>13</v>
      </c>
      <c r="J7" s="30">
        <v>2000</v>
      </c>
      <c r="K7" s="13">
        <f t="shared" si="1"/>
        <v>153.84615384615384</v>
      </c>
      <c r="L7" s="337">
        <v>13</v>
      </c>
      <c r="M7" s="14">
        <f t="shared" si="2"/>
        <v>1927.317073170731</v>
      </c>
      <c r="N7" s="13">
        <f t="shared" si="3"/>
        <v>148.25515947467161</v>
      </c>
      <c r="O7" s="15">
        <f t="shared" si="4"/>
        <v>0</v>
      </c>
      <c r="P7" s="16">
        <f t="shared" si="5"/>
        <v>-5.5909943714822248</v>
      </c>
      <c r="Q7" s="335">
        <f t="shared" si="6"/>
        <v>0.96365853658536549</v>
      </c>
      <c r="R7" s="619"/>
      <c r="S7" s="31">
        <v>0.82500000000000007</v>
      </c>
      <c r="T7" s="31">
        <v>0.8534722222222223</v>
      </c>
      <c r="U7" s="334">
        <f t="shared" si="10"/>
        <v>6.9999999999999751</v>
      </c>
      <c r="V7" s="338">
        <f t="shared" si="7"/>
        <v>41.000000000000014</v>
      </c>
      <c r="W7" s="17"/>
      <c r="X7" s="17"/>
      <c r="Y7" s="20"/>
      <c r="Z7" s="20"/>
      <c r="AA7" s="614"/>
      <c r="AB7" s="615"/>
      <c r="AC7" s="155"/>
      <c r="AD7" s="21"/>
      <c r="AE7" s="15">
        <f t="shared" si="8"/>
        <v>-72.682926829269036</v>
      </c>
      <c r="AF7" s="335">
        <f t="shared" si="9"/>
        <v>0.96365853658536549</v>
      </c>
      <c r="AG7" s="619"/>
    </row>
    <row r="8" spans="1:33">
      <c r="A8" s="649" t="s">
        <v>177</v>
      </c>
      <c r="B8" s="33" t="s">
        <v>80</v>
      </c>
      <c r="C8" s="620"/>
      <c r="D8" s="620"/>
      <c r="E8" s="336"/>
      <c r="F8" s="34"/>
      <c r="G8" s="13"/>
      <c r="H8" s="342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1919.6544715447144</v>
      </c>
      <c r="N8" s="13">
        <f t="shared" si="3"/>
        <v>130.88553215077599</v>
      </c>
      <c r="O8" s="15">
        <f t="shared" si="4"/>
        <v>0</v>
      </c>
      <c r="P8" s="16">
        <f t="shared" si="5"/>
        <v>-5.4781042128603872</v>
      </c>
      <c r="Q8" s="335">
        <f t="shared" si="6"/>
        <v>0.95982723577235718</v>
      </c>
      <c r="R8" s="619"/>
      <c r="S8" s="31"/>
      <c r="T8" s="31"/>
      <c r="U8" s="334"/>
      <c r="V8" s="338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-80.345528455285603</v>
      </c>
      <c r="AF8" s="335">
        <f t="shared" si="9"/>
        <v>0.95982723577235718</v>
      </c>
      <c r="AG8" s="619"/>
    </row>
    <row r="9" spans="1:33" ht="15.75" customHeight="1">
      <c r="A9" s="645" t="s">
        <v>81</v>
      </c>
      <c r="B9" s="33" t="s">
        <v>10</v>
      </c>
      <c r="C9" s="641" t="s">
        <v>14</v>
      </c>
      <c r="D9" s="642"/>
      <c r="E9" s="33">
        <v>39.619999999999997</v>
      </c>
      <c r="F9" s="342">
        <v>4424</v>
      </c>
      <c r="G9" s="334">
        <f t="shared" ref="G9:G11" si="11">E9*F9</f>
        <v>175278.87999999998</v>
      </c>
      <c r="H9" s="343" t="s">
        <v>5</v>
      </c>
      <c r="I9" s="337">
        <v>19</v>
      </c>
      <c r="J9" s="30">
        <v>1500</v>
      </c>
      <c r="K9" s="13">
        <f t="shared" si="1"/>
        <v>78.94736842105263</v>
      </c>
      <c r="L9" s="337">
        <v>19</v>
      </c>
      <c r="M9" s="14">
        <f t="shared" ref="M9:M11" si="12">F9/V9*60</f>
        <v>1434.8108108108104</v>
      </c>
      <c r="N9" s="13">
        <f t="shared" si="3"/>
        <v>75.51635846372686</v>
      </c>
      <c r="O9" s="15">
        <f t="shared" si="4"/>
        <v>0</v>
      </c>
      <c r="P9" s="16">
        <f t="shared" si="5"/>
        <v>-3.4310099573257702</v>
      </c>
      <c r="Q9" s="335">
        <f t="shared" si="6"/>
        <v>0.95654054054054027</v>
      </c>
      <c r="R9" s="619">
        <f>Q12</f>
        <v>0.95634121077599299</v>
      </c>
      <c r="S9" s="31">
        <v>8.3333333333333329E-2</v>
      </c>
      <c r="T9" s="31">
        <v>0.21180555555555558</v>
      </c>
      <c r="U9" s="334"/>
      <c r="V9" s="338">
        <f t="shared" ref="V9:V11" si="13">(T9-S9)*24*60</f>
        <v>185.00000000000006</v>
      </c>
      <c r="W9" s="17">
        <f>T9</f>
        <v>0.21180555555555558</v>
      </c>
      <c r="X9" s="17">
        <f>S10</f>
        <v>0.2305555555555556</v>
      </c>
      <c r="Y9" s="17"/>
      <c r="Z9" s="17"/>
      <c r="AA9" s="610"/>
      <c r="AB9" s="610"/>
      <c r="AC9" s="155">
        <v>3</v>
      </c>
      <c r="AD9" s="19"/>
      <c r="AE9" s="15">
        <f t="shared" si="8"/>
        <v>-65.189189189189619</v>
      </c>
      <c r="AF9" s="335">
        <f t="shared" si="9"/>
        <v>0.95654054054054027</v>
      </c>
      <c r="AG9" s="619">
        <f>AF12</f>
        <v>0.9563412107759931</v>
      </c>
    </row>
    <row r="10" spans="1:33" ht="15.75" customHeight="1">
      <c r="A10" s="645" t="s">
        <v>81</v>
      </c>
      <c r="B10" s="33" t="s">
        <v>10</v>
      </c>
      <c r="C10" s="641" t="s">
        <v>11</v>
      </c>
      <c r="D10" s="642"/>
      <c r="E10" s="33">
        <v>39.799999999999997</v>
      </c>
      <c r="F10" s="342">
        <v>6566</v>
      </c>
      <c r="G10" s="334">
        <f t="shared" si="11"/>
        <v>261326.8</v>
      </c>
      <c r="H10" s="343" t="s">
        <v>5</v>
      </c>
      <c r="I10" s="337">
        <v>17</v>
      </c>
      <c r="J10" s="30">
        <v>1500</v>
      </c>
      <c r="K10" s="13">
        <f t="shared" si="1"/>
        <v>88.235294117647058</v>
      </c>
      <c r="L10" s="337">
        <v>17</v>
      </c>
      <c r="M10" s="14">
        <f t="shared" si="12"/>
        <v>1427.3913043478258</v>
      </c>
      <c r="N10" s="13">
        <f t="shared" si="3"/>
        <v>83.964194373401511</v>
      </c>
      <c r="O10" s="15">
        <f t="shared" si="4"/>
        <v>0</v>
      </c>
      <c r="P10" s="16">
        <f t="shared" si="5"/>
        <v>-4.2710997442455465</v>
      </c>
      <c r="Q10" s="335">
        <f t="shared" si="6"/>
        <v>0.95159420289855046</v>
      </c>
      <c r="R10" s="619"/>
      <c r="S10" s="31">
        <v>0.2305555555555556</v>
      </c>
      <c r="T10" s="31">
        <v>0.42222222222222228</v>
      </c>
      <c r="U10" s="334">
        <f t="shared" ref="U10:U11" si="14">IF(S10=TIME(17,0,0),"",(S10-T9)*24*60)</f>
        <v>27.000000000000025</v>
      </c>
      <c r="V10" s="338">
        <f t="shared" si="13"/>
        <v>276.00000000000006</v>
      </c>
      <c r="W10" s="17"/>
      <c r="X10" s="17"/>
      <c r="Y10" s="17"/>
      <c r="Z10" s="17"/>
      <c r="AA10" s="610"/>
      <c r="AB10" s="610"/>
      <c r="AC10" s="155"/>
      <c r="AD10" s="19"/>
      <c r="AE10" s="15">
        <f t="shared" si="8"/>
        <v>-72.60869565217422</v>
      </c>
      <c r="AF10" s="335">
        <f t="shared" si="9"/>
        <v>0.95159420289855057</v>
      </c>
      <c r="AG10" s="619"/>
    </row>
    <row r="11" spans="1:33" ht="15.75" customHeight="1">
      <c r="A11" s="645" t="s">
        <v>81</v>
      </c>
      <c r="B11" s="33" t="s">
        <v>10</v>
      </c>
      <c r="C11" s="641" t="s">
        <v>13</v>
      </c>
      <c r="D11" s="642"/>
      <c r="E11" s="33">
        <v>39.520000000000003</v>
      </c>
      <c r="F11" s="342">
        <v>2162</v>
      </c>
      <c r="G11" s="334">
        <f t="shared" si="11"/>
        <v>85442.240000000005</v>
      </c>
      <c r="H11" s="343" t="s">
        <v>5</v>
      </c>
      <c r="I11" s="337">
        <v>19</v>
      </c>
      <c r="J11" s="30">
        <v>1500</v>
      </c>
      <c r="K11" s="13">
        <f t="shared" si="1"/>
        <v>78.94736842105263</v>
      </c>
      <c r="L11" s="337">
        <v>19</v>
      </c>
      <c r="M11" s="14">
        <f t="shared" si="12"/>
        <v>1441.3333333333333</v>
      </c>
      <c r="N11" s="13">
        <f t="shared" si="3"/>
        <v>75.859649122807014</v>
      </c>
      <c r="O11" s="15">
        <f t="shared" si="4"/>
        <v>0</v>
      </c>
      <c r="P11" s="16">
        <f t="shared" si="5"/>
        <v>-3.0877192982456165</v>
      </c>
      <c r="Q11" s="335">
        <f t="shared" si="6"/>
        <v>0.9608888888888889</v>
      </c>
      <c r="R11" s="619"/>
      <c r="S11" s="31">
        <v>0.42708333333333337</v>
      </c>
      <c r="T11" s="31">
        <v>0.48958333333333337</v>
      </c>
      <c r="U11" s="334">
        <f t="shared" si="14"/>
        <v>6.9999999999999751</v>
      </c>
      <c r="V11" s="338">
        <f t="shared" si="13"/>
        <v>90</v>
      </c>
      <c r="W11" s="17"/>
      <c r="X11" s="17"/>
      <c r="Y11" s="17"/>
      <c r="Z11" s="17"/>
      <c r="AA11" s="610"/>
      <c r="AB11" s="610"/>
      <c r="AC11" s="155"/>
      <c r="AD11" s="19"/>
      <c r="AE11" s="15">
        <f t="shared" si="8"/>
        <v>-58.666666666666742</v>
      </c>
      <c r="AF11" s="335">
        <f t="shared" si="9"/>
        <v>0.96088888888888879</v>
      </c>
      <c r="AG11" s="619"/>
    </row>
    <row r="12" spans="1:33" ht="16.5" customHeight="1">
      <c r="A12" s="645" t="s">
        <v>81</v>
      </c>
      <c r="B12" s="33" t="s">
        <v>80</v>
      </c>
      <c r="C12" s="620"/>
      <c r="D12" s="620"/>
      <c r="E12" s="336"/>
      <c r="F12" s="30"/>
      <c r="G12" s="14"/>
      <c r="H12" s="342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1434.5118161639896</v>
      </c>
      <c r="N12" s="13">
        <f t="shared" si="3"/>
        <v>78.246099063490348</v>
      </c>
      <c r="O12" s="15">
        <f t="shared" si="4"/>
        <v>0</v>
      </c>
      <c r="P12" s="16">
        <f t="shared" si="5"/>
        <v>-3.5720827546914791</v>
      </c>
      <c r="Q12" s="335">
        <f t="shared" si="6"/>
        <v>0.95634121077599299</v>
      </c>
      <c r="R12" s="619"/>
      <c r="S12" s="31"/>
      <c r="T12" s="31"/>
      <c r="U12" s="13"/>
      <c r="V12" s="338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-65.488183836010421</v>
      </c>
      <c r="AF12" s="335">
        <f t="shared" si="9"/>
        <v>0.9563412107759931</v>
      </c>
      <c r="AG12" s="619"/>
    </row>
    <row r="13" spans="1:33" ht="16.5" customHeight="1">
      <c r="A13" s="643" t="s">
        <v>185</v>
      </c>
      <c r="B13" s="342" t="s">
        <v>15</v>
      </c>
      <c r="C13" s="635" t="s">
        <v>16</v>
      </c>
      <c r="D13" s="635"/>
      <c r="E13" s="33">
        <v>31.11</v>
      </c>
      <c r="F13" s="342">
        <v>2153</v>
      </c>
      <c r="G13" s="334">
        <f t="shared" ref="G13:G19" si="15">E13*F13</f>
        <v>66979.83</v>
      </c>
      <c r="H13" s="343" t="s">
        <v>5</v>
      </c>
      <c r="I13" s="337">
        <v>14</v>
      </c>
      <c r="J13" s="30">
        <v>2000</v>
      </c>
      <c r="K13" s="13">
        <f t="shared" si="1"/>
        <v>142.85714285714286</v>
      </c>
      <c r="L13" s="337">
        <v>14</v>
      </c>
      <c r="M13" s="14">
        <f t="shared" ref="M13:M19" si="16">F13/V13*60</f>
        <v>1928.0597014925372</v>
      </c>
      <c r="N13" s="13">
        <f t="shared" si="3"/>
        <v>137.7185501066098</v>
      </c>
      <c r="O13" s="15">
        <f t="shared" si="4"/>
        <v>0</v>
      </c>
      <c r="P13" s="16">
        <f t="shared" si="5"/>
        <v>-5.1385927505330642</v>
      </c>
      <c r="Q13" s="335">
        <f t="shared" si="6"/>
        <v>0.96402985074626857</v>
      </c>
      <c r="R13" s="619">
        <f>Q20</f>
        <v>0.9605991806705817</v>
      </c>
      <c r="S13" s="31">
        <v>0.25</v>
      </c>
      <c r="T13" s="31">
        <v>0.29652777777777778</v>
      </c>
      <c r="U13" s="334"/>
      <c r="V13" s="338">
        <f t="shared" ref="V13:V19" si="17">(T13-S13)*24*60</f>
        <v>67</v>
      </c>
      <c r="W13" s="17"/>
      <c r="X13" s="17"/>
      <c r="Y13" s="22"/>
      <c r="Z13" s="22"/>
      <c r="AA13" s="610"/>
      <c r="AB13" s="610"/>
      <c r="AC13" s="155">
        <v>7</v>
      </c>
      <c r="AD13" s="19"/>
      <c r="AE13" s="15">
        <f t="shared" si="8"/>
        <v>-71.940298507462785</v>
      </c>
      <c r="AF13" s="335">
        <f t="shared" si="9"/>
        <v>0.96402985074626857</v>
      </c>
      <c r="AG13" s="619">
        <f>AF20</f>
        <v>0.9605991806705817</v>
      </c>
    </row>
    <row r="14" spans="1:33" ht="16.5" customHeight="1">
      <c r="A14" s="644" t="s">
        <v>185</v>
      </c>
      <c r="B14" s="342" t="s">
        <v>17</v>
      </c>
      <c r="C14" s="635" t="s">
        <v>18</v>
      </c>
      <c r="D14" s="635"/>
      <c r="E14" s="33">
        <v>41</v>
      </c>
      <c r="F14" s="342">
        <v>1767</v>
      </c>
      <c r="G14" s="334">
        <f t="shared" si="15"/>
        <v>72447</v>
      </c>
      <c r="H14" s="343" t="s">
        <v>5</v>
      </c>
      <c r="I14" s="337">
        <v>26</v>
      </c>
      <c r="J14" s="30">
        <v>1500</v>
      </c>
      <c r="K14" s="13">
        <f t="shared" si="1"/>
        <v>57.692307692307693</v>
      </c>
      <c r="L14" s="337">
        <v>26</v>
      </c>
      <c r="M14" s="14">
        <f t="shared" si="16"/>
        <v>1432.7027027027032</v>
      </c>
      <c r="N14" s="13">
        <f t="shared" si="3"/>
        <v>55.103950103950119</v>
      </c>
      <c r="O14" s="15">
        <f t="shared" si="4"/>
        <v>0</v>
      </c>
      <c r="P14" s="16">
        <f t="shared" si="5"/>
        <v>-2.5883575883575745</v>
      </c>
      <c r="Q14" s="335">
        <f t="shared" si="6"/>
        <v>0.95513513513513537</v>
      </c>
      <c r="R14" s="619"/>
      <c r="S14" s="31">
        <v>0.30208333333333331</v>
      </c>
      <c r="T14" s="31">
        <v>0.35347222222222219</v>
      </c>
      <c r="U14" s="334">
        <f t="shared" ref="U14:U19" si="18">IF(S14=TIME(17,0,0),"",(S14-T13)*24*60)</f>
        <v>7.9999999999999716</v>
      </c>
      <c r="V14" s="338">
        <f t="shared" si="17"/>
        <v>73.999999999999972</v>
      </c>
      <c r="W14" s="17"/>
      <c r="X14" s="17"/>
      <c r="Y14" s="17"/>
      <c r="Z14" s="17"/>
      <c r="AA14" s="610"/>
      <c r="AB14" s="610"/>
      <c r="AC14" s="155"/>
      <c r="AD14" s="19"/>
      <c r="AE14" s="15">
        <f t="shared" si="8"/>
        <v>-67.297297297296836</v>
      </c>
      <c r="AF14" s="335">
        <f t="shared" si="9"/>
        <v>0.95513513513513548</v>
      </c>
      <c r="AG14" s="619"/>
    </row>
    <row r="15" spans="1:33" ht="16.5" customHeight="1">
      <c r="A15" s="644" t="s">
        <v>185</v>
      </c>
      <c r="B15" s="342" t="s">
        <v>15</v>
      </c>
      <c r="C15" s="635" t="s">
        <v>76</v>
      </c>
      <c r="D15" s="635"/>
      <c r="E15" s="33">
        <v>68.88</v>
      </c>
      <c r="F15" s="342">
        <v>1358</v>
      </c>
      <c r="G15" s="334">
        <f t="shared" si="15"/>
        <v>93539.04</v>
      </c>
      <c r="H15" s="343" t="s">
        <v>5</v>
      </c>
      <c r="I15" s="337">
        <v>16</v>
      </c>
      <c r="J15" s="30">
        <v>2000</v>
      </c>
      <c r="K15" s="13">
        <f t="shared" si="1"/>
        <v>125</v>
      </c>
      <c r="L15" s="337">
        <v>16</v>
      </c>
      <c r="M15" s="14">
        <f t="shared" si="16"/>
        <v>1939.9999999999993</v>
      </c>
      <c r="N15" s="13">
        <f t="shared" si="3"/>
        <v>121.24999999999996</v>
      </c>
      <c r="O15" s="15">
        <f t="shared" si="4"/>
        <v>0</v>
      </c>
      <c r="P15" s="16">
        <f t="shared" si="5"/>
        <v>-3.7500000000000426</v>
      </c>
      <c r="Q15" s="335">
        <f t="shared" si="6"/>
        <v>0.96999999999999964</v>
      </c>
      <c r="R15" s="619"/>
      <c r="S15" s="31">
        <v>0.3569444444444444</v>
      </c>
      <c r="T15" s="31">
        <v>0.38611111111111107</v>
      </c>
      <c r="U15" s="334">
        <f t="shared" si="18"/>
        <v>4.9999999999999822</v>
      </c>
      <c r="V15" s="338">
        <f t="shared" si="17"/>
        <v>42.000000000000014</v>
      </c>
      <c r="W15" s="17"/>
      <c r="X15" s="17"/>
      <c r="Y15" s="17"/>
      <c r="Z15" s="17"/>
      <c r="AA15" s="610"/>
      <c r="AB15" s="610"/>
      <c r="AC15" s="155"/>
      <c r="AD15" s="19"/>
      <c r="AE15" s="15">
        <f t="shared" si="8"/>
        <v>-60.000000000000682</v>
      </c>
      <c r="AF15" s="335">
        <f t="shared" si="9"/>
        <v>0.96999999999999964</v>
      </c>
      <c r="AG15" s="619"/>
    </row>
    <row r="16" spans="1:33" ht="16.5" customHeight="1">
      <c r="A16" s="644" t="s">
        <v>185</v>
      </c>
      <c r="B16" s="342" t="s">
        <v>10</v>
      </c>
      <c r="C16" s="635" t="s">
        <v>12</v>
      </c>
      <c r="D16" s="635"/>
      <c r="E16" s="33">
        <v>39.46</v>
      </c>
      <c r="F16" s="342">
        <v>2290</v>
      </c>
      <c r="G16" s="334">
        <f t="shared" si="15"/>
        <v>90363.400000000009</v>
      </c>
      <c r="H16" s="343" t="s">
        <v>5</v>
      </c>
      <c r="I16" s="337">
        <v>15</v>
      </c>
      <c r="J16" s="30">
        <v>1500</v>
      </c>
      <c r="K16" s="13">
        <f t="shared" si="1"/>
        <v>100</v>
      </c>
      <c r="L16" s="337">
        <v>15</v>
      </c>
      <c r="M16" s="14">
        <f t="shared" si="16"/>
        <v>1431.2500000000005</v>
      </c>
      <c r="N16" s="13">
        <f t="shared" si="3"/>
        <v>95.4166666666667</v>
      </c>
      <c r="O16" s="15">
        <f t="shared" si="4"/>
        <v>0</v>
      </c>
      <c r="P16" s="16">
        <f t="shared" si="5"/>
        <v>-4.5833333333333002</v>
      </c>
      <c r="Q16" s="335">
        <f t="shared" si="6"/>
        <v>0.95416666666666705</v>
      </c>
      <c r="R16" s="619"/>
      <c r="S16" s="31">
        <v>0.39166666666666661</v>
      </c>
      <c r="T16" s="31">
        <v>0.45833333333333326</v>
      </c>
      <c r="U16" s="334">
        <f t="shared" si="18"/>
        <v>7.9999999999999716</v>
      </c>
      <c r="V16" s="338">
        <f t="shared" si="17"/>
        <v>95.999999999999972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-68.749999999999545</v>
      </c>
      <c r="AF16" s="335">
        <f t="shared" si="9"/>
        <v>0.95416666666666694</v>
      </c>
      <c r="AG16" s="619"/>
    </row>
    <row r="17" spans="1:33" ht="16.5" customHeight="1">
      <c r="A17" s="644" t="s">
        <v>185</v>
      </c>
      <c r="B17" s="342" t="s">
        <v>6</v>
      </c>
      <c r="C17" s="635" t="s">
        <v>20</v>
      </c>
      <c r="D17" s="635"/>
      <c r="E17" s="33">
        <v>54.5</v>
      </c>
      <c r="F17" s="342">
        <v>1052</v>
      </c>
      <c r="G17" s="334">
        <f t="shared" si="15"/>
        <v>57334</v>
      </c>
      <c r="H17" s="343" t="s">
        <v>5</v>
      </c>
      <c r="I17" s="337">
        <v>19</v>
      </c>
      <c r="J17" s="30">
        <v>1500</v>
      </c>
      <c r="K17" s="13">
        <f t="shared" si="1"/>
        <v>78.94736842105263</v>
      </c>
      <c r="L17" s="337">
        <v>19</v>
      </c>
      <c r="M17" s="14">
        <f t="shared" si="16"/>
        <v>1434.5454545454545</v>
      </c>
      <c r="N17" s="13">
        <f t="shared" si="3"/>
        <v>75.502392344497608</v>
      </c>
      <c r="O17" s="15">
        <f t="shared" si="4"/>
        <v>0</v>
      </c>
      <c r="P17" s="16">
        <f t="shared" si="5"/>
        <v>-3.4449760765550224</v>
      </c>
      <c r="Q17" s="335">
        <f t="shared" si="6"/>
        <v>0.95636363636363642</v>
      </c>
      <c r="R17" s="619"/>
      <c r="S17" s="31">
        <v>0.70833333333333337</v>
      </c>
      <c r="T17" s="31">
        <v>0.73888888888888893</v>
      </c>
      <c r="U17" s="334" t="str">
        <f t="shared" si="18"/>
        <v/>
      </c>
      <c r="V17" s="338">
        <f t="shared" si="17"/>
        <v>44</v>
      </c>
      <c r="W17" s="17"/>
      <c r="X17" s="17"/>
      <c r="Y17" s="17"/>
      <c r="Z17" s="17"/>
      <c r="AA17" s="610"/>
      <c r="AB17" s="610"/>
      <c r="AC17" s="155"/>
      <c r="AD17" s="19"/>
      <c r="AE17" s="15">
        <f t="shared" si="8"/>
        <v>-65.454545454545496</v>
      </c>
      <c r="AF17" s="335">
        <f t="shared" si="9"/>
        <v>0.9563636363636363</v>
      </c>
      <c r="AG17" s="619"/>
    </row>
    <row r="18" spans="1:33" ht="16.5" customHeight="1">
      <c r="A18" s="644" t="s">
        <v>1577</v>
      </c>
      <c r="B18" s="342" t="s">
        <v>6</v>
      </c>
      <c r="C18" s="340" t="s">
        <v>19</v>
      </c>
      <c r="D18" s="341"/>
      <c r="E18" s="33">
        <v>50.67</v>
      </c>
      <c r="F18" s="342">
        <v>1730</v>
      </c>
      <c r="G18" s="334">
        <f t="shared" si="15"/>
        <v>87659.1</v>
      </c>
      <c r="H18" s="343" t="s">
        <v>5</v>
      </c>
      <c r="I18" s="337">
        <v>17</v>
      </c>
      <c r="J18" s="30">
        <v>2000</v>
      </c>
      <c r="K18" s="13">
        <f t="shared" si="1"/>
        <v>117.64705882352941</v>
      </c>
      <c r="L18" s="337">
        <v>17</v>
      </c>
      <c r="M18" s="14">
        <f t="shared" si="16"/>
        <v>1922.2222222222231</v>
      </c>
      <c r="N18" s="13">
        <f t="shared" si="3"/>
        <v>113.07189542483665</v>
      </c>
      <c r="O18" s="15">
        <f t="shared" si="4"/>
        <v>0</v>
      </c>
      <c r="P18" s="16">
        <f t="shared" si="5"/>
        <v>-4.5751633986927516</v>
      </c>
      <c r="Q18" s="335">
        <f t="shared" si="6"/>
        <v>0.96111111111111158</v>
      </c>
      <c r="R18" s="619"/>
      <c r="S18" s="31">
        <v>0.74236111111111114</v>
      </c>
      <c r="T18" s="31">
        <v>0.77986111111111112</v>
      </c>
      <c r="U18" s="334">
        <f t="shared" si="18"/>
        <v>4.9999999999999822</v>
      </c>
      <c r="V18" s="338">
        <f t="shared" si="17"/>
        <v>53.999999999999972</v>
      </c>
      <c r="W18" s="17"/>
      <c r="X18" s="17"/>
      <c r="Y18" s="20"/>
      <c r="Z18" s="20"/>
      <c r="AA18" s="332"/>
      <c r="AB18" s="333"/>
      <c r="AC18" s="155"/>
      <c r="AD18" s="19"/>
      <c r="AE18" s="15">
        <f t="shared" si="8"/>
        <v>-77.777777777776919</v>
      </c>
      <c r="AF18" s="335">
        <f t="shared" si="9"/>
        <v>0.96111111111111158</v>
      </c>
      <c r="AG18" s="619"/>
    </row>
    <row r="19" spans="1:33" ht="16.5" customHeight="1">
      <c r="A19" s="644" t="s">
        <v>185</v>
      </c>
      <c r="B19" s="342" t="s">
        <v>6</v>
      </c>
      <c r="C19" s="340" t="s">
        <v>45</v>
      </c>
      <c r="D19" s="341"/>
      <c r="E19" s="33">
        <v>51.06</v>
      </c>
      <c r="F19" s="342">
        <v>2974</v>
      </c>
      <c r="G19" s="334">
        <f t="shared" si="15"/>
        <v>151852.44</v>
      </c>
      <c r="H19" s="343" t="s">
        <v>5</v>
      </c>
      <c r="I19" s="337">
        <v>13</v>
      </c>
      <c r="J19" s="30">
        <v>2000</v>
      </c>
      <c r="K19" s="13">
        <f t="shared" si="1"/>
        <v>153.84615384615384</v>
      </c>
      <c r="L19" s="337">
        <v>13</v>
      </c>
      <c r="M19" s="14">
        <f t="shared" si="16"/>
        <v>1918.7096774193551</v>
      </c>
      <c r="N19" s="13">
        <f t="shared" si="3"/>
        <v>147.59305210918117</v>
      </c>
      <c r="O19" s="15">
        <f t="shared" si="4"/>
        <v>0</v>
      </c>
      <c r="P19" s="16">
        <f t="shared" si="5"/>
        <v>-6.2531017369726669</v>
      </c>
      <c r="Q19" s="335">
        <f t="shared" si="6"/>
        <v>0.95935483870967764</v>
      </c>
      <c r="R19" s="619"/>
      <c r="S19" s="31">
        <v>0.78402777777777777</v>
      </c>
      <c r="T19" s="31">
        <v>0.84861111111111109</v>
      </c>
      <c r="U19" s="334">
        <f t="shared" si="18"/>
        <v>5.9999999999999787</v>
      </c>
      <c r="V19" s="338">
        <f t="shared" si="17"/>
        <v>92.999999999999986</v>
      </c>
      <c r="W19" s="17"/>
      <c r="X19" s="17"/>
      <c r="Y19" s="20"/>
      <c r="Z19" s="20"/>
      <c r="AA19" s="332"/>
      <c r="AB19" s="333"/>
      <c r="AC19" s="155"/>
      <c r="AD19" s="19"/>
      <c r="AE19" s="15">
        <f t="shared" si="8"/>
        <v>-81.290322580644897</v>
      </c>
      <c r="AF19" s="335">
        <f t="shared" si="9"/>
        <v>0.95935483870967753</v>
      </c>
      <c r="AG19" s="619"/>
    </row>
    <row r="20" spans="1:33" ht="16.5" customHeight="1">
      <c r="A20" s="644" t="s">
        <v>1577</v>
      </c>
      <c r="B20" s="33" t="s">
        <v>80</v>
      </c>
      <c r="C20" s="620"/>
      <c r="D20" s="620"/>
      <c r="E20" s="336"/>
      <c r="F20" s="34"/>
      <c r="G20" s="13"/>
      <c r="H20" s="342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1715.3556797688959</v>
      </c>
      <c r="N20" s="13">
        <f t="shared" si="3"/>
        <v>100.0624146531856</v>
      </c>
      <c r="O20" s="15">
        <f t="shared" si="4"/>
        <v>0</v>
      </c>
      <c r="P20" s="16">
        <f t="shared" si="5"/>
        <v>-4.1042520134810729</v>
      </c>
      <c r="Q20" s="335">
        <f t="shared" si="6"/>
        <v>0.9605991806705817</v>
      </c>
      <c r="R20" s="619"/>
      <c r="S20" s="31"/>
      <c r="T20" s="31"/>
      <c r="U20" s="334"/>
      <c r="V20" s="338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-70.358605945389854</v>
      </c>
      <c r="AF20" s="335">
        <f t="shared" si="9"/>
        <v>0.9605991806705817</v>
      </c>
      <c r="AG20" s="619"/>
    </row>
    <row r="21" spans="1:33" ht="15.75" customHeight="1">
      <c r="A21" s="637" t="s">
        <v>190</v>
      </c>
      <c r="B21" s="33" t="s">
        <v>6</v>
      </c>
      <c r="C21" s="635" t="s">
        <v>22</v>
      </c>
      <c r="D21" s="635"/>
      <c r="E21" s="33">
        <v>50.67</v>
      </c>
      <c r="F21" s="342">
        <v>1711</v>
      </c>
      <c r="G21" s="334">
        <f t="shared" ref="G21:G26" si="19">E21*F21</f>
        <v>86696.37000000001</v>
      </c>
      <c r="H21" s="343" t="s">
        <v>5</v>
      </c>
      <c r="I21" s="337">
        <v>17</v>
      </c>
      <c r="J21" s="30">
        <v>2000</v>
      </c>
      <c r="K21" s="13">
        <f t="shared" si="1"/>
        <v>117.64705882352941</v>
      </c>
      <c r="L21" s="337">
        <v>17</v>
      </c>
      <c r="M21" s="14">
        <f t="shared" ref="M21:M26" si="20">F21/V21*60</f>
        <v>1936.9811320754727</v>
      </c>
      <c r="N21" s="13">
        <f t="shared" si="3"/>
        <v>113.94006659267487</v>
      </c>
      <c r="O21" s="15">
        <f t="shared" si="4"/>
        <v>0</v>
      </c>
      <c r="P21" s="16">
        <f t="shared" si="5"/>
        <v>-3.7069922308545387</v>
      </c>
      <c r="Q21" s="335">
        <f t="shared" si="6"/>
        <v>0.96849056603773642</v>
      </c>
      <c r="R21" s="619">
        <f>Q27</f>
        <v>0.95916695229992466</v>
      </c>
      <c r="S21" s="31">
        <v>0.25</v>
      </c>
      <c r="T21" s="31">
        <v>0.28680555555555554</v>
      </c>
      <c r="U21" s="334"/>
      <c r="V21" s="338">
        <f t="shared" ref="V21:V26" si="21">(T21-S21)*24*60</f>
        <v>52.999999999999972</v>
      </c>
      <c r="W21" s="17"/>
      <c r="X21" s="17"/>
      <c r="Y21" s="22"/>
      <c r="Z21" s="22"/>
      <c r="AA21" s="610"/>
      <c r="AB21" s="610"/>
      <c r="AC21" s="155">
        <v>6</v>
      </c>
      <c r="AD21" s="19"/>
      <c r="AE21" s="15">
        <f t="shared" si="8"/>
        <v>-63.018867924527285</v>
      </c>
      <c r="AF21" s="335">
        <f t="shared" si="9"/>
        <v>0.96849056603773631</v>
      </c>
      <c r="AG21" s="619">
        <f>AF27</f>
        <v>0.95916695229992466</v>
      </c>
    </row>
    <row r="22" spans="1:33" ht="15.75" customHeight="1">
      <c r="A22" s="638" t="s">
        <v>190</v>
      </c>
      <c r="B22" s="33" t="s">
        <v>6</v>
      </c>
      <c r="C22" s="635" t="s">
        <v>23</v>
      </c>
      <c r="D22" s="635"/>
      <c r="E22" s="33">
        <v>57.73</v>
      </c>
      <c r="F22" s="342">
        <v>2451</v>
      </c>
      <c r="G22" s="334">
        <f t="shared" si="19"/>
        <v>141496.22999999998</v>
      </c>
      <c r="H22" s="343" t="s">
        <v>5</v>
      </c>
      <c r="I22" s="337">
        <v>14</v>
      </c>
      <c r="J22" s="30">
        <v>2000</v>
      </c>
      <c r="K22" s="13">
        <f t="shared" si="1"/>
        <v>142.85714285714286</v>
      </c>
      <c r="L22" s="337">
        <v>14</v>
      </c>
      <c r="M22" s="14">
        <f t="shared" si="20"/>
        <v>1909.8701298701287</v>
      </c>
      <c r="N22" s="13">
        <f t="shared" si="3"/>
        <v>136.41929499072347</v>
      </c>
      <c r="O22" s="15">
        <f t="shared" si="4"/>
        <v>0</v>
      </c>
      <c r="P22" s="16">
        <f t="shared" si="5"/>
        <v>-6.4378478664193892</v>
      </c>
      <c r="Q22" s="335">
        <f t="shared" si="6"/>
        <v>0.9549350649350643</v>
      </c>
      <c r="R22" s="619"/>
      <c r="S22" s="31">
        <v>0.29166666666666663</v>
      </c>
      <c r="T22" s="31">
        <v>0.34513888888888888</v>
      </c>
      <c r="U22" s="334">
        <f t="shared" ref="U22:U26" si="22">IF(S22=TIME(17,0,0),"",(S22-T21)*24*60)</f>
        <v>6.9999999999999751</v>
      </c>
      <c r="V22" s="338">
        <f t="shared" si="21"/>
        <v>77.000000000000043</v>
      </c>
      <c r="W22" s="17"/>
      <c r="X22" s="334"/>
      <c r="Y22" s="334"/>
      <c r="Z22" s="334"/>
      <c r="AA22" s="610"/>
      <c r="AB22" s="610"/>
      <c r="AC22" s="155"/>
      <c r="AD22" s="19"/>
      <c r="AE22" s="15">
        <f t="shared" si="8"/>
        <v>-90.129870129871279</v>
      </c>
      <c r="AF22" s="335">
        <f t="shared" si="9"/>
        <v>0.95493506493506441</v>
      </c>
      <c r="AG22" s="619"/>
    </row>
    <row r="23" spans="1:33" ht="15.75" customHeight="1">
      <c r="A23" s="638" t="s">
        <v>190</v>
      </c>
      <c r="B23" s="33" t="s">
        <v>6</v>
      </c>
      <c r="C23" s="635" t="s">
        <v>24</v>
      </c>
      <c r="D23" s="635"/>
      <c r="E23" s="33">
        <v>53.27</v>
      </c>
      <c r="F23" s="342">
        <v>1502</v>
      </c>
      <c r="G23" s="334">
        <f t="shared" si="19"/>
        <v>80011.540000000008</v>
      </c>
      <c r="H23" s="343" t="s">
        <v>5</v>
      </c>
      <c r="I23" s="337">
        <v>16</v>
      </c>
      <c r="J23" s="30">
        <v>2000</v>
      </c>
      <c r="K23" s="13">
        <f t="shared" si="1"/>
        <v>125</v>
      </c>
      <c r="L23" s="337">
        <v>16</v>
      </c>
      <c r="M23" s="14">
        <f t="shared" si="20"/>
        <v>1917.4468085106384</v>
      </c>
      <c r="N23" s="13">
        <f t="shared" si="3"/>
        <v>119.8404255319149</v>
      </c>
      <c r="O23" s="15">
        <f t="shared" si="4"/>
        <v>0</v>
      </c>
      <c r="P23" s="16">
        <f t="shared" si="5"/>
        <v>-5.159574468085097</v>
      </c>
      <c r="Q23" s="335">
        <f t="shared" si="6"/>
        <v>0.95872340425531921</v>
      </c>
      <c r="R23" s="619"/>
      <c r="S23" s="31">
        <v>0.34930555555555554</v>
      </c>
      <c r="T23" s="31">
        <v>0.38194444444444442</v>
      </c>
      <c r="U23" s="334">
        <f t="shared" si="22"/>
        <v>5.9999999999999787</v>
      </c>
      <c r="V23" s="338">
        <f t="shared" si="21"/>
        <v>46.999999999999993</v>
      </c>
      <c r="W23" s="17"/>
      <c r="X23" s="334"/>
      <c r="Y23" s="334"/>
      <c r="Z23" s="334"/>
      <c r="AA23" s="610"/>
      <c r="AB23" s="610"/>
      <c r="AC23" s="155"/>
      <c r="AD23" s="19"/>
      <c r="AE23" s="15">
        <f t="shared" si="8"/>
        <v>-82.553191489361552</v>
      </c>
      <c r="AF23" s="335">
        <f t="shared" si="9"/>
        <v>0.95872340425531921</v>
      </c>
      <c r="AG23" s="619"/>
    </row>
    <row r="24" spans="1:33" ht="15.75" customHeight="1">
      <c r="A24" s="638" t="s">
        <v>190</v>
      </c>
      <c r="B24" s="33" t="s">
        <v>6</v>
      </c>
      <c r="C24" s="635" t="s">
        <v>21</v>
      </c>
      <c r="D24" s="635"/>
      <c r="E24" s="33">
        <v>50.49</v>
      </c>
      <c r="F24" s="342">
        <v>2239</v>
      </c>
      <c r="G24" s="334">
        <f t="shared" si="19"/>
        <v>113047.11</v>
      </c>
      <c r="H24" s="343" t="s">
        <v>5</v>
      </c>
      <c r="I24" s="337">
        <v>15</v>
      </c>
      <c r="J24" s="30">
        <v>2000</v>
      </c>
      <c r="K24" s="13">
        <f t="shared" si="1"/>
        <v>133.33333333333334</v>
      </c>
      <c r="L24" s="337">
        <v>15</v>
      </c>
      <c r="M24" s="14">
        <f t="shared" si="20"/>
        <v>1919.1428571428551</v>
      </c>
      <c r="N24" s="13">
        <f t="shared" si="3"/>
        <v>127.94285714285701</v>
      </c>
      <c r="O24" s="15">
        <f t="shared" si="4"/>
        <v>0</v>
      </c>
      <c r="P24" s="16">
        <f t="shared" si="5"/>
        <v>-5.3904761904763348</v>
      </c>
      <c r="Q24" s="335">
        <f t="shared" si="6"/>
        <v>0.95957142857142752</v>
      </c>
      <c r="R24" s="619"/>
      <c r="S24" s="31">
        <v>0.70833333333333337</v>
      </c>
      <c r="T24" s="31">
        <v>0.75694444444444453</v>
      </c>
      <c r="U24" s="334" t="str">
        <f t="shared" si="22"/>
        <v/>
      </c>
      <c r="V24" s="338">
        <f t="shared" si="21"/>
        <v>70.000000000000071</v>
      </c>
      <c r="W24" s="17"/>
      <c r="X24" s="334"/>
      <c r="Y24" s="334"/>
      <c r="Z24" s="334"/>
      <c r="AA24" s="610"/>
      <c r="AB24" s="610"/>
      <c r="AC24" s="155"/>
      <c r="AD24" s="19"/>
      <c r="AE24" s="15">
        <f t="shared" si="8"/>
        <v>-80.857142857144936</v>
      </c>
      <c r="AF24" s="335">
        <f t="shared" si="9"/>
        <v>0.95957142857142752</v>
      </c>
      <c r="AG24" s="619"/>
    </row>
    <row r="25" spans="1:33" ht="15.75" customHeight="1">
      <c r="A25" s="638" t="s">
        <v>190</v>
      </c>
      <c r="B25" s="33" t="s">
        <v>6</v>
      </c>
      <c r="C25" s="635" t="s">
        <v>26</v>
      </c>
      <c r="D25" s="635"/>
      <c r="E25" s="33">
        <v>54.09</v>
      </c>
      <c r="F25" s="342">
        <v>2051</v>
      </c>
      <c r="G25" s="334">
        <f t="shared" si="19"/>
        <v>110938.59000000001</v>
      </c>
      <c r="H25" s="343" t="s">
        <v>5</v>
      </c>
      <c r="I25" s="337">
        <v>18</v>
      </c>
      <c r="J25" s="30">
        <v>2000</v>
      </c>
      <c r="K25" s="13">
        <f t="shared" si="1"/>
        <v>111.11111111111111</v>
      </c>
      <c r="L25" s="337">
        <v>18</v>
      </c>
      <c r="M25" s="14">
        <f t="shared" si="20"/>
        <v>1922.812500000002</v>
      </c>
      <c r="N25" s="13">
        <f t="shared" si="3"/>
        <v>106.82291666666679</v>
      </c>
      <c r="O25" s="15">
        <f t="shared" si="4"/>
        <v>0</v>
      </c>
      <c r="P25" s="16">
        <f t="shared" si="5"/>
        <v>-4.2881944444443292</v>
      </c>
      <c r="Q25" s="335">
        <f t="shared" si="6"/>
        <v>0.96140625000000102</v>
      </c>
      <c r="R25" s="619"/>
      <c r="S25" s="31">
        <v>0.76180555555555562</v>
      </c>
      <c r="T25" s="31">
        <v>0.80625000000000002</v>
      </c>
      <c r="U25" s="334">
        <f t="shared" si="22"/>
        <v>6.9999999999999751</v>
      </c>
      <c r="V25" s="338">
        <f t="shared" si="21"/>
        <v>63.999999999999929</v>
      </c>
      <c r="W25" s="17"/>
      <c r="X25" s="17"/>
      <c r="Y25" s="334"/>
      <c r="Z25" s="334"/>
      <c r="AA25" s="610"/>
      <c r="AB25" s="610"/>
      <c r="AC25" s="155"/>
      <c r="AD25" s="19"/>
      <c r="AE25" s="15">
        <f t="shared" si="8"/>
        <v>-77.187499999997954</v>
      </c>
      <c r="AF25" s="335">
        <f t="shared" si="9"/>
        <v>0.96140625000000102</v>
      </c>
      <c r="AG25" s="619"/>
    </row>
    <row r="26" spans="1:33" ht="15.75" customHeight="1">
      <c r="A26" s="638" t="s">
        <v>190</v>
      </c>
      <c r="B26" s="33" t="s">
        <v>6</v>
      </c>
      <c r="C26" s="635" t="s">
        <v>9</v>
      </c>
      <c r="D26" s="635"/>
      <c r="E26" s="33">
        <v>50.67</v>
      </c>
      <c r="F26" s="342">
        <v>1523</v>
      </c>
      <c r="G26" s="334">
        <f t="shared" si="19"/>
        <v>77170.41</v>
      </c>
      <c r="H26" s="343" t="s">
        <v>5</v>
      </c>
      <c r="I26" s="337">
        <v>15</v>
      </c>
      <c r="J26" s="30">
        <v>2000</v>
      </c>
      <c r="K26" s="13">
        <f t="shared" si="1"/>
        <v>133.33333333333334</v>
      </c>
      <c r="L26" s="337">
        <v>15</v>
      </c>
      <c r="M26" s="14">
        <f t="shared" si="20"/>
        <v>1903.7500000000005</v>
      </c>
      <c r="N26" s="13">
        <f t="shared" si="3"/>
        <v>126.9166666666667</v>
      </c>
      <c r="O26" s="15">
        <f t="shared" si="4"/>
        <v>0</v>
      </c>
      <c r="P26" s="16">
        <f t="shared" si="5"/>
        <v>-6.416666666666643</v>
      </c>
      <c r="Q26" s="335">
        <f t="shared" si="6"/>
        <v>0.95187500000000014</v>
      </c>
      <c r="R26" s="619"/>
      <c r="S26" s="31">
        <v>0.81041666666666667</v>
      </c>
      <c r="T26" s="31">
        <v>0.84375</v>
      </c>
      <c r="U26" s="334">
        <f t="shared" si="22"/>
        <v>5.9999999999999787</v>
      </c>
      <c r="V26" s="338">
        <f t="shared" si="21"/>
        <v>47.999999999999986</v>
      </c>
      <c r="W26" s="17"/>
      <c r="X26" s="22"/>
      <c r="Y26" s="22"/>
      <c r="Z26" s="22"/>
      <c r="AA26" s="610"/>
      <c r="AB26" s="610"/>
      <c r="AC26" s="155"/>
      <c r="AD26" s="19"/>
      <c r="AE26" s="15">
        <f t="shared" si="8"/>
        <v>-96.249999999999545</v>
      </c>
      <c r="AF26" s="335">
        <f t="shared" si="9"/>
        <v>0.95187500000000025</v>
      </c>
      <c r="AG26" s="619"/>
    </row>
    <row r="27" spans="1:33" ht="15.75" customHeight="1">
      <c r="A27" s="638" t="s">
        <v>1578</v>
      </c>
      <c r="B27" s="33" t="s">
        <v>80</v>
      </c>
      <c r="C27" s="620"/>
      <c r="D27" s="620"/>
      <c r="E27" s="336"/>
      <c r="F27" s="342"/>
      <c r="G27" s="334"/>
      <c r="H27" s="342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1918.3339045998493</v>
      </c>
      <c r="N27" s="13">
        <f t="shared" si="3"/>
        <v>121.15793081683259</v>
      </c>
      <c r="O27" s="15">
        <f t="shared" si="4"/>
        <v>0</v>
      </c>
      <c r="P27" s="16">
        <f t="shared" si="5"/>
        <v>-5.1578586568516158</v>
      </c>
      <c r="Q27" s="335">
        <f t="shared" si="6"/>
        <v>0.95916695229992466</v>
      </c>
      <c r="R27" s="619"/>
      <c r="S27" s="31"/>
      <c r="T27" s="31"/>
      <c r="U27" s="13"/>
      <c r="V27" s="338"/>
      <c r="W27" s="13"/>
      <c r="X27" s="13"/>
      <c r="Y27" s="24">
        <f>SUM(Y21:Y26)</f>
        <v>0</v>
      </c>
      <c r="Z27" s="24">
        <f>SUM(Z21:Z26)</f>
        <v>0</v>
      </c>
      <c r="AA27" s="609"/>
      <c r="AB27" s="609"/>
      <c r="AC27" s="24">
        <v>6</v>
      </c>
      <c r="AD27" s="24">
        <f>SUM(AD21:AD26)</f>
        <v>0</v>
      </c>
      <c r="AE27" s="15">
        <f t="shared" si="8"/>
        <v>-81.666095400150652</v>
      </c>
      <c r="AF27" s="335">
        <f t="shared" si="9"/>
        <v>0.95916695229992466</v>
      </c>
      <c r="AG27" s="619"/>
    </row>
    <row r="28" spans="1:33" ht="15.75" customHeight="1">
      <c r="A28" s="636" t="s">
        <v>193</v>
      </c>
      <c r="B28" s="33" t="s">
        <v>27</v>
      </c>
      <c r="C28" s="635" t="s">
        <v>28</v>
      </c>
      <c r="D28" s="635"/>
      <c r="E28" s="33">
        <v>31.29</v>
      </c>
      <c r="F28" s="342">
        <v>5800</v>
      </c>
      <c r="G28" s="334">
        <f t="shared" ref="G28:G35" si="23">E28*F28</f>
        <v>181482</v>
      </c>
      <c r="H28" s="343">
        <v>2</v>
      </c>
      <c r="I28" s="337">
        <v>18</v>
      </c>
      <c r="J28" s="30">
        <v>2400</v>
      </c>
      <c r="K28" s="13">
        <f t="shared" si="1"/>
        <v>133.33333333333334</v>
      </c>
      <c r="L28" s="337">
        <v>18</v>
      </c>
      <c r="M28" s="14">
        <f t="shared" ref="M28:M35" si="24">F28/V28*60</f>
        <v>2289.4736842105262</v>
      </c>
      <c r="N28" s="13">
        <f t="shared" si="3"/>
        <v>127.19298245614034</v>
      </c>
      <c r="O28" s="15">
        <f t="shared" si="4"/>
        <v>0</v>
      </c>
      <c r="P28" s="16">
        <f t="shared" si="5"/>
        <v>-6.1403508771930007</v>
      </c>
      <c r="Q28" s="335">
        <f t="shared" si="6"/>
        <v>0.95394736842105254</v>
      </c>
      <c r="R28" s="619">
        <f>Q36</f>
        <v>0.95895003622690478</v>
      </c>
      <c r="S28" s="31">
        <v>8.3333333333333329E-2</v>
      </c>
      <c r="T28" s="31">
        <v>0.18888888888888888</v>
      </c>
      <c r="U28" s="334"/>
      <c r="V28" s="338">
        <f t="shared" ref="V28:V35" si="25">(T28-S28)*24*60</f>
        <v>152</v>
      </c>
      <c r="W28" s="17">
        <f>T28</f>
        <v>0.18888888888888888</v>
      </c>
      <c r="X28" s="17">
        <f>S29</f>
        <v>0.20972222222222223</v>
      </c>
      <c r="Y28" s="17"/>
      <c r="Z28" s="17"/>
      <c r="AA28" s="610"/>
      <c r="AB28" s="610"/>
      <c r="AC28" s="155">
        <v>8</v>
      </c>
      <c r="AD28" s="19"/>
      <c r="AE28" s="15">
        <f t="shared" si="8"/>
        <v>-110.52631578947376</v>
      </c>
      <c r="AF28" s="335">
        <f t="shared" si="9"/>
        <v>0.95394736842105265</v>
      </c>
      <c r="AG28" s="619">
        <f>AF36</f>
        <v>0.95895003622690489</v>
      </c>
    </row>
    <row r="29" spans="1:33" ht="15.75" customHeight="1">
      <c r="A29" s="636" t="s">
        <v>193</v>
      </c>
      <c r="B29" s="33" t="s">
        <v>27</v>
      </c>
      <c r="C29" s="635" t="s">
        <v>29</v>
      </c>
      <c r="D29" s="635"/>
      <c r="E29" s="33">
        <v>26.37</v>
      </c>
      <c r="F29" s="342">
        <v>4200</v>
      </c>
      <c r="G29" s="334">
        <f t="shared" si="23"/>
        <v>110754</v>
      </c>
      <c r="H29" s="343">
        <v>2</v>
      </c>
      <c r="I29" s="337">
        <v>18</v>
      </c>
      <c r="J29" s="30">
        <v>2400</v>
      </c>
      <c r="K29" s="13">
        <f t="shared" si="1"/>
        <v>133.33333333333334</v>
      </c>
      <c r="L29" s="337">
        <v>18</v>
      </c>
      <c r="M29" s="14">
        <f t="shared" si="24"/>
        <v>2290.9090909090914</v>
      </c>
      <c r="N29" s="13">
        <f t="shared" si="3"/>
        <v>127.27272727272731</v>
      </c>
      <c r="O29" s="15">
        <f t="shared" si="4"/>
        <v>0</v>
      </c>
      <c r="P29" s="16">
        <f t="shared" si="5"/>
        <v>-6.0606060606060339</v>
      </c>
      <c r="Q29" s="335">
        <f t="shared" si="6"/>
        <v>0.9545454545454547</v>
      </c>
      <c r="R29" s="619"/>
      <c r="S29" s="31">
        <v>0.20972222222222223</v>
      </c>
      <c r="T29" s="31">
        <v>0.28611111111111109</v>
      </c>
      <c r="U29" s="334">
        <f t="shared" ref="U29:U35" si="26">(S29-T28)*24*60</f>
        <v>30.000000000000014</v>
      </c>
      <c r="V29" s="338">
        <f t="shared" si="25"/>
        <v>109.99999999999997</v>
      </c>
      <c r="W29" s="17"/>
      <c r="X29" s="17"/>
      <c r="Y29" s="17"/>
      <c r="Z29" s="17"/>
      <c r="AA29" s="610"/>
      <c r="AB29" s="610"/>
      <c r="AC29" s="155"/>
      <c r="AD29" s="19"/>
      <c r="AE29" s="15">
        <f t="shared" si="8"/>
        <v>-109.09090909090855</v>
      </c>
      <c r="AF29" s="335">
        <f t="shared" si="9"/>
        <v>0.95454545454545481</v>
      </c>
      <c r="AG29" s="619"/>
    </row>
    <row r="30" spans="1:33" ht="15.75" customHeight="1">
      <c r="A30" s="636" t="s">
        <v>193</v>
      </c>
      <c r="B30" s="33" t="s">
        <v>27</v>
      </c>
      <c r="C30" s="635" t="s">
        <v>34</v>
      </c>
      <c r="D30" s="635"/>
      <c r="E30" s="33">
        <v>24.43</v>
      </c>
      <c r="F30" s="342">
        <v>4800</v>
      </c>
      <c r="G30" s="334">
        <f t="shared" si="23"/>
        <v>117264</v>
      </c>
      <c r="H30" s="343">
        <v>2</v>
      </c>
      <c r="I30" s="337">
        <v>14</v>
      </c>
      <c r="J30" s="30">
        <v>2400</v>
      </c>
      <c r="K30" s="13">
        <f t="shared" si="1"/>
        <v>171.42857142857142</v>
      </c>
      <c r="L30" s="337">
        <v>14</v>
      </c>
      <c r="M30" s="14">
        <f t="shared" si="24"/>
        <v>2285.7142857142853</v>
      </c>
      <c r="N30" s="13">
        <f t="shared" si="3"/>
        <v>163.26530612244895</v>
      </c>
      <c r="O30" s="15">
        <f t="shared" si="4"/>
        <v>0</v>
      </c>
      <c r="P30" s="16">
        <f t="shared" si="5"/>
        <v>-8.1632653061224687</v>
      </c>
      <c r="Q30" s="335">
        <f t="shared" si="6"/>
        <v>0.95238095238095222</v>
      </c>
      <c r="R30" s="619"/>
      <c r="S30" s="31">
        <v>0.29097222222222219</v>
      </c>
      <c r="T30" s="31">
        <v>0.37847222222222221</v>
      </c>
      <c r="U30" s="334">
        <f t="shared" si="26"/>
        <v>6.9999999999999751</v>
      </c>
      <c r="V30" s="338">
        <f t="shared" si="25"/>
        <v>126.00000000000003</v>
      </c>
      <c r="W30" s="17"/>
      <c r="X30" s="17"/>
      <c r="Y30" s="17"/>
      <c r="Z30" s="17"/>
      <c r="AA30" s="610"/>
      <c r="AB30" s="610"/>
      <c r="AC30" s="155"/>
      <c r="AD30" s="19"/>
      <c r="AE30" s="15">
        <f t="shared" si="8"/>
        <v>-114.28571428571468</v>
      </c>
      <c r="AF30" s="335">
        <f t="shared" si="9"/>
        <v>0.95238095238095222</v>
      </c>
      <c r="AG30" s="619"/>
    </row>
    <row r="31" spans="1:33" ht="15.75" customHeight="1">
      <c r="A31" s="636" t="s">
        <v>1579</v>
      </c>
      <c r="B31" s="33" t="s">
        <v>27</v>
      </c>
      <c r="C31" s="635" t="s">
        <v>75</v>
      </c>
      <c r="D31" s="635"/>
      <c r="E31" s="33">
        <v>25.98</v>
      </c>
      <c r="F31" s="342">
        <v>4448</v>
      </c>
      <c r="G31" s="334">
        <f t="shared" si="23"/>
        <v>115559.04000000001</v>
      </c>
      <c r="H31" s="343" t="s">
        <v>5</v>
      </c>
      <c r="I31" s="337">
        <v>19</v>
      </c>
      <c r="J31" s="30">
        <v>2400</v>
      </c>
      <c r="K31" s="13">
        <f t="shared" si="1"/>
        <v>126.31578947368421</v>
      </c>
      <c r="L31" s="337">
        <v>19</v>
      </c>
      <c r="M31" s="14">
        <f t="shared" si="24"/>
        <v>2281.0256410256416</v>
      </c>
      <c r="N31" s="13">
        <f t="shared" si="3"/>
        <v>120.05398110661271</v>
      </c>
      <c r="O31" s="15">
        <f t="shared" si="4"/>
        <v>0</v>
      </c>
      <c r="P31" s="16">
        <f t="shared" si="5"/>
        <v>-6.2618083670714952</v>
      </c>
      <c r="Q31" s="335">
        <f t="shared" si="6"/>
        <v>0.95042735042735071</v>
      </c>
      <c r="R31" s="619"/>
      <c r="S31" s="31">
        <v>0.38194444444444442</v>
      </c>
      <c r="T31" s="31">
        <v>0.46319444444444441</v>
      </c>
      <c r="U31" s="334">
        <f t="shared" si="26"/>
        <v>4.9999999999999822</v>
      </c>
      <c r="V31" s="338">
        <f t="shared" si="25"/>
        <v>116.99999999999999</v>
      </c>
      <c r="W31" s="17"/>
      <c r="X31" s="17"/>
      <c r="Y31" s="17"/>
      <c r="Z31" s="17"/>
      <c r="AA31" s="610"/>
      <c r="AB31" s="610"/>
      <c r="AC31" s="155"/>
      <c r="AD31" s="19"/>
      <c r="AE31" s="15">
        <f t="shared" si="8"/>
        <v>-118.97435897435844</v>
      </c>
      <c r="AF31" s="335">
        <f t="shared" si="9"/>
        <v>0.9504273504273506</v>
      </c>
      <c r="AG31" s="619"/>
    </row>
    <row r="32" spans="1:33" ht="15.75" customHeight="1">
      <c r="A32" s="636" t="s">
        <v>193</v>
      </c>
      <c r="B32" s="33" t="s">
        <v>27</v>
      </c>
      <c r="C32" s="635" t="s">
        <v>55</v>
      </c>
      <c r="D32" s="635"/>
      <c r="E32" s="33">
        <v>23.89</v>
      </c>
      <c r="F32" s="342">
        <v>752</v>
      </c>
      <c r="G32" s="334">
        <f t="shared" si="23"/>
        <v>17965.28</v>
      </c>
      <c r="H32" s="343" t="s">
        <v>5</v>
      </c>
      <c r="I32" s="337">
        <v>13</v>
      </c>
      <c r="J32" s="30">
        <v>2400</v>
      </c>
      <c r="K32" s="13">
        <f t="shared" si="1"/>
        <v>184.61538461538461</v>
      </c>
      <c r="L32" s="337">
        <v>13</v>
      </c>
      <c r="M32" s="14">
        <f t="shared" si="24"/>
        <v>2374.7368421052615</v>
      </c>
      <c r="N32" s="13">
        <f t="shared" si="3"/>
        <v>182.67206477732782</v>
      </c>
      <c r="O32" s="15">
        <f t="shared" si="4"/>
        <v>0</v>
      </c>
      <c r="P32" s="16">
        <f t="shared" si="5"/>
        <v>-1.9433198380567944</v>
      </c>
      <c r="Q32" s="335">
        <f t="shared" si="6"/>
        <v>0.98947368421052573</v>
      </c>
      <c r="R32" s="619"/>
      <c r="S32" s="31">
        <v>0.4680555555555555</v>
      </c>
      <c r="T32" s="31">
        <v>0.48124999999999996</v>
      </c>
      <c r="U32" s="334">
        <f t="shared" si="26"/>
        <v>6.9999999999999751</v>
      </c>
      <c r="V32" s="338">
        <f t="shared" si="25"/>
        <v>19.000000000000014</v>
      </c>
      <c r="W32" s="17">
        <f>T32</f>
        <v>0.48124999999999996</v>
      </c>
      <c r="X32" s="17">
        <f>S33</f>
        <v>0.5215277777777777</v>
      </c>
      <c r="Y32" s="17"/>
      <c r="Z32" s="17"/>
      <c r="AA32" s="610"/>
      <c r="AB32" s="610"/>
      <c r="AC32" s="155"/>
      <c r="AD32" s="19"/>
      <c r="AE32" s="15">
        <f t="shared" si="8"/>
        <v>-25.26315789473847</v>
      </c>
      <c r="AF32" s="335">
        <f t="shared" si="9"/>
        <v>0.98947368421052562</v>
      </c>
      <c r="AG32" s="619"/>
    </row>
    <row r="33" spans="1:33" ht="15.75" customHeight="1">
      <c r="A33" s="636" t="s">
        <v>193</v>
      </c>
      <c r="B33" s="33" t="s">
        <v>27</v>
      </c>
      <c r="C33" s="635" t="s">
        <v>34</v>
      </c>
      <c r="D33" s="635"/>
      <c r="E33" s="33">
        <v>24.43</v>
      </c>
      <c r="F33" s="342">
        <v>3810</v>
      </c>
      <c r="G33" s="334">
        <f t="shared" si="23"/>
        <v>93078.3</v>
      </c>
      <c r="H33" s="343" t="s">
        <v>5</v>
      </c>
      <c r="I33" s="337">
        <v>14</v>
      </c>
      <c r="J33" s="30">
        <v>2400</v>
      </c>
      <c r="K33" s="13">
        <f t="shared" si="1"/>
        <v>171.42857142857142</v>
      </c>
      <c r="L33" s="337">
        <v>14</v>
      </c>
      <c r="M33" s="14">
        <f t="shared" si="24"/>
        <v>2286.0000000000005</v>
      </c>
      <c r="N33" s="13">
        <f t="shared" si="3"/>
        <v>163.28571428571431</v>
      </c>
      <c r="O33" s="15">
        <f t="shared" si="4"/>
        <v>0</v>
      </c>
      <c r="P33" s="16">
        <f t="shared" si="5"/>
        <v>-8.1428571428571104</v>
      </c>
      <c r="Q33" s="335">
        <f t="shared" si="6"/>
        <v>0.95250000000000024</v>
      </c>
      <c r="R33" s="619"/>
      <c r="S33" s="31">
        <v>0.5215277777777777</v>
      </c>
      <c r="T33" s="31">
        <v>0.59097222222222212</v>
      </c>
      <c r="U33" s="334">
        <f t="shared" si="26"/>
        <v>57.999999999999957</v>
      </c>
      <c r="V33" s="338">
        <f t="shared" si="25"/>
        <v>99.999999999999972</v>
      </c>
      <c r="W33" s="17"/>
      <c r="X33" s="17"/>
      <c r="Y33" s="17"/>
      <c r="Z33" s="17"/>
      <c r="AA33" s="610"/>
      <c r="AB33" s="610"/>
      <c r="AC33" s="155"/>
      <c r="AD33" s="19"/>
      <c r="AE33" s="15">
        <f t="shared" si="8"/>
        <v>-113.99999999999955</v>
      </c>
      <c r="AF33" s="335">
        <f t="shared" si="9"/>
        <v>0.95250000000000024</v>
      </c>
      <c r="AG33" s="619"/>
    </row>
    <row r="34" spans="1:33" ht="15.75" customHeight="1">
      <c r="A34" s="636" t="s">
        <v>193</v>
      </c>
      <c r="B34" s="33" t="s">
        <v>27</v>
      </c>
      <c r="C34" s="635" t="s">
        <v>28</v>
      </c>
      <c r="D34" s="635"/>
      <c r="E34" s="33">
        <v>31.29</v>
      </c>
      <c r="F34" s="342">
        <v>4324</v>
      </c>
      <c r="G34" s="334">
        <f t="shared" si="23"/>
        <v>135297.96</v>
      </c>
      <c r="H34" s="343" t="s">
        <v>5</v>
      </c>
      <c r="I34" s="337">
        <v>18</v>
      </c>
      <c r="J34" s="30">
        <v>2400</v>
      </c>
      <c r="K34" s="13">
        <f t="shared" si="1"/>
        <v>133.33333333333334</v>
      </c>
      <c r="L34" s="337">
        <v>18</v>
      </c>
      <c r="M34" s="14">
        <f t="shared" si="24"/>
        <v>2295.9292035398212</v>
      </c>
      <c r="N34" s="13">
        <f t="shared" si="3"/>
        <v>127.55162241887895</v>
      </c>
      <c r="O34" s="15">
        <f t="shared" si="4"/>
        <v>0</v>
      </c>
      <c r="P34" s="16">
        <f t="shared" si="5"/>
        <v>-5.7817109144543934</v>
      </c>
      <c r="Q34" s="335">
        <f t="shared" si="6"/>
        <v>0.95663716814159205</v>
      </c>
      <c r="R34" s="619"/>
      <c r="S34" s="31">
        <v>0.59444444444444433</v>
      </c>
      <c r="T34" s="31">
        <v>0.67291666666666661</v>
      </c>
      <c r="U34" s="334">
        <f t="shared" si="26"/>
        <v>4.9999999999999822</v>
      </c>
      <c r="V34" s="338">
        <f t="shared" si="25"/>
        <v>113.00000000000009</v>
      </c>
      <c r="W34" s="17"/>
      <c r="X34" s="17"/>
      <c r="Y34" s="17"/>
      <c r="Z34" s="17"/>
      <c r="AA34" s="610"/>
      <c r="AB34" s="610"/>
      <c r="AC34" s="155"/>
      <c r="AD34" s="19"/>
      <c r="AE34" s="15">
        <f t="shared" si="8"/>
        <v>-104.07079646017883</v>
      </c>
      <c r="AF34" s="335">
        <f t="shared" si="9"/>
        <v>0.95663716814159216</v>
      </c>
      <c r="AG34" s="619"/>
    </row>
    <row r="35" spans="1:33" ht="15.75" customHeight="1">
      <c r="A35" s="636" t="s">
        <v>193</v>
      </c>
      <c r="B35" s="33" t="s">
        <v>27</v>
      </c>
      <c r="C35" s="340" t="s">
        <v>29</v>
      </c>
      <c r="D35" s="341"/>
      <c r="E35" s="33">
        <v>26.37</v>
      </c>
      <c r="F35" s="342">
        <v>2962</v>
      </c>
      <c r="G35" s="334">
        <f t="shared" si="23"/>
        <v>78107.94</v>
      </c>
      <c r="H35" s="343" t="s">
        <v>5</v>
      </c>
      <c r="I35" s="337">
        <v>18</v>
      </c>
      <c r="J35" s="30">
        <v>2400</v>
      </c>
      <c r="K35" s="13">
        <f t="shared" si="1"/>
        <v>133.33333333333334</v>
      </c>
      <c r="L35" s="337">
        <v>18</v>
      </c>
      <c r="M35" s="14">
        <f t="shared" si="24"/>
        <v>2308.0519480519465</v>
      </c>
      <c r="N35" s="13">
        <f t="shared" si="3"/>
        <v>128.22510822510813</v>
      </c>
      <c r="O35" s="15">
        <f t="shared" si="4"/>
        <v>0</v>
      </c>
      <c r="P35" s="16">
        <f t="shared" si="5"/>
        <v>-5.1082251082252128</v>
      </c>
      <c r="Q35" s="335">
        <f t="shared" si="6"/>
        <v>0.96168831168831093</v>
      </c>
      <c r="R35" s="619"/>
      <c r="S35" s="31">
        <v>0.6777777777777777</v>
      </c>
      <c r="T35" s="31">
        <v>0.73124999999999996</v>
      </c>
      <c r="U35" s="334">
        <f t="shared" si="26"/>
        <v>6.9999999999999751</v>
      </c>
      <c r="V35" s="338">
        <f t="shared" si="25"/>
        <v>77.000000000000043</v>
      </c>
      <c r="W35" s="17"/>
      <c r="X35" s="17"/>
      <c r="Y35" s="17"/>
      <c r="Z35" s="17"/>
      <c r="AA35" s="332"/>
      <c r="AB35" s="333"/>
      <c r="AC35" s="155"/>
      <c r="AD35" s="19"/>
      <c r="AE35" s="15">
        <f t="shared" si="8"/>
        <v>-91.948051948053489</v>
      </c>
      <c r="AF35" s="335">
        <f t="shared" si="9"/>
        <v>0.96168831168831104</v>
      </c>
      <c r="AG35" s="619"/>
    </row>
    <row r="36" spans="1:33" ht="15.75" customHeight="1">
      <c r="A36" s="636" t="s">
        <v>193</v>
      </c>
      <c r="B36" s="33" t="s">
        <v>80</v>
      </c>
      <c r="C36" s="620"/>
      <c r="D36" s="620"/>
      <c r="E36" s="336"/>
      <c r="F36" s="342"/>
      <c r="G36" s="334"/>
      <c r="H36" s="342"/>
      <c r="I36" s="23">
        <v>16.5</v>
      </c>
      <c r="J36" s="30">
        <v>2400</v>
      </c>
      <c r="K36" s="13">
        <f t="shared" si="1"/>
        <v>145.45454545454547</v>
      </c>
      <c r="L36" s="23">
        <v>16.5</v>
      </c>
      <c r="M36" s="14">
        <f>AVERAGE(M28:M35)</f>
        <v>2301.4800869445717</v>
      </c>
      <c r="N36" s="13">
        <f t="shared" si="3"/>
        <v>139.48364163300434</v>
      </c>
      <c r="O36" s="15">
        <f t="shared" si="4"/>
        <v>0</v>
      </c>
      <c r="P36" s="16">
        <f t="shared" si="5"/>
        <v>-5.9709038215411283</v>
      </c>
      <c r="Q36" s="335">
        <f t="shared" si="6"/>
        <v>0.95895003622690478</v>
      </c>
      <c r="R36" s="619"/>
      <c r="S36" s="31"/>
      <c r="T36" s="31"/>
      <c r="U36" s="334"/>
      <c r="V36" s="338"/>
      <c r="W36" s="334"/>
      <c r="X36" s="334"/>
      <c r="Y36" s="24">
        <f>SUM(Y28:Y35)</f>
        <v>0</v>
      </c>
      <c r="Z36" s="24">
        <f>SUM(Z28:Z35)</f>
        <v>0</v>
      </c>
      <c r="AA36" s="609"/>
      <c r="AB36" s="609"/>
      <c r="AC36" s="24">
        <v>8</v>
      </c>
      <c r="AD36" s="24">
        <f>SUM(AD28:AD35)</f>
        <v>0</v>
      </c>
      <c r="AE36" s="15">
        <f t="shared" si="8"/>
        <v>-98.519913055428333</v>
      </c>
      <c r="AF36" s="335">
        <f t="shared" si="9"/>
        <v>0.95895003622690489</v>
      </c>
      <c r="AG36" s="619"/>
    </row>
    <row r="37" spans="1:33" ht="15.75" customHeight="1">
      <c r="A37" s="633" t="s">
        <v>83</v>
      </c>
      <c r="B37" s="33" t="s">
        <v>27</v>
      </c>
      <c r="C37" s="611" t="s">
        <v>33</v>
      </c>
      <c r="D37" s="611"/>
      <c r="E37" s="33">
        <v>26.18</v>
      </c>
      <c r="F37" s="342">
        <v>3900</v>
      </c>
      <c r="G37" s="334">
        <f t="shared" ref="G37:G44" si="27">E37*F37</f>
        <v>102102</v>
      </c>
      <c r="H37" s="343">
        <v>2</v>
      </c>
      <c r="I37" s="337">
        <v>20</v>
      </c>
      <c r="J37" s="30">
        <v>2400</v>
      </c>
      <c r="K37" s="13">
        <f t="shared" si="1"/>
        <v>120</v>
      </c>
      <c r="L37" s="337">
        <v>20</v>
      </c>
      <c r="M37" s="14">
        <f t="shared" ref="M37:M44" si="28">F37/V37*60</f>
        <v>2294.117647058823</v>
      </c>
      <c r="N37" s="13">
        <f t="shared" si="3"/>
        <v>114.70588235294115</v>
      </c>
      <c r="O37" s="15">
        <f t="shared" si="4"/>
        <v>0</v>
      </c>
      <c r="P37" s="16">
        <f t="shared" si="5"/>
        <v>-5.2941176470588545</v>
      </c>
      <c r="Q37" s="335">
        <f t="shared" si="6"/>
        <v>0.95588235294117618</v>
      </c>
      <c r="R37" s="619">
        <f>Q45</f>
        <v>0.95559641320072131</v>
      </c>
      <c r="S37" s="31">
        <v>8.3333333333333329E-2</v>
      </c>
      <c r="T37" s="31">
        <v>0.15416666666666667</v>
      </c>
      <c r="U37" s="334"/>
      <c r="V37" s="338">
        <f t="shared" ref="V37:V44" si="29">(T37-S37)*24*60</f>
        <v>102.00000000000001</v>
      </c>
      <c r="W37" s="22">
        <f>T37</f>
        <v>0.15416666666666667</v>
      </c>
      <c r="X37" s="22">
        <f>S38</f>
        <v>0.17361111111111113</v>
      </c>
      <c r="Y37" s="22"/>
      <c r="Z37" s="22"/>
      <c r="AA37" s="610"/>
      <c r="AB37" s="610"/>
      <c r="AC37" s="155">
        <v>8</v>
      </c>
      <c r="AD37" s="19"/>
      <c r="AE37" s="15">
        <f t="shared" si="8"/>
        <v>-105.88235294117703</v>
      </c>
      <c r="AF37" s="335">
        <f t="shared" si="9"/>
        <v>0.95588235294117618</v>
      </c>
      <c r="AG37" s="619">
        <f>AF45</f>
        <v>0.9555964132007212</v>
      </c>
    </row>
    <row r="38" spans="1:33" ht="15.75" customHeight="1">
      <c r="A38" s="633" t="s">
        <v>1580</v>
      </c>
      <c r="B38" s="33" t="s">
        <v>27</v>
      </c>
      <c r="C38" s="611" t="s">
        <v>30</v>
      </c>
      <c r="D38" s="611"/>
      <c r="E38" s="33">
        <v>26.18</v>
      </c>
      <c r="F38" s="342">
        <v>5000</v>
      </c>
      <c r="G38" s="334">
        <f t="shared" si="27"/>
        <v>130900</v>
      </c>
      <c r="H38" s="343">
        <v>2</v>
      </c>
      <c r="I38" s="337">
        <v>18</v>
      </c>
      <c r="J38" s="30">
        <v>2400</v>
      </c>
      <c r="K38" s="13">
        <f t="shared" si="1"/>
        <v>133.33333333333334</v>
      </c>
      <c r="L38" s="337">
        <v>18</v>
      </c>
      <c r="M38" s="14">
        <f t="shared" si="28"/>
        <v>2290.0763358778631</v>
      </c>
      <c r="N38" s="13">
        <f t="shared" si="3"/>
        <v>127.22646310432573</v>
      </c>
      <c r="O38" s="15">
        <f t="shared" si="4"/>
        <v>0</v>
      </c>
      <c r="P38" s="16">
        <f t="shared" si="5"/>
        <v>-6.1068702290076118</v>
      </c>
      <c r="Q38" s="335">
        <f t="shared" si="6"/>
        <v>0.95419847328244289</v>
      </c>
      <c r="R38" s="619"/>
      <c r="S38" s="31">
        <v>0.17361111111111113</v>
      </c>
      <c r="T38" s="31">
        <v>0.26458333333333334</v>
      </c>
      <c r="U38" s="334">
        <f t="shared" ref="U38:U44" si="30">(S38-T37)*24*60</f>
        <v>28.000000000000021</v>
      </c>
      <c r="V38" s="338">
        <f t="shared" si="29"/>
        <v>130.99999999999997</v>
      </c>
      <c r="W38" s="334"/>
      <c r="X38" s="334"/>
      <c r="Y38" s="334"/>
      <c r="Z38" s="334"/>
      <c r="AA38" s="610"/>
      <c r="AB38" s="610"/>
      <c r="AC38" s="155"/>
      <c r="AD38" s="19"/>
      <c r="AE38" s="15">
        <f t="shared" si="8"/>
        <v>-109.92366412213687</v>
      </c>
      <c r="AF38" s="335">
        <f t="shared" si="9"/>
        <v>0.954198473282443</v>
      </c>
      <c r="AG38" s="619"/>
    </row>
    <row r="39" spans="1:33">
      <c r="A39" s="634" t="s">
        <v>1580</v>
      </c>
      <c r="B39" s="33" t="s">
        <v>27</v>
      </c>
      <c r="C39" s="611" t="s">
        <v>35</v>
      </c>
      <c r="D39" s="611"/>
      <c r="E39" s="33">
        <v>34.1</v>
      </c>
      <c r="F39" s="342">
        <v>3800</v>
      </c>
      <c r="G39" s="334">
        <f t="shared" si="27"/>
        <v>129580</v>
      </c>
      <c r="H39" s="343">
        <v>2</v>
      </c>
      <c r="I39" s="337">
        <v>17</v>
      </c>
      <c r="J39" s="30">
        <v>1600</v>
      </c>
      <c r="K39" s="13">
        <f t="shared" si="1"/>
        <v>94.117647058823536</v>
      </c>
      <c r="L39" s="337">
        <v>17</v>
      </c>
      <c r="M39" s="14">
        <f t="shared" si="28"/>
        <v>1530.2013422818789</v>
      </c>
      <c r="N39" s="13">
        <f t="shared" si="3"/>
        <v>90.011843663639937</v>
      </c>
      <c r="O39" s="15">
        <f t="shared" si="4"/>
        <v>0</v>
      </c>
      <c r="P39" s="16">
        <f t="shared" si="5"/>
        <v>-4.1058033951835995</v>
      </c>
      <c r="Q39" s="335">
        <f t="shared" si="6"/>
        <v>0.95637583892617428</v>
      </c>
      <c r="R39" s="619"/>
      <c r="S39" s="31">
        <v>0.27013888888888887</v>
      </c>
      <c r="T39" s="31">
        <v>0.37361111111111112</v>
      </c>
      <c r="U39" s="334">
        <f t="shared" si="30"/>
        <v>7.9999999999999716</v>
      </c>
      <c r="V39" s="338">
        <f t="shared" si="29"/>
        <v>149.00000000000003</v>
      </c>
      <c r="W39" s="334"/>
      <c r="X39" s="334"/>
      <c r="Y39" s="334"/>
      <c r="Z39" s="334"/>
      <c r="AA39" s="610"/>
      <c r="AB39" s="610"/>
      <c r="AC39" s="155"/>
      <c r="AD39" s="19"/>
      <c r="AE39" s="15">
        <f t="shared" si="8"/>
        <v>-69.798657718121149</v>
      </c>
      <c r="AF39" s="335">
        <f t="shared" si="9"/>
        <v>0.95637583892617428</v>
      </c>
      <c r="AG39" s="619"/>
    </row>
    <row r="40" spans="1:33">
      <c r="A40" s="634" t="s">
        <v>1580</v>
      </c>
      <c r="B40" s="33" t="s">
        <v>27</v>
      </c>
      <c r="C40" s="611" t="s">
        <v>54</v>
      </c>
      <c r="D40" s="611"/>
      <c r="E40" s="33">
        <v>24.25</v>
      </c>
      <c r="F40" s="342">
        <v>2040</v>
      </c>
      <c r="G40" s="334">
        <f t="shared" si="27"/>
        <v>49470</v>
      </c>
      <c r="H40" s="343" t="s">
        <v>5</v>
      </c>
      <c r="I40" s="337">
        <v>16</v>
      </c>
      <c r="J40" s="30">
        <v>2400</v>
      </c>
      <c r="K40" s="13">
        <f t="shared" si="1"/>
        <v>150</v>
      </c>
      <c r="L40" s="337">
        <v>16</v>
      </c>
      <c r="M40" s="14">
        <f t="shared" si="28"/>
        <v>2309.4339622641519</v>
      </c>
      <c r="N40" s="13">
        <f t="shared" si="3"/>
        <v>144.33962264150949</v>
      </c>
      <c r="O40" s="15">
        <f t="shared" si="4"/>
        <v>0</v>
      </c>
      <c r="P40" s="16">
        <f t="shared" si="5"/>
        <v>-5.660377358490507</v>
      </c>
      <c r="Q40" s="335">
        <f t="shared" si="6"/>
        <v>0.96226415094339657</v>
      </c>
      <c r="R40" s="619"/>
      <c r="S40" s="31">
        <v>0.37847222222222221</v>
      </c>
      <c r="T40" s="31">
        <v>0.41527777777777775</v>
      </c>
      <c r="U40" s="334">
        <f t="shared" si="30"/>
        <v>6.9999999999999751</v>
      </c>
      <c r="V40" s="338">
        <f t="shared" si="29"/>
        <v>52.999999999999972</v>
      </c>
      <c r="W40" s="17"/>
      <c r="X40" s="17"/>
      <c r="Y40" s="17"/>
      <c r="Z40" s="17"/>
      <c r="AA40" s="610"/>
      <c r="AB40" s="610"/>
      <c r="AC40" s="155"/>
      <c r="AD40" s="19"/>
      <c r="AE40" s="15">
        <f t="shared" si="8"/>
        <v>-90.566037735848113</v>
      </c>
      <c r="AF40" s="335">
        <f t="shared" si="9"/>
        <v>0.96226415094339657</v>
      </c>
      <c r="AG40" s="619"/>
    </row>
    <row r="41" spans="1:33">
      <c r="A41" s="634" t="s">
        <v>83</v>
      </c>
      <c r="B41" s="33" t="s">
        <v>27</v>
      </c>
      <c r="C41" s="611" t="s">
        <v>32</v>
      </c>
      <c r="D41" s="611"/>
      <c r="E41" s="33">
        <v>25.99</v>
      </c>
      <c r="F41" s="342">
        <v>4086</v>
      </c>
      <c r="G41" s="334">
        <f t="shared" si="27"/>
        <v>106195.14</v>
      </c>
      <c r="H41" s="343" t="s">
        <v>5</v>
      </c>
      <c r="I41" s="337">
        <v>14</v>
      </c>
      <c r="J41" s="30">
        <v>2400</v>
      </c>
      <c r="K41" s="13">
        <f t="shared" si="1"/>
        <v>171.42857142857142</v>
      </c>
      <c r="L41" s="337">
        <v>14</v>
      </c>
      <c r="M41" s="14">
        <f t="shared" si="28"/>
        <v>2291.2149532710278</v>
      </c>
      <c r="N41" s="13">
        <f t="shared" si="3"/>
        <v>163.65821094793054</v>
      </c>
      <c r="O41" s="15">
        <f t="shared" si="4"/>
        <v>0</v>
      </c>
      <c r="P41" s="16">
        <f t="shared" si="5"/>
        <v>-7.7703604806408748</v>
      </c>
      <c r="Q41" s="335">
        <f t="shared" si="6"/>
        <v>0.95467289719626158</v>
      </c>
      <c r="R41" s="619"/>
      <c r="S41" s="31">
        <v>0.42013888888888884</v>
      </c>
      <c r="T41" s="31">
        <v>0.49444444444444441</v>
      </c>
      <c r="U41" s="334">
        <f t="shared" si="30"/>
        <v>6.9999999999999751</v>
      </c>
      <c r="V41" s="338">
        <f t="shared" si="29"/>
        <v>107.00000000000001</v>
      </c>
      <c r="W41" s="17">
        <f>T41</f>
        <v>0.49444444444444441</v>
      </c>
      <c r="X41" s="17">
        <f>S42</f>
        <v>0.53611111111111098</v>
      </c>
      <c r="Y41" s="17"/>
      <c r="Z41" s="17"/>
      <c r="AA41" s="610"/>
      <c r="AB41" s="610"/>
      <c r="AC41" s="155"/>
      <c r="AD41" s="19"/>
      <c r="AE41" s="15">
        <f t="shared" si="8"/>
        <v>-108.78504672897225</v>
      </c>
      <c r="AF41" s="335">
        <f t="shared" si="9"/>
        <v>0.95467289719626158</v>
      </c>
      <c r="AG41" s="619"/>
    </row>
    <row r="42" spans="1:33">
      <c r="A42" s="634" t="s">
        <v>83</v>
      </c>
      <c r="B42" s="33" t="s">
        <v>27</v>
      </c>
      <c r="C42" s="611" t="s">
        <v>35</v>
      </c>
      <c r="D42" s="611"/>
      <c r="E42" s="33">
        <v>34.1</v>
      </c>
      <c r="F42" s="342">
        <v>2904</v>
      </c>
      <c r="G42" s="334">
        <f t="shared" si="27"/>
        <v>99026.400000000009</v>
      </c>
      <c r="H42" s="343" t="s">
        <v>5</v>
      </c>
      <c r="I42" s="337">
        <v>17</v>
      </c>
      <c r="J42" s="30">
        <v>1600</v>
      </c>
      <c r="K42" s="13">
        <f t="shared" si="1"/>
        <v>94.117647058823536</v>
      </c>
      <c r="L42" s="337">
        <v>17</v>
      </c>
      <c r="M42" s="14">
        <f t="shared" si="28"/>
        <v>1528.4210526315801</v>
      </c>
      <c r="N42" s="13">
        <f t="shared" si="3"/>
        <v>89.907120743034127</v>
      </c>
      <c r="O42" s="15">
        <f t="shared" si="4"/>
        <v>0</v>
      </c>
      <c r="P42" s="16">
        <f t="shared" si="5"/>
        <v>-4.2105263157894086</v>
      </c>
      <c r="Q42" s="335">
        <f t="shared" si="6"/>
        <v>0.95526315789473759</v>
      </c>
      <c r="R42" s="619"/>
      <c r="S42" s="31">
        <v>0.53611111111111098</v>
      </c>
      <c r="T42" s="31">
        <v>0.61527777777777759</v>
      </c>
      <c r="U42" s="334">
        <f t="shared" si="30"/>
        <v>59.999999999999865</v>
      </c>
      <c r="V42" s="338">
        <f t="shared" si="29"/>
        <v>113.99999999999991</v>
      </c>
      <c r="W42" s="17"/>
      <c r="X42" s="17"/>
      <c r="Y42" s="17"/>
      <c r="Z42" s="17"/>
      <c r="AA42" s="610"/>
      <c r="AB42" s="610"/>
      <c r="AC42" s="155"/>
      <c r="AD42" s="19"/>
      <c r="AE42" s="15">
        <f t="shared" si="8"/>
        <v>-71.578947368419904</v>
      </c>
      <c r="AF42" s="335">
        <f t="shared" si="9"/>
        <v>0.95526315789473759</v>
      </c>
      <c r="AG42" s="619"/>
    </row>
    <row r="43" spans="1:33">
      <c r="A43" s="634" t="s">
        <v>83</v>
      </c>
      <c r="B43" s="33" t="s">
        <v>27</v>
      </c>
      <c r="C43" s="611" t="s">
        <v>30</v>
      </c>
      <c r="D43" s="611"/>
      <c r="E43" s="33">
        <v>26.18</v>
      </c>
      <c r="F43" s="342">
        <v>3804</v>
      </c>
      <c r="G43" s="334">
        <f t="shared" si="27"/>
        <v>99588.72</v>
      </c>
      <c r="H43" s="343" t="s">
        <v>5</v>
      </c>
      <c r="I43" s="337">
        <v>18</v>
      </c>
      <c r="J43" s="30">
        <v>2400</v>
      </c>
      <c r="K43" s="13">
        <f t="shared" si="1"/>
        <v>133.33333333333334</v>
      </c>
      <c r="L43" s="337">
        <v>18</v>
      </c>
      <c r="M43" s="14">
        <f t="shared" si="28"/>
        <v>2282.400000000001</v>
      </c>
      <c r="N43" s="13">
        <f t="shared" si="3"/>
        <v>126.80000000000005</v>
      </c>
      <c r="O43" s="15">
        <f t="shared" si="4"/>
        <v>0</v>
      </c>
      <c r="P43" s="16">
        <f t="shared" si="5"/>
        <v>-6.5333333333332888</v>
      </c>
      <c r="Q43" s="335">
        <f t="shared" si="6"/>
        <v>0.95100000000000029</v>
      </c>
      <c r="R43" s="619"/>
      <c r="S43" s="31">
        <v>0.62013888888888868</v>
      </c>
      <c r="T43" s="31">
        <v>0.6895833333333331</v>
      </c>
      <c r="U43" s="334">
        <f t="shared" si="30"/>
        <v>6.9999999999999751</v>
      </c>
      <c r="V43" s="338">
        <f t="shared" si="29"/>
        <v>99.999999999999972</v>
      </c>
      <c r="W43" s="17"/>
      <c r="X43" s="17"/>
      <c r="Y43" s="20"/>
      <c r="Z43" s="20"/>
      <c r="AA43" s="614"/>
      <c r="AB43" s="615"/>
      <c r="AC43" s="155"/>
      <c r="AD43" s="19"/>
      <c r="AE43" s="15">
        <f t="shared" si="8"/>
        <v>-117.599999999999</v>
      </c>
      <c r="AF43" s="335">
        <f t="shared" si="9"/>
        <v>0.9510000000000004</v>
      </c>
      <c r="AG43" s="619"/>
    </row>
    <row r="44" spans="1:33">
      <c r="A44" s="634" t="s">
        <v>83</v>
      </c>
      <c r="B44" s="33" t="s">
        <v>27</v>
      </c>
      <c r="C44" s="611" t="s">
        <v>33</v>
      </c>
      <c r="D44" s="611"/>
      <c r="E44" s="33">
        <v>26.18</v>
      </c>
      <c r="F44" s="342">
        <v>2904</v>
      </c>
      <c r="G44" s="334">
        <f t="shared" si="27"/>
        <v>76026.720000000001</v>
      </c>
      <c r="H44" s="343" t="s">
        <v>5</v>
      </c>
      <c r="I44" s="337">
        <v>20</v>
      </c>
      <c r="J44" s="30">
        <v>2400</v>
      </c>
      <c r="K44" s="13">
        <f t="shared" si="1"/>
        <v>120</v>
      </c>
      <c r="L44" s="337">
        <v>20</v>
      </c>
      <c r="M44" s="14">
        <f t="shared" si="28"/>
        <v>2292.6315789473665</v>
      </c>
      <c r="N44" s="13">
        <f t="shared" si="3"/>
        <v>114.63157894736833</v>
      </c>
      <c r="O44" s="15">
        <f t="shared" si="4"/>
        <v>0</v>
      </c>
      <c r="P44" s="16">
        <f t="shared" si="5"/>
        <v>-5.3684210526316747</v>
      </c>
      <c r="Q44" s="335">
        <f t="shared" si="6"/>
        <v>0.95526315789473604</v>
      </c>
      <c r="R44" s="619"/>
      <c r="S44" s="31">
        <v>0.69374999999999976</v>
      </c>
      <c r="T44" s="31">
        <v>0.74652777777777757</v>
      </c>
      <c r="U44" s="334">
        <f t="shared" si="30"/>
        <v>5.9999999999999787</v>
      </c>
      <c r="V44" s="338">
        <f t="shared" si="29"/>
        <v>76.000000000000057</v>
      </c>
      <c r="W44" s="17"/>
      <c r="X44" s="17"/>
      <c r="Y44" s="20"/>
      <c r="Z44" s="20"/>
      <c r="AA44" s="614"/>
      <c r="AB44" s="615"/>
      <c r="AC44" s="155"/>
      <c r="AD44" s="19"/>
      <c r="AE44" s="15">
        <f t="shared" si="8"/>
        <v>-107.36842105263349</v>
      </c>
      <c r="AF44" s="335">
        <f t="shared" si="9"/>
        <v>0.95526315789473604</v>
      </c>
      <c r="AG44" s="619"/>
    </row>
    <row r="45" spans="1:33">
      <c r="A45" s="634" t="s">
        <v>83</v>
      </c>
      <c r="B45" s="34" t="s">
        <v>80</v>
      </c>
      <c r="C45" s="620"/>
      <c r="D45" s="620"/>
      <c r="E45" s="336"/>
      <c r="F45" s="34"/>
      <c r="G45" s="13"/>
      <c r="H45" s="342"/>
      <c r="I45" s="23">
        <v>17.5</v>
      </c>
      <c r="J45" s="30">
        <v>2200</v>
      </c>
      <c r="K45" s="13">
        <f t="shared" si="1"/>
        <v>125.71428571428571</v>
      </c>
      <c r="L45" s="23">
        <v>17.5</v>
      </c>
      <c r="M45" s="14">
        <f>AVERAGE(M37:M44)</f>
        <v>2102.3121090415866</v>
      </c>
      <c r="N45" s="13">
        <f t="shared" si="3"/>
        <v>120.1321205166621</v>
      </c>
      <c r="O45" s="15">
        <f t="shared" si="4"/>
        <v>0</v>
      </c>
      <c r="P45" s="16">
        <f t="shared" si="5"/>
        <v>-5.5821651976236097</v>
      </c>
      <c r="Q45" s="335">
        <f t="shared" si="6"/>
        <v>0.95559641320072131</v>
      </c>
      <c r="R45" s="619"/>
      <c r="S45" s="31"/>
      <c r="T45" s="31"/>
      <c r="U45" s="13"/>
      <c r="V45" s="338"/>
      <c r="W45" s="13"/>
      <c r="X45" s="13"/>
      <c r="Y45" s="24">
        <f>SUM(Y37:Y44)</f>
        <v>0</v>
      </c>
      <c r="Z45" s="24">
        <f>SUM(Z37:Z44)</f>
        <v>0</v>
      </c>
      <c r="AA45" s="609"/>
      <c r="AB45" s="609"/>
      <c r="AC45" s="24">
        <v>8</v>
      </c>
      <c r="AD45" s="24">
        <f>SUM(AD37:AD44)</f>
        <v>0</v>
      </c>
      <c r="AE45" s="15">
        <f t="shared" si="8"/>
        <v>-97.687890958413391</v>
      </c>
      <c r="AF45" s="335">
        <f t="shared" si="9"/>
        <v>0.9555964132007212</v>
      </c>
      <c r="AG45" s="619"/>
    </row>
    <row r="46" spans="1:33" ht="15.75" customHeight="1">
      <c r="A46" s="630" t="s">
        <v>296</v>
      </c>
      <c r="B46" s="33" t="s">
        <v>36</v>
      </c>
      <c r="C46" s="612" t="s">
        <v>37</v>
      </c>
      <c r="D46" s="613"/>
      <c r="E46" s="33">
        <v>21.13</v>
      </c>
      <c r="F46" s="342">
        <v>5728</v>
      </c>
      <c r="G46" s="334">
        <f t="shared" ref="G46:G48" si="31">E46*F46</f>
        <v>121032.64</v>
      </c>
      <c r="H46" s="343" t="s">
        <v>5</v>
      </c>
      <c r="I46" s="337">
        <v>10</v>
      </c>
      <c r="J46" s="30">
        <v>3000</v>
      </c>
      <c r="K46" s="13">
        <f t="shared" si="1"/>
        <v>300</v>
      </c>
      <c r="L46" s="337">
        <v>10</v>
      </c>
      <c r="M46" s="14">
        <f t="shared" ref="M46:M48" si="32">F46/V46*60</f>
        <v>2864</v>
      </c>
      <c r="N46" s="14">
        <f t="shared" si="3"/>
        <v>286.39999999999998</v>
      </c>
      <c r="O46" s="15">
        <f t="shared" si="4"/>
        <v>0</v>
      </c>
      <c r="P46" s="16">
        <f t="shared" si="5"/>
        <v>-13.600000000000023</v>
      </c>
      <c r="Q46" s="335">
        <f t="shared" si="6"/>
        <v>0.95466666666666655</v>
      </c>
      <c r="R46" s="625">
        <f>Q49</f>
        <v>0.95408218874612338</v>
      </c>
      <c r="S46" s="31">
        <v>0.20833333333333334</v>
      </c>
      <c r="T46" s="31">
        <v>0.29166666666666669</v>
      </c>
      <c r="U46" s="22"/>
      <c r="V46" s="338">
        <f t="shared" ref="V46:V48" si="33">(T46-S46)*24*60</f>
        <v>120</v>
      </c>
      <c r="W46" s="17"/>
      <c r="X46" s="17"/>
      <c r="Y46" s="20"/>
      <c r="Z46" s="20"/>
      <c r="AA46" s="614"/>
      <c r="AB46" s="615"/>
      <c r="AC46" s="155">
        <v>3</v>
      </c>
      <c r="AD46" s="19"/>
      <c r="AE46" s="15">
        <f t="shared" si="8"/>
        <v>-136</v>
      </c>
      <c r="AF46" s="335">
        <f t="shared" si="9"/>
        <v>0.95466666666666666</v>
      </c>
      <c r="AG46" s="625">
        <f>AF49</f>
        <v>0.95408218874612338</v>
      </c>
    </row>
    <row r="47" spans="1:33" ht="15.75" customHeight="1">
      <c r="A47" s="631" t="s">
        <v>296</v>
      </c>
      <c r="B47" s="33" t="s">
        <v>36</v>
      </c>
      <c r="C47" s="612" t="s">
        <v>46</v>
      </c>
      <c r="D47" s="613"/>
      <c r="E47" s="33">
        <v>35.119999999999997</v>
      </c>
      <c r="F47" s="342">
        <v>5287</v>
      </c>
      <c r="G47" s="334">
        <f t="shared" si="31"/>
        <v>185679.43999999997</v>
      </c>
      <c r="H47" s="343" t="s">
        <v>5</v>
      </c>
      <c r="I47" s="337">
        <v>10</v>
      </c>
      <c r="J47" s="30">
        <v>3000</v>
      </c>
      <c r="K47" s="13">
        <f t="shared" si="1"/>
        <v>300</v>
      </c>
      <c r="L47" s="337">
        <v>10</v>
      </c>
      <c r="M47" s="14">
        <f t="shared" si="32"/>
        <v>2857.8378378378379</v>
      </c>
      <c r="N47" s="14">
        <f t="shared" si="3"/>
        <v>285.7837837837838</v>
      </c>
      <c r="O47" s="15">
        <f t="shared" si="4"/>
        <v>0</v>
      </c>
      <c r="P47" s="16">
        <f t="shared" si="5"/>
        <v>-14.216216216216196</v>
      </c>
      <c r="Q47" s="335">
        <f t="shared" si="6"/>
        <v>0.95261261261261265</v>
      </c>
      <c r="R47" s="626"/>
      <c r="S47" s="31">
        <v>0.29722222222222222</v>
      </c>
      <c r="T47" s="31">
        <v>0.37430555555555556</v>
      </c>
      <c r="U47" s="334">
        <f t="shared" ref="U47:U48" si="34">(S47-T46)*24*60</f>
        <v>7.9999999999999716</v>
      </c>
      <c r="V47" s="338">
        <f t="shared" si="33"/>
        <v>111</v>
      </c>
      <c r="W47" s="17"/>
      <c r="X47" s="17"/>
      <c r="Y47" s="20"/>
      <c r="Z47" s="20"/>
      <c r="AA47" s="614"/>
      <c r="AB47" s="615"/>
      <c r="AC47" s="155"/>
      <c r="AD47" s="19"/>
      <c r="AE47" s="15">
        <f t="shared" si="8"/>
        <v>-142.16216216216208</v>
      </c>
      <c r="AF47" s="335">
        <f t="shared" si="9"/>
        <v>0.95261261261261265</v>
      </c>
      <c r="AG47" s="626"/>
    </row>
    <row r="48" spans="1:33" ht="15.75" customHeight="1">
      <c r="A48" s="631" t="s">
        <v>296</v>
      </c>
      <c r="B48" s="33" t="s">
        <v>36</v>
      </c>
      <c r="C48" s="612" t="s">
        <v>1511</v>
      </c>
      <c r="D48" s="613"/>
      <c r="E48" s="33">
        <v>37.880000000000003</v>
      </c>
      <c r="F48" s="342">
        <v>5828</v>
      </c>
      <c r="G48" s="334">
        <f t="shared" si="31"/>
        <v>220764.64</v>
      </c>
      <c r="H48" s="343" t="s">
        <v>5</v>
      </c>
      <c r="I48" s="337">
        <v>13</v>
      </c>
      <c r="J48" s="30">
        <v>2000</v>
      </c>
      <c r="K48" s="13">
        <f t="shared" si="1"/>
        <v>153.84615384615384</v>
      </c>
      <c r="L48" s="337">
        <v>13</v>
      </c>
      <c r="M48" s="14">
        <f t="shared" si="32"/>
        <v>1910.8196721311476</v>
      </c>
      <c r="N48" s="14">
        <f t="shared" si="3"/>
        <v>146.9861286254729</v>
      </c>
      <c r="O48" s="15">
        <f t="shared" si="4"/>
        <v>0</v>
      </c>
      <c r="P48" s="16">
        <f t="shared" si="5"/>
        <v>-6.8600252206809387</v>
      </c>
      <c r="Q48" s="335">
        <f t="shared" si="6"/>
        <v>0.95540983606557395</v>
      </c>
      <c r="R48" s="626"/>
      <c r="S48" s="31">
        <v>0.37847222222222221</v>
      </c>
      <c r="T48" s="31">
        <v>0.50555555555555554</v>
      </c>
      <c r="U48" s="334">
        <f t="shared" si="34"/>
        <v>5.9999999999999787</v>
      </c>
      <c r="V48" s="338">
        <f t="shared" si="33"/>
        <v>183</v>
      </c>
      <c r="W48" s="17"/>
      <c r="X48" s="17"/>
      <c r="Y48" s="20"/>
      <c r="Z48" s="20"/>
      <c r="AA48" s="614"/>
      <c r="AB48" s="615"/>
      <c r="AC48" s="155"/>
      <c r="AD48" s="19"/>
      <c r="AE48" s="15">
        <f t="shared" si="8"/>
        <v>-89.180327868852373</v>
      </c>
      <c r="AF48" s="335">
        <f t="shared" si="9"/>
        <v>0.95540983606557384</v>
      </c>
      <c r="AG48" s="626"/>
    </row>
    <row r="49" spans="1:33" ht="15.75" customHeight="1">
      <c r="A49" s="632" t="s">
        <v>1581</v>
      </c>
      <c r="B49" s="33" t="s">
        <v>80</v>
      </c>
      <c r="C49" s="607"/>
      <c r="D49" s="608"/>
      <c r="E49" s="328"/>
      <c r="F49" s="342"/>
      <c r="G49" s="334"/>
      <c r="H49" s="342"/>
      <c r="I49" s="23">
        <v>11</v>
      </c>
      <c r="J49" s="30">
        <v>2666.6666666666665</v>
      </c>
      <c r="K49" s="13">
        <f t="shared" si="1"/>
        <v>242.42424242424241</v>
      </c>
      <c r="L49" s="23">
        <v>11</v>
      </c>
      <c r="M49" s="14">
        <f>AVERAGE(M46:M48)</f>
        <v>2544.2191699896621</v>
      </c>
      <c r="N49" s="13">
        <f t="shared" si="3"/>
        <v>231.29265181724202</v>
      </c>
      <c r="O49" s="15">
        <f t="shared" si="4"/>
        <v>0</v>
      </c>
      <c r="P49" s="16">
        <f t="shared" si="5"/>
        <v>-11.13159060700039</v>
      </c>
      <c r="Q49" s="335">
        <f t="shared" si="6"/>
        <v>0.95408218874612338</v>
      </c>
      <c r="R49" s="627"/>
      <c r="S49" s="31"/>
      <c r="T49" s="31"/>
      <c r="U49" s="334"/>
      <c r="V49" s="338"/>
      <c r="W49" s="17"/>
      <c r="X49" s="17"/>
      <c r="Y49" s="24">
        <f>SUM(Y46:Y48)</f>
        <v>0</v>
      </c>
      <c r="Z49" s="24">
        <f>SUM(Z46:Z48)</f>
        <v>0</v>
      </c>
      <c r="AA49" s="628"/>
      <c r="AB49" s="629"/>
      <c r="AC49" s="24">
        <v>3</v>
      </c>
      <c r="AD49" s="24">
        <f>SUM(AD46:AD48)</f>
        <v>0</v>
      </c>
      <c r="AE49" s="15">
        <f t="shared" si="8"/>
        <v>-122.44749667700444</v>
      </c>
      <c r="AF49" s="335">
        <f t="shared" si="9"/>
        <v>0.95408218874612338</v>
      </c>
      <c r="AG49" s="627"/>
    </row>
    <row r="50" spans="1:33" ht="15.75" customHeight="1">
      <c r="A50" s="623" t="s">
        <v>84</v>
      </c>
      <c r="B50" s="33" t="s">
        <v>10</v>
      </c>
      <c r="C50" s="611" t="s">
        <v>42</v>
      </c>
      <c r="D50" s="611"/>
      <c r="E50" s="33">
        <v>46</v>
      </c>
      <c r="F50" s="35">
        <v>1229</v>
      </c>
      <c r="G50" s="334">
        <f t="shared" ref="G50:G58" si="35">E50*F50</f>
        <v>56534</v>
      </c>
      <c r="H50" s="343" t="s">
        <v>5</v>
      </c>
      <c r="I50" s="337">
        <v>16</v>
      </c>
      <c r="J50" s="30">
        <v>2000</v>
      </c>
      <c r="K50" s="13">
        <f t="shared" si="1"/>
        <v>125</v>
      </c>
      <c r="L50" s="337">
        <v>16</v>
      </c>
      <c r="M50" s="14">
        <f t="shared" ref="M50" si="36">F50/V50*60</f>
        <v>1940.5263157894742</v>
      </c>
      <c r="N50" s="14">
        <f t="shared" si="3"/>
        <v>121.28289473684214</v>
      </c>
      <c r="O50" s="15">
        <f t="shared" si="4"/>
        <v>0</v>
      </c>
      <c r="P50" s="16">
        <f t="shared" si="5"/>
        <v>-3.7171052631578618</v>
      </c>
      <c r="Q50" s="335">
        <f t="shared" si="6"/>
        <v>0.97026315789473716</v>
      </c>
      <c r="R50" s="619">
        <f>Q59</f>
        <v>0.96041855476925519</v>
      </c>
      <c r="S50" s="31">
        <v>0.20833333333333334</v>
      </c>
      <c r="T50" s="31">
        <v>0.23472222222222222</v>
      </c>
      <c r="U50" s="22"/>
      <c r="V50" s="338">
        <f t="shared" ref="V50:V58" si="37">(T50-S50)*24*60</f>
        <v>37.999999999999986</v>
      </c>
      <c r="W50" s="17"/>
      <c r="X50" s="17"/>
      <c r="Y50" s="22"/>
      <c r="Z50" s="22"/>
      <c r="AA50" s="610"/>
      <c r="AB50" s="610"/>
      <c r="AC50" s="155">
        <v>9</v>
      </c>
      <c r="AD50" s="19"/>
      <c r="AE50" s="15">
        <f t="shared" si="8"/>
        <v>-59.473684210525789</v>
      </c>
      <c r="AF50" s="335">
        <f t="shared" si="9"/>
        <v>0.97026315789473716</v>
      </c>
      <c r="AG50" s="619">
        <f>AF59</f>
        <v>0.96041855476925508</v>
      </c>
    </row>
    <row r="51" spans="1:33" ht="15.75" customHeight="1">
      <c r="A51" s="623" t="s">
        <v>84</v>
      </c>
      <c r="B51" s="33" t="s">
        <v>10</v>
      </c>
      <c r="C51" s="611" t="s">
        <v>43</v>
      </c>
      <c r="D51" s="611"/>
      <c r="E51" s="33">
        <v>46</v>
      </c>
      <c r="F51" s="35">
        <v>1409</v>
      </c>
      <c r="G51" s="334">
        <f t="shared" si="35"/>
        <v>64814</v>
      </c>
      <c r="H51" s="343" t="s">
        <v>5</v>
      </c>
      <c r="I51" s="337">
        <v>17</v>
      </c>
      <c r="J51" s="30">
        <v>2000</v>
      </c>
      <c r="K51" s="13">
        <f t="shared" si="1"/>
        <v>117.64705882352941</v>
      </c>
      <c r="L51" s="337">
        <v>17</v>
      </c>
      <c r="M51" s="14">
        <f>F51/V51*60</f>
        <v>1921.3636363636381</v>
      </c>
      <c r="N51" s="14">
        <f t="shared" si="3"/>
        <v>113.02139037433165</v>
      </c>
      <c r="O51" s="15">
        <f t="shared" si="4"/>
        <v>0</v>
      </c>
      <c r="P51" s="16">
        <f t="shared" si="5"/>
        <v>-4.6256684491977609</v>
      </c>
      <c r="Q51" s="335">
        <f t="shared" si="6"/>
        <v>0.96068181818181908</v>
      </c>
      <c r="R51" s="619"/>
      <c r="S51" s="31">
        <v>0.23958333333333334</v>
      </c>
      <c r="T51" s="31">
        <v>0.27013888888888887</v>
      </c>
      <c r="U51" s="334">
        <f t="shared" ref="U51:U58" si="38">IF(S51=TIME(17,0,0),"",(S51-T50)*24*60)</f>
        <v>7.0000000000000151</v>
      </c>
      <c r="V51" s="338">
        <f t="shared" si="37"/>
        <v>43.999999999999964</v>
      </c>
      <c r="W51" s="17"/>
      <c r="X51" s="17"/>
      <c r="Y51" s="17"/>
      <c r="Z51" s="17"/>
      <c r="AA51" s="610"/>
      <c r="AB51" s="610"/>
      <c r="AC51" s="155"/>
      <c r="AD51" s="19"/>
      <c r="AE51" s="15">
        <f t="shared" si="8"/>
        <v>-78.636363636361921</v>
      </c>
      <c r="AF51" s="335">
        <f t="shared" si="9"/>
        <v>0.96068181818181908</v>
      </c>
      <c r="AG51" s="619"/>
    </row>
    <row r="52" spans="1:33" ht="15.75" customHeight="1">
      <c r="A52" s="623" t="s">
        <v>84</v>
      </c>
      <c r="B52" s="33" t="s">
        <v>6</v>
      </c>
      <c r="C52" s="612" t="s">
        <v>41</v>
      </c>
      <c r="D52" s="613"/>
      <c r="E52" s="33">
        <v>51.44</v>
      </c>
      <c r="F52" s="35">
        <v>1398</v>
      </c>
      <c r="G52" s="334">
        <f t="shared" si="35"/>
        <v>71913.119999999995</v>
      </c>
      <c r="H52" s="343" t="s">
        <v>5</v>
      </c>
      <c r="I52" s="337">
        <v>25</v>
      </c>
      <c r="J52" s="30">
        <v>2000</v>
      </c>
      <c r="K52" s="13">
        <f t="shared" si="1"/>
        <v>80</v>
      </c>
      <c r="L52" s="337">
        <v>25</v>
      </c>
      <c r="M52" s="14">
        <f t="shared" ref="M52:M58" si="39">F52/V52*60</f>
        <v>1906.3636363636365</v>
      </c>
      <c r="N52" s="14">
        <f t="shared" si="3"/>
        <v>76.254545454545465</v>
      </c>
      <c r="O52" s="15">
        <f t="shared" si="4"/>
        <v>0</v>
      </c>
      <c r="P52" s="16">
        <f t="shared" si="5"/>
        <v>-3.7454545454545354</v>
      </c>
      <c r="Q52" s="335">
        <f t="shared" si="6"/>
        <v>0.95318181818181835</v>
      </c>
      <c r="R52" s="619"/>
      <c r="S52" s="31">
        <v>0.27361111111111108</v>
      </c>
      <c r="T52" s="31">
        <v>0.30416666666666664</v>
      </c>
      <c r="U52" s="334">
        <f t="shared" si="38"/>
        <v>4.9999999999999822</v>
      </c>
      <c r="V52" s="338">
        <f t="shared" si="37"/>
        <v>44</v>
      </c>
      <c r="W52" s="17"/>
      <c r="X52" s="17"/>
      <c r="Y52" s="20"/>
      <c r="Z52" s="20"/>
      <c r="AA52" s="610"/>
      <c r="AB52" s="610"/>
      <c r="AC52" s="155"/>
      <c r="AD52" s="19"/>
      <c r="AE52" s="15">
        <f t="shared" si="8"/>
        <v>-93.636363636363512</v>
      </c>
      <c r="AF52" s="335">
        <f t="shared" si="9"/>
        <v>0.95318181818181824</v>
      </c>
      <c r="AG52" s="619"/>
    </row>
    <row r="53" spans="1:33" ht="15.75" customHeight="1">
      <c r="A53" s="623" t="s">
        <v>84</v>
      </c>
      <c r="B53" s="33" t="s">
        <v>6</v>
      </c>
      <c r="C53" s="330" t="s">
        <v>77</v>
      </c>
      <c r="D53" s="331"/>
      <c r="E53" s="33">
        <v>56.43</v>
      </c>
      <c r="F53" s="35">
        <v>1453</v>
      </c>
      <c r="G53" s="334">
        <f t="shared" si="35"/>
        <v>81992.789999999994</v>
      </c>
      <c r="H53" s="343" t="s">
        <v>5</v>
      </c>
      <c r="I53" s="337">
        <v>23</v>
      </c>
      <c r="J53" s="30">
        <v>2000</v>
      </c>
      <c r="K53" s="13">
        <f t="shared" si="1"/>
        <v>86.956521739130437</v>
      </c>
      <c r="L53" s="337">
        <v>23</v>
      </c>
      <c r="M53" s="14">
        <f t="shared" si="39"/>
        <v>1937.3333333333335</v>
      </c>
      <c r="N53" s="14">
        <f t="shared" si="3"/>
        <v>84.231884057971016</v>
      </c>
      <c r="O53" s="15">
        <f t="shared" si="4"/>
        <v>0</v>
      </c>
      <c r="P53" s="16">
        <f t="shared" si="5"/>
        <v>-2.7246376811594217</v>
      </c>
      <c r="Q53" s="335">
        <f t="shared" si="6"/>
        <v>0.96866666666666668</v>
      </c>
      <c r="R53" s="619"/>
      <c r="S53" s="31">
        <v>0.30833333333333329</v>
      </c>
      <c r="T53" s="31">
        <v>0.33958333333333329</v>
      </c>
      <c r="U53" s="334">
        <f t="shared" si="38"/>
        <v>5.9999999999999787</v>
      </c>
      <c r="V53" s="338">
        <f t="shared" si="37"/>
        <v>45</v>
      </c>
      <c r="W53" s="17"/>
      <c r="X53" s="17"/>
      <c r="Y53" s="20"/>
      <c r="Z53" s="20"/>
      <c r="AA53" s="610"/>
      <c r="AB53" s="610"/>
      <c r="AC53" s="155"/>
      <c r="AD53" s="19"/>
      <c r="AE53" s="15">
        <f t="shared" si="8"/>
        <v>-62.666666666666515</v>
      </c>
      <c r="AF53" s="335">
        <f t="shared" si="9"/>
        <v>0.96866666666666679</v>
      </c>
      <c r="AG53" s="619"/>
    </row>
    <row r="54" spans="1:33" ht="15.75" customHeight="1">
      <c r="A54" s="623" t="s">
        <v>84</v>
      </c>
      <c r="B54" s="33" t="s">
        <v>6</v>
      </c>
      <c r="C54" s="330" t="s">
        <v>73</v>
      </c>
      <c r="D54" s="331"/>
      <c r="E54" s="33">
        <v>56.43</v>
      </c>
      <c r="F54" s="35">
        <v>1259</v>
      </c>
      <c r="G54" s="334">
        <f t="shared" si="35"/>
        <v>71045.37</v>
      </c>
      <c r="H54" s="343" t="s">
        <v>5</v>
      </c>
      <c r="I54" s="337">
        <v>25</v>
      </c>
      <c r="J54" s="30">
        <v>2000</v>
      </c>
      <c r="K54" s="13">
        <f t="shared" si="1"/>
        <v>80</v>
      </c>
      <c r="L54" s="337">
        <v>25</v>
      </c>
      <c r="M54" s="14">
        <f t="shared" si="39"/>
        <v>1936.9230769230758</v>
      </c>
      <c r="N54" s="14">
        <f t="shared" si="3"/>
        <v>77.476923076923029</v>
      </c>
      <c r="O54" s="15">
        <f t="shared" si="4"/>
        <v>0</v>
      </c>
      <c r="P54" s="16">
        <f t="shared" si="5"/>
        <v>-2.523076923076971</v>
      </c>
      <c r="Q54" s="335">
        <f t="shared" si="6"/>
        <v>0.96846153846153782</v>
      </c>
      <c r="R54" s="619"/>
      <c r="S54" s="31">
        <v>0.34513888888888883</v>
      </c>
      <c r="T54" s="31">
        <v>0.37222222222222218</v>
      </c>
      <c r="U54" s="334">
        <f t="shared" si="38"/>
        <v>7.9999999999999716</v>
      </c>
      <c r="V54" s="338">
        <f t="shared" si="37"/>
        <v>39.000000000000021</v>
      </c>
      <c r="W54" s="17"/>
      <c r="X54" s="17"/>
      <c r="Y54" s="20"/>
      <c r="Z54" s="20"/>
      <c r="AA54" s="610"/>
      <c r="AB54" s="610"/>
      <c r="AC54" s="155"/>
      <c r="AD54" s="19"/>
      <c r="AE54" s="15">
        <f t="shared" si="8"/>
        <v>-63.076923076924231</v>
      </c>
      <c r="AF54" s="335">
        <f t="shared" si="9"/>
        <v>0.96846153846153793</v>
      </c>
      <c r="AG54" s="619"/>
    </row>
    <row r="55" spans="1:33" ht="15.75" customHeight="1">
      <c r="A55" s="623" t="s">
        <v>84</v>
      </c>
      <c r="B55" s="33" t="s">
        <v>6</v>
      </c>
      <c r="C55" s="612" t="s">
        <v>1513</v>
      </c>
      <c r="D55" s="613"/>
      <c r="E55" s="33">
        <v>56.43</v>
      </c>
      <c r="F55" s="35">
        <v>3373</v>
      </c>
      <c r="G55" s="334">
        <f t="shared" si="35"/>
        <v>190338.38999999998</v>
      </c>
      <c r="H55" s="343" t="s">
        <v>5</v>
      </c>
      <c r="I55" s="337">
        <v>21</v>
      </c>
      <c r="J55" s="30">
        <v>2000</v>
      </c>
      <c r="K55" s="13">
        <f t="shared" si="1"/>
        <v>95.238095238095241</v>
      </c>
      <c r="L55" s="337">
        <v>21</v>
      </c>
      <c r="M55" s="14">
        <f t="shared" si="39"/>
        <v>1909.2452830188674</v>
      </c>
      <c r="N55" s="14">
        <f t="shared" si="3"/>
        <v>90.916442048517496</v>
      </c>
      <c r="O55" s="15">
        <f t="shared" si="4"/>
        <v>0</v>
      </c>
      <c r="P55" s="16">
        <f t="shared" si="5"/>
        <v>-4.321653189577745</v>
      </c>
      <c r="Q55" s="335">
        <f t="shared" si="6"/>
        <v>0.95462264150943366</v>
      </c>
      <c r="R55" s="619"/>
      <c r="S55" s="31">
        <v>0.37708333333333327</v>
      </c>
      <c r="T55" s="31">
        <v>0.4506944444444444</v>
      </c>
      <c r="U55" s="334">
        <f t="shared" si="38"/>
        <v>6.9999999999999751</v>
      </c>
      <c r="V55" s="338">
        <f t="shared" si="37"/>
        <v>106.00000000000003</v>
      </c>
      <c r="W55" s="17"/>
      <c r="X55" s="17"/>
      <c r="Y55" s="20"/>
      <c r="Z55" s="20"/>
      <c r="AA55" s="614"/>
      <c r="AB55" s="615"/>
      <c r="AC55" s="155"/>
      <c r="AD55" s="19"/>
      <c r="AE55" s="15">
        <f t="shared" si="8"/>
        <v>-90.75471698113256</v>
      </c>
      <c r="AF55" s="335">
        <f t="shared" si="9"/>
        <v>0.95462264150943377</v>
      </c>
      <c r="AG55" s="619"/>
    </row>
    <row r="56" spans="1:33" ht="15.75" customHeight="1">
      <c r="A56" s="623" t="s">
        <v>84</v>
      </c>
      <c r="B56" s="33" t="s">
        <v>6</v>
      </c>
      <c r="C56" s="612" t="s">
        <v>44</v>
      </c>
      <c r="D56" s="613"/>
      <c r="E56" s="33">
        <v>55.56</v>
      </c>
      <c r="F56" s="35">
        <v>2477</v>
      </c>
      <c r="G56" s="334">
        <f t="shared" si="35"/>
        <v>137622.12</v>
      </c>
      <c r="H56" s="343" t="s">
        <v>5</v>
      </c>
      <c r="I56" s="337">
        <v>17</v>
      </c>
      <c r="J56" s="30">
        <v>2000</v>
      </c>
      <c r="K56" s="13">
        <f t="shared" si="1"/>
        <v>117.64705882352941</v>
      </c>
      <c r="L56" s="337">
        <v>17</v>
      </c>
      <c r="M56" s="14">
        <f t="shared" si="39"/>
        <v>1905.3846153846143</v>
      </c>
      <c r="N56" s="14">
        <f t="shared" si="3"/>
        <v>112.08144796380084</v>
      </c>
      <c r="O56" s="15">
        <f t="shared" si="4"/>
        <v>0</v>
      </c>
      <c r="P56" s="16">
        <f t="shared" si="5"/>
        <v>-5.5656108597285652</v>
      </c>
      <c r="Q56" s="335">
        <f t="shared" si="6"/>
        <v>0.95269230769230717</v>
      </c>
      <c r="R56" s="619"/>
      <c r="S56" s="31">
        <v>0.70833333333333337</v>
      </c>
      <c r="T56" s="31">
        <v>0.76250000000000007</v>
      </c>
      <c r="U56" s="334" t="str">
        <f t="shared" si="38"/>
        <v/>
      </c>
      <c r="V56" s="338">
        <f t="shared" si="37"/>
        <v>78.000000000000043</v>
      </c>
      <c r="W56" s="17"/>
      <c r="X56" s="17"/>
      <c r="Y56" s="20"/>
      <c r="Z56" s="20"/>
      <c r="AA56" s="614"/>
      <c r="AB56" s="615"/>
      <c r="AC56" s="155"/>
      <c r="AD56" s="19"/>
      <c r="AE56" s="15">
        <f t="shared" si="8"/>
        <v>-94.615384615385665</v>
      </c>
      <c r="AF56" s="335">
        <f t="shared" si="9"/>
        <v>0.95269230769230717</v>
      </c>
      <c r="AG56" s="619"/>
    </row>
    <row r="57" spans="1:33" ht="15.75" customHeight="1">
      <c r="A57" s="623" t="s">
        <v>84</v>
      </c>
      <c r="B57" s="33" t="s">
        <v>6</v>
      </c>
      <c r="C57" s="612" t="s">
        <v>72</v>
      </c>
      <c r="D57" s="613"/>
      <c r="E57" s="33">
        <v>58.17</v>
      </c>
      <c r="F57" s="35">
        <v>2007</v>
      </c>
      <c r="G57" s="334">
        <f t="shared" si="35"/>
        <v>116747.19</v>
      </c>
      <c r="H57" s="343" t="s">
        <v>5</v>
      </c>
      <c r="I57" s="337">
        <v>13</v>
      </c>
      <c r="J57" s="30">
        <v>2000</v>
      </c>
      <c r="K57" s="13">
        <f t="shared" si="1"/>
        <v>153.84615384615384</v>
      </c>
      <c r="L57" s="337">
        <v>13</v>
      </c>
      <c r="M57" s="14">
        <f t="shared" si="39"/>
        <v>1911.4285714285734</v>
      </c>
      <c r="N57" s="14">
        <f t="shared" si="3"/>
        <v>147.03296703296718</v>
      </c>
      <c r="O57" s="15">
        <f t="shared" si="4"/>
        <v>0</v>
      </c>
      <c r="P57" s="16">
        <f t="shared" si="5"/>
        <v>-6.8131868131866611</v>
      </c>
      <c r="Q57" s="335">
        <f t="shared" si="6"/>
        <v>0.95571428571428674</v>
      </c>
      <c r="R57" s="619"/>
      <c r="S57" s="31">
        <v>0.76736111111111116</v>
      </c>
      <c r="T57" s="31">
        <v>0.81111111111111112</v>
      </c>
      <c r="U57" s="334">
        <f t="shared" si="38"/>
        <v>6.9999999999999751</v>
      </c>
      <c r="V57" s="338">
        <f t="shared" si="37"/>
        <v>62.999999999999936</v>
      </c>
      <c r="W57" s="17"/>
      <c r="X57" s="17"/>
      <c r="Y57" s="20"/>
      <c r="Z57" s="20"/>
      <c r="AA57" s="614"/>
      <c r="AB57" s="615"/>
      <c r="AC57" s="155"/>
      <c r="AD57" s="19"/>
      <c r="AE57" s="15">
        <f t="shared" si="8"/>
        <v>-88.571428571426623</v>
      </c>
      <c r="AF57" s="335">
        <f t="shared" si="9"/>
        <v>0.95571428571428674</v>
      </c>
      <c r="AG57" s="619"/>
    </row>
    <row r="58" spans="1:33">
      <c r="A58" s="623" t="s">
        <v>1582</v>
      </c>
      <c r="B58" s="33" t="s">
        <v>6</v>
      </c>
      <c r="C58" s="330" t="s">
        <v>82</v>
      </c>
      <c r="D58" s="331"/>
      <c r="E58" s="33">
        <v>54.09</v>
      </c>
      <c r="F58" s="35">
        <v>1855</v>
      </c>
      <c r="G58" s="334">
        <f t="shared" si="35"/>
        <v>100336.95000000001</v>
      </c>
      <c r="H58" s="343" t="s">
        <v>5</v>
      </c>
      <c r="I58" s="337">
        <v>14</v>
      </c>
      <c r="J58" s="30">
        <v>2000</v>
      </c>
      <c r="K58" s="13">
        <f t="shared" si="1"/>
        <v>142.85714285714286</v>
      </c>
      <c r="L58" s="337">
        <v>14</v>
      </c>
      <c r="M58" s="14">
        <f t="shared" si="39"/>
        <v>1918.9655172413809</v>
      </c>
      <c r="N58" s="14">
        <f t="shared" si="3"/>
        <v>137.06896551724148</v>
      </c>
      <c r="O58" s="15">
        <f t="shared" si="4"/>
        <v>0</v>
      </c>
      <c r="P58" s="16">
        <f t="shared" si="5"/>
        <v>-5.7881773399013809</v>
      </c>
      <c r="Q58" s="335">
        <f t="shared" si="6"/>
        <v>0.95948275862069032</v>
      </c>
      <c r="R58" s="619"/>
      <c r="S58" s="31">
        <v>0.81458333333333333</v>
      </c>
      <c r="T58" s="31">
        <v>0.85486111111111107</v>
      </c>
      <c r="U58" s="334">
        <f t="shared" si="38"/>
        <v>4.9999999999999822</v>
      </c>
      <c r="V58" s="338">
        <f t="shared" si="37"/>
        <v>57.999999999999957</v>
      </c>
      <c r="W58" s="17"/>
      <c r="X58" s="17"/>
      <c r="Y58" s="20"/>
      <c r="Z58" s="20"/>
      <c r="AA58" s="332"/>
      <c r="AB58" s="333"/>
      <c r="AC58" s="155"/>
      <c r="AD58" s="19"/>
      <c r="AE58" s="15">
        <f t="shared" si="8"/>
        <v>-81.034482758619106</v>
      </c>
      <c r="AF58" s="335">
        <f t="shared" si="9"/>
        <v>0.95948275862069043</v>
      </c>
      <c r="AG58" s="619"/>
    </row>
    <row r="59" spans="1:33">
      <c r="A59" s="624" t="s">
        <v>84</v>
      </c>
      <c r="B59" s="33" t="s">
        <v>80</v>
      </c>
      <c r="C59" s="620"/>
      <c r="D59" s="620"/>
      <c r="E59" s="336"/>
      <c r="F59" s="34"/>
      <c r="G59" s="13"/>
      <c r="H59" s="342"/>
      <c r="I59" s="23">
        <v>19</v>
      </c>
      <c r="J59" s="30">
        <v>2000</v>
      </c>
      <c r="K59" s="13">
        <f t="shared" si="1"/>
        <v>105.26315789473684</v>
      </c>
      <c r="L59" s="23">
        <v>19</v>
      </c>
      <c r="M59" s="14">
        <f>AVERAGE(M50:M58)</f>
        <v>1920.8371095385103</v>
      </c>
      <c r="N59" s="13">
        <f t="shared" si="3"/>
        <v>101.09668997571107</v>
      </c>
      <c r="O59" s="15">
        <f t="shared" si="4"/>
        <v>0</v>
      </c>
      <c r="P59" s="16">
        <f t="shared" si="5"/>
        <v>-4.166467919025763</v>
      </c>
      <c r="Q59" s="335">
        <f t="shared" si="6"/>
        <v>0.96041855476925519</v>
      </c>
      <c r="R59" s="619"/>
      <c r="S59" s="31"/>
      <c r="T59" s="31"/>
      <c r="U59" s="334"/>
      <c r="V59" s="338"/>
      <c r="W59" s="13"/>
      <c r="X59" s="13"/>
      <c r="Y59" s="24">
        <f>SUM(Y50:Y58)</f>
        <v>0</v>
      </c>
      <c r="Z59" s="24">
        <f>SUM(Z50:Z58)</f>
        <v>0</v>
      </c>
      <c r="AA59" s="609"/>
      <c r="AB59" s="609"/>
      <c r="AC59" s="24">
        <v>9</v>
      </c>
      <c r="AD59" s="24">
        <f>SUM(AD50:AD58)</f>
        <v>0</v>
      </c>
      <c r="AE59" s="15">
        <f>M59-J59</f>
        <v>-79.162890461489724</v>
      </c>
      <c r="AF59" s="335">
        <f t="shared" si="9"/>
        <v>0.96041855476925508</v>
      </c>
      <c r="AG59" s="619"/>
    </row>
    <row r="60" spans="1:33" ht="15.75" customHeight="1">
      <c r="A60" s="621" t="s">
        <v>85</v>
      </c>
      <c r="B60" s="342" t="s">
        <v>36</v>
      </c>
      <c r="C60" s="611" t="s">
        <v>38</v>
      </c>
      <c r="D60" s="611"/>
      <c r="E60" s="33">
        <v>27.17</v>
      </c>
      <c r="F60" s="35">
        <v>6574</v>
      </c>
      <c r="G60" s="334">
        <f t="shared" ref="G60:G64" si="40">E60*F60</f>
        <v>178615.58000000002</v>
      </c>
      <c r="H60" s="343" t="s">
        <v>5</v>
      </c>
      <c r="I60" s="337">
        <v>10</v>
      </c>
      <c r="J60" s="30">
        <v>3000</v>
      </c>
      <c r="K60" s="13">
        <f t="shared" si="1"/>
        <v>300</v>
      </c>
      <c r="L60" s="337">
        <v>10</v>
      </c>
      <c r="M60" s="14">
        <f t="shared" ref="M60:M64" si="41">F60/V60*60</f>
        <v>2858.2608695652161</v>
      </c>
      <c r="N60" s="13">
        <f t="shared" si="3"/>
        <v>285.82608695652164</v>
      </c>
      <c r="O60" s="15">
        <f t="shared" si="4"/>
        <v>0</v>
      </c>
      <c r="P60" s="16">
        <f t="shared" si="5"/>
        <v>-14.173913043478365</v>
      </c>
      <c r="Q60" s="335">
        <f t="shared" si="6"/>
        <v>0.9527536231884054</v>
      </c>
      <c r="R60" s="619">
        <f>Q65</f>
        <v>0.96021885844049815</v>
      </c>
      <c r="S60" s="31">
        <v>0.20833333333333334</v>
      </c>
      <c r="T60" s="31">
        <v>0.3041666666666667</v>
      </c>
      <c r="U60" s="334"/>
      <c r="V60" s="338">
        <f t="shared" ref="V60:V64" si="42">(T60-S60)*24*60</f>
        <v>138.00000000000006</v>
      </c>
      <c r="W60" s="17"/>
      <c r="X60" s="17"/>
      <c r="Y60" s="22"/>
      <c r="Z60" s="22"/>
      <c r="AA60" s="610"/>
      <c r="AB60" s="610"/>
      <c r="AC60" s="155">
        <v>5</v>
      </c>
      <c r="AD60" s="19"/>
      <c r="AE60" s="15">
        <f t="shared" ref="AE60:AE76" si="43">M60-J60</f>
        <v>-141.73913043478387</v>
      </c>
      <c r="AF60" s="335">
        <f t="shared" si="9"/>
        <v>0.9527536231884054</v>
      </c>
      <c r="AG60" s="619">
        <f>AF65</f>
        <v>0.96021885844049804</v>
      </c>
    </row>
    <row r="61" spans="1:33" ht="15.75" customHeight="1">
      <c r="A61" s="621" t="s">
        <v>85</v>
      </c>
      <c r="B61" s="342" t="s">
        <v>36</v>
      </c>
      <c r="C61" s="611" t="s">
        <v>47</v>
      </c>
      <c r="D61" s="611"/>
      <c r="E61" s="33">
        <v>26.78</v>
      </c>
      <c r="F61" s="35">
        <v>2509</v>
      </c>
      <c r="G61" s="334">
        <f t="shared" si="40"/>
        <v>67191.02</v>
      </c>
      <c r="H61" s="343" t="s">
        <v>5</v>
      </c>
      <c r="I61" s="337">
        <v>10</v>
      </c>
      <c r="J61" s="30">
        <v>3000</v>
      </c>
      <c r="K61" s="13">
        <f t="shared" si="1"/>
        <v>300</v>
      </c>
      <c r="L61" s="337">
        <v>10</v>
      </c>
      <c r="M61" s="14">
        <f t="shared" si="41"/>
        <v>2895.0000000000018</v>
      </c>
      <c r="N61" s="13">
        <f t="shared" si="3"/>
        <v>289.50000000000017</v>
      </c>
      <c r="O61" s="15">
        <f t="shared" si="4"/>
        <v>0</v>
      </c>
      <c r="P61" s="16">
        <f t="shared" si="5"/>
        <v>-10.499999999999829</v>
      </c>
      <c r="Q61" s="335">
        <f t="shared" si="6"/>
        <v>0.96500000000000052</v>
      </c>
      <c r="R61" s="619"/>
      <c r="S61" s="31">
        <v>0.30972222222222223</v>
      </c>
      <c r="T61" s="31">
        <v>0.34583333333333333</v>
      </c>
      <c r="U61" s="334">
        <f t="shared" ref="U61:U64" si="44">(S61-T60)*24*60</f>
        <v>7.9999999999999716</v>
      </c>
      <c r="V61" s="338">
        <f t="shared" si="42"/>
        <v>51.999999999999972</v>
      </c>
      <c r="W61" s="334"/>
      <c r="X61" s="334"/>
      <c r="Y61" s="334"/>
      <c r="Z61" s="334"/>
      <c r="AA61" s="610"/>
      <c r="AB61" s="610"/>
      <c r="AC61" s="155"/>
      <c r="AD61" s="19"/>
      <c r="AE61" s="15">
        <f t="shared" si="43"/>
        <v>-104.99999999999818</v>
      </c>
      <c r="AF61" s="335">
        <f t="shared" si="9"/>
        <v>0.96500000000000064</v>
      </c>
      <c r="AG61" s="619"/>
    </row>
    <row r="62" spans="1:33" ht="15.75" customHeight="1">
      <c r="A62" s="621" t="s">
        <v>85</v>
      </c>
      <c r="B62" s="342" t="s">
        <v>36</v>
      </c>
      <c r="C62" s="611" t="s">
        <v>49</v>
      </c>
      <c r="D62" s="611"/>
      <c r="E62" s="33">
        <v>35.869999999999997</v>
      </c>
      <c r="F62" s="35">
        <v>3073</v>
      </c>
      <c r="G62" s="334">
        <f t="shared" si="40"/>
        <v>110228.51</v>
      </c>
      <c r="H62" s="343" t="s">
        <v>5</v>
      </c>
      <c r="I62" s="337">
        <v>10</v>
      </c>
      <c r="J62" s="30">
        <v>3000</v>
      </c>
      <c r="K62" s="13">
        <f t="shared" si="1"/>
        <v>300</v>
      </c>
      <c r="L62" s="337">
        <v>10</v>
      </c>
      <c r="M62" s="14">
        <f t="shared" si="41"/>
        <v>2880.9374999999991</v>
      </c>
      <c r="N62" s="13">
        <f t="shared" si="3"/>
        <v>288.09374999999989</v>
      </c>
      <c r="O62" s="15">
        <f t="shared" si="4"/>
        <v>0</v>
      </c>
      <c r="P62" s="16">
        <f t="shared" si="5"/>
        <v>-11.906250000000114</v>
      </c>
      <c r="Q62" s="335">
        <f t="shared" si="6"/>
        <v>0.96031249999999957</v>
      </c>
      <c r="R62" s="619"/>
      <c r="S62" s="31">
        <v>0.35</v>
      </c>
      <c r="T62" s="31">
        <v>0.39444444444444443</v>
      </c>
      <c r="U62" s="334">
        <f t="shared" si="44"/>
        <v>5.9999999999999787</v>
      </c>
      <c r="V62" s="338">
        <f t="shared" si="42"/>
        <v>64.000000000000014</v>
      </c>
      <c r="W62" s="334"/>
      <c r="X62" s="334"/>
      <c r="Y62" s="334"/>
      <c r="Z62" s="334"/>
      <c r="AA62" s="610"/>
      <c r="AB62" s="610"/>
      <c r="AC62" s="155"/>
      <c r="AD62" s="19"/>
      <c r="AE62" s="15">
        <f t="shared" si="43"/>
        <v>-119.06250000000091</v>
      </c>
      <c r="AF62" s="335">
        <f t="shared" si="9"/>
        <v>0.96031249999999968</v>
      </c>
      <c r="AG62" s="619"/>
    </row>
    <row r="63" spans="1:33" ht="15.75" customHeight="1">
      <c r="A63" s="621" t="s">
        <v>85</v>
      </c>
      <c r="B63" s="342" t="s">
        <v>36</v>
      </c>
      <c r="C63" s="611" t="s">
        <v>39</v>
      </c>
      <c r="D63" s="611"/>
      <c r="E63" s="33">
        <v>35.869999999999997</v>
      </c>
      <c r="F63" s="35">
        <v>1158</v>
      </c>
      <c r="G63" s="334">
        <f t="shared" si="40"/>
        <v>41537.46</v>
      </c>
      <c r="H63" s="343" t="s">
        <v>5</v>
      </c>
      <c r="I63" s="337">
        <v>9</v>
      </c>
      <c r="J63" s="30">
        <v>3000</v>
      </c>
      <c r="K63" s="13">
        <f t="shared" si="1"/>
        <v>333.33333333333331</v>
      </c>
      <c r="L63" s="337">
        <v>9</v>
      </c>
      <c r="M63" s="14">
        <f t="shared" si="41"/>
        <v>2895.0000000000009</v>
      </c>
      <c r="N63" s="13">
        <f t="shared" si="3"/>
        <v>321.66666666666674</v>
      </c>
      <c r="O63" s="15">
        <f t="shared" si="4"/>
        <v>0</v>
      </c>
      <c r="P63" s="16">
        <f t="shared" si="5"/>
        <v>-11.666666666666572</v>
      </c>
      <c r="Q63" s="335">
        <f t="shared" si="6"/>
        <v>0.9650000000000003</v>
      </c>
      <c r="R63" s="619"/>
      <c r="S63" s="31">
        <v>0.39791666666666664</v>
      </c>
      <c r="T63" s="31">
        <v>0.4145833333333333</v>
      </c>
      <c r="U63" s="334">
        <f t="shared" si="44"/>
        <v>4.9999999999999822</v>
      </c>
      <c r="V63" s="338">
        <f t="shared" si="42"/>
        <v>23.999999999999993</v>
      </c>
      <c r="W63" s="334"/>
      <c r="X63" s="334"/>
      <c r="Y63" s="334"/>
      <c r="Z63" s="334"/>
      <c r="AA63" s="610"/>
      <c r="AB63" s="610"/>
      <c r="AC63" s="155"/>
      <c r="AD63" s="19"/>
      <c r="AE63" s="15">
        <f t="shared" si="43"/>
        <v>-104.99999999999909</v>
      </c>
      <c r="AF63" s="335">
        <f t="shared" si="9"/>
        <v>0.9650000000000003</v>
      </c>
      <c r="AG63" s="619"/>
    </row>
    <row r="64" spans="1:33">
      <c r="A64" s="622" t="s">
        <v>85</v>
      </c>
      <c r="B64" s="342" t="s">
        <v>36</v>
      </c>
      <c r="C64" s="611" t="s">
        <v>74</v>
      </c>
      <c r="D64" s="611"/>
      <c r="E64" s="33">
        <v>33.770000000000003</v>
      </c>
      <c r="F64" s="35">
        <v>3401</v>
      </c>
      <c r="G64" s="334">
        <f t="shared" si="40"/>
        <v>114851.77</v>
      </c>
      <c r="H64" s="343" t="s">
        <v>5</v>
      </c>
      <c r="I64" s="337">
        <v>12</v>
      </c>
      <c r="J64" s="30">
        <v>3000</v>
      </c>
      <c r="K64" s="13">
        <f t="shared" si="1"/>
        <v>250</v>
      </c>
      <c r="L64" s="337">
        <v>12</v>
      </c>
      <c r="M64" s="14">
        <f t="shared" si="41"/>
        <v>2874.0845070422542</v>
      </c>
      <c r="N64" s="13">
        <f t="shared" si="3"/>
        <v>239.50704225352118</v>
      </c>
      <c r="O64" s="15">
        <f t="shared" si="4"/>
        <v>0</v>
      </c>
      <c r="P64" s="16">
        <f t="shared" si="5"/>
        <v>-10.492957746478822</v>
      </c>
      <c r="Q64" s="335">
        <f t="shared" si="6"/>
        <v>0.95802816901408472</v>
      </c>
      <c r="R64" s="619"/>
      <c r="S64" s="31">
        <v>0.41805555555555551</v>
      </c>
      <c r="T64" s="31">
        <v>0.46736111111111106</v>
      </c>
      <c r="U64" s="334">
        <f t="shared" si="44"/>
        <v>4.9999999999999822</v>
      </c>
      <c r="V64" s="338">
        <f t="shared" si="42"/>
        <v>70.999999999999986</v>
      </c>
      <c r="W64" s="17"/>
      <c r="X64" s="17"/>
      <c r="Y64" s="17"/>
      <c r="Z64" s="17"/>
      <c r="AA64" s="610"/>
      <c r="AB64" s="610"/>
      <c r="AC64" s="155"/>
      <c r="AD64" s="19"/>
      <c r="AE64" s="15">
        <f t="shared" si="43"/>
        <v>-125.91549295774576</v>
      </c>
      <c r="AF64" s="335">
        <f t="shared" si="9"/>
        <v>0.95802816901408472</v>
      </c>
      <c r="AG64" s="619"/>
    </row>
    <row r="65" spans="1:33">
      <c r="A65" s="622" t="s">
        <v>1583</v>
      </c>
      <c r="B65" s="33" t="s">
        <v>80</v>
      </c>
      <c r="C65" s="620"/>
      <c r="D65" s="620"/>
      <c r="E65" s="336"/>
      <c r="F65" s="34"/>
      <c r="G65" s="13"/>
      <c r="H65" s="342"/>
      <c r="I65" s="23">
        <v>10.199999999999999</v>
      </c>
      <c r="J65" s="30">
        <v>3000</v>
      </c>
      <c r="K65" s="13">
        <f t="shared" si="1"/>
        <v>294.11764705882354</v>
      </c>
      <c r="L65" s="23">
        <v>10.199999999999999</v>
      </c>
      <c r="M65" s="14">
        <f>AVERAGE(M60:M64)</f>
        <v>2880.6565753214941</v>
      </c>
      <c r="N65" s="13">
        <f t="shared" si="3"/>
        <v>282.41731130602886</v>
      </c>
      <c r="O65" s="15">
        <f t="shared" si="4"/>
        <v>0</v>
      </c>
      <c r="P65" s="16">
        <f t="shared" si="5"/>
        <v>-11.700335752794672</v>
      </c>
      <c r="Q65" s="335">
        <f t="shared" si="6"/>
        <v>0.96021885844049815</v>
      </c>
      <c r="R65" s="619"/>
      <c r="S65" s="31"/>
      <c r="T65" s="31"/>
      <c r="U65" s="13"/>
      <c r="V65" s="338"/>
      <c r="W65" s="13"/>
      <c r="X65" s="13"/>
      <c r="Y65" s="24">
        <f>SUM(Y60:Y64)</f>
        <v>0</v>
      </c>
      <c r="Z65" s="24">
        <f>SUM(Z60:Z64)</f>
        <v>0</v>
      </c>
      <c r="AA65" s="609"/>
      <c r="AB65" s="609"/>
      <c r="AC65" s="24">
        <v>5</v>
      </c>
      <c r="AD65" s="24">
        <f>SUM(AD60:AD64)</f>
        <v>0</v>
      </c>
      <c r="AE65" s="15">
        <f t="shared" si="43"/>
        <v>-119.34342467850593</v>
      </c>
      <c r="AF65" s="335">
        <f t="shared" si="9"/>
        <v>0.96021885844049804</v>
      </c>
      <c r="AG65" s="619"/>
    </row>
    <row r="66" spans="1:33" ht="15.75" customHeight="1">
      <c r="A66" s="616" t="s">
        <v>200</v>
      </c>
      <c r="B66" s="342" t="s">
        <v>27</v>
      </c>
      <c r="C66" s="611" t="s">
        <v>50</v>
      </c>
      <c r="D66" s="611"/>
      <c r="E66" s="33">
        <v>19.02</v>
      </c>
      <c r="F66" s="342">
        <v>4500</v>
      </c>
      <c r="G66" s="334">
        <f t="shared" ref="G66:G75" si="45">E66*F66</f>
        <v>85590</v>
      </c>
      <c r="H66" s="343">
        <v>2</v>
      </c>
      <c r="I66" s="337">
        <v>14</v>
      </c>
      <c r="J66" s="30">
        <v>2400</v>
      </c>
      <c r="K66" s="13">
        <f t="shared" si="1"/>
        <v>171.42857142857142</v>
      </c>
      <c r="L66" s="337">
        <v>14</v>
      </c>
      <c r="M66" s="14">
        <f t="shared" ref="M66:M75" si="46">F66/V66*60</f>
        <v>2288.1355932203392</v>
      </c>
      <c r="N66" s="13">
        <f t="shared" si="3"/>
        <v>163.43825665859566</v>
      </c>
      <c r="O66" s="15">
        <f t="shared" si="4"/>
        <v>0</v>
      </c>
      <c r="P66" s="16">
        <f t="shared" si="5"/>
        <v>-7.990314769975754</v>
      </c>
      <c r="Q66" s="335">
        <f t="shared" si="6"/>
        <v>0.95338983050847481</v>
      </c>
      <c r="R66" s="619">
        <f>Q76</f>
        <v>0.95729189531108538</v>
      </c>
      <c r="S66" s="31">
        <v>8.3333333333333329E-2</v>
      </c>
      <c r="T66" s="31">
        <v>0.16527777777777777</v>
      </c>
      <c r="U66" s="22"/>
      <c r="V66" s="338">
        <f t="shared" ref="V66:V75" si="47">(T66-S66)*24*60</f>
        <v>118</v>
      </c>
      <c r="W66" s="17">
        <f>T66</f>
        <v>0.16527777777777777</v>
      </c>
      <c r="X66" s="17">
        <f>S67</f>
        <v>0.18402777777777776</v>
      </c>
      <c r="Y66" s="17"/>
      <c r="Z66" s="17"/>
      <c r="AA66" s="610"/>
      <c r="AB66" s="610"/>
      <c r="AC66" s="155">
        <v>10</v>
      </c>
      <c r="AD66" s="19"/>
      <c r="AE66" s="15">
        <f t="shared" si="43"/>
        <v>-111.86440677966084</v>
      </c>
      <c r="AF66" s="335">
        <f t="shared" si="9"/>
        <v>0.9533898305084747</v>
      </c>
      <c r="AG66" s="619">
        <f>AF76</f>
        <v>0.95729189531108549</v>
      </c>
    </row>
    <row r="67" spans="1:33" ht="15.75" customHeight="1">
      <c r="A67" s="617" t="s">
        <v>200</v>
      </c>
      <c r="B67" s="342" t="s">
        <v>27</v>
      </c>
      <c r="C67" s="611" t="s">
        <v>51</v>
      </c>
      <c r="D67" s="611"/>
      <c r="E67" s="33">
        <v>20.36</v>
      </c>
      <c r="F67" s="342">
        <v>2700</v>
      </c>
      <c r="G67" s="334">
        <f t="shared" si="45"/>
        <v>54972</v>
      </c>
      <c r="H67" s="343">
        <v>2</v>
      </c>
      <c r="I67" s="337">
        <v>17</v>
      </c>
      <c r="J67" s="30">
        <v>2400</v>
      </c>
      <c r="K67" s="13">
        <f t="shared" si="1"/>
        <v>141.1764705882353</v>
      </c>
      <c r="L67" s="337">
        <v>17</v>
      </c>
      <c r="M67" s="14">
        <f t="shared" si="46"/>
        <v>2314.2857142857147</v>
      </c>
      <c r="N67" s="13">
        <f t="shared" si="3"/>
        <v>136.13445378151263</v>
      </c>
      <c r="O67" s="15">
        <f t="shared" si="4"/>
        <v>0</v>
      </c>
      <c r="P67" s="16">
        <f t="shared" si="5"/>
        <v>-5.0420168067226712</v>
      </c>
      <c r="Q67" s="335">
        <f t="shared" si="6"/>
        <v>0.96428571428571441</v>
      </c>
      <c r="R67" s="619"/>
      <c r="S67" s="31">
        <v>0.18402777777777776</v>
      </c>
      <c r="T67" s="31">
        <v>0.23263888888888887</v>
      </c>
      <c r="U67" s="334">
        <f t="shared" ref="U67:U75" si="48">(S67-T66)*24*60</f>
        <v>26.999999999999986</v>
      </c>
      <c r="V67" s="338">
        <f t="shared" si="47"/>
        <v>69.999999999999986</v>
      </c>
      <c r="W67" s="17"/>
      <c r="X67" s="17"/>
      <c r="Y67" s="17"/>
      <c r="Z67" s="17"/>
      <c r="AA67" s="610"/>
      <c r="AB67" s="610"/>
      <c r="AC67" s="155"/>
      <c r="AD67" s="19"/>
      <c r="AE67" s="15">
        <f t="shared" si="43"/>
        <v>-85.714285714285325</v>
      </c>
      <c r="AF67" s="335">
        <f t="shared" si="9"/>
        <v>0.96428571428571441</v>
      </c>
      <c r="AG67" s="619"/>
    </row>
    <row r="68" spans="1:33" ht="15.75" customHeight="1">
      <c r="A68" s="617" t="s">
        <v>200</v>
      </c>
      <c r="B68" s="342" t="s">
        <v>27</v>
      </c>
      <c r="C68" s="611" t="s">
        <v>876</v>
      </c>
      <c r="D68" s="611"/>
      <c r="E68" s="33">
        <v>23.8</v>
      </c>
      <c r="F68" s="342">
        <v>2600</v>
      </c>
      <c r="G68" s="334">
        <f t="shared" si="45"/>
        <v>61880</v>
      </c>
      <c r="H68" s="343">
        <v>2</v>
      </c>
      <c r="I68" s="337">
        <v>16</v>
      </c>
      <c r="J68" s="30">
        <v>2400</v>
      </c>
      <c r="K68" s="13">
        <f t="shared" si="1"/>
        <v>150</v>
      </c>
      <c r="L68" s="337">
        <v>16</v>
      </c>
      <c r="M68" s="14">
        <f t="shared" si="46"/>
        <v>2294.1176470588234</v>
      </c>
      <c r="N68" s="13">
        <f t="shared" si="3"/>
        <v>143.38235294117646</v>
      </c>
      <c r="O68" s="15">
        <f t="shared" si="4"/>
        <v>0</v>
      </c>
      <c r="P68" s="16">
        <f t="shared" si="5"/>
        <v>-6.6176470588235361</v>
      </c>
      <c r="Q68" s="335">
        <f t="shared" si="6"/>
        <v>0.95588235294117641</v>
      </c>
      <c r="R68" s="619"/>
      <c r="S68" s="31">
        <v>0.23680555555555555</v>
      </c>
      <c r="T68" s="31">
        <v>0.28402777777777777</v>
      </c>
      <c r="U68" s="334">
        <f t="shared" si="48"/>
        <v>6.0000000000000187</v>
      </c>
      <c r="V68" s="338">
        <f t="shared" si="47"/>
        <v>68</v>
      </c>
      <c r="W68" s="17"/>
      <c r="X68" s="17"/>
      <c r="Y68" s="17"/>
      <c r="Z68" s="17"/>
      <c r="AA68" s="610"/>
      <c r="AB68" s="610"/>
      <c r="AC68" s="155"/>
      <c r="AD68" s="19"/>
      <c r="AE68" s="15">
        <f t="shared" si="43"/>
        <v>-105.88235294117658</v>
      </c>
      <c r="AF68" s="335">
        <f t="shared" si="9"/>
        <v>0.95588235294117641</v>
      </c>
      <c r="AG68" s="619"/>
    </row>
    <row r="69" spans="1:33" ht="15.75" customHeight="1">
      <c r="A69" s="617" t="s">
        <v>1584</v>
      </c>
      <c r="B69" s="342" t="s">
        <v>27</v>
      </c>
      <c r="C69" s="611" t="s">
        <v>31</v>
      </c>
      <c r="D69" s="611"/>
      <c r="E69" s="33">
        <v>25.99</v>
      </c>
      <c r="F69" s="342">
        <v>1534</v>
      </c>
      <c r="G69" s="334">
        <f t="shared" si="45"/>
        <v>39868.659999999996</v>
      </c>
      <c r="H69" s="343" t="s">
        <v>5</v>
      </c>
      <c r="I69" s="337">
        <v>18</v>
      </c>
      <c r="J69" s="30">
        <v>2400</v>
      </c>
      <c r="K69" s="13">
        <f t="shared" ref="K69:K76" si="49">J69/I69</f>
        <v>133.33333333333334</v>
      </c>
      <c r="L69" s="337">
        <v>18</v>
      </c>
      <c r="M69" s="14">
        <f t="shared" si="46"/>
        <v>2300.9999999999991</v>
      </c>
      <c r="N69" s="13">
        <f t="shared" ref="N69:N76" si="50">M69/L69</f>
        <v>127.83333333333329</v>
      </c>
      <c r="O69" s="15">
        <f t="shared" ref="O69:O76" si="51">L69-I69</f>
        <v>0</v>
      </c>
      <c r="P69" s="16">
        <f t="shared" ref="P69:P76" si="52">N69-K69</f>
        <v>-5.5000000000000568</v>
      </c>
      <c r="Q69" s="335">
        <f t="shared" ref="Q69:Q76" si="53">N69/K69</f>
        <v>0.95874999999999955</v>
      </c>
      <c r="R69" s="619"/>
      <c r="S69" s="31">
        <v>0.28749999999999998</v>
      </c>
      <c r="T69" s="31">
        <v>0.31527777777777777</v>
      </c>
      <c r="U69" s="334">
        <f t="shared" si="48"/>
        <v>4.9999999999999822</v>
      </c>
      <c r="V69" s="338">
        <f t="shared" si="47"/>
        <v>40.000000000000014</v>
      </c>
      <c r="W69" s="17"/>
      <c r="X69" s="17"/>
      <c r="Y69" s="17"/>
      <c r="Z69" s="17"/>
      <c r="AA69" s="610"/>
      <c r="AB69" s="610"/>
      <c r="AC69" s="155"/>
      <c r="AD69" s="19"/>
      <c r="AE69" s="15">
        <f t="shared" si="43"/>
        <v>-99.000000000000909</v>
      </c>
      <c r="AF69" s="335">
        <f t="shared" ref="AF69:AF76" si="54">M69/J69</f>
        <v>0.95874999999999966</v>
      </c>
      <c r="AG69" s="619"/>
    </row>
    <row r="70" spans="1:33" ht="15.75" customHeight="1">
      <c r="A70" s="617" t="s">
        <v>200</v>
      </c>
      <c r="B70" s="342" t="s">
        <v>27</v>
      </c>
      <c r="C70" s="611" t="s">
        <v>53</v>
      </c>
      <c r="D70" s="611"/>
      <c r="E70" s="33">
        <v>28.29</v>
      </c>
      <c r="F70" s="342">
        <v>2902</v>
      </c>
      <c r="G70" s="334">
        <f t="shared" si="45"/>
        <v>82097.58</v>
      </c>
      <c r="H70" s="343" t="s">
        <v>5</v>
      </c>
      <c r="I70" s="337">
        <v>19</v>
      </c>
      <c r="J70" s="30">
        <v>2400</v>
      </c>
      <c r="K70" s="13">
        <f t="shared" si="49"/>
        <v>126.31578947368421</v>
      </c>
      <c r="L70" s="337">
        <v>19</v>
      </c>
      <c r="M70" s="14">
        <f t="shared" si="46"/>
        <v>2291.052631578948</v>
      </c>
      <c r="N70" s="13">
        <f t="shared" si="50"/>
        <v>120.58171745152357</v>
      </c>
      <c r="O70" s="15">
        <f t="shared" si="51"/>
        <v>0</v>
      </c>
      <c r="P70" s="16">
        <f t="shared" si="52"/>
        <v>-5.7340720221606318</v>
      </c>
      <c r="Q70" s="335">
        <f t="shared" si="53"/>
        <v>0.95460526315789496</v>
      </c>
      <c r="R70" s="619"/>
      <c r="S70" s="31">
        <v>0.31944444444444442</v>
      </c>
      <c r="T70" s="31">
        <v>0.37222222222222218</v>
      </c>
      <c r="U70" s="334">
        <f t="shared" si="48"/>
        <v>5.9999999999999787</v>
      </c>
      <c r="V70" s="338">
        <f t="shared" si="47"/>
        <v>75.999999999999972</v>
      </c>
      <c r="W70" s="17"/>
      <c r="X70" s="17"/>
      <c r="Y70" s="17"/>
      <c r="Z70" s="17"/>
      <c r="AA70" s="610"/>
      <c r="AB70" s="610"/>
      <c r="AC70" s="155"/>
      <c r="AD70" s="19"/>
      <c r="AE70" s="15">
        <f t="shared" si="43"/>
        <v>-108.94736842105203</v>
      </c>
      <c r="AF70" s="335">
        <f t="shared" si="54"/>
        <v>0.95460526315789496</v>
      </c>
      <c r="AG70" s="619"/>
    </row>
    <row r="71" spans="1:33" ht="15.75" customHeight="1">
      <c r="A71" s="617" t="s">
        <v>200</v>
      </c>
      <c r="B71" s="342" t="s">
        <v>27</v>
      </c>
      <c r="C71" s="611" t="s">
        <v>52</v>
      </c>
      <c r="D71" s="611"/>
      <c r="E71" s="33">
        <v>25.98</v>
      </c>
      <c r="F71" s="342">
        <v>2055</v>
      </c>
      <c r="G71" s="334">
        <f t="shared" si="45"/>
        <v>53388.9</v>
      </c>
      <c r="H71" s="343" t="s">
        <v>5</v>
      </c>
      <c r="I71" s="337">
        <v>17</v>
      </c>
      <c r="J71" s="30">
        <v>2400</v>
      </c>
      <c r="K71" s="13">
        <f t="shared" si="49"/>
        <v>141.1764705882353</v>
      </c>
      <c r="L71" s="337">
        <v>17</v>
      </c>
      <c r="M71" s="14">
        <f t="shared" si="46"/>
        <v>2283.3333333333348</v>
      </c>
      <c r="N71" s="13">
        <f t="shared" si="50"/>
        <v>134.31372549019616</v>
      </c>
      <c r="O71" s="15">
        <f t="shared" si="51"/>
        <v>0</v>
      </c>
      <c r="P71" s="16">
        <f t="shared" si="52"/>
        <v>-6.8627450980391416</v>
      </c>
      <c r="Q71" s="335">
        <f t="shared" si="53"/>
        <v>0.95138888888888939</v>
      </c>
      <c r="R71" s="619"/>
      <c r="S71" s="31">
        <v>0.37708333333333327</v>
      </c>
      <c r="T71" s="31">
        <v>0.41458333333333325</v>
      </c>
      <c r="U71" s="334">
        <f t="shared" si="48"/>
        <v>6.9999999999999751</v>
      </c>
      <c r="V71" s="338">
        <f t="shared" si="47"/>
        <v>53.999999999999972</v>
      </c>
      <c r="W71" s="17"/>
      <c r="X71" s="17"/>
      <c r="Y71" s="17"/>
      <c r="Z71" s="17"/>
      <c r="AA71" s="610"/>
      <c r="AB71" s="610"/>
      <c r="AC71" s="155"/>
      <c r="AD71" s="19"/>
      <c r="AE71" s="15">
        <f t="shared" si="43"/>
        <v>-116.66666666666515</v>
      </c>
      <c r="AF71" s="335">
        <f t="shared" si="54"/>
        <v>0.95138888888888951</v>
      </c>
      <c r="AG71" s="619"/>
    </row>
    <row r="72" spans="1:33" ht="15.75" customHeight="1">
      <c r="A72" s="617" t="s">
        <v>200</v>
      </c>
      <c r="B72" s="342" t="s">
        <v>27</v>
      </c>
      <c r="C72" s="612" t="s">
        <v>197</v>
      </c>
      <c r="D72" s="613"/>
      <c r="E72" s="33">
        <v>23.89</v>
      </c>
      <c r="F72" s="342">
        <v>4216</v>
      </c>
      <c r="G72" s="334">
        <f t="shared" si="45"/>
        <v>100720.24</v>
      </c>
      <c r="H72" s="343" t="s">
        <v>5</v>
      </c>
      <c r="I72" s="337">
        <v>17</v>
      </c>
      <c r="J72" s="30">
        <v>2400</v>
      </c>
      <c r="K72" s="13">
        <f t="shared" si="49"/>
        <v>141.1764705882353</v>
      </c>
      <c r="L72" s="337">
        <v>17</v>
      </c>
      <c r="M72" s="14">
        <f t="shared" si="46"/>
        <v>2299.6363636363631</v>
      </c>
      <c r="N72" s="13">
        <f t="shared" si="50"/>
        <v>135.27272727272725</v>
      </c>
      <c r="O72" s="15">
        <f t="shared" si="51"/>
        <v>0</v>
      </c>
      <c r="P72" s="16">
        <f t="shared" si="52"/>
        <v>-5.9037433155080521</v>
      </c>
      <c r="Q72" s="335">
        <f t="shared" si="53"/>
        <v>0.95818181818181791</v>
      </c>
      <c r="R72" s="619"/>
      <c r="S72" s="31">
        <v>0.42013888888888878</v>
      </c>
      <c r="T72" s="31">
        <v>0.49652777777777768</v>
      </c>
      <c r="U72" s="334">
        <f t="shared" si="48"/>
        <v>7.9999999999999716</v>
      </c>
      <c r="V72" s="338">
        <f t="shared" si="47"/>
        <v>110.00000000000001</v>
      </c>
      <c r="W72" s="17">
        <f>T72</f>
        <v>0.49652777777777768</v>
      </c>
      <c r="X72" s="17">
        <f>S73</f>
        <v>0.53611111111111098</v>
      </c>
      <c r="Y72" s="20"/>
      <c r="Z72" s="20"/>
      <c r="AA72" s="614"/>
      <c r="AB72" s="615"/>
      <c r="AC72" s="155"/>
      <c r="AD72" s="19"/>
      <c r="AE72" s="15">
        <f t="shared" si="43"/>
        <v>-100.36363636363694</v>
      </c>
      <c r="AF72" s="335">
        <f t="shared" si="54"/>
        <v>0.95818181818181791</v>
      </c>
      <c r="AG72" s="619"/>
    </row>
    <row r="73" spans="1:33" ht="15.75" customHeight="1">
      <c r="A73" s="617" t="s">
        <v>200</v>
      </c>
      <c r="B73" s="342" t="s">
        <v>27</v>
      </c>
      <c r="C73" s="612" t="s">
        <v>50</v>
      </c>
      <c r="D73" s="613"/>
      <c r="E73" s="33">
        <v>19.02</v>
      </c>
      <c r="F73" s="342">
        <v>7101</v>
      </c>
      <c r="G73" s="334">
        <f t="shared" si="45"/>
        <v>135061.01999999999</v>
      </c>
      <c r="H73" s="343" t="s">
        <v>5</v>
      </c>
      <c r="I73" s="337">
        <v>14</v>
      </c>
      <c r="J73" s="30">
        <v>2400</v>
      </c>
      <c r="K73" s="13">
        <f t="shared" si="49"/>
        <v>171.42857142857142</v>
      </c>
      <c r="L73" s="337">
        <v>14</v>
      </c>
      <c r="M73" s="14">
        <f t="shared" si="46"/>
        <v>2290.6451612903229</v>
      </c>
      <c r="N73" s="13">
        <f t="shared" si="50"/>
        <v>163.61751152073734</v>
      </c>
      <c r="O73" s="15">
        <f t="shared" si="51"/>
        <v>0</v>
      </c>
      <c r="P73" s="16">
        <f t="shared" si="52"/>
        <v>-7.8110599078340783</v>
      </c>
      <c r="Q73" s="335">
        <f t="shared" si="53"/>
        <v>0.95443548387096788</v>
      </c>
      <c r="R73" s="619"/>
      <c r="S73" s="31">
        <v>0.53611111111111098</v>
      </c>
      <c r="T73" s="31">
        <v>0.66527777777777763</v>
      </c>
      <c r="U73" s="334">
        <f t="shared" si="48"/>
        <v>56.999999999999957</v>
      </c>
      <c r="V73" s="338">
        <f t="shared" si="47"/>
        <v>185.99999999999997</v>
      </c>
      <c r="W73" s="17"/>
      <c r="X73" s="17"/>
      <c r="Y73" s="20"/>
      <c r="Z73" s="20"/>
      <c r="AA73" s="614"/>
      <c r="AB73" s="615"/>
      <c r="AC73" s="155"/>
      <c r="AD73" s="19"/>
      <c r="AE73" s="15">
        <f t="shared" si="43"/>
        <v>-109.3548387096771</v>
      </c>
      <c r="AF73" s="335">
        <f t="shared" si="54"/>
        <v>0.95443548387096788</v>
      </c>
      <c r="AG73" s="619"/>
    </row>
    <row r="74" spans="1:33" ht="15.75" customHeight="1">
      <c r="A74" s="617" t="s">
        <v>200</v>
      </c>
      <c r="B74" s="342" t="s">
        <v>27</v>
      </c>
      <c r="C74" s="612" t="s">
        <v>876</v>
      </c>
      <c r="D74" s="613"/>
      <c r="E74" s="33">
        <v>23.8</v>
      </c>
      <c r="F74" s="342">
        <v>1703</v>
      </c>
      <c r="G74" s="334">
        <f t="shared" si="45"/>
        <v>40531.4</v>
      </c>
      <c r="H74" s="343" t="s">
        <v>5</v>
      </c>
      <c r="I74" s="337">
        <v>16</v>
      </c>
      <c r="J74" s="30">
        <v>2400</v>
      </c>
      <c r="K74" s="13">
        <f t="shared" si="49"/>
        <v>150</v>
      </c>
      <c r="L74" s="337">
        <v>16</v>
      </c>
      <c r="M74" s="14">
        <f t="shared" si="46"/>
        <v>2322.272727272727</v>
      </c>
      <c r="N74" s="13">
        <f t="shared" si="50"/>
        <v>145.14204545454544</v>
      </c>
      <c r="O74" s="15">
        <f t="shared" si="51"/>
        <v>0</v>
      </c>
      <c r="P74" s="16">
        <f t="shared" si="52"/>
        <v>-4.857954545454561</v>
      </c>
      <c r="Q74" s="335">
        <f t="shared" si="53"/>
        <v>0.96761363636363629</v>
      </c>
      <c r="R74" s="619"/>
      <c r="S74" s="31">
        <v>0.67083333333333317</v>
      </c>
      <c r="T74" s="31">
        <v>0.70138888888888873</v>
      </c>
      <c r="U74" s="334">
        <f t="shared" si="48"/>
        <v>7.9999999999999716</v>
      </c>
      <c r="V74" s="338">
        <f t="shared" si="47"/>
        <v>44</v>
      </c>
      <c r="W74" s="17"/>
      <c r="X74" s="17"/>
      <c r="Y74" s="20"/>
      <c r="Z74" s="20"/>
      <c r="AA74" s="614"/>
      <c r="AB74" s="615"/>
      <c r="AC74" s="155"/>
      <c r="AD74" s="19"/>
      <c r="AE74" s="15">
        <f t="shared" si="43"/>
        <v>-77.727272727272975</v>
      </c>
      <c r="AF74" s="335">
        <f t="shared" si="54"/>
        <v>0.96761363636363629</v>
      </c>
      <c r="AG74" s="619"/>
    </row>
    <row r="75" spans="1:33" ht="15.75" customHeight="1">
      <c r="A75" s="617" t="s">
        <v>200</v>
      </c>
      <c r="B75" s="342" t="s">
        <v>27</v>
      </c>
      <c r="C75" s="612" t="s">
        <v>51</v>
      </c>
      <c r="D75" s="613"/>
      <c r="E75" s="33">
        <v>20.36</v>
      </c>
      <c r="F75" s="342">
        <v>2176</v>
      </c>
      <c r="G75" s="334">
        <f t="shared" si="45"/>
        <v>44303.360000000001</v>
      </c>
      <c r="H75" s="343" t="s">
        <v>5</v>
      </c>
      <c r="I75" s="337">
        <v>17</v>
      </c>
      <c r="J75" s="30">
        <v>2400</v>
      </c>
      <c r="K75" s="13">
        <f t="shared" si="49"/>
        <v>141.1764705882353</v>
      </c>
      <c r="L75" s="337">
        <v>17</v>
      </c>
      <c r="M75" s="14">
        <f t="shared" si="46"/>
        <v>2290.5263157894751</v>
      </c>
      <c r="N75" s="13">
        <f t="shared" si="50"/>
        <v>134.73684210526324</v>
      </c>
      <c r="O75" s="15">
        <f t="shared" si="51"/>
        <v>0</v>
      </c>
      <c r="P75" s="16">
        <f t="shared" si="52"/>
        <v>-6.4396284829720685</v>
      </c>
      <c r="Q75" s="335">
        <f t="shared" si="53"/>
        <v>0.95438596491228123</v>
      </c>
      <c r="R75" s="619"/>
      <c r="S75" s="31">
        <v>0.70486111111111094</v>
      </c>
      <c r="T75" s="31">
        <v>0.74444444444444424</v>
      </c>
      <c r="U75" s="334">
        <f t="shared" si="48"/>
        <v>4.9999999999999822</v>
      </c>
      <c r="V75" s="338">
        <f t="shared" si="47"/>
        <v>56.999999999999957</v>
      </c>
      <c r="W75" s="17"/>
      <c r="X75" s="17"/>
      <c r="Y75" s="20"/>
      <c r="Z75" s="20"/>
      <c r="AA75" s="614"/>
      <c r="AB75" s="615"/>
      <c r="AC75" s="155"/>
      <c r="AD75" s="19"/>
      <c r="AE75" s="15">
        <f t="shared" si="43"/>
        <v>-109.47368421052488</v>
      </c>
      <c r="AF75" s="335">
        <f t="shared" si="54"/>
        <v>0.95438596491228134</v>
      </c>
      <c r="AG75" s="619"/>
    </row>
    <row r="76" spans="1:33" ht="16.5" customHeight="1">
      <c r="A76" s="618" t="s">
        <v>200</v>
      </c>
      <c r="B76" s="33" t="s">
        <v>80</v>
      </c>
      <c r="C76" s="607"/>
      <c r="D76" s="608"/>
      <c r="E76" s="336"/>
      <c r="F76" s="34"/>
      <c r="G76" s="13"/>
      <c r="H76" s="342"/>
      <c r="I76" s="23">
        <v>16.5</v>
      </c>
      <c r="J76" s="30">
        <v>2400</v>
      </c>
      <c r="K76" s="13">
        <f t="shared" si="49"/>
        <v>145.45454545454547</v>
      </c>
      <c r="L76" s="23">
        <v>16.5</v>
      </c>
      <c r="M76" s="14">
        <f>AVERAGE(M66:M75)</f>
        <v>2297.5005487466051</v>
      </c>
      <c r="N76" s="13">
        <f t="shared" si="50"/>
        <v>139.24245749979426</v>
      </c>
      <c r="O76" s="15">
        <f t="shared" si="51"/>
        <v>0</v>
      </c>
      <c r="P76" s="16">
        <f t="shared" si="52"/>
        <v>-6.2120879547512118</v>
      </c>
      <c r="Q76" s="335">
        <f t="shared" si="53"/>
        <v>0.95729189531108538</v>
      </c>
      <c r="R76" s="619"/>
      <c r="S76" s="31"/>
      <c r="T76" s="31"/>
      <c r="U76" s="13"/>
      <c r="V76" s="338"/>
      <c r="W76" s="13"/>
      <c r="X76" s="13"/>
      <c r="Y76" s="24">
        <f>SUM(Y66:Y75)</f>
        <v>0</v>
      </c>
      <c r="Z76" s="24">
        <f>SUM(Z66:Z75)</f>
        <v>0</v>
      </c>
      <c r="AA76" s="609"/>
      <c r="AB76" s="609"/>
      <c r="AC76" s="24">
        <v>10</v>
      </c>
      <c r="AD76" s="24">
        <f>SUM(AD66:AD75)</f>
        <v>0</v>
      </c>
      <c r="AE76" s="15">
        <f t="shared" si="43"/>
        <v>-102.49945125339491</v>
      </c>
      <c r="AF76" s="335">
        <f t="shared" si="54"/>
        <v>0.95729189531108549</v>
      </c>
      <c r="AG76" s="619"/>
    </row>
    <row r="77" spans="1:33">
      <c r="D77" s="25"/>
      <c r="E77" s="25"/>
    </row>
  </sheetData>
  <mergeCells count="19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6"/>
    <mergeCell ref="C28:D28"/>
    <mergeCell ref="R28:R36"/>
    <mergeCell ref="AA28:AB28"/>
    <mergeCell ref="AA33:AB33"/>
    <mergeCell ref="C34:D34"/>
    <mergeCell ref="AA34:AB34"/>
    <mergeCell ref="C36:D36"/>
    <mergeCell ref="AA36:AB36"/>
    <mergeCell ref="A37:A45"/>
    <mergeCell ref="C37:D37"/>
    <mergeCell ref="R37:R45"/>
    <mergeCell ref="AA37:AB37"/>
    <mergeCell ref="AG37:AG45"/>
    <mergeCell ref="C38:D38"/>
    <mergeCell ref="AA38:AB38"/>
    <mergeCell ref="C39:D39"/>
    <mergeCell ref="AA39:AB39"/>
    <mergeCell ref="C43:D43"/>
    <mergeCell ref="AA43:AB43"/>
    <mergeCell ref="C44:D44"/>
    <mergeCell ref="AA44:AB44"/>
    <mergeCell ref="C45:D45"/>
    <mergeCell ref="AA45:AB45"/>
    <mergeCell ref="C40:D40"/>
    <mergeCell ref="AA40:AB40"/>
    <mergeCell ref="C41:D41"/>
    <mergeCell ref="AA41:AB41"/>
    <mergeCell ref="C42:D42"/>
    <mergeCell ref="AA42:AB42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46:A49"/>
    <mergeCell ref="C46:D46"/>
    <mergeCell ref="R46:R49"/>
    <mergeCell ref="AA46:AB46"/>
    <mergeCell ref="AG46:AG49"/>
    <mergeCell ref="C47:D47"/>
    <mergeCell ref="AA47:AB47"/>
    <mergeCell ref="C48:D48"/>
    <mergeCell ref="AA48:AB48"/>
    <mergeCell ref="C49:D49"/>
    <mergeCell ref="AA49:AB49"/>
    <mergeCell ref="A66:A76"/>
    <mergeCell ref="C66:D66"/>
    <mergeCell ref="R66:R76"/>
    <mergeCell ref="AA66:AB66"/>
    <mergeCell ref="AG50:AG59"/>
    <mergeCell ref="C51:D51"/>
    <mergeCell ref="AA51:AB51"/>
    <mergeCell ref="C52:D52"/>
    <mergeCell ref="AA52:AB52"/>
    <mergeCell ref="AA53:AB53"/>
    <mergeCell ref="AA54:AB54"/>
    <mergeCell ref="C55:D55"/>
    <mergeCell ref="AA55:AB55"/>
    <mergeCell ref="C56:D56"/>
    <mergeCell ref="AA56:AB56"/>
    <mergeCell ref="A50:A59"/>
    <mergeCell ref="C50:D50"/>
    <mergeCell ref="R50:R59"/>
    <mergeCell ref="AA50:AB50"/>
    <mergeCell ref="C57:D57"/>
    <mergeCell ref="AA57:AB57"/>
    <mergeCell ref="C59:D59"/>
    <mergeCell ref="AA59:AB59"/>
    <mergeCell ref="A60:A65"/>
    <mergeCell ref="C60:D60"/>
    <mergeCell ref="R60:R65"/>
    <mergeCell ref="AA60:AB60"/>
    <mergeCell ref="AA65:AB65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G66:AG76"/>
    <mergeCell ref="C67:D67"/>
    <mergeCell ref="AA67:AB67"/>
    <mergeCell ref="C68:D68"/>
    <mergeCell ref="AA68:AB68"/>
    <mergeCell ref="C69:D69"/>
    <mergeCell ref="C76:D76"/>
    <mergeCell ref="AA76:AB76"/>
    <mergeCell ref="C73:D73"/>
    <mergeCell ref="AA73:AB73"/>
    <mergeCell ref="C74:D74"/>
    <mergeCell ref="AA74:AB74"/>
    <mergeCell ref="C75:D75"/>
    <mergeCell ref="AA75:AB75"/>
    <mergeCell ref="AA69:AB69"/>
    <mergeCell ref="C70:D70"/>
    <mergeCell ref="AA70:AB70"/>
    <mergeCell ref="C71:D71"/>
    <mergeCell ref="AA71:AB71"/>
    <mergeCell ref="C72:D72"/>
    <mergeCell ref="AA72:AB72"/>
  </mergeCells>
  <phoneticPr fontId="3" type="noConversion"/>
  <conditionalFormatting sqref="O63:O71 O59:O60 O76 O5:O9 O12:O14 O20:O55">
    <cfRule type="cellIs" dxfId="1334" priority="76" operator="greaterThan">
      <formula>0</formula>
    </cfRule>
  </conditionalFormatting>
  <conditionalFormatting sqref="P5:P7 P63:P64 AE63:AE64 P66:P71 P28:P35 P60 P9 P12:P14 P21:P26 P50:P55 P37:P48 AE5:AE60 AE66:AE76">
    <cfRule type="cellIs" dxfId="1333" priority="80" operator="lessThan">
      <formula>0</formula>
    </cfRule>
  </conditionalFormatting>
  <conditionalFormatting sqref="AF63:AF64 Q63:Q71 Q59:Q60 Q76 Q5:Q9 Q12:Q14 Q20:Q55 AF5:AF60 AF66:AF76">
    <cfRule type="cellIs" dxfId="1332" priority="77" operator="greaterThan">
      <formula>1</formula>
    </cfRule>
    <cfRule type="cellIs" dxfId="1331" priority="78" operator="lessThan">
      <formula>0.8</formula>
    </cfRule>
  </conditionalFormatting>
  <conditionalFormatting sqref="AG13:AG14 R13:R14 AG63 R63:R71 AG59:AG60 R59:R60 R76 AG5:AG9 R5:R9 AG20:AG55 R20:R55">
    <cfRule type="cellIs" dxfId="1330" priority="82" operator="lessThan">
      <formula>0.8</formula>
    </cfRule>
  </conditionalFormatting>
  <conditionalFormatting sqref="AG46">
    <cfRule type="cellIs" dxfId="1329" priority="84" operator="lessThan">
      <formula>0.8</formula>
    </cfRule>
  </conditionalFormatting>
  <conditionalFormatting sqref="AG21:AG26">
    <cfRule type="cellIs" dxfId="1328" priority="81" operator="lessThan">
      <formula>0.8</formula>
    </cfRule>
  </conditionalFormatting>
  <conditionalFormatting sqref="AG28">
    <cfRule type="cellIs" dxfId="1327" priority="83" operator="lessThan">
      <formula>0.8</formula>
    </cfRule>
  </conditionalFormatting>
  <conditionalFormatting sqref="AG37:AG44">
    <cfRule type="cellIs" dxfId="1326" priority="79" operator="lessThan">
      <formula>0.8</formula>
    </cfRule>
  </conditionalFormatting>
  <conditionalFormatting sqref="AE65">
    <cfRule type="cellIs" dxfId="1325" priority="75" operator="lessThan">
      <formula>0</formula>
    </cfRule>
  </conditionalFormatting>
  <conditionalFormatting sqref="AF65">
    <cfRule type="cellIs" dxfId="1324" priority="73" operator="greaterThan">
      <formula>1</formula>
    </cfRule>
    <cfRule type="cellIs" dxfId="1323" priority="74" operator="lessThan">
      <formula>0.8</formula>
    </cfRule>
  </conditionalFormatting>
  <conditionalFormatting sqref="O15:O16">
    <cfRule type="cellIs" dxfId="1322" priority="68" operator="greaterThan">
      <formula>0</formula>
    </cfRule>
  </conditionalFormatting>
  <conditionalFormatting sqref="P15:P16">
    <cfRule type="cellIs" dxfId="1321" priority="71" operator="lessThan">
      <formula>0</formula>
    </cfRule>
  </conditionalFormatting>
  <conditionalFormatting sqref="Q15:Q16">
    <cfRule type="cellIs" dxfId="1320" priority="69" operator="greaterThan">
      <formula>1</formula>
    </cfRule>
    <cfRule type="cellIs" dxfId="1319" priority="70" operator="lessThan">
      <formula>0.8</formula>
    </cfRule>
  </conditionalFormatting>
  <conditionalFormatting sqref="R15:R16 AG15:AG16">
    <cfRule type="cellIs" dxfId="1318" priority="72" operator="lessThan">
      <formula>0.8</formula>
    </cfRule>
  </conditionalFormatting>
  <conditionalFormatting sqref="O10:O11">
    <cfRule type="cellIs" dxfId="1317" priority="64" operator="greaterThan">
      <formula>0</formula>
    </cfRule>
  </conditionalFormatting>
  <conditionalFormatting sqref="P10:P11">
    <cfRule type="cellIs" dxfId="1316" priority="67" operator="lessThan">
      <formula>0</formula>
    </cfRule>
  </conditionalFormatting>
  <conditionalFormatting sqref="Q10:Q11">
    <cfRule type="cellIs" dxfId="1315" priority="65" operator="greaterThan">
      <formula>1</formula>
    </cfRule>
    <cfRule type="cellIs" dxfId="1314" priority="66" operator="lessThan">
      <formula>0.8</formula>
    </cfRule>
  </conditionalFormatting>
  <conditionalFormatting sqref="O56">
    <cfRule type="cellIs" dxfId="1313" priority="59" operator="greaterThan">
      <formula>0</formula>
    </cfRule>
  </conditionalFormatting>
  <conditionalFormatting sqref="P56">
    <cfRule type="cellIs" dxfId="1312" priority="62" operator="lessThan">
      <formula>0</formula>
    </cfRule>
  </conditionalFormatting>
  <conditionalFormatting sqref="Q56">
    <cfRule type="cellIs" dxfId="1311" priority="60" operator="greaterThan">
      <formula>1</formula>
    </cfRule>
    <cfRule type="cellIs" dxfId="1310" priority="61" operator="lessThan">
      <formula>0.8</formula>
    </cfRule>
  </conditionalFormatting>
  <conditionalFormatting sqref="R56 AG56">
    <cfRule type="cellIs" dxfId="1309" priority="63" operator="lessThan">
      <formula>0.8</formula>
    </cfRule>
  </conditionalFormatting>
  <conditionalFormatting sqref="O62">
    <cfRule type="cellIs" dxfId="1308" priority="54" operator="greaterThan">
      <formula>0</formula>
    </cfRule>
  </conditionalFormatting>
  <conditionalFormatting sqref="P62 AE62">
    <cfRule type="cellIs" dxfId="1307" priority="57" operator="lessThan">
      <formula>0</formula>
    </cfRule>
  </conditionalFormatting>
  <conditionalFormatting sqref="Q62 AF62">
    <cfRule type="cellIs" dxfId="1306" priority="55" operator="greaterThan">
      <formula>1</formula>
    </cfRule>
    <cfRule type="cellIs" dxfId="1305" priority="56" operator="lessThan">
      <formula>0.8</formula>
    </cfRule>
  </conditionalFormatting>
  <conditionalFormatting sqref="R62 AG62">
    <cfRule type="cellIs" dxfId="1304" priority="58" operator="lessThan">
      <formula>0.8</formula>
    </cfRule>
  </conditionalFormatting>
  <conditionalFormatting sqref="O72">
    <cfRule type="cellIs" dxfId="1303" priority="49" operator="greaterThan">
      <formula>0</formula>
    </cfRule>
  </conditionalFormatting>
  <conditionalFormatting sqref="P72">
    <cfRule type="cellIs" dxfId="1302" priority="52" operator="lessThan">
      <formula>0</formula>
    </cfRule>
  </conditionalFormatting>
  <conditionalFormatting sqref="Q72">
    <cfRule type="cellIs" dxfId="1301" priority="50" operator="greaterThan">
      <formula>1</formula>
    </cfRule>
    <cfRule type="cellIs" dxfId="1300" priority="51" operator="lessThan">
      <formula>0.8</formula>
    </cfRule>
  </conditionalFormatting>
  <conditionalFormatting sqref="R72">
    <cfRule type="cellIs" dxfId="1299" priority="53" operator="lessThan">
      <formula>0.8</formula>
    </cfRule>
  </conditionalFormatting>
  <conditionalFormatting sqref="O17:O18">
    <cfRule type="cellIs" dxfId="1298" priority="44" operator="greaterThan">
      <formula>0</formula>
    </cfRule>
  </conditionalFormatting>
  <conditionalFormatting sqref="P17:P18">
    <cfRule type="cellIs" dxfId="1297" priority="47" operator="lessThan">
      <formula>0</formula>
    </cfRule>
  </conditionalFormatting>
  <conditionalFormatting sqref="Q17:Q18">
    <cfRule type="cellIs" dxfId="1296" priority="45" operator="greaterThan">
      <formula>1</formula>
    </cfRule>
    <cfRule type="cellIs" dxfId="1295" priority="46" operator="lessThan">
      <formula>0.8</formula>
    </cfRule>
  </conditionalFormatting>
  <conditionalFormatting sqref="R17:R18 AG17:AG18">
    <cfRule type="cellIs" dxfId="1294" priority="48" operator="lessThan">
      <formula>0.8</formula>
    </cfRule>
  </conditionalFormatting>
  <conditionalFormatting sqref="O57">
    <cfRule type="cellIs" dxfId="1293" priority="39" operator="greaterThan">
      <formula>0</formula>
    </cfRule>
  </conditionalFormatting>
  <conditionalFormatting sqref="P57">
    <cfRule type="cellIs" dxfId="1292" priority="42" operator="lessThan">
      <formula>0</formula>
    </cfRule>
  </conditionalFormatting>
  <conditionalFormatting sqref="Q57">
    <cfRule type="cellIs" dxfId="1291" priority="40" operator="greaterThan">
      <formula>1</formula>
    </cfRule>
    <cfRule type="cellIs" dxfId="1290" priority="41" operator="lessThan">
      <formula>0.8</formula>
    </cfRule>
  </conditionalFormatting>
  <conditionalFormatting sqref="AG57 R57">
    <cfRule type="cellIs" dxfId="1289" priority="43" operator="lessThan">
      <formula>0.8</formula>
    </cfRule>
  </conditionalFormatting>
  <conditionalFormatting sqref="O61">
    <cfRule type="cellIs" dxfId="1288" priority="34" operator="greaterThan">
      <formula>0</formula>
    </cfRule>
  </conditionalFormatting>
  <conditionalFormatting sqref="P61 AE61">
    <cfRule type="cellIs" dxfId="1287" priority="37" operator="lessThan">
      <formula>0</formula>
    </cfRule>
  </conditionalFormatting>
  <conditionalFormatting sqref="Q61 AF61">
    <cfRule type="cellIs" dxfId="1286" priority="35" operator="greaterThan">
      <formula>1</formula>
    </cfRule>
    <cfRule type="cellIs" dxfId="1285" priority="36" operator="lessThan">
      <formula>0.8</formula>
    </cfRule>
  </conditionalFormatting>
  <conditionalFormatting sqref="R61 AG61">
    <cfRule type="cellIs" dxfId="1284" priority="38" operator="lessThan">
      <formula>0.8</formula>
    </cfRule>
  </conditionalFormatting>
  <conditionalFormatting sqref="O19">
    <cfRule type="cellIs" dxfId="1283" priority="29" operator="greaterThan">
      <formula>0</formula>
    </cfRule>
  </conditionalFormatting>
  <conditionalFormatting sqref="P19">
    <cfRule type="cellIs" dxfId="1282" priority="32" operator="lessThan">
      <formula>0</formula>
    </cfRule>
  </conditionalFormatting>
  <conditionalFormatting sqref="Q19">
    <cfRule type="cellIs" dxfId="1281" priority="30" operator="greaterThan">
      <formula>1</formula>
    </cfRule>
    <cfRule type="cellIs" dxfId="1280" priority="31" operator="lessThan">
      <formula>0.8</formula>
    </cfRule>
  </conditionalFormatting>
  <conditionalFormatting sqref="AG19 R19">
    <cfRule type="cellIs" dxfId="1279" priority="33" operator="lessThan">
      <formula>0.8</formula>
    </cfRule>
  </conditionalFormatting>
  <conditionalFormatting sqref="P8">
    <cfRule type="cellIs" dxfId="1278" priority="28" operator="lessThan">
      <formula>0</formula>
    </cfRule>
  </conditionalFormatting>
  <conditionalFormatting sqref="P20">
    <cfRule type="cellIs" dxfId="1277" priority="27" operator="lessThan">
      <formula>0</formula>
    </cfRule>
  </conditionalFormatting>
  <conditionalFormatting sqref="P27">
    <cfRule type="cellIs" dxfId="1276" priority="26" operator="lessThan">
      <formula>0</formula>
    </cfRule>
  </conditionalFormatting>
  <conditionalFormatting sqref="P36">
    <cfRule type="cellIs" dxfId="1275" priority="25" operator="lessThan">
      <formula>0</formula>
    </cfRule>
  </conditionalFormatting>
  <conditionalFormatting sqref="P49">
    <cfRule type="cellIs" dxfId="1274" priority="24" operator="lessThan">
      <formula>0</formula>
    </cfRule>
  </conditionalFormatting>
  <conditionalFormatting sqref="P59">
    <cfRule type="cellIs" dxfId="1273" priority="23" operator="lessThan">
      <formula>0</formula>
    </cfRule>
  </conditionalFormatting>
  <conditionalFormatting sqref="P65">
    <cfRule type="cellIs" dxfId="1272" priority="22" operator="lessThan">
      <formula>0</formula>
    </cfRule>
  </conditionalFormatting>
  <conditionalFormatting sqref="P76">
    <cfRule type="cellIs" dxfId="1271" priority="21" operator="lessThan">
      <formula>0</formula>
    </cfRule>
  </conditionalFormatting>
  <conditionalFormatting sqref="O73">
    <cfRule type="cellIs" dxfId="1270" priority="16" operator="greaterThan">
      <formula>0</formula>
    </cfRule>
  </conditionalFormatting>
  <conditionalFormatting sqref="P73">
    <cfRule type="cellIs" dxfId="1269" priority="19" operator="lessThan">
      <formula>0</formula>
    </cfRule>
  </conditionalFormatting>
  <conditionalFormatting sqref="Q73">
    <cfRule type="cellIs" dxfId="1268" priority="17" operator="greaterThan">
      <formula>1</formula>
    </cfRule>
    <cfRule type="cellIs" dxfId="1267" priority="18" operator="lessThan">
      <formula>0.8</formula>
    </cfRule>
  </conditionalFormatting>
  <conditionalFormatting sqref="R73">
    <cfRule type="cellIs" dxfId="1266" priority="20" operator="lessThan">
      <formula>0.8</formula>
    </cfRule>
  </conditionalFormatting>
  <conditionalFormatting sqref="O74">
    <cfRule type="cellIs" dxfId="1265" priority="11" operator="greaterThan">
      <formula>0</formula>
    </cfRule>
  </conditionalFormatting>
  <conditionalFormatting sqref="P74">
    <cfRule type="cellIs" dxfId="1264" priority="14" operator="lessThan">
      <formula>0</formula>
    </cfRule>
  </conditionalFormatting>
  <conditionalFormatting sqref="Q74">
    <cfRule type="cellIs" dxfId="1263" priority="12" operator="greaterThan">
      <formula>1</formula>
    </cfRule>
    <cfRule type="cellIs" dxfId="1262" priority="13" operator="lessThan">
      <formula>0.8</formula>
    </cfRule>
  </conditionalFormatting>
  <conditionalFormatting sqref="R74">
    <cfRule type="cellIs" dxfId="1261" priority="15" operator="lessThan">
      <formula>0.8</formula>
    </cfRule>
  </conditionalFormatting>
  <conditionalFormatting sqref="O58">
    <cfRule type="cellIs" dxfId="1260" priority="6" operator="greaterThan">
      <formula>0</formula>
    </cfRule>
  </conditionalFormatting>
  <conditionalFormatting sqref="P58">
    <cfRule type="cellIs" dxfId="1259" priority="9" operator="lessThan">
      <formula>0</formula>
    </cfRule>
  </conditionalFormatting>
  <conditionalFormatting sqref="Q58">
    <cfRule type="cellIs" dxfId="1258" priority="7" operator="greaterThan">
      <formula>1</formula>
    </cfRule>
    <cfRule type="cellIs" dxfId="1257" priority="8" operator="lessThan">
      <formula>0.8</formula>
    </cfRule>
  </conditionalFormatting>
  <conditionalFormatting sqref="AG58 R58">
    <cfRule type="cellIs" dxfId="1256" priority="10" operator="lessThan">
      <formula>0.8</formula>
    </cfRule>
  </conditionalFormatting>
  <conditionalFormatting sqref="O75">
    <cfRule type="cellIs" dxfId="1255" priority="1" operator="greaterThan">
      <formula>0</formula>
    </cfRule>
  </conditionalFormatting>
  <conditionalFormatting sqref="P75">
    <cfRule type="cellIs" dxfId="1254" priority="4" operator="lessThan">
      <formula>0</formula>
    </cfRule>
  </conditionalFormatting>
  <conditionalFormatting sqref="Q75">
    <cfRule type="cellIs" dxfId="1253" priority="2" operator="greaterThan">
      <formula>1</formula>
    </cfRule>
    <cfRule type="cellIs" dxfId="1252" priority="3" operator="lessThan">
      <formula>0.8</formula>
    </cfRule>
  </conditionalFormatting>
  <conditionalFormatting sqref="R75">
    <cfRule type="cellIs" dxfId="1251" priority="5" operator="lessThan">
      <formula>0.8</formula>
    </cfRule>
  </conditionalFormatting>
  <dataValidations count="1">
    <dataValidation type="list" allowBlank="1" showInputMessage="1" showErrorMessage="1" sqref="AB8 AA5:AB7 AB64 AA8:AA64 AB10:AB60 AA65:AB76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7" sqref="G7:H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1421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1422</v>
      </c>
      <c r="C3" s="596" t="str">
        <f>TEXT('0915 4度C'!A2,"yyyy.mm.ddaaaa")</f>
        <v>2026.09.15星期二</v>
      </c>
      <c r="D3" s="597"/>
      <c r="E3" s="39" t="s">
        <v>88</v>
      </c>
      <c r="F3" s="598">
        <f>'0915 4度C'!D1</f>
        <v>200821</v>
      </c>
      <c r="G3" s="599"/>
      <c r="H3" s="39" t="s">
        <v>1423</v>
      </c>
      <c r="I3" s="600">
        <f>'0915 4度C'!F1</f>
        <v>6958509.9099999983</v>
      </c>
      <c r="J3" s="601"/>
      <c r="K3" s="40"/>
      <c r="L3" s="41"/>
      <c r="M3" s="42"/>
      <c r="N3" s="42"/>
    </row>
    <row r="4" spans="2:17" ht="28.5" customHeight="1">
      <c r="B4" s="602" t="s">
        <v>1424</v>
      </c>
      <c r="C4" s="588" t="s">
        <v>1425</v>
      </c>
      <c r="D4" s="589"/>
      <c r="E4" s="605" t="s">
        <v>1426</v>
      </c>
      <c r="F4" s="606"/>
      <c r="G4" s="605" t="s">
        <v>1427</v>
      </c>
      <c r="H4" s="606"/>
      <c r="I4" s="605" t="s">
        <v>1428</v>
      </c>
      <c r="J4" s="606"/>
      <c r="K4" s="586" t="s">
        <v>1429</v>
      </c>
      <c r="L4" s="587"/>
      <c r="M4" s="587" t="s">
        <v>1430</v>
      </c>
      <c r="N4" s="587"/>
    </row>
    <row r="5" spans="2:17" ht="28.5" customHeight="1">
      <c r="B5" s="603"/>
      <c r="C5" s="588" t="s">
        <v>1431</v>
      </c>
      <c r="D5" s="589"/>
      <c r="E5" s="588" t="s">
        <v>1432</v>
      </c>
      <c r="F5" s="589"/>
      <c r="G5" s="590" t="s">
        <v>1433</v>
      </c>
      <c r="H5" s="591"/>
      <c r="I5" s="592" t="s">
        <v>1434</v>
      </c>
      <c r="J5" s="593"/>
      <c r="K5" s="43" t="s">
        <v>1435</v>
      </c>
      <c r="L5" s="44" t="s">
        <v>1436</v>
      </c>
      <c r="M5" s="43" t="s">
        <v>1435</v>
      </c>
      <c r="N5" s="44" t="s">
        <v>1437</v>
      </c>
    </row>
    <row r="6" spans="2:17" ht="28.5" customHeight="1">
      <c r="B6" s="603"/>
      <c r="C6" s="588" t="s">
        <v>56</v>
      </c>
      <c r="D6" s="589"/>
      <c r="E6" s="580">
        <f>AVERAGE(D13:M13)</f>
        <v>147.9412177308196</v>
      </c>
      <c r="F6" s="581">
        <f>AVERAGE(D31:O31,D13:J13)</f>
        <v>151.82697152640276</v>
      </c>
      <c r="G6" s="582">
        <f>AVERAGE(D13:J13)</f>
        <v>151.82697152640276</v>
      </c>
      <c r="H6" s="583"/>
      <c r="I6" s="582">
        <f>AVERAGE(K13:M13)</f>
        <v>138.8744588744589</v>
      </c>
      <c r="J6" s="583"/>
      <c r="K6" s="584">
        <f>'0915 4度C'!Y2</f>
        <v>0</v>
      </c>
      <c r="L6" s="569">
        <f>'0915 4度C'!Z2</f>
        <v>0</v>
      </c>
      <c r="M6" s="585">
        <f>'0915 4度C'!AC2</f>
        <v>66</v>
      </c>
      <c r="N6" s="569">
        <f>'0915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141.74667440623602</v>
      </c>
      <c r="F7" s="573">
        <f>AVERAGE(D32:O32,D14:J14)</f>
        <v>145.51861230233612</v>
      </c>
      <c r="G7" s="574">
        <f>AVERAGE(D14:J14)</f>
        <v>145.51861230233612</v>
      </c>
      <c r="H7" s="575"/>
      <c r="I7" s="574">
        <f>AVERAGE(K14:M14)</f>
        <v>132.94548598200242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0.95843474661148131</v>
      </c>
      <c r="F8" s="577">
        <f>AVERAGE(D15:J15,D33:O33)</f>
        <v>0.95892896272499939</v>
      </c>
      <c r="G8" s="578">
        <f>AVERAGE(D15:J15)</f>
        <v>0.95892896272499939</v>
      </c>
      <c r="H8" s="579"/>
      <c r="I8" s="578">
        <f>AVERAGE(K15:M15)</f>
        <v>0.95728157567993921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1438</v>
      </c>
      <c r="N9" s="42"/>
      <c r="O9" s="42"/>
      <c r="P9" s="42"/>
      <c r="Q9" s="42"/>
    </row>
    <row r="10" spans="2:17" ht="30" customHeight="1">
      <c r="B10" s="552" t="s">
        <v>1439</v>
      </c>
      <c r="C10" s="553"/>
      <c r="D10" s="554" t="s">
        <v>1440</v>
      </c>
      <c r="E10" s="555"/>
      <c r="F10" s="555"/>
      <c r="G10" s="555"/>
      <c r="H10" s="555"/>
      <c r="I10" s="555"/>
      <c r="J10" s="556"/>
      <c r="K10" s="557" t="s">
        <v>1441</v>
      </c>
      <c r="L10" s="558"/>
      <c r="M10" s="559"/>
      <c r="P10" s="48"/>
      <c r="Q10" s="48"/>
    </row>
    <row r="11" spans="2:17" ht="17.25" customHeight="1">
      <c r="B11" s="560" t="s">
        <v>1442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1443</v>
      </c>
      <c r="C13" s="55" t="s">
        <v>1444</v>
      </c>
      <c r="D13" s="56">
        <f>SUMIFS('0915 4度C'!$K:$K,'0915 4度C'!$A:$A,"新豐6線",'0915 4度C'!$B:$B,"平均")</f>
        <v>133.33333333333334</v>
      </c>
      <c r="E13" s="57">
        <f>SUMIFS('0915 4度C'!$K:$K,'0915 4度C'!$A:$A,"新豐2線",'0915 4度C'!$B:$B,"平均")</f>
        <v>81.081081081081081</v>
      </c>
      <c r="F13" s="58">
        <f>SUMIFS('0915 4度C'!$K:$K,'0915 4度C'!$A:$A,"新豐5線",'0915 4度C'!$B:$B,"平均")</f>
        <v>104.16666666666667</v>
      </c>
      <c r="G13" s="58">
        <f>SUMIFS('0915 4度C'!$K:$K,'0915 4度C'!$A:$A,"新豐7線",'0915 4度C'!$B:$B,"平均")</f>
        <v>126.31578947368421</v>
      </c>
      <c r="H13" s="58">
        <f>SUMIFS('0915 4度C'!$K:$K,'0915 4度C'!$A:$A,"新豐3線",'0915 4度C'!$B:$B,"平均")</f>
        <v>217.39130434782609</v>
      </c>
      <c r="I13" s="58">
        <f>SUMIFS('0915 4度C'!$K:$K,'0915 4度C'!$A:$A,"新豐1線",'0915 4度C'!$B:$B,"平均")</f>
        <v>106.38297872340425</v>
      </c>
      <c r="J13" s="59">
        <f>SUMIFS('0915 4度C'!$K:$K,'0915 4度C'!$A:$A,"新豐10線",'0915 4度C'!$B:$B,"平均")</f>
        <v>294.11764705882354</v>
      </c>
      <c r="K13" s="60">
        <f>SUMIFS('0915 4度C'!$K:$K,'0915 4度C'!$A:$A,"新豐8線",'0915 4度C'!$B:$B,"平均")</f>
        <v>145.45454545454547</v>
      </c>
      <c r="L13" s="61">
        <f>SUMIFS('0915 4度C'!$K:$K,'0915 4度C'!$A:$A,"新豐9線",'0915 4度C'!$B:$B,"平均")</f>
        <v>125.71428571428571</v>
      </c>
      <c r="M13" s="59">
        <f>SUMIFS('0915 4度C'!$K:$K,'0915 4度C'!$A:$A,"新豐4線",'0915 4度C'!$B:$B,"平均")</f>
        <v>145.45454545454547</v>
      </c>
    </row>
    <row r="14" spans="2:17" ht="39.6" customHeight="1">
      <c r="B14" s="565"/>
      <c r="C14" s="62" t="s">
        <v>1445</v>
      </c>
      <c r="D14" s="63">
        <f>SUMIFS('0915 4度C'!$N:$N,'0915 4度C'!$A:$A,"新豐6線",'0915 4度C'!$B:$B,"平均")</f>
        <v>127.6033847131733</v>
      </c>
      <c r="E14" s="64">
        <f>SUMIFS('0915 4度C'!$N:$N,'0915 4度C'!$A:$A,"新豐2線",'0915 4度C'!$B:$B,"平均")</f>
        <v>77.573517852426647</v>
      </c>
      <c r="F14" s="64">
        <f>SUMIFS('0915 4度C'!$N:$N,'0915 4度C'!$A:$A,"新豐5線",'0915 4度C'!$B:$B,"平均")</f>
        <v>100.22864670059087</v>
      </c>
      <c r="G14" s="64">
        <f>SUMIFS('0915 4度C'!$N:$N,'0915 4度C'!$A:$A,"新豐7線",'0915 4度C'!$B:$B,"平均")</f>
        <v>121.27832147283357</v>
      </c>
      <c r="H14" s="64">
        <f>SUMIFS('0915 4度C'!$N:$N,'0915 4度C'!$A:$A,"新豐3線",'0915 4度C'!$B:$B,"平均")</f>
        <v>207.74908799741246</v>
      </c>
      <c r="I14" s="64">
        <f>SUMIFS('0915 4度C'!$N:$N,'0915 4度C'!$A:$A,"新豐1線",'0915 4度C'!$B:$B,"平均")</f>
        <v>102.41758816903072</v>
      </c>
      <c r="J14" s="65">
        <f>SUMIFS('0915 4度C'!$N:$N,'0915 4度C'!$A:$A,"新豐10線",'0915 4度C'!$B:$B,"平均")</f>
        <v>281.77973921088523</v>
      </c>
      <c r="K14" s="66">
        <f>SUMIFS('0915 4度C'!$N:$N,'0915 4度C'!$A:$A,"新豐8線",'0915 4度C'!$B:$B,"平均")</f>
        <v>138.69577953394801</v>
      </c>
      <c r="L14" s="67">
        <f>SUMIFS('0915 4度C'!$N:$N,'0915 4度C'!$A:$A,"新豐9線",'0915 4度C'!$B:$B,"平均")</f>
        <v>120.27662023336374</v>
      </c>
      <c r="M14" s="65">
        <f>SUMIFS('0915 4度C'!$N:$N,'0915 4度C'!$A:$A,"新豐4線",'0915 4度C'!$B:$B,"平均")</f>
        <v>139.8640581786955</v>
      </c>
    </row>
    <row r="15" spans="2:17" ht="40.15" customHeight="1">
      <c r="B15" s="566"/>
      <c r="C15" s="68" t="s">
        <v>1446</v>
      </c>
      <c r="D15" s="69">
        <f t="shared" ref="D15:M15" si="0">D14/D13</f>
        <v>0.95702538534879966</v>
      </c>
      <c r="E15" s="70">
        <f t="shared" si="0"/>
        <v>0.95674005351326197</v>
      </c>
      <c r="F15" s="70">
        <f t="shared" si="0"/>
        <v>0.96219500832567229</v>
      </c>
      <c r="G15" s="70">
        <f t="shared" si="0"/>
        <v>0.96012004499326575</v>
      </c>
      <c r="H15" s="70">
        <f t="shared" si="0"/>
        <v>0.95564580478809724</v>
      </c>
      <c r="I15" s="70">
        <f t="shared" si="0"/>
        <v>0.96272532878888883</v>
      </c>
      <c r="J15" s="71">
        <f t="shared" si="0"/>
        <v>0.95805111331700976</v>
      </c>
      <c r="K15" s="69">
        <f t="shared" si="0"/>
        <v>0.95353348429589246</v>
      </c>
      <c r="L15" s="70">
        <f t="shared" si="0"/>
        <v>0.95674584276539343</v>
      </c>
      <c r="M15" s="71">
        <f t="shared" si="0"/>
        <v>0.96156539997853152</v>
      </c>
    </row>
    <row r="16" spans="2:17" ht="17.25" customHeight="1">
      <c r="B16" s="567" t="s">
        <v>1447</v>
      </c>
      <c r="C16" s="72" t="s">
        <v>1448</v>
      </c>
      <c r="D16" s="73">
        <f>VLOOKUP("新豐6線",'0915 4度C'!$A:$T,19,0)</f>
        <v>0.70833333333333337</v>
      </c>
      <c r="E16" s="74">
        <f>VLOOKUP("新豐2線",'0915 4度C'!$A:$T,19,0)</f>
        <v>8.3333333333333329E-2</v>
      </c>
      <c r="F16" s="74">
        <f>VLOOKUP("新豐5線",'0915 4度C'!$A:$T,19,0)</f>
        <v>0.25</v>
      </c>
      <c r="G16" s="74">
        <f>VLOOKUP("新豐7線",'0915 4度C'!$A:$T,19,0)</f>
        <v>0.25</v>
      </c>
      <c r="H16" s="74">
        <f>VLOOKUP("新豐3線",'0915 4度C'!$A:$T,19,0)</f>
        <v>0.20833333333333334</v>
      </c>
      <c r="I16" s="74">
        <f>VLOOKUP("新豐1線",'0915 4度C'!$A:$T,19,0)</f>
        <v>0.20833333333333334</v>
      </c>
      <c r="J16" s="75">
        <f>VLOOKUP("新豐10線",'0915 4度C'!$A:$T,19,0)</f>
        <v>0.20833333333333334</v>
      </c>
      <c r="K16" s="76">
        <f>VLOOKUP("新豐8線",'0915 4度C'!$A:$T,19,0)</f>
        <v>8.3333333333333329E-2</v>
      </c>
      <c r="L16" s="77">
        <f>VLOOKUP("新豐9線",'0915 4度C'!$A:$T,19,0)</f>
        <v>8.3333333333333329E-2</v>
      </c>
      <c r="M16" s="78">
        <f>VLOOKUP("新豐4線",'0915 4度C'!$A:$T,19,0)</f>
        <v>8.3333333333333329E-2</v>
      </c>
    </row>
    <row r="17" spans="2:13" ht="17.25" customHeight="1">
      <c r="B17" s="568"/>
      <c r="C17" s="72" t="s">
        <v>1449</v>
      </c>
      <c r="D17" s="76">
        <f>LOOKUP(2,1/(('0915 4度C'!$A:$A="新豐6線")*('0915 4度C'!$T:$T&lt;&gt;"")),'0915 4度C'!$T:$T)</f>
        <v>0.90277777777777779</v>
      </c>
      <c r="E17" s="74">
        <f>LOOKUP(2,1/(('0915 4度C'!$A:$A="新豐2線")*('0915 4度C'!$T:$T&lt;&gt;"")),'0915 4度C'!$T:$T)</f>
        <v>0.57013888888888886</v>
      </c>
      <c r="F17" s="74">
        <f>LOOKUP(2,1/(('0915 4度C'!$A:$A="新豐5線")*('0915 4度C'!$T:$T&lt;&gt;"")),'0915 4度C'!$T:$T)</f>
        <v>0.85486111111111107</v>
      </c>
      <c r="G17" s="74">
        <f>LOOKUP(2,1/(('0915 4度C'!$A:$A="新豐7線")*('0915 4度C'!$T:$T&lt;&gt;"")),'0915 4度C'!$T:$T)</f>
        <v>0.8486111111111112</v>
      </c>
      <c r="H17" s="74">
        <f>LOOKUP(2,1/(('0915 4度C'!$A:$A="新豐3線")*('0915 4度C'!$T:$T&lt;&gt;"")),'0915 4度C'!$T:$T)</f>
        <v>0.63472222222222219</v>
      </c>
      <c r="I17" s="74">
        <f>LOOKUP(2,1/(('0915 4度C'!$A:$A="新豐1線")*('0915 4度C'!$T:$T&lt;&gt;"")),'0915 4度C'!$T:$T)</f>
        <v>0.90416666666666667</v>
      </c>
      <c r="J17" s="75">
        <f>LOOKUP(2,1/(('0915 4度C'!$A:$A="新豐10線")*('0915 4度C'!$T:$T&lt;&gt;"")),'0915 4度C'!$T:$T)</f>
        <v>0.49166666666666659</v>
      </c>
      <c r="K17" s="73">
        <f>LOOKUP(2,1/(('0915 4度C'!$A:$A="新豐8線")*('0915 4度C'!$T:$T&lt;&gt;"")),'0915 4度C'!$T:$T)</f>
        <v>0.75694444444444431</v>
      </c>
      <c r="L17" s="74">
        <f>LOOKUP(2,1/(('0915 4度C'!$A:$A="新豐9線")*('0915 4度C'!$T:$T&lt;&gt;"")),'0915 4度C'!$T:$T)</f>
        <v>0.77291666666666659</v>
      </c>
      <c r="M17" s="75">
        <f>LOOKUP(2,1/(('0915 4度C'!$A:$A="新豐4線")*('0915 4度C'!$T:$T&lt;&gt;"")),'0915 4度C'!$T:$T)</f>
        <v>0.7520833333333331</v>
      </c>
    </row>
    <row r="18" spans="2:13" ht="17.25" customHeight="1">
      <c r="B18" s="546" t="s">
        <v>1450</v>
      </c>
      <c r="C18" s="79" t="s">
        <v>1451</v>
      </c>
      <c r="D18" s="80">
        <f>SUMIFS('0915 4度C'!$Y:$Y,'0915 4度C'!$A:$A,"新豐6線",'0915 4度C'!$B:$B,"平均")</f>
        <v>0</v>
      </c>
      <c r="E18" s="81">
        <f>SUMIFS('0915 4度C'!$Y:$Y,'0915 4度C'!$A:$A,"新豐2線",'0915 4度C'!$B:$B,"平均")</f>
        <v>0</v>
      </c>
      <c r="F18" s="81">
        <f>SUMIFS('0915 4度C'!$Y:$Y,'0915 4度C'!$A:$A,"新豐5線",'0915 4度C'!$B:$B,"平均")</f>
        <v>0</v>
      </c>
      <c r="G18" s="81">
        <f>SUMIFS('0915 4度C'!$Y:$Y,'0915 4度C'!$A:$A,"新豐7線",'0915 4度C'!$B:$B,"平均")</f>
        <v>0</v>
      </c>
      <c r="H18" s="81">
        <f>SUMIFS('0915 4度C'!$Y:$Y,'0915 4度C'!$A:$A,"新豐3線",'0915 4度C'!$B:$B,"平均")</f>
        <v>0</v>
      </c>
      <c r="I18" s="81">
        <f>SUMIFS('0915 4度C'!$Y:$Y,'0915 4度C'!$A:$A,"新豐1線",'0915 4度C'!$B:$B,"平均")</f>
        <v>0</v>
      </c>
      <c r="J18" s="82">
        <f>SUMIFS('0915 4度C'!$Y:$Y,'0915 4度C'!$A:$A,"新豐10線",'0915 4度C'!$B:$B,"平均")</f>
        <v>0</v>
      </c>
      <c r="K18" s="83">
        <f>SUMIFS('0915 4度C'!$Y:$Y,'0915 4度C'!$A:$A,"新豐8線",'0915 4度C'!$B:$B,"平均")</f>
        <v>0</v>
      </c>
      <c r="L18" s="81">
        <f>SUMIFS('0915 4度C'!$Y:$Y,'0915 4度C'!$A:$A,"新豐9線",'0915 4度C'!$B:$B,"平均")</f>
        <v>0</v>
      </c>
      <c r="M18" s="82">
        <f>SUMIFS('0915 4度C'!$Y:$Y,'0915 4度C'!$A:$A,"新豐4線",'0915 4度C'!$B:$B,"平均")</f>
        <v>0</v>
      </c>
    </row>
    <row r="19" spans="2:13" ht="17.25" customHeight="1">
      <c r="B19" s="547"/>
      <c r="C19" s="79" t="s">
        <v>1452</v>
      </c>
      <c r="D19" s="80">
        <f>SUMIFS('0915 4度C'!$Z:$Z,'0915 4度C'!$A:$A,"新豐6線",'0915 4度C'!$B:$B,"平均")</f>
        <v>0</v>
      </c>
      <c r="E19" s="81">
        <f>SUMIFS('0915 4度C'!$Z:$Z,'0915 4度C'!$A:$A,"新豐2線",'0915 4度C'!$B:$B,"平均")</f>
        <v>0</v>
      </c>
      <c r="F19" s="81">
        <f>SUMIFS('0915 4度C'!$Z:$Z,'0915 4度C'!$A:$A,"新豐5線",'0915 4度C'!$B:$B,"平均")</f>
        <v>0</v>
      </c>
      <c r="G19" s="81">
        <f>SUMIFS('0915 4度C'!$Z:$Z,'0915 4度C'!$A:$A,"新豐7線",'0915 4度C'!$B:$B,"平均")</f>
        <v>0</v>
      </c>
      <c r="H19" s="81">
        <f>SUMIFS('0915 4度C'!$Z:$Z,'0915 4度C'!$A:$A,"新豐3線",'0915 4度C'!$B:$B,"平均")</f>
        <v>0</v>
      </c>
      <c r="I19" s="81">
        <f>SUMIFS('0915 4度C'!$Z:$Z,'0915 4度C'!$A:$A,"新豐1線",'0915 4度C'!$B:$B,"平均")</f>
        <v>0</v>
      </c>
      <c r="J19" s="82">
        <f>SUMIFS('0915 4度C'!$Z:$Z,'0915 4度C'!$A:$A,"新豐10線",'0915 4度C'!$B:$B,"平均")</f>
        <v>0</v>
      </c>
      <c r="K19" s="83">
        <f>SUMIFS('0915 4度C'!$Z:$Z,'0915 4度C'!$A:$A,"新豐8線",'0915 4度C'!$B:$B,"平均")</f>
        <v>0</v>
      </c>
      <c r="L19" s="81">
        <f>SUMIFS('0915 4度C'!$Z:$Z,'0915 4度C'!$A:$A,"新豐9線",'0915 4度C'!$B:$B,"平均")</f>
        <v>0</v>
      </c>
      <c r="M19" s="82">
        <f>SUMIFS('0915 4度C'!$Z:$Z,'0915 4度C'!$A:$A,"新豐4線",'0915 4度C'!$B:$B,"平均")</f>
        <v>0</v>
      </c>
    </row>
    <row r="20" spans="2:13" ht="17.25" customHeight="1">
      <c r="B20" s="546" t="s">
        <v>1453</v>
      </c>
      <c r="C20" s="79" t="s">
        <v>1451</v>
      </c>
      <c r="D20" s="80">
        <f>SUMIFS('0915 4度C'!$AC:$AC,'0915 4度C'!$A:$A,"新豐6線",'0915 4度C'!$B:$B,"平均")</f>
        <v>4</v>
      </c>
      <c r="E20" s="81">
        <f>SUMIFS('0915 4度C'!$AC:$AC,'0915 4度C'!$A:$A,"新豐2線",'0915 4度C'!$B:$B,"平均")</f>
        <v>4</v>
      </c>
      <c r="F20" s="81">
        <f>SUMIFS('0915 4度C'!$AC:$AC,'0915 4度C'!$A:$A,"新豐5線",'0915 4度C'!$B:$B,"平均")</f>
        <v>7</v>
      </c>
      <c r="G20" s="81">
        <f>SUMIFS('0915 4度C'!$AC:$AC,'0915 4度C'!$A:$A,"新豐7線",'0915 4度C'!$B:$B,"平均")</f>
        <v>6</v>
      </c>
      <c r="H20" s="81">
        <f>SUMIFS('0915 4度C'!$AC:$AC,'0915 4度C'!$A:$A,"新豐3線",'0915 4度C'!$B:$B,"平均")</f>
        <v>4</v>
      </c>
      <c r="I20" s="81">
        <f>SUMIFS('0915 4度C'!$AC:$AC,'0915 4度C'!$A:$A,"新豐1線",'0915 4度C'!$B:$B,"平均")</f>
        <v>10</v>
      </c>
      <c r="J20" s="82">
        <f>SUMIFS('0915 4度C'!$AC:$AC,'0915 4度C'!$A:$A,"新豐10線",'0915 4度C'!$B:$B,"平均")</f>
        <v>5</v>
      </c>
      <c r="K20" s="83">
        <f>SUMIFS('0915 4度C'!$AC:$AC,'0915 4度C'!$A:$A,"新豐8線",'0915 4度C'!$B:$B,"平均")</f>
        <v>8</v>
      </c>
      <c r="L20" s="81">
        <f>SUMIFS('0915 4度C'!$AC:$AC,'0915 4度C'!$A:$A,"新豐9線",'0915 4度C'!$B:$B,"平均")</f>
        <v>8</v>
      </c>
      <c r="M20" s="82">
        <f>SUMIFS('0915 4度C'!$AC:$AC,'0915 4度C'!$A:$A,"新豐4線",'0915 4度C'!$B:$B,"平均")</f>
        <v>10</v>
      </c>
    </row>
    <row r="21" spans="2:13" ht="17.25" customHeight="1">
      <c r="B21" s="547"/>
      <c r="C21" s="79" t="s">
        <v>120</v>
      </c>
      <c r="D21" s="80">
        <f>SUMIFS('0915 4度C'!$AD:$AD,'0915 4度C'!$A:$A,"新豐6線",'0915 4度C'!$B:$B,"平均")</f>
        <v>0</v>
      </c>
      <c r="E21" s="81">
        <f>SUMIFS('0915 4度C'!$AD:$AD,'0915 4度C'!$A:$A,"新豐2線",'0915 4度C'!$B:$B,"平均")</f>
        <v>0</v>
      </c>
      <c r="F21" s="81">
        <f>SUMIFS('0915 4度C'!$AD:$AD,'0915 4度C'!$A:$A,"新豐5線",'0915 4度C'!$B:$B,"平均")</f>
        <v>0</v>
      </c>
      <c r="G21" s="81">
        <f>SUMIFS('0915 4度C'!$AD:$AD,'0915 4度C'!$A:$A,"新豐7線",'0915 4度C'!$B:$B,"平均")</f>
        <v>0</v>
      </c>
      <c r="H21" s="81">
        <f>SUMIFS('0915 4度C'!$AD:$AD,'0915 4度C'!$A:$A,"新豐3線",'0915 4度C'!$B:$B,"平均")</f>
        <v>0</v>
      </c>
      <c r="I21" s="81">
        <f>SUMIFS('0915 4度C'!$AD:$AD,'0915 4度C'!$A:$A,"新豐1線",'0915 4度C'!$B:$B,"平均")</f>
        <v>0</v>
      </c>
      <c r="J21" s="82">
        <f>SUMIFS('0915 4度C'!$AD:$AD,'0915 4度C'!$A:$A,"新豐10線",'0915 4度C'!$B:$B,"平均")</f>
        <v>0</v>
      </c>
      <c r="K21" s="83">
        <f>SUMIFS('0915 4度C'!$AD:$AD,'0915 4度C'!$A:$A,"新豐8線",'0915 4度C'!$B:$B,"平均")</f>
        <v>0</v>
      </c>
      <c r="L21" s="81">
        <f>SUMIFS('0915 4度C'!$AD:$AD,'0915 4度C'!$A:$A,"新豐9線",'0915 4度C'!$B:$B,"平均")</f>
        <v>0</v>
      </c>
      <c r="M21" s="82">
        <f>SUMIFS('0915 4度C'!$AD:$AD,'0915 4度C'!$A:$A,"新豐4線",'0915 4度C'!$B:$B,"平均")</f>
        <v>0</v>
      </c>
    </row>
    <row r="22" spans="2:13" ht="17.25" customHeight="1">
      <c r="B22" s="548" t="s">
        <v>1454</v>
      </c>
      <c r="C22" s="549"/>
      <c r="D22" s="84">
        <f>SUMIFS('0915 4度C'!$I:$I,'0915 4度C'!$A:$A,"新豐6線",'0915 4度C'!$B:$B,"平均")</f>
        <v>15</v>
      </c>
      <c r="E22" s="85">
        <f>SUMIFS('0915 4度C'!$I:$I,'0915 4度C'!$A:$A,"新豐2線",'0915 4度C'!$B:$B,"平均")</f>
        <v>18.5</v>
      </c>
      <c r="F22" s="85">
        <f>SUMIFS('0915 4度C'!$I:$I,'0915 4度C'!$A:$A,"新豐5線",'0915 4度C'!$B:$B,"平均")</f>
        <v>17.142857142857142</v>
      </c>
      <c r="G22" s="85">
        <f>SUMIFS('0915 4度C'!$I:$I,'0915 4度C'!$A:$A,"新豐7線",'0915 4度C'!$B:$B,"平均")</f>
        <v>15.833333333333334</v>
      </c>
      <c r="H22" s="85">
        <f>SUMIFS('0915 4度C'!$I:$I,'0915 4度C'!$A:$A,"新豐3線",'0915 4度C'!$B:$B,"平均")</f>
        <v>11.5</v>
      </c>
      <c r="I22" s="85">
        <f>SUMIFS('0915 4度C'!$I:$I,'0915 4度C'!$A:$A,"新豐1線",'0915 4度C'!$B:$B,"平均")</f>
        <v>18.8</v>
      </c>
      <c r="J22" s="86">
        <f>SUMIFS('0915 4度C'!$I:$I,'0915 4度C'!$A:$A,"新豐10線",'0915 4度C'!$B:$B,"平均")</f>
        <v>10.199999999999999</v>
      </c>
      <c r="K22" s="84">
        <f>SUMIFS('0915 4度C'!$I:$I,'0915 4度C'!$A:$A,"新豐8線",'0915 4度C'!$B:$B,"平均")</f>
        <v>16.5</v>
      </c>
      <c r="L22" s="85">
        <f>SUMIFS('0915 4度C'!$I:$I,'0915 4度C'!$A:$A,"新豐9線",'0915 4度C'!$B:$B,"平均")</f>
        <v>17.5</v>
      </c>
      <c r="M22" s="86">
        <f>SUMIFS('0915 4度C'!$I:$I,'0915 4度C'!$A:$A,"新豐4線",'0915 4度C'!$B:$B,"平均")</f>
        <v>16.5</v>
      </c>
    </row>
    <row r="23" spans="2:13" ht="17.25" customHeight="1">
      <c r="B23" s="548" t="s">
        <v>1455</v>
      </c>
      <c r="C23" s="549"/>
      <c r="D23" s="87" t="s">
        <v>69</v>
      </c>
      <c r="E23" s="88" t="s">
        <v>70</v>
      </c>
      <c r="F23" s="88" t="s">
        <v>1456</v>
      </c>
      <c r="G23" s="88" t="s">
        <v>1456</v>
      </c>
      <c r="H23" s="88" t="s">
        <v>71</v>
      </c>
      <c r="I23" s="88" t="s">
        <v>69</v>
      </c>
      <c r="J23" s="89" t="s">
        <v>71</v>
      </c>
      <c r="K23" s="87" t="s">
        <v>1457</v>
      </c>
      <c r="L23" s="88" t="s">
        <v>1458</v>
      </c>
      <c r="M23" s="89" t="s">
        <v>238</v>
      </c>
    </row>
    <row r="24" spans="2:13" ht="17.25" customHeight="1">
      <c r="B24" s="548" t="s">
        <v>1459</v>
      </c>
      <c r="C24" s="549"/>
      <c r="D24" s="87"/>
      <c r="E24" s="88"/>
      <c r="F24" s="88" t="s">
        <v>1460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1461</v>
      </c>
      <c r="C25" s="551"/>
      <c r="D25" s="90"/>
      <c r="E25" s="91" t="s">
        <v>1462</v>
      </c>
      <c r="F25" s="544" t="s">
        <v>1463</v>
      </c>
      <c r="G25" s="545"/>
      <c r="H25" s="91" t="s">
        <v>1464</v>
      </c>
      <c r="I25" s="91" t="s">
        <v>1465</v>
      </c>
      <c r="J25" s="92" t="s">
        <v>1464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5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zoomScale="80" zoomScaleNormal="80" workbookViewId="0">
      <pane ySplit="4" topLeftCell="A56" activePane="bottomLeft" state="frozen"/>
      <selection activeCell="G7" sqref="G7:H7"/>
      <selection pane="bottomLeft" activeCell="G7" sqref="G7:H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1466</v>
      </c>
      <c r="B1" s="1"/>
      <c r="C1" s="2" t="s">
        <v>1467</v>
      </c>
      <c r="D1" s="3">
        <f>SUM(F5:F80)</f>
        <v>200821</v>
      </c>
      <c r="E1" s="314" t="s">
        <v>1468</v>
      </c>
      <c r="F1" s="1">
        <f>SUM(G5:G80)</f>
        <v>6958509.9099999983</v>
      </c>
      <c r="G1" s="1" t="s">
        <v>1469</v>
      </c>
      <c r="H1" s="4">
        <f>L9+L14+L52+L63+L22+L69+L38+L47+L29+L80</f>
        <v>157.47619047619048</v>
      </c>
      <c r="I1" s="660" t="s">
        <v>1470</v>
      </c>
      <c r="J1" s="660"/>
      <c r="K1" s="660"/>
      <c r="L1" s="660" t="s">
        <v>1471</v>
      </c>
      <c r="M1" s="660"/>
      <c r="N1" s="660"/>
      <c r="O1" s="660" t="s">
        <v>1472</v>
      </c>
      <c r="P1" s="660"/>
      <c r="Q1" s="660"/>
      <c r="R1" s="660"/>
      <c r="S1" s="660" t="s">
        <v>1473</v>
      </c>
      <c r="T1" s="660"/>
      <c r="U1" s="660"/>
      <c r="V1" s="660"/>
      <c r="W1" s="660"/>
      <c r="X1" s="660"/>
      <c r="Y1" s="5" t="s">
        <v>1474</v>
      </c>
      <c r="Z1" s="6" t="s">
        <v>1475</v>
      </c>
      <c r="AA1" s="661" t="s">
        <v>826</v>
      </c>
      <c r="AB1" s="661"/>
      <c r="AC1" s="7" t="s">
        <v>1474</v>
      </c>
      <c r="AD1" s="6" t="s">
        <v>1476</v>
      </c>
      <c r="AE1" s="660" t="s">
        <v>1477</v>
      </c>
      <c r="AF1" s="662"/>
      <c r="AG1" s="662"/>
    </row>
    <row r="2" spans="1:33" ht="26.25" customHeight="1">
      <c r="A2" s="27">
        <v>46280</v>
      </c>
      <c r="B2" s="28" t="s">
        <v>146</v>
      </c>
      <c r="C2" s="2" t="s">
        <v>1478</v>
      </c>
      <c r="D2" s="9">
        <f>AVERAGE(N9,N14,N52,N63,N22,N69,N29,N38,N47,N80)</f>
        <v>141.74667440623602</v>
      </c>
      <c r="E2" s="10" t="s">
        <v>0</v>
      </c>
      <c r="F2" s="11">
        <f>F1/D1</f>
        <v>34.650310027337767</v>
      </c>
      <c r="G2" s="1" t="s">
        <v>1479</v>
      </c>
      <c r="H2" s="312">
        <f>COUNT(H5:H80)</f>
        <v>13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SUM(Y9+Y14+Y22+Y29+Y38+Y47+Y52+Y63+Y69+Y80)</f>
        <v>0</v>
      </c>
      <c r="Z2" s="12">
        <f>SUM(Z9+Z14+Z22+Z29+Z38+Z47+Z52+Z63+Z69+Z80)</f>
        <v>0</v>
      </c>
      <c r="AA2" s="661"/>
      <c r="AB2" s="661"/>
      <c r="AC2" s="12">
        <f>SUM(AC9+AC14+AC22+AC29+AC38+AC47+AC52+AC63+AC69+AC80)</f>
        <v>66</v>
      </c>
      <c r="AD2" s="12">
        <f>SUM(AD9+AD14+AD22+AD29+AD38+AD47+AD52+AD63+AD69+AD80)</f>
        <v>0</v>
      </c>
      <c r="AE2" s="662"/>
      <c r="AF2" s="662"/>
      <c r="AG2" s="662"/>
    </row>
    <row r="3" spans="1:33" ht="40.5" customHeight="1">
      <c r="A3" s="610" t="s">
        <v>1480</v>
      </c>
      <c r="B3" s="610" t="s">
        <v>1481</v>
      </c>
      <c r="C3" s="610" t="s">
        <v>1482</v>
      </c>
      <c r="D3" s="610"/>
      <c r="E3" s="658" t="s">
        <v>1483</v>
      </c>
      <c r="F3" s="610" t="s">
        <v>1484</v>
      </c>
      <c r="G3" s="658" t="s">
        <v>1485</v>
      </c>
      <c r="H3" s="651" t="s">
        <v>1486</v>
      </c>
      <c r="I3" s="649" t="s">
        <v>1487</v>
      </c>
      <c r="J3" s="646" t="s">
        <v>1488</v>
      </c>
      <c r="K3" s="656" t="s">
        <v>1478</v>
      </c>
      <c r="L3" s="649" t="s">
        <v>1487</v>
      </c>
      <c r="M3" s="646" t="s">
        <v>1488</v>
      </c>
      <c r="N3" s="656" t="s">
        <v>1478</v>
      </c>
      <c r="O3" s="649" t="s">
        <v>1489</v>
      </c>
      <c r="P3" s="656" t="s">
        <v>1478</v>
      </c>
      <c r="Q3" s="647" t="s">
        <v>1490</v>
      </c>
      <c r="R3" s="623" t="s">
        <v>1491</v>
      </c>
      <c r="S3" s="610" t="s">
        <v>1</v>
      </c>
      <c r="T3" s="610"/>
      <c r="U3" s="651" t="s">
        <v>2</v>
      </c>
      <c r="V3" s="651" t="s">
        <v>1492</v>
      </c>
      <c r="W3" s="610" t="s">
        <v>1493</v>
      </c>
      <c r="X3" s="610"/>
      <c r="Y3" s="652" t="s">
        <v>1494</v>
      </c>
      <c r="Z3" s="609"/>
      <c r="AA3" s="653" t="s">
        <v>1495</v>
      </c>
      <c r="AB3" s="654"/>
      <c r="AC3" s="652" t="s">
        <v>1496</v>
      </c>
      <c r="AD3" s="609"/>
      <c r="AE3" s="646" t="s">
        <v>1497</v>
      </c>
      <c r="AF3" s="647" t="s">
        <v>1490</v>
      </c>
      <c r="AG3" s="623" t="s">
        <v>1491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314" t="s">
        <v>3</v>
      </c>
      <c r="T4" s="314" t="s">
        <v>4</v>
      </c>
      <c r="U4" s="651"/>
      <c r="V4" s="651"/>
      <c r="W4" s="314" t="s">
        <v>1498</v>
      </c>
      <c r="X4" s="314" t="s">
        <v>1499</v>
      </c>
      <c r="Y4" s="317" t="s">
        <v>1500</v>
      </c>
      <c r="Z4" s="317" t="s">
        <v>1501</v>
      </c>
      <c r="AA4" s="655"/>
      <c r="AB4" s="654"/>
      <c r="AC4" s="317" t="s">
        <v>1502</v>
      </c>
      <c r="AD4" s="317" t="s">
        <v>1503</v>
      </c>
      <c r="AE4" s="646"/>
      <c r="AF4" s="647"/>
      <c r="AG4" s="623"/>
    </row>
    <row r="5" spans="1:33">
      <c r="A5" s="648" t="s">
        <v>1504</v>
      </c>
      <c r="B5" s="33" t="s">
        <v>6</v>
      </c>
      <c r="C5" s="650" t="s">
        <v>7</v>
      </c>
      <c r="D5" s="650"/>
      <c r="E5" s="33">
        <v>50.92</v>
      </c>
      <c r="F5" s="318">
        <v>2536</v>
      </c>
      <c r="G5" s="314">
        <f t="shared" ref="G5:G8" si="0">E5*F5</f>
        <v>129133.12000000001</v>
      </c>
      <c r="H5" s="319" t="s">
        <v>5</v>
      </c>
      <c r="I5" s="313">
        <v>15</v>
      </c>
      <c r="J5" s="30">
        <v>2000</v>
      </c>
      <c r="K5" s="13">
        <f t="shared" ref="K5:K68" si="1">J5/I5</f>
        <v>133.33333333333334</v>
      </c>
      <c r="L5" s="313">
        <v>15</v>
      </c>
      <c r="M5" s="14">
        <f t="shared" ref="M5:M8" si="2">F5/V5*60</f>
        <v>1901.9999999999993</v>
      </c>
      <c r="N5" s="13">
        <f t="shared" ref="N5:N68" si="3">M5/L5</f>
        <v>126.79999999999995</v>
      </c>
      <c r="O5" s="15">
        <f t="shared" ref="O5:O68" si="4">L5-I5</f>
        <v>0</v>
      </c>
      <c r="P5" s="16">
        <f t="shared" ref="P5:P68" si="5">N5-K5</f>
        <v>-6.5333333333333883</v>
      </c>
      <c r="Q5" s="315">
        <f t="shared" ref="Q5:Q68" si="6">N5/K5</f>
        <v>0.95099999999999962</v>
      </c>
      <c r="R5" s="619">
        <f>Q9</f>
        <v>0.95702538534879966</v>
      </c>
      <c r="S5" s="31">
        <v>0.70833333333333337</v>
      </c>
      <c r="T5" s="31">
        <v>0.76388888888888895</v>
      </c>
      <c r="U5" s="314"/>
      <c r="V5" s="316">
        <f t="shared" ref="V5:V8" si="7">(T5-S5)*24*60</f>
        <v>80.000000000000028</v>
      </c>
      <c r="W5" s="17"/>
      <c r="X5" s="17"/>
      <c r="Y5" s="18"/>
      <c r="Z5" s="18"/>
      <c r="AA5" s="610"/>
      <c r="AB5" s="610"/>
      <c r="AC5" s="155">
        <v>4</v>
      </c>
      <c r="AD5" s="19"/>
      <c r="AE5" s="15">
        <f t="shared" ref="AE5:AE62" si="8">M5-J5</f>
        <v>-98.000000000000682</v>
      </c>
      <c r="AF5" s="315">
        <f t="shared" ref="AF5:AF68" si="9">M5/J5</f>
        <v>0.95099999999999962</v>
      </c>
      <c r="AG5" s="619">
        <f>AF9</f>
        <v>0.95702538534879977</v>
      </c>
    </row>
    <row r="6" spans="1:33">
      <c r="A6" s="649" t="s">
        <v>1504</v>
      </c>
      <c r="B6" s="33" t="s">
        <v>6</v>
      </c>
      <c r="C6" s="650" t="s">
        <v>8</v>
      </c>
      <c r="D6" s="650"/>
      <c r="E6" s="33">
        <v>50.98</v>
      </c>
      <c r="F6" s="318">
        <v>1000</v>
      </c>
      <c r="G6" s="314">
        <f t="shared" si="0"/>
        <v>50980</v>
      </c>
      <c r="H6" s="319">
        <v>2</v>
      </c>
      <c r="I6" s="313">
        <v>16</v>
      </c>
      <c r="J6" s="30">
        <v>2000</v>
      </c>
      <c r="K6" s="13">
        <f t="shared" si="1"/>
        <v>125</v>
      </c>
      <c r="L6" s="313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315">
        <f t="shared" si="6"/>
        <v>0.96774193548386944</v>
      </c>
      <c r="R6" s="619"/>
      <c r="S6" s="31">
        <v>0.76875000000000004</v>
      </c>
      <c r="T6" s="31">
        <v>0.79027777777777786</v>
      </c>
      <c r="U6" s="314">
        <f t="shared" ref="U6:U8" si="10">IF(S6=TIME(17,0,0),"",(S6-T5)*24*60)</f>
        <v>6.9999999999999751</v>
      </c>
      <c r="V6" s="316">
        <f t="shared" si="7"/>
        <v>31.00000000000005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-64.516129032261006</v>
      </c>
      <c r="AF6" s="315">
        <f t="shared" si="9"/>
        <v>0.96774193548386944</v>
      </c>
      <c r="AG6" s="619"/>
    </row>
    <row r="7" spans="1:33">
      <c r="A7" s="649" t="s">
        <v>1504</v>
      </c>
      <c r="B7" s="33" t="s">
        <v>6</v>
      </c>
      <c r="C7" s="641" t="s">
        <v>25</v>
      </c>
      <c r="D7" s="642"/>
      <c r="E7" s="33">
        <v>56.43</v>
      </c>
      <c r="F7" s="318">
        <v>1332</v>
      </c>
      <c r="G7" s="314">
        <f t="shared" si="0"/>
        <v>75164.759999999995</v>
      </c>
      <c r="H7" s="319" t="s">
        <v>5</v>
      </c>
      <c r="I7" s="313">
        <v>13</v>
      </c>
      <c r="J7" s="30">
        <v>2000</v>
      </c>
      <c r="K7" s="13">
        <f t="shared" si="1"/>
        <v>153.84615384615384</v>
      </c>
      <c r="L7" s="313">
        <v>13</v>
      </c>
      <c r="M7" s="14">
        <f t="shared" si="2"/>
        <v>1902.8571428571422</v>
      </c>
      <c r="N7" s="13">
        <f t="shared" si="3"/>
        <v>146.37362637362634</v>
      </c>
      <c r="O7" s="15">
        <f t="shared" si="4"/>
        <v>0</v>
      </c>
      <c r="P7" s="16">
        <f t="shared" si="5"/>
        <v>-7.4725274725275028</v>
      </c>
      <c r="Q7" s="315">
        <f t="shared" si="6"/>
        <v>0.95142857142857118</v>
      </c>
      <c r="R7" s="619"/>
      <c r="S7" s="31">
        <v>0.79375000000000007</v>
      </c>
      <c r="T7" s="31">
        <v>0.82291666666666674</v>
      </c>
      <c r="U7" s="314">
        <f t="shared" si="10"/>
        <v>4.9999999999999822</v>
      </c>
      <c r="V7" s="316">
        <f t="shared" si="7"/>
        <v>42.000000000000014</v>
      </c>
      <c r="W7" s="17">
        <f>T7</f>
        <v>0.82291666666666674</v>
      </c>
      <c r="X7" s="17">
        <f>S8</f>
        <v>0.86250000000000004</v>
      </c>
      <c r="Y7" s="20"/>
      <c r="Z7" s="20"/>
      <c r="AA7" s="614"/>
      <c r="AB7" s="615"/>
      <c r="AC7" s="155"/>
      <c r="AD7" s="21"/>
      <c r="AE7" s="15">
        <f t="shared" si="8"/>
        <v>-97.142857142857792</v>
      </c>
      <c r="AF7" s="315">
        <f t="shared" si="9"/>
        <v>0.95142857142857107</v>
      </c>
      <c r="AG7" s="619"/>
    </row>
    <row r="8" spans="1:33">
      <c r="A8" s="649" t="s">
        <v>1505</v>
      </c>
      <c r="B8" s="33" t="s">
        <v>6</v>
      </c>
      <c r="C8" s="641" t="s">
        <v>8</v>
      </c>
      <c r="D8" s="642"/>
      <c r="E8" s="33">
        <v>50.98</v>
      </c>
      <c r="F8" s="318">
        <v>1852</v>
      </c>
      <c r="G8" s="314">
        <f t="shared" si="0"/>
        <v>94414.959999999992</v>
      </c>
      <c r="H8" s="319" t="s">
        <v>5</v>
      </c>
      <c r="I8" s="313">
        <v>16</v>
      </c>
      <c r="J8" s="30">
        <v>2000</v>
      </c>
      <c r="K8" s="13">
        <f t="shared" si="1"/>
        <v>125</v>
      </c>
      <c r="L8" s="313">
        <v>16</v>
      </c>
      <c r="M8" s="14">
        <f t="shared" si="2"/>
        <v>1915.8620689655186</v>
      </c>
      <c r="N8" s="13">
        <f t="shared" si="3"/>
        <v>119.74137931034491</v>
      </c>
      <c r="O8" s="15">
        <f t="shared" si="4"/>
        <v>0</v>
      </c>
      <c r="P8" s="16">
        <f t="shared" si="5"/>
        <v>-5.2586206896550891</v>
      </c>
      <c r="Q8" s="315">
        <f t="shared" si="6"/>
        <v>0.95793103448275929</v>
      </c>
      <c r="R8" s="619"/>
      <c r="S8" s="31">
        <v>0.86250000000000004</v>
      </c>
      <c r="T8" s="31">
        <v>0.90277777777777779</v>
      </c>
      <c r="U8" s="314">
        <f t="shared" si="10"/>
        <v>56.999999999999957</v>
      </c>
      <c r="V8" s="316">
        <f t="shared" si="7"/>
        <v>57.999999999999957</v>
      </c>
      <c r="W8" s="22"/>
      <c r="X8" s="22"/>
      <c r="Y8" s="94"/>
      <c r="Z8" s="94"/>
      <c r="AA8" s="614"/>
      <c r="AB8" s="615"/>
      <c r="AC8" s="155"/>
      <c r="AD8" s="21"/>
      <c r="AE8" s="15">
        <f t="shared" si="8"/>
        <v>-84.137931034481426</v>
      </c>
      <c r="AF8" s="315">
        <f t="shared" si="9"/>
        <v>0.95793103448275929</v>
      </c>
      <c r="AG8" s="619"/>
    </row>
    <row r="9" spans="1:33">
      <c r="A9" s="649" t="s">
        <v>1504</v>
      </c>
      <c r="B9" s="33" t="s">
        <v>1506</v>
      </c>
      <c r="C9" s="620"/>
      <c r="D9" s="620"/>
      <c r="E9" s="322"/>
      <c r="F9" s="34"/>
      <c r="G9" s="13"/>
      <c r="H9" s="318"/>
      <c r="I9" s="23">
        <v>15</v>
      </c>
      <c r="J9" s="30">
        <v>2000</v>
      </c>
      <c r="K9" s="13">
        <f t="shared" si="1"/>
        <v>133.33333333333334</v>
      </c>
      <c r="L9" s="23">
        <v>15</v>
      </c>
      <c r="M9" s="14">
        <f>AVERAGE(M5:M8)</f>
        <v>1914.0507706975995</v>
      </c>
      <c r="N9" s="13">
        <f t="shared" si="3"/>
        <v>127.6033847131733</v>
      </c>
      <c r="O9" s="15">
        <f t="shared" si="4"/>
        <v>0</v>
      </c>
      <c r="P9" s="16">
        <f t="shared" si="5"/>
        <v>-5.7299486201600445</v>
      </c>
      <c r="Q9" s="315">
        <f t="shared" si="6"/>
        <v>0.95702538534879966</v>
      </c>
      <c r="R9" s="619"/>
      <c r="S9" s="31"/>
      <c r="T9" s="31"/>
      <c r="U9" s="314"/>
      <c r="V9" s="316"/>
      <c r="W9" s="13"/>
      <c r="X9" s="13"/>
      <c r="Y9" s="24">
        <f>SUM(Y5:Y8)</f>
        <v>0</v>
      </c>
      <c r="Z9" s="24">
        <f>SUM(Z5:Z8)</f>
        <v>0</v>
      </c>
      <c r="AA9" s="609"/>
      <c r="AB9" s="609"/>
      <c r="AC9" s="24">
        <v>4</v>
      </c>
      <c r="AD9" s="24">
        <f>SUM(AD5:AD8)</f>
        <v>0</v>
      </c>
      <c r="AE9" s="15">
        <f t="shared" si="8"/>
        <v>-85.949229302400454</v>
      </c>
      <c r="AF9" s="315">
        <f t="shared" si="9"/>
        <v>0.95702538534879977</v>
      </c>
      <c r="AG9" s="619"/>
    </row>
    <row r="10" spans="1:33" ht="15.75" customHeight="1">
      <c r="A10" s="645" t="s">
        <v>857</v>
      </c>
      <c r="B10" s="33" t="s">
        <v>10</v>
      </c>
      <c r="C10" s="641" t="s">
        <v>14</v>
      </c>
      <c r="D10" s="642"/>
      <c r="E10" s="33">
        <v>39.619999999999997</v>
      </c>
      <c r="F10" s="318">
        <v>3000</v>
      </c>
      <c r="G10" s="314">
        <f t="shared" ref="G10:G13" si="11">E10*F10</f>
        <v>118859.99999999999</v>
      </c>
      <c r="H10" s="319">
        <v>2</v>
      </c>
      <c r="I10" s="313">
        <v>19</v>
      </c>
      <c r="J10" s="30">
        <v>1500</v>
      </c>
      <c r="K10" s="13">
        <f t="shared" si="1"/>
        <v>78.94736842105263</v>
      </c>
      <c r="L10" s="313">
        <v>19</v>
      </c>
      <c r="M10" s="14">
        <f t="shared" ref="M10:M13" si="12">F10/V10*60</f>
        <v>1428.5714285714287</v>
      </c>
      <c r="N10" s="13">
        <f t="shared" si="3"/>
        <v>75.187969924812037</v>
      </c>
      <c r="O10" s="15">
        <f t="shared" si="4"/>
        <v>0</v>
      </c>
      <c r="P10" s="16">
        <f t="shared" si="5"/>
        <v>-3.7593984962405926</v>
      </c>
      <c r="Q10" s="315">
        <f t="shared" si="6"/>
        <v>0.95238095238095244</v>
      </c>
      <c r="R10" s="619">
        <f>Q14</f>
        <v>0.95674005351326197</v>
      </c>
      <c r="S10" s="31">
        <v>8.3333333333333329E-2</v>
      </c>
      <c r="T10" s="31">
        <v>0.17083333333333334</v>
      </c>
      <c r="U10" s="314"/>
      <c r="V10" s="316">
        <f t="shared" ref="V10:V13" si="13">(T10-S10)*24*60</f>
        <v>126</v>
      </c>
      <c r="W10" s="17">
        <f>T10</f>
        <v>0.17083333333333334</v>
      </c>
      <c r="X10" s="17">
        <f>S11</f>
        <v>0.18958333333333333</v>
      </c>
      <c r="Y10" s="17"/>
      <c r="Z10" s="17"/>
      <c r="AA10" s="610"/>
      <c r="AB10" s="610"/>
      <c r="AC10" s="155">
        <v>4</v>
      </c>
      <c r="AD10" s="19"/>
      <c r="AE10" s="15">
        <f t="shared" si="8"/>
        <v>-71.428571428571331</v>
      </c>
      <c r="AF10" s="315">
        <f t="shared" si="9"/>
        <v>0.95238095238095244</v>
      </c>
      <c r="AG10" s="619">
        <f>AF14</f>
        <v>0.95674005351326197</v>
      </c>
    </row>
    <row r="11" spans="1:33" ht="15.75" customHeight="1">
      <c r="A11" s="645" t="s">
        <v>857</v>
      </c>
      <c r="B11" s="33" t="s">
        <v>10</v>
      </c>
      <c r="C11" s="641" t="s">
        <v>11</v>
      </c>
      <c r="D11" s="642"/>
      <c r="E11" s="33">
        <v>39.799999999999997</v>
      </c>
      <c r="F11" s="318">
        <v>7320</v>
      </c>
      <c r="G11" s="314">
        <f t="shared" si="11"/>
        <v>291336</v>
      </c>
      <c r="H11" s="319" t="s">
        <v>5</v>
      </c>
      <c r="I11" s="313">
        <v>17</v>
      </c>
      <c r="J11" s="30">
        <v>1500</v>
      </c>
      <c r="K11" s="13">
        <f t="shared" si="1"/>
        <v>88.235294117647058</v>
      </c>
      <c r="L11" s="313">
        <v>17</v>
      </c>
      <c r="M11" s="14">
        <f t="shared" si="12"/>
        <v>1430.6188925081433</v>
      </c>
      <c r="N11" s="13">
        <f t="shared" si="3"/>
        <v>84.154052500479011</v>
      </c>
      <c r="O11" s="15">
        <f t="shared" si="4"/>
        <v>0</v>
      </c>
      <c r="P11" s="16">
        <f t="shared" si="5"/>
        <v>-4.0812416171680468</v>
      </c>
      <c r="Q11" s="315">
        <f t="shared" si="6"/>
        <v>0.95374592833876215</v>
      </c>
      <c r="R11" s="619"/>
      <c r="S11" s="31">
        <v>0.18958333333333333</v>
      </c>
      <c r="T11" s="31">
        <v>0.40277777777777779</v>
      </c>
      <c r="U11" s="314">
        <f t="shared" ref="U11:U13" si="14">IF(S11=TIME(17,0,0),"",(S11-T10)*24*60)</f>
        <v>26.999999999999986</v>
      </c>
      <c r="V11" s="316">
        <f t="shared" si="13"/>
        <v>307</v>
      </c>
      <c r="W11" s="17"/>
      <c r="X11" s="17"/>
      <c r="Y11" s="17"/>
      <c r="Z11" s="17"/>
      <c r="AA11" s="610"/>
      <c r="AB11" s="610"/>
      <c r="AC11" s="155"/>
      <c r="AD11" s="19"/>
      <c r="AE11" s="15">
        <f t="shared" si="8"/>
        <v>-69.38110749185671</v>
      </c>
      <c r="AF11" s="315">
        <f t="shared" si="9"/>
        <v>0.95374592833876215</v>
      </c>
      <c r="AG11" s="619"/>
    </row>
    <row r="12" spans="1:33" ht="15.75" customHeight="1">
      <c r="A12" s="645" t="s">
        <v>857</v>
      </c>
      <c r="B12" s="33" t="s">
        <v>10</v>
      </c>
      <c r="C12" s="641" t="s">
        <v>13</v>
      </c>
      <c r="D12" s="642"/>
      <c r="E12" s="33">
        <v>39.520000000000003</v>
      </c>
      <c r="F12" s="318">
        <v>2306</v>
      </c>
      <c r="G12" s="314">
        <f t="shared" si="11"/>
        <v>91133.12000000001</v>
      </c>
      <c r="H12" s="319" t="s">
        <v>5</v>
      </c>
      <c r="I12" s="313">
        <v>19</v>
      </c>
      <c r="J12" s="30">
        <v>1500</v>
      </c>
      <c r="K12" s="13">
        <f t="shared" si="1"/>
        <v>78.94736842105263</v>
      </c>
      <c r="L12" s="313">
        <v>19</v>
      </c>
      <c r="M12" s="14">
        <f t="shared" si="12"/>
        <v>1441.2500000000005</v>
      </c>
      <c r="N12" s="13">
        <f t="shared" si="3"/>
        <v>75.855263157894754</v>
      </c>
      <c r="O12" s="15">
        <f t="shared" si="4"/>
        <v>0</v>
      </c>
      <c r="P12" s="16">
        <f t="shared" si="5"/>
        <v>-3.092105263157876</v>
      </c>
      <c r="Q12" s="315">
        <f t="shared" si="6"/>
        <v>0.96083333333333354</v>
      </c>
      <c r="R12" s="619"/>
      <c r="S12" s="31">
        <v>0.40694444444444444</v>
      </c>
      <c r="T12" s="31">
        <v>0.47361111111111109</v>
      </c>
      <c r="U12" s="314">
        <f t="shared" si="14"/>
        <v>5.9999999999999787</v>
      </c>
      <c r="V12" s="316">
        <f t="shared" si="13"/>
        <v>95.999999999999972</v>
      </c>
      <c r="W12" s="17">
        <f>T12</f>
        <v>0.47361111111111109</v>
      </c>
      <c r="X12" s="17">
        <f>S13</f>
        <v>0.51458333333333328</v>
      </c>
      <c r="Y12" s="17"/>
      <c r="Z12" s="17"/>
      <c r="AA12" s="610"/>
      <c r="AB12" s="610"/>
      <c r="AC12" s="155"/>
      <c r="AD12" s="19"/>
      <c r="AE12" s="15">
        <f t="shared" si="8"/>
        <v>-58.749999999999545</v>
      </c>
      <c r="AF12" s="315">
        <f t="shared" si="9"/>
        <v>0.96083333333333365</v>
      </c>
      <c r="AG12" s="619"/>
    </row>
    <row r="13" spans="1:33" ht="15.75" customHeight="1">
      <c r="A13" s="645" t="s">
        <v>857</v>
      </c>
      <c r="B13" s="33" t="s">
        <v>10</v>
      </c>
      <c r="C13" s="641" t="s">
        <v>14</v>
      </c>
      <c r="D13" s="642"/>
      <c r="E13" s="33">
        <v>39.619999999999997</v>
      </c>
      <c r="F13" s="318">
        <v>1920</v>
      </c>
      <c r="G13" s="314">
        <f t="shared" si="11"/>
        <v>76070.399999999994</v>
      </c>
      <c r="H13" s="319" t="s">
        <v>5</v>
      </c>
      <c r="I13" s="313">
        <v>19</v>
      </c>
      <c r="J13" s="30">
        <v>1500</v>
      </c>
      <c r="K13" s="13">
        <f t="shared" si="1"/>
        <v>78.94736842105263</v>
      </c>
      <c r="L13" s="313">
        <v>19</v>
      </c>
      <c r="M13" s="14">
        <f t="shared" si="12"/>
        <v>1439.9999999999995</v>
      </c>
      <c r="N13" s="13">
        <f t="shared" si="3"/>
        <v>75.789473684210506</v>
      </c>
      <c r="O13" s="15">
        <f t="shared" si="4"/>
        <v>0</v>
      </c>
      <c r="P13" s="16">
        <f t="shared" si="5"/>
        <v>-3.157894736842124</v>
      </c>
      <c r="Q13" s="315">
        <f t="shared" si="6"/>
        <v>0.95999999999999974</v>
      </c>
      <c r="R13" s="619"/>
      <c r="S13" s="31">
        <v>0.51458333333333328</v>
      </c>
      <c r="T13" s="31">
        <v>0.57013888888888886</v>
      </c>
      <c r="U13" s="314">
        <f t="shared" si="14"/>
        <v>58.99999999999995</v>
      </c>
      <c r="V13" s="316">
        <f t="shared" si="13"/>
        <v>80.000000000000028</v>
      </c>
      <c r="W13" s="17"/>
      <c r="X13" s="17"/>
      <c r="Y13" s="17"/>
      <c r="Z13" s="17"/>
      <c r="AA13" s="614"/>
      <c r="AB13" s="615"/>
      <c r="AC13" s="155"/>
      <c r="AD13" s="19"/>
      <c r="AE13" s="15">
        <f t="shared" si="8"/>
        <v>-60.000000000000455</v>
      </c>
      <c r="AF13" s="315">
        <f t="shared" si="9"/>
        <v>0.95999999999999974</v>
      </c>
      <c r="AG13" s="619"/>
    </row>
    <row r="14" spans="1:33" ht="16.5" customHeight="1">
      <c r="A14" s="645" t="s">
        <v>857</v>
      </c>
      <c r="B14" s="33" t="s">
        <v>1326</v>
      </c>
      <c r="C14" s="620"/>
      <c r="D14" s="620"/>
      <c r="E14" s="322"/>
      <c r="F14" s="30"/>
      <c r="G14" s="14"/>
      <c r="H14" s="318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1435.1100802698929</v>
      </c>
      <c r="N14" s="13">
        <f t="shared" si="3"/>
        <v>77.573517852426647</v>
      </c>
      <c r="O14" s="15">
        <f t="shared" si="4"/>
        <v>0</v>
      </c>
      <c r="P14" s="16">
        <f t="shared" si="5"/>
        <v>-3.5075632286544334</v>
      </c>
      <c r="Q14" s="315">
        <f t="shared" si="6"/>
        <v>0.95674005351326197</v>
      </c>
      <c r="R14" s="619"/>
      <c r="S14" s="31"/>
      <c r="T14" s="31"/>
      <c r="U14" s="13"/>
      <c r="V14" s="316"/>
      <c r="W14" s="13"/>
      <c r="X14" s="13"/>
      <c r="Y14" s="24">
        <f>SUM(Y10:Y13)</f>
        <v>0</v>
      </c>
      <c r="Z14" s="24">
        <f>SUM(Z10:Z13)</f>
        <v>0</v>
      </c>
      <c r="AA14" s="609"/>
      <c r="AB14" s="609"/>
      <c r="AC14" s="24">
        <v>4</v>
      </c>
      <c r="AD14" s="24">
        <f>SUM(AD10:AD13)</f>
        <v>0</v>
      </c>
      <c r="AE14" s="15">
        <f t="shared" si="8"/>
        <v>-64.889919730107067</v>
      </c>
      <c r="AF14" s="315">
        <f t="shared" si="9"/>
        <v>0.95674005351326197</v>
      </c>
      <c r="AG14" s="619"/>
    </row>
    <row r="15" spans="1:33" ht="16.5" customHeight="1">
      <c r="A15" s="643" t="s">
        <v>1507</v>
      </c>
      <c r="B15" s="318" t="s">
        <v>15</v>
      </c>
      <c r="C15" s="635" t="s">
        <v>16</v>
      </c>
      <c r="D15" s="635"/>
      <c r="E15" s="33">
        <v>31.11</v>
      </c>
      <c r="F15" s="318">
        <v>2671</v>
      </c>
      <c r="G15" s="314">
        <f t="shared" ref="G15:G21" si="15">E15*F15</f>
        <v>83094.81</v>
      </c>
      <c r="H15" s="319" t="s">
        <v>5</v>
      </c>
      <c r="I15" s="313">
        <v>14</v>
      </c>
      <c r="J15" s="30">
        <v>2000</v>
      </c>
      <c r="K15" s="13">
        <f t="shared" si="1"/>
        <v>142.85714285714286</v>
      </c>
      <c r="L15" s="313">
        <v>14</v>
      </c>
      <c r="M15" s="14">
        <f t="shared" ref="M15:M21" si="16">F15/V15*60</f>
        <v>1907.8571428571422</v>
      </c>
      <c r="N15" s="13">
        <f t="shared" si="3"/>
        <v>136.2755102040816</v>
      </c>
      <c r="O15" s="15">
        <f t="shared" si="4"/>
        <v>0</v>
      </c>
      <c r="P15" s="16">
        <f t="shared" si="5"/>
        <v>-6.5816326530612628</v>
      </c>
      <c r="Q15" s="315">
        <f t="shared" si="6"/>
        <v>0.95392857142857113</v>
      </c>
      <c r="R15" s="619">
        <f>Q22</f>
        <v>0.96219500832567229</v>
      </c>
      <c r="S15" s="31">
        <v>0.25</v>
      </c>
      <c r="T15" s="31">
        <v>0.30833333333333335</v>
      </c>
      <c r="U15" s="314"/>
      <c r="V15" s="316">
        <f t="shared" ref="V15:V21" si="17">(T15-S15)*24*60</f>
        <v>84.000000000000028</v>
      </c>
      <c r="W15" s="17"/>
      <c r="X15" s="17"/>
      <c r="Y15" s="22"/>
      <c r="Z15" s="22"/>
      <c r="AA15" s="610"/>
      <c r="AB15" s="610"/>
      <c r="AC15" s="155">
        <v>7</v>
      </c>
      <c r="AD15" s="19"/>
      <c r="AE15" s="15">
        <f t="shared" si="8"/>
        <v>-92.142857142857792</v>
      </c>
      <c r="AF15" s="315">
        <f t="shared" si="9"/>
        <v>0.95392857142857113</v>
      </c>
      <c r="AG15" s="619">
        <f>AF22</f>
        <v>0.96219500832567229</v>
      </c>
    </row>
    <row r="16" spans="1:33" ht="16.5" customHeight="1">
      <c r="A16" s="644" t="s">
        <v>1507</v>
      </c>
      <c r="B16" s="318" t="s">
        <v>17</v>
      </c>
      <c r="C16" s="635" t="s">
        <v>18</v>
      </c>
      <c r="D16" s="635"/>
      <c r="E16" s="33">
        <v>41</v>
      </c>
      <c r="F16" s="318">
        <v>1850</v>
      </c>
      <c r="G16" s="314">
        <f t="shared" si="15"/>
        <v>75850</v>
      </c>
      <c r="H16" s="319" t="s">
        <v>5</v>
      </c>
      <c r="I16" s="313">
        <v>26</v>
      </c>
      <c r="J16" s="30">
        <v>1500</v>
      </c>
      <c r="K16" s="13">
        <f t="shared" si="1"/>
        <v>57.692307692307693</v>
      </c>
      <c r="L16" s="313">
        <v>26</v>
      </c>
      <c r="M16" s="14">
        <f t="shared" si="16"/>
        <v>1441.5584415584408</v>
      </c>
      <c r="N16" s="13">
        <f t="shared" si="3"/>
        <v>55.444555444555412</v>
      </c>
      <c r="O16" s="15">
        <f t="shared" si="4"/>
        <v>0</v>
      </c>
      <c r="P16" s="16">
        <f t="shared" si="5"/>
        <v>-2.2477522477522811</v>
      </c>
      <c r="Q16" s="315">
        <f t="shared" si="6"/>
        <v>0.96103896103896047</v>
      </c>
      <c r="R16" s="619"/>
      <c r="S16" s="31">
        <v>0.31180555555555556</v>
      </c>
      <c r="T16" s="31">
        <v>0.36527777777777781</v>
      </c>
      <c r="U16" s="314">
        <f t="shared" ref="U16:U21" si="18">IF(S16=TIME(17,0,0),"",(S16-T15)*24*60)</f>
        <v>4.9999999999999822</v>
      </c>
      <c r="V16" s="316">
        <f t="shared" si="17"/>
        <v>77.000000000000043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-58.441558441559209</v>
      </c>
      <c r="AF16" s="315">
        <f t="shared" si="9"/>
        <v>0.96103896103896058</v>
      </c>
      <c r="AG16" s="619"/>
    </row>
    <row r="17" spans="1:33" ht="16.5" customHeight="1">
      <c r="A17" s="644" t="s">
        <v>1507</v>
      </c>
      <c r="B17" s="318" t="s">
        <v>15</v>
      </c>
      <c r="C17" s="635" t="s">
        <v>76</v>
      </c>
      <c r="D17" s="635"/>
      <c r="E17" s="33">
        <v>68.88</v>
      </c>
      <c r="F17" s="318">
        <v>1361</v>
      </c>
      <c r="G17" s="314">
        <f t="shared" si="15"/>
        <v>93745.68</v>
      </c>
      <c r="H17" s="319" t="s">
        <v>5</v>
      </c>
      <c r="I17" s="313">
        <v>16</v>
      </c>
      <c r="J17" s="30">
        <v>2000</v>
      </c>
      <c r="K17" s="13">
        <f t="shared" si="1"/>
        <v>125</v>
      </c>
      <c r="L17" s="313">
        <v>16</v>
      </c>
      <c r="M17" s="14">
        <f t="shared" si="16"/>
        <v>1944.2857142857135</v>
      </c>
      <c r="N17" s="13">
        <f t="shared" si="3"/>
        <v>121.5178571428571</v>
      </c>
      <c r="O17" s="15">
        <f t="shared" si="4"/>
        <v>0</v>
      </c>
      <c r="P17" s="16">
        <f t="shared" si="5"/>
        <v>-3.4821428571429038</v>
      </c>
      <c r="Q17" s="315">
        <f t="shared" si="6"/>
        <v>0.97214285714285675</v>
      </c>
      <c r="R17" s="619"/>
      <c r="S17" s="31">
        <v>0.36875000000000002</v>
      </c>
      <c r="T17" s="31">
        <v>0.3979166666666667</v>
      </c>
      <c r="U17" s="314">
        <f t="shared" si="18"/>
        <v>4.9999999999999822</v>
      </c>
      <c r="V17" s="316">
        <f t="shared" si="17"/>
        <v>42.000000000000014</v>
      </c>
      <c r="W17" s="17"/>
      <c r="X17" s="17"/>
      <c r="Y17" s="17"/>
      <c r="Z17" s="17"/>
      <c r="AA17" s="610"/>
      <c r="AB17" s="610"/>
      <c r="AC17" s="155"/>
      <c r="AD17" s="19"/>
      <c r="AE17" s="15">
        <f t="shared" si="8"/>
        <v>-55.714285714286461</v>
      </c>
      <c r="AF17" s="315">
        <f t="shared" si="9"/>
        <v>0.97214285714285675</v>
      </c>
      <c r="AG17" s="619"/>
    </row>
    <row r="18" spans="1:33" ht="16.5" customHeight="1">
      <c r="A18" s="644" t="s">
        <v>1507</v>
      </c>
      <c r="B18" s="318" t="s">
        <v>10</v>
      </c>
      <c r="C18" s="635" t="s">
        <v>12</v>
      </c>
      <c r="D18" s="635"/>
      <c r="E18" s="33">
        <v>39.46</v>
      </c>
      <c r="F18" s="318">
        <v>2426</v>
      </c>
      <c r="G18" s="314">
        <f t="shared" si="15"/>
        <v>95729.96</v>
      </c>
      <c r="H18" s="319" t="s">
        <v>5</v>
      </c>
      <c r="I18" s="313">
        <v>15</v>
      </c>
      <c r="J18" s="30">
        <v>1500</v>
      </c>
      <c r="K18" s="13">
        <f t="shared" si="1"/>
        <v>100</v>
      </c>
      <c r="L18" s="313">
        <v>15</v>
      </c>
      <c r="M18" s="14">
        <f t="shared" si="16"/>
        <v>1427.0588235294124</v>
      </c>
      <c r="N18" s="13">
        <f t="shared" si="3"/>
        <v>95.13725490196083</v>
      </c>
      <c r="O18" s="15">
        <f t="shared" si="4"/>
        <v>0</v>
      </c>
      <c r="P18" s="16">
        <f t="shared" si="5"/>
        <v>-4.86274509803917</v>
      </c>
      <c r="Q18" s="315">
        <f t="shared" si="6"/>
        <v>0.95137254901960833</v>
      </c>
      <c r="R18" s="619"/>
      <c r="S18" s="31">
        <v>0.40208333333333335</v>
      </c>
      <c r="T18" s="31">
        <v>0.47291666666666665</v>
      </c>
      <c r="U18" s="314">
        <f t="shared" si="18"/>
        <v>5.9999999999999787</v>
      </c>
      <c r="V18" s="316">
        <f t="shared" si="17"/>
        <v>101.99999999999996</v>
      </c>
      <c r="W18" s="17"/>
      <c r="X18" s="17"/>
      <c r="Y18" s="17"/>
      <c r="Z18" s="17"/>
      <c r="AA18" s="610"/>
      <c r="AB18" s="610"/>
      <c r="AC18" s="155"/>
      <c r="AD18" s="19"/>
      <c r="AE18" s="15">
        <f t="shared" si="8"/>
        <v>-72.941176470587607</v>
      </c>
      <c r="AF18" s="315">
        <f t="shared" si="9"/>
        <v>0.95137254901960822</v>
      </c>
      <c r="AG18" s="619"/>
    </row>
    <row r="19" spans="1:33" ht="16.5" customHeight="1">
      <c r="A19" s="644" t="s">
        <v>1507</v>
      </c>
      <c r="B19" s="318" t="s">
        <v>6</v>
      </c>
      <c r="C19" s="635" t="s">
        <v>20</v>
      </c>
      <c r="D19" s="635"/>
      <c r="E19" s="33">
        <v>54.5</v>
      </c>
      <c r="F19" s="318">
        <v>1017</v>
      </c>
      <c r="G19" s="314">
        <f t="shared" si="15"/>
        <v>55426.5</v>
      </c>
      <c r="H19" s="319" t="s">
        <v>5</v>
      </c>
      <c r="I19" s="313">
        <v>19</v>
      </c>
      <c r="J19" s="30">
        <v>1500</v>
      </c>
      <c r="K19" s="13">
        <f t="shared" si="1"/>
        <v>78.94736842105263</v>
      </c>
      <c r="L19" s="313">
        <v>19</v>
      </c>
      <c r="M19" s="14">
        <f t="shared" si="16"/>
        <v>1452.8571428571422</v>
      </c>
      <c r="N19" s="13">
        <f t="shared" si="3"/>
        <v>76.466165413533801</v>
      </c>
      <c r="O19" s="15">
        <f t="shared" si="4"/>
        <v>0</v>
      </c>
      <c r="P19" s="16">
        <f t="shared" si="5"/>
        <v>-2.4812030075188289</v>
      </c>
      <c r="Q19" s="315">
        <f t="shared" si="6"/>
        <v>0.96857142857142819</v>
      </c>
      <c r="R19" s="619"/>
      <c r="S19" s="31">
        <v>0.70833333333333337</v>
      </c>
      <c r="T19" s="31">
        <v>0.73750000000000004</v>
      </c>
      <c r="U19" s="314" t="str">
        <f t="shared" si="18"/>
        <v/>
      </c>
      <c r="V19" s="316">
        <f t="shared" si="17"/>
        <v>42.000000000000014</v>
      </c>
      <c r="W19" s="17"/>
      <c r="X19" s="17"/>
      <c r="Y19" s="17"/>
      <c r="Z19" s="17"/>
      <c r="AA19" s="610"/>
      <c r="AB19" s="610"/>
      <c r="AC19" s="155"/>
      <c r="AD19" s="19"/>
      <c r="AE19" s="15">
        <f t="shared" si="8"/>
        <v>-47.142857142857792</v>
      </c>
      <c r="AF19" s="315">
        <f t="shared" si="9"/>
        <v>0.96857142857142808</v>
      </c>
      <c r="AG19" s="619"/>
    </row>
    <row r="20" spans="1:33" ht="16.5" customHeight="1">
      <c r="A20" s="644" t="s">
        <v>1507</v>
      </c>
      <c r="B20" s="318" t="s">
        <v>6</v>
      </c>
      <c r="C20" s="323" t="s">
        <v>19</v>
      </c>
      <c r="D20" s="324"/>
      <c r="E20" s="33">
        <v>50.67</v>
      </c>
      <c r="F20" s="318">
        <v>1901</v>
      </c>
      <c r="G20" s="314">
        <f t="shared" si="15"/>
        <v>96323.67</v>
      </c>
      <c r="H20" s="319" t="s">
        <v>5</v>
      </c>
      <c r="I20" s="313">
        <v>17</v>
      </c>
      <c r="J20" s="30">
        <v>2000</v>
      </c>
      <c r="K20" s="13">
        <f t="shared" si="1"/>
        <v>117.64705882352941</v>
      </c>
      <c r="L20" s="313">
        <v>17</v>
      </c>
      <c r="M20" s="14">
        <f t="shared" si="16"/>
        <v>1933.2203389830524</v>
      </c>
      <c r="N20" s="13">
        <f t="shared" si="3"/>
        <v>113.71884346959132</v>
      </c>
      <c r="O20" s="15">
        <f t="shared" si="4"/>
        <v>0</v>
      </c>
      <c r="P20" s="16">
        <f t="shared" si="5"/>
        <v>-3.9282153539380857</v>
      </c>
      <c r="Q20" s="315">
        <f t="shared" si="6"/>
        <v>0.96661016949152623</v>
      </c>
      <c r="R20" s="619"/>
      <c r="S20" s="31">
        <v>0.74097222222222225</v>
      </c>
      <c r="T20" s="31">
        <v>0.78194444444444444</v>
      </c>
      <c r="U20" s="314">
        <f t="shared" si="18"/>
        <v>4.9999999999999822</v>
      </c>
      <c r="V20" s="316">
        <f t="shared" si="17"/>
        <v>58.99999999999995</v>
      </c>
      <c r="W20" s="17"/>
      <c r="X20" s="17"/>
      <c r="Y20" s="20"/>
      <c r="Z20" s="20"/>
      <c r="AA20" s="320"/>
      <c r="AB20" s="321"/>
      <c r="AC20" s="155"/>
      <c r="AD20" s="19"/>
      <c r="AE20" s="15">
        <f t="shared" si="8"/>
        <v>-66.779661016947557</v>
      </c>
      <c r="AF20" s="315">
        <f t="shared" si="9"/>
        <v>0.96661016949152623</v>
      </c>
      <c r="AG20" s="619"/>
    </row>
    <row r="21" spans="1:33" ht="16.5" customHeight="1">
      <c r="A21" s="644" t="s">
        <v>1507</v>
      </c>
      <c r="B21" s="318" t="s">
        <v>6</v>
      </c>
      <c r="C21" s="323" t="s">
        <v>45</v>
      </c>
      <c r="D21" s="324"/>
      <c r="E21" s="33">
        <v>51.06</v>
      </c>
      <c r="F21" s="318">
        <v>3201</v>
      </c>
      <c r="G21" s="314">
        <f t="shared" si="15"/>
        <v>163443.06</v>
      </c>
      <c r="H21" s="319" t="s">
        <v>5</v>
      </c>
      <c r="I21" s="313">
        <v>13</v>
      </c>
      <c r="J21" s="30">
        <v>2000</v>
      </c>
      <c r="K21" s="13">
        <f t="shared" si="1"/>
        <v>153.84615384615384</v>
      </c>
      <c r="L21" s="313">
        <v>13</v>
      </c>
      <c r="M21" s="14">
        <f t="shared" si="16"/>
        <v>1920.6000000000008</v>
      </c>
      <c r="N21" s="13">
        <f t="shared" si="3"/>
        <v>147.73846153846159</v>
      </c>
      <c r="O21" s="15">
        <f t="shared" si="4"/>
        <v>0</v>
      </c>
      <c r="P21" s="16">
        <f t="shared" si="5"/>
        <v>-6.1076923076922469</v>
      </c>
      <c r="Q21" s="315">
        <f t="shared" si="6"/>
        <v>0.96030000000000038</v>
      </c>
      <c r="R21" s="619"/>
      <c r="S21" s="31">
        <v>0.78541666666666665</v>
      </c>
      <c r="T21" s="31">
        <v>0.85486111111111107</v>
      </c>
      <c r="U21" s="314">
        <f t="shared" si="18"/>
        <v>4.9999999999999822</v>
      </c>
      <c r="V21" s="316">
        <f t="shared" si="17"/>
        <v>99.999999999999972</v>
      </c>
      <c r="W21" s="17"/>
      <c r="X21" s="17"/>
      <c r="Y21" s="20"/>
      <c r="Z21" s="20"/>
      <c r="AA21" s="320"/>
      <c r="AB21" s="321"/>
      <c r="AC21" s="155"/>
      <c r="AD21" s="19"/>
      <c r="AE21" s="15">
        <f t="shared" si="8"/>
        <v>-79.399999999999181</v>
      </c>
      <c r="AF21" s="315">
        <f t="shared" si="9"/>
        <v>0.96030000000000038</v>
      </c>
      <c r="AG21" s="619"/>
    </row>
    <row r="22" spans="1:33" ht="16.5" customHeight="1">
      <c r="A22" s="644" t="s">
        <v>1507</v>
      </c>
      <c r="B22" s="33" t="s">
        <v>1326</v>
      </c>
      <c r="C22" s="620"/>
      <c r="D22" s="620"/>
      <c r="E22" s="322"/>
      <c r="F22" s="34"/>
      <c r="G22" s="13"/>
      <c r="H22" s="318"/>
      <c r="I22" s="23">
        <v>17.142857142857142</v>
      </c>
      <c r="J22" s="30">
        <v>1785.7142857142858</v>
      </c>
      <c r="K22" s="13">
        <f t="shared" si="1"/>
        <v>104.16666666666667</v>
      </c>
      <c r="L22" s="23">
        <v>17.142857142857142</v>
      </c>
      <c r="M22" s="14">
        <f>AVERAGE(M15:M21)</f>
        <v>1718.2053720101292</v>
      </c>
      <c r="N22" s="13">
        <f t="shared" si="3"/>
        <v>100.22864670059087</v>
      </c>
      <c r="O22" s="15">
        <f t="shared" si="4"/>
        <v>0</v>
      </c>
      <c r="P22" s="16">
        <f t="shared" si="5"/>
        <v>-3.9380199660757995</v>
      </c>
      <c r="Q22" s="315">
        <f t="shared" si="6"/>
        <v>0.96219500832567229</v>
      </c>
      <c r="R22" s="619"/>
      <c r="S22" s="31"/>
      <c r="T22" s="31"/>
      <c r="U22" s="314"/>
      <c r="V22" s="316"/>
      <c r="W22" s="13"/>
      <c r="X22" s="13"/>
      <c r="Y22" s="24">
        <f>SUM(Y15:Y21)</f>
        <v>0</v>
      </c>
      <c r="Z22" s="24">
        <f>SUM(Z15:Z21)</f>
        <v>0</v>
      </c>
      <c r="AA22" s="609"/>
      <c r="AB22" s="609"/>
      <c r="AC22" s="24">
        <v>7</v>
      </c>
      <c r="AD22" s="24">
        <f>SUM(AD15:AD21)</f>
        <v>0</v>
      </c>
      <c r="AE22" s="15">
        <f t="shared" si="8"/>
        <v>-67.508913704156612</v>
      </c>
      <c r="AF22" s="315">
        <f t="shared" si="9"/>
        <v>0.96219500832567229</v>
      </c>
      <c r="AG22" s="619"/>
    </row>
    <row r="23" spans="1:33" ht="15.75" customHeight="1">
      <c r="A23" s="637" t="s">
        <v>1319</v>
      </c>
      <c r="B23" s="33" t="s">
        <v>6</v>
      </c>
      <c r="C23" s="635" t="s">
        <v>22</v>
      </c>
      <c r="D23" s="635"/>
      <c r="E23" s="33">
        <v>50.67</v>
      </c>
      <c r="F23" s="318">
        <v>1826</v>
      </c>
      <c r="G23" s="314">
        <f t="shared" ref="G23:G28" si="19">E23*F23</f>
        <v>92523.42</v>
      </c>
      <c r="H23" s="319" t="s">
        <v>5</v>
      </c>
      <c r="I23" s="313">
        <v>17</v>
      </c>
      <c r="J23" s="30">
        <v>2000</v>
      </c>
      <c r="K23" s="13">
        <f t="shared" si="1"/>
        <v>117.64705882352941</v>
      </c>
      <c r="L23" s="313">
        <v>17</v>
      </c>
      <c r="M23" s="14">
        <f t="shared" ref="M23:M28" si="20">F23/V23*60</f>
        <v>1922.1052631578962</v>
      </c>
      <c r="N23" s="13">
        <f t="shared" si="3"/>
        <v>113.06501547987625</v>
      </c>
      <c r="O23" s="15">
        <f t="shared" si="4"/>
        <v>0</v>
      </c>
      <c r="P23" s="16">
        <f t="shared" si="5"/>
        <v>-4.5820433436531545</v>
      </c>
      <c r="Q23" s="315">
        <f t="shared" si="6"/>
        <v>0.96105263157894816</v>
      </c>
      <c r="R23" s="619">
        <f>Q29</f>
        <v>0.96012004499326575</v>
      </c>
      <c r="S23" s="31">
        <v>0.25</v>
      </c>
      <c r="T23" s="31">
        <v>0.2895833333333333</v>
      </c>
      <c r="U23" s="314"/>
      <c r="V23" s="316">
        <f t="shared" ref="V23:V28" si="21">(T23-S23)*24*60</f>
        <v>56.999999999999957</v>
      </c>
      <c r="W23" s="17"/>
      <c r="X23" s="17"/>
      <c r="Y23" s="22"/>
      <c r="Z23" s="22"/>
      <c r="AA23" s="610"/>
      <c r="AB23" s="610"/>
      <c r="AC23" s="155">
        <v>6</v>
      </c>
      <c r="AD23" s="19"/>
      <c r="AE23" s="15">
        <f t="shared" si="8"/>
        <v>-77.894736842103839</v>
      </c>
      <c r="AF23" s="315">
        <f t="shared" si="9"/>
        <v>0.96105263157894805</v>
      </c>
      <c r="AG23" s="619">
        <f>AF29</f>
        <v>0.96012004499326575</v>
      </c>
    </row>
    <row r="24" spans="1:33" ht="15.75" customHeight="1">
      <c r="A24" s="638" t="s">
        <v>1319</v>
      </c>
      <c r="B24" s="33" t="s">
        <v>6</v>
      </c>
      <c r="C24" s="635" t="s">
        <v>23</v>
      </c>
      <c r="D24" s="635"/>
      <c r="E24" s="33">
        <v>57.73</v>
      </c>
      <c r="F24" s="318">
        <v>2760</v>
      </c>
      <c r="G24" s="314">
        <f t="shared" si="19"/>
        <v>159334.79999999999</v>
      </c>
      <c r="H24" s="319" t="s">
        <v>5</v>
      </c>
      <c r="I24" s="313">
        <v>14</v>
      </c>
      <c r="J24" s="30">
        <v>2000</v>
      </c>
      <c r="K24" s="13">
        <f t="shared" si="1"/>
        <v>142.85714285714286</v>
      </c>
      <c r="L24" s="313">
        <v>14</v>
      </c>
      <c r="M24" s="14">
        <f t="shared" si="20"/>
        <v>1903.4482758620686</v>
      </c>
      <c r="N24" s="13">
        <f t="shared" si="3"/>
        <v>135.9605911330049</v>
      </c>
      <c r="O24" s="15">
        <f t="shared" si="4"/>
        <v>0</v>
      </c>
      <c r="P24" s="16">
        <f t="shared" si="5"/>
        <v>-6.8965517241379644</v>
      </c>
      <c r="Q24" s="315">
        <f t="shared" si="6"/>
        <v>0.95172413793103428</v>
      </c>
      <c r="R24" s="619"/>
      <c r="S24" s="31">
        <v>0.29513888888888884</v>
      </c>
      <c r="T24" s="31">
        <v>0.35555555555555551</v>
      </c>
      <c r="U24" s="314">
        <f t="shared" ref="U24:U28" si="22">IF(S24=TIME(17,0,0),"",(S24-T23)*24*60)</f>
        <v>7.9999999999999716</v>
      </c>
      <c r="V24" s="316">
        <f t="shared" si="21"/>
        <v>87.000000000000014</v>
      </c>
      <c r="W24" s="17"/>
      <c r="X24" s="314"/>
      <c r="Y24" s="314"/>
      <c r="Z24" s="314"/>
      <c r="AA24" s="610"/>
      <c r="AB24" s="610"/>
      <c r="AC24" s="155"/>
      <c r="AD24" s="19"/>
      <c r="AE24" s="15">
        <f t="shared" si="8"/>
        <v>-96.551724137931387</v>
      </c>
      <c r="AF24" s="315">
        <f t="shared" si="9"/>
        <v>0.95172413793103428</v>
      </c>
      <c r="AG24" s="619"/>
    </row>
    <row r="25" spans="1:33" ht="15.75" customHeight="1">
      <c r="A25" s="638" t="s">
        <v>1319</v>
      </c>
      <c r="B25" s="33" t="s">
        <v>6</v>
      </c>
      <c r="C25" s="635" t="s">
        <v>24</v>
      </c>
      <c r="D25" s="635"/>
      <c r="E25" s="33">
        <v>53.27</v>
      </c>
      <c r="F25" s="318">
        <v>1642</v>
      </c>
      <c r="G25" s="314">
        <f t="shared" si="19"/>
        <v>87469.340000000011</v>
      </c>
      <c r="H25" s="319" t="s">
        <v>5</v>
      </c>
      <c r="I25" s="313">
        <v>16</v>
      </c>
      <c r="J25" s="30">
        <v>2000</v>
      </c>
      <c r="K25" s="13">
        <f t="shared" si="1"/>
        <v>125</v>
      </c>
      <c r="L25" s="313">
        <v>16</v>
      </c>
      <c r="M25" s="14">
        <f t="shared" si="20"/>
        <v>1931.7647058823538</v>
      </c>
      <c r="N25" s="13">
        <f t="shared" si="3"/>
        <v>120.73529411764711</v>
      </c>
      <c r="O25" s="15">
        <f t="shared" si="4"/>
        <v>0</v>
      </c>
      <c r="P25" s="16">
        <f t="shared" si="5"/>
        <v>-4.2647058823528852</v>
      </c>
      <c r="Q25" s="315">
        <f t="shared" si="6"/>
        <v>0.96588235294117697</v>
      </c>
      <c r="R25" s="619"/>
      <c r="S25" s="31">
        <v>0.35902777777777772</v>
      </c>
      <c r="T25" s="31">
        <v>0.39444444444444438</v>
      </c>
      <c r="U25" s="314">
        <f t="shared" si="22"/>
        <v>4.9999999999999822</v>
      </c>
      <c r="V25" s="316">
        <f t="shared" si="21"/>
        <v>50.999999999999979</v>
      </c>
      <c r="W25" s="17"/>
      <c r="X25" s="314"/>
      <c r="Y25" s="314"/>
      <c r="Z25" s="314"/>
      <c r="AA25" s="610"/>
      <c r="AB25" s="610"/>
      <c r="AC25" s="155"/>
      <c r="AD25" s="19"/>
      <c r="AE25" s="15">
        <f t="shared" si="8"/>
        <v>-68.235294117646163</v>
      </c>
      <c r="AF25" s="315">
        <f t="shared" si="9"/>
        <v>0.96588235294117697</v>
      </c>
      <c r="AG25" s="619"/>
    </row>
    <row r="26" spans="1:33" ht="15.75" customHeight="1">
      <c r="A26" s="638" t="s">
        <v>1319</v>
      </c>
      <c r="B26" s="33" t="s">
        <v>6</v>
      </c>
      <c r="C26" s="635" t="s">
        <v>21</v>
      </c>
      <c r="D26" s="635"/>
      <c r="E26" s="33">
        <v>50.49</v>
      </c>
      <c r="F26" s="318">
        <v>2331</v>
      </c>
      <c r="G26" s="314">
        <f t="shared" si="19"/>
        <v>117692.19</v>
      </c>
      <c r="H26" s="319" t="s">
        <v>5</v>
      </c>
      <c r="I26" s="313">
        <v>15</v>
      </c>
      <c r="J26" s="30">
        <v>2000</v>
      </c>
      <c r="K26" s="13">
        <f t="shared" si="1"/>
        <v>133.33333333333334</v>
      </c>
      <c r="L26" s="313">
        <v>15</v>
      </c>
      <c r="M26" s="14">
        <f t="shared" si="20"/>
        <v>1915.8904109589025</v>
      </c>
      <c r="N26" s="13">
        <f t="shared" si="3"/>
        <v>127.72602739726017</v>
      </c>
      <c r="O26" s="15">
        <f t="shared" si="4"/>
        <v>0</v>
      </c>
      <c r="P26" s="16">
        <f t="shared" si="5"/>
        <v>-5.6073059360731747</v>
      </c>
      <c r="Q26" s="315">
        <f t="shared" si="6"/>
        <v>0.95794520547945117</v>
      </c>
      <c r="R26" s="619"/>
      <c r="S26" s="31">
        <v>0.70833333333333337</v>
      </c>
      <c r="T26" s="31">
        <v>0.75902777777777786</v>
      </c>
      <c r="U26" s="314" t="str">
        <f t="shared" si="22"/>
        <v/>
      </c>
      <c r="V26" s="316">
        <f t="shared" si="21"/>
        <v>73.000000000000057</v>
      </c>
      <c r="W26" s="17"/>
      <c r="X26" s="314"/>
      <c r="Y26" s="314"/>
      <c r="Z26" s="314"/>
      <c r="AA26" s="610"/>
      <c r="AB26" s="610"/>
      <c r="AC26" s="155"/>
      <c r="AD26" s="19"/>
      <c r="AE26" s="15">
        <f t="shared" si="8"/>
        <v>-84.109589041097479</v>
      </c>
      <c r="AF26" s="315">
        <f t="shared" si="9"/>
        <v>0.95794520547945128</v>
      </c>
      <c r="AG26" s="619"/>
    </row>
    <row r="27" spans="1:33" ht="15.75" customHeight="1">
      <c r="A27" s="638" t="s">
        <v>1319</v>
      </c>
      <c r="B27" s="33" t="s">
        <v>6</v>
      </c>
      <c r="C27" s="635" t="s">
        <v>26</v>
      </c>
      <c r="D27" s="635"/>
      <c r="E27" s="33">
        <v>54.09</v>
      </c>
      <c r="F27" s="318">
        <v>2219</v>
      </c>
      <c r="G27" s="314">
        <f t="shared" si="19"/>
        <v>120025.71</v>
      </c>
      <c r="H27" s="319" t="s">
        <v>5</v>
      </c>
      <c r="I27" s="313">
        <v>18</v>
      </c>
      <c r="J27" s="30">
        <v>2000</v>
      </c>
      <c r="K27" s="13">
        <f t="shared" si="1"/>
        <v>111.11111111111111</v>
      </c>
      <c r="L27" s="313">
        <v>18</v>
      </c>
      <c r="M27" s="14">
        <f t="shared" si="20"/>
        <v>1929.5652173913024</v>
      </c>
      <c r="N27" s="13">
        <f t="shared" si="3"/>
        <v>107.19806763285014</v>
      </c>
      <c r="O27" s="15">
        <f t="shared" si="4"/>
        <v>0</v>
      </c>
      <c r="P27" s="16">
        <f t="shared" si="5"/>
        <v>-3.913043478260974</v>
      </c>
      <c r="Q27" s="315">
        <f t="shared" si="6"/>
        <v>0.96478260869565124</v>
      </c>
      <c r="R27" s="619"/>
      <c r="S27" s="31">
        <v>0.76388888888888895</v>
      </c>
      <c r="T27" s="31">
        <v>0.81180555555555567</v>
      </c>
      <c r="U27" s="314">
        <f t="shared" si="22"/>
        <v>6.9999999999999751</v>
      </c>
      <c r="V27" s="316">
        <f t="shared" si="21"/>
        <v>69.000000000000071</v>
      </c>
      <c r="W27" s="17"/>
      <c r="X27" s="17"/>
      <c r="Y27" s="314"/>
      <c r="Z27" s="314"/>
      <c r="AA27" s="610"/>
      <c r="AB27" s="610"/>
      <c r="AC27" s="155"/>
      <c r="AD27" s="19"/>
      <c r="AE27" s="15">
        <f t="shared" si="8"/>
        <v>-70.43478260869756</v>
      </c>
      <c r="AF27" s="315">
        <f t="shared" si="9"/>
        <v>0.96478260869565124</v>
      </c>
      <c r="AG27" s="619"/>
    </row>
    <row r="28" spans="1:33" ht="15.75" customHeight="1">
      <c r="A28" s="638" t="s">
        <v>1319</v>
      </c>
      <c r="B28" s="33" t="s">
        <v>6</v>
      </c>
      <c r="C28" s="635" t="s">
        <v>9</v>
      </c>
      <c r="D28" s="635"/>
      <c r="E28" s="33">
        <v>50.67</v>
      </c>
      <c r="F28" s="318">
        <v>1439</v>
      </c>
      <c r="G28" s="314">
        <f t="shared" si="19"/>
        <v>72914.13</v>
      </c>
      <c r="H28" s="319" t="s">
        <v>5</v>
      </c>
      <c r="I28" s="313">
        <v>15</v>
      </c>
      <c r="J28" s="30">
        <v>2000</v>
      </c>
      <c r="K28" s="13">
        <f t="shared" si="1"/>
        <v>133.33333333333334</v>
      </c>
      <c r="L28" s="313">
        <v>15</v>
      </c>
      <c r="M28" s="14">
        <f t="shared" si="20"/>
        <v>1918.6666666666667</v>
      </c>
      <c r="N28" s="13">
        <f t="shared" si="3"/>
        <v>127.91111111111111</v>
      </c>
      <c r="O28" s="15">
        <f t="shared" si="4"/>
        <v>0</v>
      </c>
      <c r="P28" s="16">
        <f t="shared" si="5"/>
        <v>-5.4222222222222314</v>
      </c>
      <c r="Q28" s="315">
        <f t="shared" si="6"/>
        <v>0.95933333333333326</v>
      </c>
      <c r="R28" s="619"/>
      <c r="S28" s="31">
        <v>0.8173611111111112</v>
      </c>
      <c r="T28" s="31">
        <v>0.8486111111111112</v>
      </c>
      <c r="U28" s="314">
        <f t="shared" si="22"/>
        <v>7.9999999999999716</v>
      </c>
      <c r="V28" s="316">
        <f t="shared" si="21"/>
        <v>45</v>
      </c>
      <c r="W28" s="17"/>
      <c r="X28" s="22"/>
      <c r="Y28" s="22"/>
      <c r="Z28" s="22"/>
      <c r="AA28" s="610"/>
      <c r="AB28" s="610"/>
      <c r="AC28" s="155"/>
      <c r="AD28" s="19"/>
      <c r="AE28" s="15">
        <f t="shared" si="8"/>
        <v>-81.333333333333258</v>
      </c>
      <c r="AF28" s="315">
        <f t="shared" si="9"/>
        <v>0.95933333333333337</v>
      </c>
      <c r="AG28" s="619"/>
    </row>
    <row r="29" spans="1:33" ht="15.75" customHeight="1">
      <c r="A29" s="638" t="s">
        <v>1319</v>
      </c>
      <c r="B29" s="33" t="s">
        <v>1326</v>
      </c>
      <c r="C29" s="620"/>
      <c r="D29" s="620"/>
      <c r="E29" s="322"/>
      <c r="F29" s="318"/>
      <c r="G29" s="314"/>
      <c r="H29" s="318"/>
      <c r="I29" s="23">
        <v>15.833333333333334</v>
      </c>
      <c r="J29" s="30">
        <v>2000</v>
      </c>
      <c r="K29" s="13">
        <f t="shared" si="1"/>
        <v>126.31578947368421</v>
      </c>
      <c r="L29" s="23">
        <v>15.833333333333334</v>
      </c>
      <c r="M29" s="14">
        <f>AVERAGE(M23:M28)</f>
        <v>1920.2400899865315</v>
      </c>
      <c r="N29" s="13">
        <f t="shared" si="3"/>
        <v>121.27832147283357</v>
      </c>
      <c r="O29" s="15">
        <f t="shared" si="4"/>
        <v>0</v>
      </c>
      <c r="P29" s="16">
        <f t="shared" si="5"/>
        <v>-5.0374680008506374</v>
      </c>
      <c r="Q29" s="315">
        <f t="shared" si="6"/>
        <v>0.96012004499326575</v>
      </c>
      <c r="R29" s="619"/>
      <c r="S29" s="31"/>
      <c r="T29" s="31"/>
      <c r="U29" s="13"/>
      <c r="V29" s="316"/>
      <c r="W29" s="13"/>
      <c r="X29" s="13"/>
      <c r="Y29" s="24">
        <f>SUM(Y23:Y28)</f>
        <v>0</v>
      </c>
      <c r="Z29" s="24">
        <f>SUM(Z23:Z28)</f>
        <v>0</v>
      </c>
      <c r="AA29" s="609"/>
      <c r="AB29" s="609"/>
      <c r="AC29" s="24">
        <v>6</v>
      </c>
      <c r="AD29" s="24">
        <f>SUM(AD23:AD28)</f>
        <v>0</v>
      </c>
      <c r="AE29" s="15">
        <f t="shared" si="8"/>
        <v>-79.75991001346847</v>
      </c>
      <c r="AF29" s="315">
        <f t="shared" si="9"/>
        <v>0.96012004499326575</v>
      </c>
      <c r="AG29" s="619"/>
    </row>
    <row r="30" spans="1:33" ht="15.75" customHeight="1">
      <c r="A30" s="636" t="s">
        <v>1508</v>
      </c>
      <c r="B30" s="33" t="s">
        <v>27</v>
      </c>
      <c r="C30" s="635" t="s">
        <v>28</v>
      </c>
      <c r="D30" s="635"/>
      <c r="E30" s="33">
        <v>31.29</v>
      </c>
      <c r="F30" s="318">
        <v>6100</v>
      </c>
      <c r="G30" s="314">
        <f t="shared" ref="G30:G37" si="23">E30*F30</f>
        <v>190869</v>
      </c>
      <c r="H30" s="319">
        <v>2</v>
      </c>
      <c r="I30" s="313">
        <v>18</v>
      </c>
      <c r="J30" s="30">
        <v>2400</v>
      </c>
      <c r="K30" s="13">
        <f t="shared" si="1"/>
        <v>133.33333333333334</v>
      </c>
      <c r="L30" s="313">
        <v>18</v>
      </c>
      <c r="M30" s="14">
        <f t="shared" ref="M30:M37" si="24">F30/V30*60</f>
        <v>2287.5000000000005</v>
      </c>
      <c r="N30" s="13">
        <f t="shared" si="3"/>
        <v>127.08333333333336</v>
      </c>
      <c r="O30" s="15">
        <f t="shared" si="4"/>
        <v>0</v>
      </c>
      <c r="P30" s="16">
        <f t="shared" si="5"/>
        <v>-6.2499999999999858</v>
      </c>
      <c r="Q30" s="315">
        <f t="shared" si="6"/>
        <v>0.95312500000000011</v>
      </c>
      <c r="R30" s="619">
        <f>Q38</f>
        <v>0.95353348429589246</v>
      </c>
      <c r="S30" s="31">
        <v>8.3333333333333329E-2</v>
      </c>
      <c r="T30" s="31">
        <v>0.19444444444444442</v>
      </c>
      <c r="U30" s="314"/>
      <c r="V30" s="316">
        <f t="shared" ref="V30:V37" si="25">(T30-S30)*24*60</f>
        <v>159.99999999999997</v>
      </c>
      <c r="W30" s="17">
        <f>T30</f>
        <v>0.19444444444444442</v>
      </c>
      <c r="X30" s="17">
        <f>S31</f>
        <v>0.2159722222222222</v>
      </c>
      <c r="Y30" s="17"/>
      <c r="Z30" s="17"/>
      <c r="AA30" s="610"/>
      <c r="AB30" s="610"/>
      <c r="AC30" s="155">
        <v>8</v>
      </c>
      <c r="AD30" s="19"/>
      <c r="AE30" s="15">
        <f t="shared" si="8"/>
        <v>-112.49999999999955</v>
      </c>
      <c r="AF30" s="315">
        <f t="shared" si="9"/>
        <v>0.95312500000000022</v>
      </c>
      <c r="AG30" s="619">
        <f>AF38</f>
        <v>0.95353348429589246</v>
      </c>
    </row>
    <row r="31" spans="1:33" ht="15.75" customHeight="1">
      <c r="A31" s="636" t="s">
        <v>1508</v>
      </c>
      <c r="B31" s="33" t="s">
        <v>27</v>
      </c>
      <c r="C31" s="635" t="s">
        <v>29</v>
      </c>
      <c r="D31" s="635"/>
      <c r="E31" s="33">
        <v>26.37</v>
      </c>
      <c r="F31" s="318">
        <v>4300</v>
      </c>
      <c r="G31" s="314">
        <f t="shared" si="23"/>
        <v>113391</v>
      </c>
      <c r="H31" s="319">
        <v>2</v>
      </c>
      <c r="I31" s="313">
        <v>18</v>
      </c>
      <c r="J31" s="30">
        <v>2400</v>
      </c>
      <c r="K31" s="13">
        <f t="shared" si="1"/>
        <v>133.33333333333334</v>
      </c>
      <c r="L31" s="313">
        <v>18</v>
      </c>
      <c r="M31" s="14">
        <f t="shared" si="24"/>
        <v>2283.1858407079653</v>
      </c>
      <c r="N31" s="13">
        <f t="shared" si="3"/>
        <v>126.84365781710919</v>
      </c>
      <c r="O31" s="15">
        <f t="shared" si="4"/>
        <v>0</v>
      </c>
      <c r="P31" s="16">
        <f t="shared" si="5"/>
        <v>-6.4896755162241533</v>
      </c>
      <c r="Q31" s="315">
        <f t="shared" si="6"/>
        <v>0.95132743362831884</v>
      </c>
      <c r="R31" s="619"/>
      <c r="S31" s="31">
        <v>0.2159722222222222</v>
      </c>
      <c r="T31" s="31">
        <v>0.2944444444444444</v>
      </c>
      <c r="U31" s="314">
        <f t="shared" ref="U31:U37" si="26">(S31-T30)*24*60</f>
        <v>31.000000000000011</v>
      </c>
      <c r="V31" s="316">
        <f t="shared" si="25"/>
        <v>112.99999999999996</v>
      </c>
      <c r="W31" s="17"/>
      <c r="X31" s="17"/>
      <c r="Y31" s="17"/>
      <c r="Z31" s="17"/>
      <c r="AA31" s="610"/>
      <c r="AB31" s="610"/>
      <c r="AC31" s="155"/>
      <c r="AD31" s="19"/>
      <c r="AE31" s="15">
        <f t="shared" si="8"/>
        <v>-116.81415929203467</v>
      </c>
      <c r="AF31" s="315">
        <f t="shared" si="9"/>
        <v>0.95132743362831884</v>
      </c>
      <c r="AG31" s="619"/>
    </row>
    <row r="32" spans="1:33" ht="15.75" customHeight="1">
      <c r="A32" s="636" t="s">
        <v>1508</v>
      </c>
      <c r="B32" s="33" t="s">
        <v>27</v>
      </c>
      <c r="C32" s="635" t="s">
        <v>34</v>
      </c>
      <c r="D32" s="635"/>
      <c r="E32" s="33">
        <v>24.43</v>
      </c>
      <c r="F32" s="318">
        <v>5100</v>
      </c>
      <c r="G32" s="314">
        <f t="shared" si="23"/>
        <v>124593</v>
      </c>
      <c r="H32" s="319">
        <v>2</v>
      </c>
      <c r="I32" s="313">
        <v>14</v>
      </c>
      <c r="J32" s="30">
        <v>2400</v>
      </c>
      <c r="K32" s="13">
        <f t="shared" si="1"/>
        <v>171.42857142857142</v>
      </c>
      <c r="L32" s="313">
        <v>14</v>
      </c>
      <c r="M32" s="14">
        <f t="shared" si="24"/>
        <v>2283.5820895522388</v>
      </c>
      <c r="N32" s="13">
        <f t="shared" si="3"/>
        <v>163.11300639658847</v>
      </c>
      <c r="O32" s="15">
        <f t="shared" si="4"/>
        <v>0</v>
      </c>
      <c r="P32" s="16">
        <f t="shared" si="5"/>
        <v>-8.3155650319829419</v>
      </c>
      <c r="Q32" s="315">
        <f t="shared" si="6"/>
        <v>0.95149253731343286</v>
      </c>
      <c r="R32" s="619"/>
      <c r="S32" s="31">
        <v>0.29791666666666661</v>
      </c>
      <c r="T32" s="31">
        <v>0.39097222222222217</v>
      </c>
      <c r="U32" s="314">
        <f t="shared" si="26"/>
        <v>4.9999999999999822</v>
      </c>
      <c r="V32" s="316">
        <f t="shared" si="25"/>
        <v>134</v>
      </c>
      <c r="W32" s="17"/>
      <c r="X32" s="17"/>
      <c r="Y32" s="17"/>
      <c r="Z32" s="17"/>
      <c r="AA32" s="610"/>
      <c r="AB32" s="610"/>
      <c r="AC32" s="155"/>
      <c r="AD32" s="19"/>
      <c r="AE32" s="15">
        <f t="shared" si="8"/>
        <v>-116.41791044776119</v>
      </c>
      <c r="AF32" s="315">
        <f t="shared" si="9"/>
        <v>0.95149253731343286</v>
      </c>
      <c r="AG32" s="619"/>
    </row>
    <row r="33" spans="1:33" ht="15.75" customHeight="1">
      <c r="A33" s="636" t="s">
        <v>1508</v>
      </c>
      <c r="B33" s="33" t="s">
        <v>27</v>
      </c>
      <c r="C33" s="635" t="s">
        <v>75</v>
      </c>
      <c r="D33" s="635"/>
      <c r="E33" s="33">
        <v>25.98</v>
      </c>
      <c r="F33" s="318">
        <v>4459</v>
      </c>
      <c r="G33" s="314">
        <f t="shared" si="23"/>
        <v>115844.82</v>
      </c>
      <c r="H33" s="319" t="s">
        <v>5</v>
      </c>
      <c r="I33" s="313">
        <v>19</v>
      </c>
      <c r="J33" s="30">
        <v>2400</v>
      </c>
      <c r="K33" s="13">
        <f t="shared" si="1"/>
        <v>126.31578947368421</v>
      </c>
      <c r="L33" s="313">
        <v>19</v>
      </c>
      <c r="M33" s="14">
        <f t="shared" si="24"/>
        <v>2286.666666666667</v>
      </c>
      <c r="N33" s="13">
        <f t="shared" si="3"/>
        <v>120.35087719298247</v>
      </c>
      <c r="O33" s="15">
        <f t="shared" si="4"/>
        <v>0</v>
      </c>
      <c r="P33" s="16">
        <f t="shared" si="5"/>
        <v>-5.9649122807017392</v>
      </c>
      <c r="Q33" s="315">
        <f t="shared" si="6"/>
        <v>0.95277777777777795</v>
      </c>
      <c r="R33" s="619"/>
      <c r="S33" s="31">
        <v>0.39513888888888882</v>
      </c>
      <c r="T33" s="31">
        <v>0.47638888888888881</v>
      </c>
      <c r="U33" s="314">
        <f t="shared" si="26"/>
        <v>5.9999999999999787</v>
      </c>
      <c r="V33" s="316">
        <f t="shared" si="25"/>
        <v>116.99999999999999</v>
      </c>
      <c r="W33" s="17"/>
      <c r="X33" s="17"/>
      <c r="Y33" s="17"/>
      <c r="Z33" s="17"/>
      <c r="AA33" s="610"/>
      <c r="AB33" s="610"/>
      <c r="AC33" s="155"/>
      <c r="AD33" s="19"/>
      <c r="AE33" s="15">
        <f t="shared" si="8"/>
        <v>-113.33333333333303</v>
      </c>
      <c r="AF33" s="315">
        <f t="shared" si="9"/>
        <v>0.95277777777777795</v>
      </c>
      <c r="AG33" s="619"/>
    </row>
    <row r="34" spans="1:33" ht="15.75" customHeight="1">
      <c r="A34" s="636" t="s">
        <v>1508</v>
      </c>
      <c r="B34" s="33" t="s">
        <v>27</v>
      </c>
      <c r="C34" s="635" t="s">
        <v>55</v>
      </c>
      <c r="D34" s="635"/>
      <c r="E34" s="33">
        <v>23.89</v>
      </c>
      <c r="F34" s="318">
        <v>770</v>
      </c>
      <c r="G34" s="314">
        <f t="shared" si="23"/>
        <v>18395.3</v>
      </c>
      <c r="H34" s="319" t="s">
        <v>5</v>
      </c>
      <c r="I34" s="313">
        <v>13</v>
      </c>
      <c r="J34" s="30">
        <v>2400</v>
      </c>
      <c r="K34" s="13">
        <f t="shared" si="1"/>
        <v>184.61538461538461</v>
      </c>
      <c r="L34" s="313">
        <v>13</v>
      </c>
      <c r="M34" s="14">
        <f t="shared" si="24"/>
        <v>2309.9999999999991</v>
      </c>
      <c r="N34" s="13">
        <f t="shared" si="3"/>
        <v>177.69230769230762</v>
      </c>
      <c r="O34" s="15">
        <f t="shared" si="4"/>
        <v>0</v>
      </c>
      <c r="P34" s="16">
        <f t="shared" si="5"/>
        <v>-6.9230769230769909</v>
      </c>
      <c r="Q34" s="315">
        <f t="shared" si="6"/>
        <v>0.96249999999999958</v>
      </c>
      <c r="R34" s="619"/>
      <c r="S34" s="31">
        <v>0.4812499999999999</v>
      </c>
      <c r="T34" s="31">
        <v>0.4951388888888888</v>
      </c>
      <c r="U34" s="314">
        <f t="shared" si="26"/>
        <v>6.9999999999999751</v>
      </c>
      <c r="V34" s="316">
        <f t="shared" si="25"/>
        <v>20.000000000000007</v>
      </c>
      <c r="W34" s="17">
        <f>T34</f>
        <v>0.4951388888888888</v>
      </c>
      <c r="X34" s="17">
        <f>S35</f>
        <v>0.53402777777777766</v>
      </c>
      <c r="Y34" s="17"/>
      <c r="Z34" s="17"/>
      <c r="AA34" s="610"/>
      <c r="AB34" s="610"/>
      <c r="AC34" s="155"/>
      <c r="AD34" s="19"/>
      <c r="AE34" s="15">
        <f t="shared" si="8"/>
        <v>-90.000000000000909</v>
      </c>
      <c r="AF34" s="315">
        <f t="shared" si="9"/>
        <v>0.96249999999999958</v>
      </c>
      <c r="AG34" s="619"/>
    </row>
    <row r="35" spans="1:33" ht="15.75" customHeight="1">
      <c r="A35" s="636" t="s">
        <v>1508</v>
      </c>
      <c r="B35" s="33" t="s">
        <v>27</v>
      </c>
      <c r="C35" s="635" t="s">
        <v>34</v>
      </c>
      <c r="D35" s="635"/>
      <c r="E35" s="33">
        <v>24.43</v>
      </c>
      <c r="F35" s="318">
        <v>3959</v>
      </c>
      <c r="G35" s="314">
        <f t="shared" si="23"/>
        <v>96718.37</v>
      </c>
      <c r="H35" s="319" t="s">
        <v>5</v>
      </c>
      <c r="I35" s="313">
        <v>14</v>
      </c>
      <c r="J35" s="30">
        <v>2400</v>
      </c>
      <c r="K35" s="13">
        <f t="shared" si="1"/>
        <v>171.42857142857142</v>
      </c>
      <c r="L35" s="313">
        <v>14</v>
      </c>
      <c r="M35" s="14">
        <f t="shared" si="24"/>
        <v>2284.0384615384628</v>
      </c>
      <c r="N35" s="13">
        <f t="shared" si="3"/>
        <v>163.14560439560449</v>
      </c>
      <c r="O35" s="15">
        <f t="shared" si="4"/>
        <v>0</v>
      </c>
      <c r="P35" s="16">
        <f t="shared" si="5"/>
        <v>-8.2829670329669227</v>
      </c>
      <c r="Q35" s="315">
        <f t="shared" si="6"/>
        <v>0.95168269230769298</v>
      </c>
      <c r="R35" s="619"/>
      <c r="S35" s="31">
        <v>0.53402777777777766</v>
      </c>
      <c r="T35" s="31">
        <v>0.60624999999999984</v>
      </c>
      <c r="U35" s="314">
        <f t="shared" si="26"/>
        <v>55.999999999999957</v>
      </c>
      <c r="V35" s="316">
        <f t="shared" si="25"/>
        <v>103.99999999999994</v>
      </c>
      <c r="W35" s="17"/>
      <c r="X35" s="17"/>
      <c r="Y35" s="17"/>
      <c r="Z35" s="17"/>
      <c r="AA35" s="610"/>
      <c r="AB35" s="610"/>
      <c r="AC35" s="155"/>
      <c r="AD35" s="19"/>
      <c r="AE35" s="15">
        <f t="shared" si="8"/>
        <v>-115.9615384615372</v>
      </c>
      <c r="AF35" s="315">
        <f t="shared" si="9"/>
        <v>0.95168269230769287</v>
      </c>
      <c r="AG35" s="619"/>
    </row>
    <row r="36" spans="1:33" ht="15.75" customHeight="1">
      <c r="A36" s="636" t="s">
        <v>1508</v>
      </c>
      <c r="B36" s="33" t="s">
        <v>27</v>
      </c>
      <c r="C36" s="635" t="s">
        <v>28</v>
      </c>
      <c r="D36" s="635"/>
      <c r="E36" s="33">
        <v>31.29</v>
      </c>
      <c r="F36" s="318">
        <v>4646</v>
      </c>
      <c r="G36" s="314">
        <f t="shared" si="23"/>
        <v>145373.34</v>
      </c>
      <c r="H36" s="319" t="s">
        <v>5</v>
      </c>
      <c r="I36" s="313">
        <v>18</v>
      </c>
      <c r="J36" s="30">
        <v>2400</v>
      </c>
      <c r="K36" s="13">
        <f t="shared" si="1"/>
        <v>133.33333333333334</v>
      </c>
      <c r="L36" s="313">
        <v>18</v>
      </c>
      <c r="M36" s="14">
        <f t="shared" si="24"/>
        <v>2284.9180327868849</v>
      </c>
      <c r="N36" s="13">
        <f t="shared" si="3"/>
        <v>126.93989071038249</v>
      </c>
      <c r="O36" s="15">
        <f t="shared" si="4"/>
        <v>0</v>
      </c>
      <c r="P36" s="16">
        <f t="shared" si="5"/>
        <v>-6.3934426229508574</v>
      </c>
      <c r="Q36" s="315">
        <f t="shared" si="6"/>
        <v>0.95204918032786856</v>
      </c>
      <c r="R36" s="619"/>
      <c r="S36" s="31">
        <v>0.60972222222222205</v>
      </c>
      <c r="T36" s="31">
        <v>0.69444444444444431</v>
      </c>
      <c r="U36" s="314">
        <f t="shared" si="26"/>
        <v>4.9999999999999822</v>
      </c>
      <c r="V36" s="316">
        <f t="shared" si="25"/>
        <v>122.00000000000004</v>
      </c>
      <c r="W36" s="17"/>
      <c r="X36" s="17"/>
      <c r="Y36" s="17"/>
      <c r="Z36" s="17"/>
      <c r="AA36" s="610"/>
      <c r="AB36" s="610"/>
      <c r="AC36" s="155"/>
      <c r="AD36" s="19"/>
      <c r="AE36" s="15">
        <f t="shared" si="8"/>
        <v>-115.08196721311515</v>
      </c>
      <c r="AF36" s="315">
        <f t="shared" si="9"/>
        <v>0.95204918032786867</v>
      </c>
      <c r="AG36" s="619"/>
    </row>
    <row r="37" spans="1:33" ht="15.75" customHeight="1">
      <c r="A37" s="636" t="s">
        <v>1508</v>
      </c>
      <c r="B37" s="33" t="s">
        <v>27</v>
      </c>
      <c r="C37" s="323" t="s">
        <v>29</v>
      </c>
      <c r="D37" s="324"/>
      <c r="E37" s="33">
        <v>26.37</v>
      </c>
      <c r="F37" s="318">
        <v>3165</v>
      </c>
      <c r="G37" s="314">
        <f t="shared" si="23"/>
        <v>83461.05</v>
      </c>
      <c r="H37" s="319" t="s">
        <v>5</v>
      </c>
      <c r="I37" s="313">
        <v>18</v>
      </c>
      <c r="J37" s="30">
        <v>2400</v>
      </c>
      <c r="K37" s="13">
        <f t="shared" si="1"/>
        <v>133.33333333333334</v>
      </c>
      <c r="L37" s="313">
        <v>18</v>
      </c>
      <c r="M37" s="14">
        <f t="shared" si="24"/>
        <v>2287.9518072289152</v>
      </c>
      <c r="N37" s="13">
        <f t="shared" si="3"/>
        <v>127.10843373493974</v>
      </c>
      <c r="O37" s="15">
        <f t="shared" si="4"/>
        <v>0</v>
      </c>
      <c r="P37" s="16">
        <f t="shared" si="5"/>
        <v>-6.2248995983936055</v>
      </c>
      <c r="Q37" s="315">
        <f t="shared" si="6"/>
        <v>0.95331325301204795</v>
      </c>
      <c r="R37" s="619"/>
      <c r="S37" s="31">
        <v>0.6993055555555554</v>
      </c>
      <c r="T37" s="31">
        <v>0.75694444444444431</v>
      </c>
      <c r="U37" s="314">
        <f t="shared" si="26"/>
        <v>6.9999999999999751</v>
      </c>
      <c r="V37" s="316">
        <f t="shared" si="25"/>
        <v>83.000000000000028</v>
      </c>
      <c r="W37" s="17"/>
      <c r="X37" s="17"/>
      <c r="Y37" s="17"/>
      <c r="Z37" s="17"/>
      <c r="AA37" s="320"/>
      <c r="AB37" s="321"/>
      <c r="AC37" s="155"/>
      <c r="AD37" s="19"/>
      <c r="AE37" s="15">
        <f t="shared" si="8"/>
        <v>-112.04819277108481</v>
      </c>
      <c r="AF37" s="315">
        <f t="shared" si="9"/>
        <v>0.95331325301204795</v>
      </c>
      <c r="AG37" s="619"/>
    </row>
    <row r="38" spans="1:33" ht="15.75" customHeight="1">
      <c r="A38" s="636" t="s">
        <v>1508</v>
      </c>
      <c r="B38" s="33" t="s">
        <v>1326</v>
      </c>
      <c r="C38" s="620"/>
      <c r="D38" s="620"/>
      <c r="E38" s="322"/>
      <c r="F38" s="318"/>
      <c r="G38" s="314"/>
      <c r="H38" s="318"/>
      <c r="I38" s="23">
        <v>16.5</v>
      </c>
      <c r="J38" s="30">
        <v>2400</v>
      </c>
      <c r="K38" s="13">
        <f t="shared" si="1"/>
        <v>145.45454545454547</v>
      </c>
      <c r="L38" s="23">
        <v>16.5</v>
      </c>
      <c r="M38" s="14">
        <f>AVERAGE(M30:M37)</f>
        <v>2288.480362310142</v>
      </c>
      <c r="N38" s="13">
        <f t="shared" si="3"/>
        <v>138.69577953394801</v>
      </c>
      <c r="O38" s="15">
        <f t="shared" si="4"/>
        <v>0</v>
      </c>
      <c r="P38" s="16">
        <f t="shared" si="5"/>
        <v>-6.7587659205974546</v>
      </c>
      <c r="Q38" s="315">
        <f t="shared" si="6"/>
        <v>0.95353348429589246</v>
      </c>
      <c r="R38" s="619"/>
      <c r="S38" s="31"/>
      <c r="T38" s="31"/>
      <c r="U38" s="314"/>
      <c r="V38" s="316"/>
      <c r="W38" s="314"/>
      <c r="X38" s="314"/>
      <c r="Y38" s="24">
        <f>SUM(Y30:Y37)</f>
        <v>0</v>
      </c>
      <c r="Z38" s="24">
        <f>SUM(Z30:Z37)</f>
        <v>0</v>
      </c>
      <c r="AA38" s="609"/>
      <c r="AB38" s="609"/>
      <c r="AC38" s="24">
        <v>8</v>
      </c>
      <c r="AD38" s="24">
        <f>SUM(AD30:AD37)</f>
        <v>0</v>
      </c>
      <c r="AE38" s="15">
        <f t="shared" si="8"/>
        <v>-111.51963768985797</v>
      </c>
      <c r="AF38" s="315">
        <f t="shared" si="9"/>
        <v>0.95353348429589246</v>
      </c>
      <c r="AG38" s="619"/>
    </row>
    <row r="39" spans="1:33" ht="15.75" customHeight="1">
      <c r="A39" s="633" t="s">
        <v>1509</v>
      </c>
      <c r="B39" s="33" t="s">
        <v>27</v>
      </c>
      <c r="C39" s="611" t="s">
        <v>33</v>
      </c>
      <c r="D39" s="611"/>
      <c r="E39" s="33">
        <v>26.18</v>
      </c>
      <c r="F39" s="318">
        <v>4000</v>
      </c>
      <c r="G39" s="314">
        <f t="shared" ref="G39:G46" si="27">E39*F39</f>
        <v>104720</v>
      </c>
      <c r="H39" s="319">
        <v>2</v>
      </c>
      <c r="I39" s="313">
        <v>20</v>
      </c>
      <c r="J39" s="30">
        <v>2400</v>
      </c>
      <c r="K39" s="13">
        <f t="shared" si="1"/>
        <v>120</v>
      </c>
      <c r="L39" s="313">
        <v>20</v>
      </c>
      <c r="M39" s="14">
        <f t="shared" ref="M39:M46" si="28">F39/V39*60</f>
        <v>2285.7142857142858</v>
      </c>
      <c r="N39" s="13">
        <f t="shared" si="3"/>
        <v>114.28571428571429</v>
      </c>
      <c r="O39" s="15">
        <f t="shared" si="4"/>
        <v>0</v>
      </c>
      <c r="P39" s="16">
        <f t="shared" si="5"/>
        <v>-5.7142857142857082</v>
      </c>
      <c r="Q39" s="315">
        <f t="shared" si="6"/>
        <v>0.95238095238095244</v>
      </c>
      <c r="R39" s="619">
        <f>Q47</f>
        <v>0.95674584276539343</v>
      </c>
      <c r="S39" s="31">
        <v>8.3333333333333329E-2</v>
      </c>
      <c r="T39" s="31">
        <v>0.15625</v>
      </c>
      <c r="U39" s="314"/>
      <c r="V39" s="316">
        <f t="shared" ref="V39:V46" si="29">(T39-S39)*24*60</f>
        <v>105</v>
      </c>
      <c r="W39" s="22">
        <f>T39</f>
        <v>0.15625</v>
      </c>
      <c r="X39" s="22">
        <f>S40</f>
        <v>0.17777777777777778</v>
      </c>
      <c r="Y39" s="22"/>
      <c r="Z39" s="22"/>
      <c r="AA39" s="610"/>
      <c r="AB39" s="610"/>
      <c r="AC39" s="155">
        <v>8</v>
      </c>
      <c r="AD39" s="19"/>
      <c r="AE39" s="15">
        <f t="shared" si="8"/>
        <v>-114.28571428571422</v>
      </c>
      <c r="AF39" s="315">
        <f t="shared" si="9"/>
        <v>0.95238095238095244</v>
      </c>
      <c r="AG39" s="619">
        <f>AF47</f>
        <v>0.95674584276539343</v>
      </c>
    </row>
    <row r="40" spans="1:33" ht="15.75" customHeight="1">
      <c r="A40" s="633" t="s">
        <v>1509</v>
      </c>
      <c r="B40" s="33" t="s">
        <v>27</v>
      </c>
      <c r="C40" s="611" t="s">
        <v>30</v>
      </c>
      <c r="D40" s="611"/>
      <c r="E40" s="33">
        <v>26.18</v>
      </c>
      <c r="F40" s="318">
        <v>5200</v>
      </c>
      <c r="G40" s="314">
        <f t="shared" si="27"/>
        <v>136136</v>
      </c>
      <c r="H40" s="319">
        <v>2</v>
      </c>
      <c r="I40" s="313">
        <v>18</v>
      </c>
      <c r="J40" s="30">
        <v>2400</v>
      </c>
      <c r="K40" s="13">
        <f t="shared" si="1"/>
        <v>133.33333333333334</v>
      </c>
      <c r="L40" s="313">
        <v>18</v>
      </c>
      <c r="M40" s="14">
        <f t="shared" si="28"/>
        <v>2294.1176470588225</v>
      </c>
      <c r="N40" s="13">
        <f t="shared" si="3"/>
        <v>127.45098039215681</v>
      </c>
      <c r="O40" s="15">
        <f t="shared" si="4"/>
        <v>0</v>
      </c>
      <c r="P40" s="16">
        <f t="shared" si="5"/>
        <v>-5.882352941176535</v>
      </c>
      <c r="Q40" s="315">
        <f t="shared" si="6"/>
        <v>0.95588235294117596</v>
      </c>
      <c r="R40" s="619"/>
      <c r="S40" s="31">
        <v>0.17777777777777778</v>
      </c>
      <c r="T40" s="31">
        <v>0.27222222222222225</v>
      </c>
      <c r="U40" s="314">
        <f t="shared" ref="U40:U46" si="30">(S40-T39)*24*60</f>
        <v>31.000000000000011</v>
      </c>
      <c r="V40" s="316">
        <f t="shared" si="29"/>
        <v>136.00000000000006</v>
      </c>
      <c r="W40" s="314"/>
      <c r="X40" s="314"/>
      <c r="Y40" s="314"/>
      <c r="Z40" s="314"/>
      <c r="AA40" s="610"/>
      <c r="AB40" s="610"/>
      <c r="AC40" s="155"/>
      <c r="AD40" s="19"/>
      <c r="AE40" s="15">
        <f t="shared" si="8"/>
        <v>-105.88235294117749</v>
      </c>
      <c r="AF40" s="315">
        <f t="shared" si="9"/>
        <v>0.95588235294117607</v>
      </c>
      <c r="AG40" s="619"/>
    </row>
    <row r="41" spans="1:33">
      <c r="A41" s="634" t="s">
        <v>1509</v>
      </c>
      <c r="B41" s="33" t="s">
        <v>27</v>
      </c>
      <c r="C41" s="611" t="s">
        <v>35</v>
      </c>
      <c r="D41" s="611"/>
      <c r="E41" s="33">
        <v>34.1</v>
      </c>
      <c r="F41" s="318">
        <v>3500</v>
      </c>
      <c r="G41" s="314">
        <f t="shared" si="27"/>
        <v>119350</v>
      </c>
      <c r="H41" s="319">
        <v>2</v>
      </c>
      <c r="I41" s="313">
        <v>17</v>
      </c>
      <c r="J41" s="30">
        <v>1600</v>
      </c>
      <c r="K41" s="13">
        <f t="shared" si="1"/>
        <v>94.117647058823536</v>
      </c>
      <c r="L41" s="313">
        <v>17</v>
      </c>
      <c r="M41" s="14">
        <f t="shared" si="28"/>
        <v>1532.8467153284673</v>
      </c>
      <c r="N41" s="13">
        <f t="shared" si="3"/>
        <v>90.167453842851017</v>
      </c>
      <c r="O41" s="15">
        <f t="shared" si="4"/>
        <v>0</v>
      </c>
      <c r="P41" s="16">
        <f t="shared" si="5"/>
        <v>-3.9501932159725186</v>
      </c>
      <c r="Q41" s="315">
        <f t="shared" si="6"/>
        <v>0.95802919708029199</v>
      </c>
      <c r="R41" s="619"/>
      <c r="S41" s="31">
        <v>0.27708333333333335</v>
      </c>
      <c r="T41" s="31">
        <v>0.37222222222222223</v>
      </c>
      <c r="U41" s="314">
        <f t="shared" si="30"/>
        <v>6.9999999999999751</v>
      </c>
      <c r="V41" s="316">
        <f t="shared" si="29"/>
        <v>137</v>
      </c>
      <c r="W41" s="314"/>
      <c r="X41" s="314"/>
      <c r="Y41" s="314"/>
      <c r="Z41" s="314"/>
      <c r="AA41" s="610"/>
      <c r="AB41" s="610"/>
      <c r="AC41" s="155"/>
      <c r="AD41" s="19"/>
      <c r="AE41" s="15">
        <f t="shared" si="8"/>
        <v>-67.153284671532674</v>
      </c>
      <c r="AF41" s="315">
        <f t="shared" si="9"/>
        <v>0.95802919708029211</v>
      </c>
      <c r="AG41" s="619"/>
    </row>
    <row r="42" spans="1:33">
      <c r="A42" s="634" t="s">
        <v>1509</v>
      </c>
      <c r="B42" s="33" t="s">
        <v>27</v>
      </c>
      <c r="C42" s="611" t="s">
        <v>54</v>
      </c>
      <c r="D42" s="611"/>
      <c r="E42" s="33">
        <v>24.25</v>
      </c>
      <c r="F42" s="318">
        <v>2165</v>
      </c>
      <c r="G42" s="314">
        <f t="shared" si="27"/>
        <v>52501.25</v>
      </c>
      <c r="H42" s="319" t="s">
        <v>5</v>
      </c>
      <c r="I42" s="313">
        <v>16</v>
      </c>
      <c r="J42" s="30">
        <v>2400</v>
      </c>
      <c r="K42" s="13">
        <f t="shared" si="1"/>
        <v>150</v>
      </c>
      <c r="L42" s="313">
        <v>16</v>
      </c>
      <c r="M42" s="14">
        <f t="shared" si="28"/>
        <v>2319.6428571428587</v>
      </c>
      <c r="N42" s="13">
        <f t="shared" si="3"/>
        <v>144.97767857142867</v>
      </c>
      <c r="O42" s="15">
        <f t="shared" si="4"/>
        <v>0</v>
      </c>
      <c r="P42" s="16">
        <f t="shared" si="5"/>
        <v>-5.0223214285713311</v>
      </c>
      <c r="Q42" s="315">
        <f t="shared" si="6"/>
        <v>0.96651785714285776</v>
      </c>
      <c r="R42" s="619"/>
      <c r="S42" s="31">
        <v>0.37777777777777777</v>
      </c>
      <c r="T42" s="31">
        <v>0.41666666666666663</v>
      </c>
      <c r="U42" s="314">
        <f t="shared" si="30"/>
        <v>7.9999999999999716</v>
      </c>
      <c r="V42" s="316">
        <f t="shared" si="29"/>
        <v>55.999999999999957</v>
      </c>
      <c r="W42" s="17"/>
      <c r="X42" s="17"/>
      <c r="Y42" s="17"/>
      <c r="Z42" s="17"/>
      <c r="AA42" s="610"/>
      <c r="AB42" s="610"/>
      <c r="AC42" s="155"/>
      <c r="AD42" s="19"/>
      <c r="AE42" s="15">
        <f t="shared" si="8"/>
        <v>-80.357142857141298</v>
      </c>
      <c r="AF42" s="315">
        <f t="shared" si="9"/>
        <v>0.96651785714285776</v>
      </c>
      <c r="AG42" s="619"/>
    </row>
    <row r="43" spans="1:33">
      <c r="A43" s="634" t="s">
        <v>1509</v>
      </c>
      <c r="B43" s="33" t="s">
        <v>27</v>
      </c>
      <c r="C43" s="611" t="s">
        <v>32</v>
      </c>
      <c r="D43" s="611"/>
      <c r="E43" s="33">
        <v>25.99</v>
      </c>
      <c r="F43" s="318">
        <v>4256</v>
      </c>
      <c r="G43" s="314">
        <f t="shared" si="27"/>
        <v>110613.43999999999</v>
      </c>
      <c r="H43" s="319" t="s">
        <v>5</v>
      </c>
      <c r="I43" s="313">
        <v>14</v>
      </c>
      <c r="J43" s="30">
        <v>2400</v>
      </c>
      <c r="K43" s="13">
        <f t="shared" si="1"/>
        <v>171.42857142857142</v>
      </c>
      <c r="L43" s="313">
        <v>14</v>
      </c>
      <c r="M43" s="14">
        <f t="shared" si="28"/>
        <v>2300.5405405405404</v>
      </c>
      <c r="N43" s="13">
        <f t="shared" si="3"/>
        <v>164.32432432432432</v>
      </c>
      <c r="O43" s="15">
        <f t="shared" si="4"/>
        <v>0</v>
      </c>
      <c r="P43" s="16">
        <f t="shared" si="5"/>
        <v>-7.1042471042470936</v>
      </c>
      <c r="Q43" s="315">
        <f t="shared" si="6"/>
        <v>0.95855855855855865</v>
      </c>
      <c r="R43" s="619"/>
      <c r="S43" s="31">
        <v>0.42222222222222217</v>
      </c>
      <c r="T43" s="31">
        <v>0.4993055555555555</v>
      </c>
      <c r="U43" s="314">
        <f t="shared" si="30"/>
        <v>7.9999999999999716</v>
      </c>
      <c r="V43" s="316">
        <f t="shared" si="29"/>
        <v>111</v>
      </c>
      <c r="W43" s="17">
        <f>T43</f>
        <v>0.4993055555555555</v>
      </c>
      <c r="X43" s="17">
        <f>S44</f>
        <v>0.54027777777777775</v>
      </c>
      <c r="Y43" s="17"/>
      <c r="Z43" s="17"/>
      <c r="AA43" s="610"/>
      <c r="AB43" s="610"/>
      <c r="AC43" s="155"/>
      <c r="AD43" s="19"/>
      <c r="AE43" s="15">
        <f t="shared" si="8"/>
        <v>-99.459459459459595</v>
      </c>
      <c r="AF43" s="315">
        <f t="shared" si="9"/>
        <v>0.95855855855855854</v>
      </c>
      <c r="AG43" s="619"/>
    </row>
    <row r="44" spans="1:33">
      <c r="A44" s="634" t="s">
        <v>1509</v>
      </c>
      <c r="B44" s="33" t="s">
        <v>27</v>
      </c>
      <c r="C44" s="611" t="s">
        <v>35</v>
      </c>
      <c r="D44" s="611"/>
      <c r="E44" s="33">
        <v>34.1</v>
      </c>
      <c r="F44" s="318">
        <v>3548</v>
      </c>
      <c r="G44" s="314">
        <f t="shared" si="27"/>
        <v>120986.8</v>
      </c>
      <c r="H44" s="319" t="s">
        <v>5</v>
      </c>
      <c r="I44" s="313">
        <v>17</v>
      </c>
      <c r="J44" s="30">
        <v>1600</v>
      </c>
      <c r="K44" s="13">
        <f t="shared" si="1"/>
        <v>94.117647058823536</v>
      </c>
      <c r="L44" s="313">
        <v>17</v>
      </c>
      <c r="M44" s="14">
        <f t="shared" si="28"/>
        <v>1531.5107913669065</v>
      </c>
      <c r="N44" s="13">
        <f t="shared" si="3"/>
        <v>90.088870080406267</v>
      </c>
      <c r="O44" s="15">
        <f t="shared" si="4"/>
        <v>0</v>
      </c>
      <c r="P44" s="16">
        <f t="shared" si="5"/>
        <v>-4.0287769784172696</v>
      </c>
      <c r="Q44" s="315">
        <f t="shared" si="6"/>
        <v>0.95719424460431657</v>
      </c>
      <c r="R44" s="619"/>
      <c r="S44" s="31">
        <v>0.54027777777777775</v>
      </c>
      <c r="T44" s="31">
        <v>0.63680555555555551</v>
      </c>
      <c r="U44" s="314">
        <f t="shared" si="30"/>
        <v>59.000000000000028</v>
      </c>
      <c r="V44" s="316">
        <f t="shared" si="29"/>
        <v>139</v>
      </c>
      <c r="W44" s="17"/>
      <c r="X44" s="17"/>
      <c r="Y44" s="17"/>
      <c r="Z44" s="17"/>
      <c r="AA44" s="610"/>
      <c r="AB44" s="610"/>
      <c r="AC44" s="155"/>
      <c r="AD44" s="19"/>
      <c r="AE44" s="15">
        <f t="shared" si="8"/>
        <v>-68.48920863309354</v>
      </c>
      <c r="AF44" s="315">
        <f t="shared" si="9"/>
        <v>0.95719424460431657</v>
      </c>
      <c r="AG44" s="619"/>
    </row>
    <row r="45" spans="1:33">
      <c r="A45" s="634" t="s">
        <v>1509</v>
      </c>
      <c r="B45" s="33" t="s">
        <v>27</v>
      </c>
      <c r="C45" s="611" t="s">
        <v>30</v>
      </c>
      <c r="D45" s="611"/>
      <c r="E45" s="33">
        <v>26.18</v>
      </c>
      <c r="F45" s="318">
        <v>3936</v>
      </c>
      <c r="G45" s="314">
        <f t="shared" si="27"/>
        <v>103044.48</v>
      </c>
      <c r="H45" s="319" t="s">
        <v>5</v>
      </c>
      <c r="I45" s="313">
        <v>18</v>
      </c>
      <c r="J45" s="30">
        <v>2400</v>
      </c>
      <c r="K45" s="13">
        <f t="shared" si="1"/>
        <v>133.33333333333334</v>
      </c>
      <c r="L45" s="313">
        <v>18</v>
      </c>
      <c r="M45" s="14">
        <f t="shared" si="28"/>
        <v>2292.8155339805835</v>
      </c>
      <c r="N45" s="13">
        <f t="shared" si="3"/>
        <v>127.37864077669909</v>
      </c>
      <c r="O45" s="15">
        <f t="shared" si="4"/>
        <v>0</v>
      </c>
      <c r="P45" s="16">
        <f t="shared" si="5"/>
        <v>-5.9546925566342566</v>
      </c>
      <c r="Q45" s="315">
        <f t="shared" si="6"/>
        <v>0.95533980582524303</v>
      </c>
      <c r="R45" s="619"/>
      <c r="S45" s="31">
        <v>0.64166666666666661</v>
      </c>
      <c r="T45" s="31">
        <v>0.71319444444444435</v>
      </c>
      <c r="U45" s="314">
        <f t="shared" si="30"/>
        <v>6.9999999999999751</v>
      </c>
      <c r="V45" s="316">
        <f t="shared" si="29"/>
        <v>102.99999999999996</v>
      </c>
      <c r="W45" s="17"/>
      <c r="X45" s="17"/>
      <c r="Y45" s="20"/>
      <c r="Z45" s="20"/>
      <c r="AA45" s="614"/>
      <c r="AB45" s="615"/>
      <c r="AC45" s="155"/>
      <c r="AD45" s="19"/>
      <c r="AE45" s="15">
        <f t="shared" si="8"/>
        <v>-107.1844660194165</v>
      </c>
      <c r="AF45" s="315">
        <f t="shared" si="9"/>
        <v>0.95533980582524314</v>
      </c>
      <c r="AG45" s="619"/>
    </row>
    <row r="46" spans="1:33">
      <c r="A46" s="634" t="s">
        <v>1509</v>
      </c>
      <c r="B46" s="33" t="s">
        <v>27</v>
      </c>
      <c r="C46" s="611" t="s">
        <v>33</v>
      </c>
      <c r="D46" s="611"/>
      <c r="E46" s="33">
        <v>26.18</v>
      </c>
      <c r="F46" s="318">
        <v>2966</v>
      </c>
      <c r="G46" s="314">
        <f t="shared" si="27"/>
        <v>77649.88</v>
      </c>
      <c r="H46" s="319" t="s">
        <v>5</v>
      </c>
      <c r="I46" s="313">
        <v>20</v>
      </c>
      <c r="J46" s="30">
        <v>2400</v>
      </c>
      <c r="K46" s="13">
        <f t="shared" si="1"/>
        <v>120</v>
      </c>
      <c r="L46" s="313">
        <v>20</v>
      </c>
      <c r="M46" s="14">
        <f t="shared" si="28"/>
        <v>2281.5384615384605</v>
      </c>
      <c r="N46" s="13">
        <f t="shared" si="3"/>
        <v>114.07692307692302</v>
      </c>
      <c r="O46" s="15">
        <f t="shared" si="4"/>
        <v>0</v>
      </c>
      <c r="P46" s="16">
        <f t="shared" si="5"/>
        <v>-5.9230769230769766</v>
      </c>
      <c r="Q46" s="315">
        <f t="shared" si="6"/>
        <v>0.95064102564102515</v>
      </c>
      <c r="R46" s="619"/>
      <c r="S46" s="31">
        <v>0.71874999999999989</v>
      </c>
      <c r="T46" s="31">
        <v>0.77291666666666659</v>
      </c>
      <c r="U46" s="314">
        <f t="shared" si="30"/>
        <v>7.9999999999999716</v>
      </c>
      <c r="V46" s="316">
        <f t="shared" si="29"/>
        <v>78.000000000000043</v>
      </c>
      <c r="W46" s="17"/>
      <c r="X46" s="17"/>
      <c r="Y46" s="20"/>
      <c r="Z46" s="20"/>
      <c r="AA46" s="614"/>
      <c r="AB46" s="615"/>
      <c r="AC46" s="155"/>
      <c r="AD46" s="19"/>
      <c r="AE46" s="15">
        <f t="shared" si="8"/>
        <v>-118.46153846153948</v>
      </c>
      <c r="AF46" s="315">
        <f t="shared" si="9"/>
        <v>0.95064102564102526</v>
      </c>
      <c r="AG46" s="619"/>
    </row>
    <row r="47" spans="1:33">
      <c r="A47" s="634" t="s">
        <v>1509</v>
      </c>
      <c r="B47" s="34" t="s">
        <v>1326</v>
      </c>
      <c r="C47" s="620"/>
      <c r="D47" s="620"/>
      <c r="E47" s="322"/>
      <c r="F47" s="34"/>
      <c r="G47" s="13"/>
      <c r="H47" s="318"/>
      <c r="I47" s="23">
        <v>17.5</v>
      </c>
      <c r="J47" s="30">
        <v>2200</v>
      </c>
      <c r="K47" s="13">
        <f t="shared" si="1"/>
        <v>125.71428571428571</v>
      </c>
      <c r="L47" s="23">
        <v>17.5</v>
      </c>
      <c r="M47" s="14">
        <f>AVERAGE(M39:M46)</f>
        <v>2104.8408540838655</v>
      </c>
      <c r="N47" s="13">
        <f t="shared" si="3"/>
        <v>120.27662023336374</v>
      </c>
      <c r="O47" s="15">
        <f t="shared" si="4"/>
        <v>0</v>
      </c>
      <c r="P47" s="16">
        <f t="shared" si="5"/>
        <v>-5.4376654809219644</v>
      </c>
      <c r="Q47" s="315">
        <f t="shared" si="6"/>
        <v>0.95674584276539343</v>
      </c>
      <c r="R47" s="619"/>
      <c r="S47" s="31"/>
      <c r="T47" s="31"/>
      <c r="U47" s="13"/>
      <c r="V47" s="316"/>
      <c r="W47" s="13"/>
      <c r="X47" s="13"/>
      <c r="Y47" s="24">
        <f>SUM(Y39:Y46)</f>
        <v>0</v>
      </c>
      <c r="Z47" s="24">
        <f>SUM(Z39:Z46)</f>
        <v>0</v>
      </c>
      <c r="AA47" s="609"/>
      <c r="AB47" s="609"/>
      <c r="AC47" s="24">
        <v>8</v>
      </c>
      <c r="AD47" s="24">
        <f>SUM(AD39:AD46)</f>
        <v>0</v>
      </c>
      <c r="AE47" s="15">
        <f t="shared" si="8"/>
        <v>-95.159145916134548</v>
      </c>
      <c r="AF47" s="315">
        <f t="shared" si="9"/>
        <v>0.95674584276539343</v>
      </c>
      <c r="AG47" s="619"/>
    </row>
    <row r="48" spans="1:33" ht="15.75" customHeight="1">
      <c r="A48" s="630" t="s">
        <v>1510</v>
      </c>
      <c r="B48" s="33" t="s">
        <v>36</v>
      </c>
      <c r="C48" s="612" t="s">
        <v>37</v>
      </c>
      <c r="D48" s="613"/>
      <c r="E48" s="33">
        <v>21.13</v>
      </c>
      <c r="F48" s="318">
        <v>6215</v>
      </c>
      <c r="G48" s="314">
        <f t="shared" ref="G48:G51" si="31">E48*F48</f>
        <v>131322.94999999998</v>
      </c>
      <c r="H48" s="319" t="s">
        <v>5</v>
      </c>
      <c r="I48" s="313">
        <v>10</v>
      </c>
      <c r="J48" s="30">
        <v>3000</v>
      </c>
      <c r="K48" s="13">
        <f t="shared" si="1"/>
        <v>300</v>
      </c>
      <c r="L48" s="313">
        <v>10</v>
      </c>
      <c r="M48" s="14">
        <f t="shared" ref="M48:M51" si="32">F48/V48*60</f>
        <v>2868.461538461539</v>
      </c>
      <c r="N48" s="14">
        <f t="shared" si="3"/>
        <v>286.84615384615392</v>
      </c>
      <c r="O48" s="15">
        <f t="shared" si="4"/>
        <v>0</v>
      </c>
      <c r="P48" s="16">
        <f t="shared" si="5"/>
        <v>-13.153846153846075</v>
      </c>
      <c r="Q48" s="315">
        <f t="shared" si="6"/>
        <v>0.95615384615384647</v>
      </c>
      <c r="R48" s="625">
        <f>Q52</f>
        <v>0.95564580478809724</v>
      </c>
      <c r="S48" s="31">
        <v>0.20833333333333334</v>
      </c>
      <c r="T48" s="31">
        <v>0.2986111111111111</v>
      </c>
      <c r="U48" s="22"/>
      <c r="V48" s="316">
        <f t="shared" ref="V48:V51" si="33">(T48-S48)*24*60</f>
        <v>129.99999999999997</v>
      </c>
      <c r="W48" s="17"/>
      <c r="X48" s="17"/>
      <c r="Y48" s="20"/>
      <c r="Z48" s="20"/>
      <c r="AA48" s="614"/>
      <c r="AB48" s="615"/>
      <c r="AC48" s="155">
        <v>4</v>
      </c>
      <c r="AD48" s="19"/>
      <c r="AE48" s="15">
        <f t="shared" si="8"/>
        <v>-131.53846153846098</v>
      </c>
      <c r="AF48" s="315">
        <f t="shared" si="9"/>
        <v>0.95615384615384635</v>
      </c>
      <c r="AG48" s="625">
        <f>AF52</f>
        <v>0.95564580478809735</v>
      </c>
    </row>
    <row r="49" spans="1:33" ht="15.75" customHeight="1">
      <c r="A49" s="631" t="s">
        <v>1510</v>
      </c>
      <c r="B49" s="33" t="s">
        <v>36</v>
      </c>
      <c r="C49" s="612" t="s">
        <v>46</v>
      </c>
      <c r="D49" s="613"/>
      <c r="E49" s="33">
        <v>35.119999999999997</v>
      </c>
      <c r="F49" s="318">
        <v>5785</v>
      </c>
      <c r="G49" s="314">
        <f t="shared" si="31"/>
        <v>203169.19999999998</v>
      </c>
      <c r="H49" s="319" t="s">
        <v>5</v>
      </c>
      <c r="I49" s="313">
        <v>10</v>
      </c>
      <c r="J49" s="30">
        <v>3000</v>
      </c>
      <c r="K49" s="13">
        <f t="shared" si="1"/>
        <v>300</v>
      </c>
      <c r="L49" s="313">
        <v>10</v>
      </c>
      <c r="M49" s="14">
        <f t="shared" si="32"/>
        <v>2868.595041322315</v>
      </c>
      <c r="N49" s="14">
        <f t="shared" si="3"/>
        <v>286.85950413223151</v>
      </c>
      <c r="O49" s="15">
        <f t="shared" si="4"/>
        <v>0</v>
      </c>
      <c r="P49" s="16">
        <f t="shared" si="5"/>
        <v>-13.140495867768493</v>
      </c>
      <c r="Q49" s="315">
        <f t="shared" si="6"/>
        <v>0.95619834710743834</v>
      </c>
      <c r="R49" s="626"/>
      <c r="S49" s="31">
        <v>0.30208333333333331</v>
      </c>
      <c r="T49" s="31">
        <v>0.38611111111111107</v>
      </c>
      <c r="U49" s="314">
        <f t="shared" ref="U49:U51" si="34">(S49-T48)*24*60</f>
        <v>4.9999999999999822</v>
      </c>
      <c r="V49" s="316">
        <f t="shared" si="33"/>
        <v>120.99999999999997</v>
      </c>
      <c r="W49" s="17"/>
      <c r="X49" s="17"/>
      <c r="Y49" s="20"/>
      <c r="Z49" s="20"/>
      <c r="AA49" s="614"/>
      <c r="AB49" s="615"/>
      <c r="AC49" s="155"/>
      <c r="AD49" s="19"/>
      <c r="AE49" s="15">
        <f t="shared" si="8"/>
        <v>-131.40495867768504</v>
      </c>
      <c r="AF49" s="315">
        <f t="shared" si="9"/>
        <v>0.95619834710743834</v>
      </c>
      <c r="AG49" s="626"/>
    </row>
    <row r="50" spans="1:33" ht="15.75" customHeight="1">
      <c r="A50" s="631" t="s">
        <v>1510</v>
      </c>
      <c r="B50" s="33" t="s">
        <v>36</v>
      </c>
      <c r="C50" s="612" t="s">
        <v>1511</v>
      </c>
      <c r="D50" s="613"/>
      <c r="E50" s="33">
        <v>37.880000000000003</v>
      </c>
      <c r="F50" s="318">
        <v>4200</v>
      </c>
      <c r="G50" s="314">
        <f t="shared" si="31"/>
        <v>159096</v>
      </c>
      <c r="H50" s="319">
        <v>2</v>
      </c>
      <c r="I50" s="313">
        <v>13</v>
      </c>
      <c r="J50" s="30">
        <v>2000</v>
      </c>
      <c r="K50" s="13">
        <f t="shared" si="1"/>
        <v>153.84615384615384</v>
      </c>
      <c r="L50" s="313">
        <v>13</v>
      </c>
      <c r="M50" s="14">
        <f t="shared" si="32"/>
        <v>1909.090909090909</v>
      </c>
      <c r="N50" s="14">
        <f t="shared" si="3"/>
        <v>146.85314685314685</v>
      </c>
      <c r="O50" s="15">
        <f t="shared" si="4"/>
        <v>0</v>
      </c>
      <c r="P50" s="16">
        <f t="shared" si="5"/>
        <v>-6.9930069930069862</v>
      </c>
      <c r="Q50" s="315">
        <f t="shared" si="6"/>
        <v>0.95454545454545459</v>
      </c>
      <c r="R50" s="626"/>
      <c r="S50" s="31">
        <v>0.39027777777777772</v>
      </c>
      <c r="T50" s="31">
        <v>0.4819444444444444</v>
      </c>
      <c r="U50" s="314">
        <f t="shared" si="34"/>
        <v>5.9999999999999787</v>
      </c>
      <c r="V50" s="316">
        <f t="shared" si="33"/>
        <v>132</v>
      </c>
      <c r="W50" s="17">
        <f>T50</f>
        <v>0.4819444444444444</v>
      </c>
      <c r="X50" s="17">
        <f>S51</f>
        <v>0.52291666666666659</v>
      </c>
      <c r="Y50" s="20"/>
      <c r="Z50" s="20"/>
      <c r="AA50" s="614"/>
      <c r="AB50" s="615"/>
      <c r="AC50" s="155"/>
      <c r="AD50" s="19"/>
      <c r="AE50" s="15">
        <f t="shared" si="8"/>
        <v>-90.909090909090992</v>
      </c>
      <c r="AF50" s="315">
        <f t="shared" si="9"/>
        <v>0.95454545454545447</v>
      </c>
      <c r="AG50" s="626"/>
    </row>
    <row r="51" spans="1:33" ht="15.75" customHeight="1">
      <c r="A51" s="631" t="s">
        <v>1510</v>
      </c>
      <c r="B51" s="33" t="s">
        <v>36</v>
      </c>
      <c r="C51" s="612" t="s">
        <v>1511</v>
      </c>
      <c r="D51" s="613"/>
      <c r="E51" s="33">
        <v>37.880000000000003</v>
      </c>
      <c r="F51" s="318">
        <v>5126</v>
      </c>
      <c r="G51" s="314">
        <f t="shared" si="31"/>
        <v>194172.88</v>
      </c>
      <c r="H51" s="319" t="s">
        <v>5</v>
      </c>
      <c r="I51" s="313">
        <v>13</v>
      </c>
      <c r="J51" s="30">
        <v>2000</v>
      </c>
      <c r="K51" s="13">
        <f t="shared" si="1"/>
        <v>153.84615384615384</v>
      </c>
      <c r="L51" s="313">
        <v>13</v>
      </c>
      <c r="M51" s="14">
        <f t="shared" si="32"/>
        <v>1910.3105590062105</v>
      </c>
      <c r="N51" s="14">
        <f t="shared" si="3"/>
        <v>146.94696607740082</v>
      </c>
      <c r="O51" s="15">
        <f t="shared" si="4"/>
        <v>0</v>
      </c>
      <c r="P51" s="16">
        <f t="shared" si="5"/>
        <v>-6.8991877687530234</v>
      </c>
      <c r="Q51" s="315">
        <f t="shared" si="6"/>
        <v>0.9551552795031053</v>
      </c>
      <c r="R51" s="626"/>
      <c r="S51" s="31">
        <v>0.52291666666666659</v>
      </c>
      <c r="T51" s="31">
        <v>0.63472222222222219</v>
      </c>
      <c r="U51" s="314">
        <f t="shared" si="34"/>
        <v>58.99999999999995</v>
      </c>
      <c r="V51" s="316">
        <f t="shared" si="33"/>
        <v>161.00000000000006</v>
      </c>
      <c r="W51" s="17"/>
      <c r="X51" s="17"/>
      <c r="Y51" s="20"/>
      <c r="Z51" s="20"/>
      <c r="AA51" s="614"/>
      <c r="AB51" s="615"/>
      <c r="AC51" s="155"/>
      <c r="AD51" s="19"/>
      <c r="AE51" s="15">
        <f t="shared" si="8"/>
        <v>-89.689440993789503</v>
      </c>
      <c r="AF51" s="315">
        <f t="shared" si="9"/>
        <v>0.9551552795031053</v>
      </c>
      <c r="AG51" s="626"/>
    </row>
    <row r="52" spans="1:33" ht="15.75" customHeight="1">
      <c r="A52" s="632" t="s">
        <v>1510</v>
      </c>
      <c r="B52" s="33" t="s">
        <v>1326</v>
      </c>
      <c r="C52" s="607"/>
      <c r="D52" s="608"/>
      <c r="E52" s="327"/>
      <c r="F52" s="318"/>
      <c r="G52" s="314"/>
      <c r="H52" s="318"/>
      <c r="I52" s="23">
        <v>11.5</v>
      </c>
      <c r="J52" s="30">
        <v>2500</v>
      </c>
      <c r="K52" s="13">
        <f t="shared" si="1"/>
        <v>217.39130434782609</v>
      </c>
      <c r="L52" s="23">
        <v>11.5</v>
      </c>
      <c r="M52" s="14">
        <f>AVERAGE(M48:M51)</f>
        <v>2389.1145119702433</v>
      </c>
      <c r="N52" s="13">
        <f t="shared" si="3"/>
        <v>207.74908799741246</v>
      </c>
      <c r="O52" s="15">
        <f t="shared" si="4"/>
        <v>0</v>
      </c>
      <c r="P52" s="16">
        <f t="shared" si="5"/>
        <v>-9.6422163504136336</v>
      </c>
      <c r="Q52" s="315">
        <f t="shared" si="6"/>
        <v>0.95564580478809724</v>
      </c>
      <c r="R52" s="627"/>
      <c r="S52" s="31"/>
      <c r="T52" s="31"/>
      <c r="U52" s="314"/>
      <c r="V52" s="316"/>
      <c r="W52" s="17"/>
      <c r="X52" s="17"/>
      <c r="Y52" s="24">
        <f>SUM(Y48:Y51)</f>
        <v>0</v>
      </c>
      <c r="Z52" s="24">
        <f>SUM(Z48:Z51)</f>
        <v>0</v>
      </c>
      <c r="AA52" s="628"/>
      <c r="AB52" s="629"/>
      <c r="AC52" s="24">
        <v>4</v>
      </c>
      <c r="AD52" s="24">
        <f>SUM(AD48:AD51)</f>
        <v>0</v>
      </c>
      <c r="AE52" s="15">
        <f t="shared" si="8"/>
        <v>-110.88548802975674</v>
      </c>
      <c r="AF52" s="315">
        <f t="shared" si="9"/>
        <v>0.95564580478809735</v>
      </c>
      <c r="AG52" s="627"/>
    </row>
    <row r="53" spans="1:33" ht="15.75" customHeight="1">
      <c r="A53" s="623" t="s">
        <v>1512</v>
      </c>
      <c r="B53" s="33" t="s">
        <v>10</v>
      </c>
      <c r="C53" s="611" t="s">
        <v>42</v>
      </c>
      <c r="D53" s="611"/>
      <c r="E53" s="33">
        <v>46</v>
      </c>
      <c r="F53" s="35">
        <v>1384</v>
      </c>
      <c r="G53" s="314">
        <f t="shared" ref="G53:G62" si="35">E53*F53</f>
        <v>63664</v>
      </c>
      <c r="H53" s="319" t="s">
        <v>5</v>
      </c>
      <c r="I53" s="313">
        <v>16</v>
      </c>
      <c r="J53" s="30">
        <v>2000</v>
      </c>
      <c r="K53" s="13">
        <f t="shared" si="1"/>
        <v>125</v>
      </c>
      <c r="L53" s="313">
        <v>16</v>
      </c>
      <c r="M53" s="14">
        <f t="shared" ref="M53" si="36">F53/V53*60</f>
        <v>1931.1627906976739</v>
      </c>
      <c r="N53" s="14">
        <f t="shared" si="3"/>
        <v>120.69767441860462</v>
      </c>
      <c r="O53" s="15">
        <f t="shared" si="4"/>
        <v>0</v>
      </c>
      <c r="P53" s="16">
        <f t="shared" si="5"/>
        <v>-4.3023255813953796</v>
      </c>
      <c r="Q53" s="315">
        <f t="shared" si="6"/>
        <v>0.96558139534883691</v>
      </c>
      <c r="R53" s="619">
        <f>Q63</f>
        <v>0.96272532878888883</v>
      </c>
      <c r="S53" s="31">
        <v>0.20833333333333334</v>
      </c>
      <c r="T53" s="31">
        <v>0.23819444444444446</v>
      </c>
      <c r="U53" s="22"/>
      <c r="V53" s="316">
        <f t="shared" ref="V53:V62" si="37">(T53-S53)*24*60</f>
        <v>43.000000000000007</v>
      </c>
      <c r="W53" s="17"/>
      <c r="X53" s="17"/>
      <c r="Y53" s="22"/>
      <c r="Z53" s="22"/>
      <c r="AA53" s="610"/>
      <c r="AB53" s="610"/>
      <c r="AC53" s="155">
        <v>10</v>
      </c>
      <c r="AD53" s="19"/>
      <c r="AE53" s="15">
        <f t="shared" si="8"/>
        <v>-68.837209302326073</v>
      </c>
      <c r="AF53" s="315">
        <f t="shared" si="9"/>
        <v>0.96558139534883691</v>
      </c>
      <c r="AG53" s="619">
        <f>AF63</f>
        <v>0.96272532878888883</v>
      </c>
    </row>
    <row r="54" spans="1:33" ht="15.75" customHeight="1">
      <c r="A54" s="623" t="s">
        <v>1512</v>
      </c>
      <c r="B54" s="33" t="s">
        <v>10</v>
      </c>
      <c r="C54" s="611" t="s">
        <v>43</v>
      </c>
      <c r="D54" s="611"/>
      <c r="E54" s="33">
        <v>46</v>
      </c>
      <c r="F54" s="35">
        <v>1420</v>
      </c>
      <c r="G54" s="314">
        <f t="shared" si="35"/>
        <v>65320</v>
      </c>
      <c r="H54" s="319" t="s">
        <v>5</v>
      </c>
      <c r="I54" s="313">
        <v>17</v>
      </c>
      <c r="J54" s="30">
        <v>2000</v>
      </c>
      <c r="K54" s="13">
        <f t="shared" si="1"/>
        <v>117.64705882352941</v>
      </c>
      <c r="L54" s="313">
        <v>17</v>
      </c>
      <c r="M54" s="14">
        <f>F54/V54*60</f>
        <v>1936.3636363636365</v>
      </c>
      <c r="N54" s="14">
        <f t="shared" si="3"/>
        <v>113.90374331550802</v>
      </c>
      <c r="O54" s="15">
        <f t="shared" si="4"/>
        <v>0</v>
      </c>
      <c r="P54" s="16">
        <f t="shared" si="5"/>
        <v>-3.7433155080213822</v>
      </c>
      <c r="Q54" s="315">
        <f t="shared" si="6"/>
        <v>0.96818181818181825</v>
      </c>
      <c r="R54" s="619"/>
      <c r="S54" s="31">
        <v>0.24236111111111114</v>
      </c>
      <c r="T54" s="31">
        <v>0.2729166666666667</v>
      </c>
      <c r="U54" s="314">
        <f t="shared" ref="U54:U62" si="38">IF(S54=TIME(17,0,0),"",(S54-T53)*24*60)</f>
        <v>6.0000000000000187</v>
      </c>
      <c r="V54" s="316">
        <f t="shared" si="37"/>
        <v>44</v>
      </c>
      <c r="W54" s="17"/>
      <c r="X54" s="17"/>
      <c r="Y54" s="17"/>
      <c r="Z54" s="17"/>
      <c r="AA54" s="610"/>
      <c r="AB54" s="610"/>
      <c r="AC54" s="155"/>
      <c r="AD54" s="19"/>
      <c r="AE54" s="15">
        <f t="shared" si="8"/>
        <v>-63.636363636363512</v>
      </c>
      <c r="AF54" s="315">
        <f t="shared" si="9"/>
        <v>0.96818181818181825</v>
      </c>
      <c r="AG54" s="619"/>
    </row>
    <row r="55" spans="1:33" ht="15.75" customHeight="1">
      <c r="A55" s="623" t="s">
        <v>1512</v>
      </c>
      <c r="B55" s="33" t="s">
        <v>6</v>
      </c>
      <c r="C55" s="612" t="s">
        <v>41</v>
      </c>
      <c r="D55" s="613"/>
      <c r="E55" s="33">
        <v>51.44</v>
      </c>
      <c r="F55" s="35">
        <v>1496</v>
      </c>
      <c r="G55" s="314">
        <f t="shared" si="35"/>
        <v>76954.239999999991</v>
      </c>
      <c r="H55" s="319" t="s">
        <v>5</v>
      </c>
      <c r="I55" s="313">
        <v>25</v>
      </c>
      <c r="J55" s="30">
        <v>2000</v>
      </c>
      <c r="K55" s="13">
        <f t="shared" si="1"/>
        <v>80</v>
      </c>
      <c r="L55" s="313">
        <v>25</v>
      </c>
      <c r="M55" s="14">
        <f t="shared" ref="M55:M62" si="39">F55/V55*60</f>
        <v>1909.7872340425536</v>
      </c>
      <c r="N55" s="14">
        <f t="shared" si="3"/>
        <v>76.391489361702142</v>
      </c>
      <c r="O55" s="15">
        <f t="shared" si="4"/>
        <v>0</v>
      </c>
      <c r="P55" s="16">
        <f t="shared" si="5"/>
        <v>-3.608510638297858</v>
      </c>
      <c r="Q55" s="315">
        <f t="shared" si="6"/>
        <v>0.95489361702127673</v>
      </c>
      <c r="R55" s="619"/>
      <c r="S55" s="31">
        <v>0.27777777777777779</v>
      </c>
      <c r="T55" s="31">
        <v>0.31041666666666667</v>
      </c>
      <c r="U55" s="314">
        <f t="shared" si="38"/>
        <v>6.9999999999999751</v>
      </c>
      <c r="V55" s="316">
        <f t="shared" si="37"/>
        <v>46.999999999999993</v>
      </c>
      <c r="W55" s="17"/>
      <c r="X55" s="17"/>
      <c r="Y55" s="20"/>
      <c r="Z55" s="20"/>
      <c r="AA55" s="610"/>
      <c r="AB55" s="610"/>
      <c r="AC55" s="155"/>
      <c r="AD55" s="19"/>
      <c r="AE55" s="15">
        <f t="shared" si="8"/>
        <v>-90.212765957446436</v>
      </c>
      <c r="AF55" s="315">
        <f t="shared" si="9"/>
        <v>0.95489361702127673</v>
      </c>
      <c r="AG55" s="619"/>
    </row>
    <row r="56" spans="1:33" ht="15.75" customHeight="1">
      <c r="A56" s="623" t="s">
        <v>1512</v>
      </c>
      <c r="B56" s="33" t="s">
        <v>6</v>
      </c>
      <c r="C56" s="325" t="s">
        <v>77</v>
      </c>
      <c r="D56" s="326"/>
      <c r="E56" s="33">
        <v>56.43</v>
      </c>
      <c r="F56" s="35">
        <v>1455</v>
      </c>
      <c r="G56" s="314">
        <f t="shared" si="35"/>
        <v>82105.649999999994</v>
      </c>
      <c r="H56" s="319" t="s">
        <v>5</v>
      </c>
      <c r="I56" s="313">
        <v>23</v>
      </c>
      <c r="J56" s="30">
        <v>2000</v>
      </c>
      <c r="K56" s="13">
        <f t="shared" si="1"/>
        <v>86.956521739130437</v>
      </c>
      <c r="L56" s="313">
        <v>23</v>
      </c>
      <c r="M56" s="14">
        <f t="shared" si="39"/>
        <v>1940.0000000000002</v>
      </c>
      <c r="N56" s="14">
        <f t="shared" si="3"/>
        <v>84.34782608695653</v>
      </c>
      <c r="O56" s="15">
        <f t="shared" si="4"/>
        <v>0</v>
      </c>
      <c r="P56" s="16">
        <f t="shared" si="5"/>
        <v>-2.6086956521739069</v>
      </c>
      <c r="Q56" s="315">
        <f t="shared" si="6"/>
        <v>0.97000000000000008</v>
      </c>
      <c r="R56" s="619"/>
      <c r="S56" s="31">
        <v>0.31527777777777777</v>
      </c>
      <c r="T56" s="31">
        <v>0.34652777777777777</v>
      </c>
      <c r="U56" s="314">
        <f t="shared" si="38"/>
        <v>6.9999999999999751</v>
      </c>
      <c r="V56" s="316">
        <f t="shared" si="37"/>
        <v>45</v>
      </c>
      <c r="W56" s="17"/>
      <c r="X56" s="17"/>
      <c r="Y56" s="20"/>
      <c r="Z56" s="20"/>
      <c r="AA56" s="610"/>
      <c r="AB56" s="610"/>
      <c r="AC56" s="155"/>
      <c r="AD56" s="19"/>
      <c r="AE56" s="15">
        <f t="shared" si="8"/>
        <v>-59.999999999999773</v>
      </c>
      <c r="AF56" s="315">
        <f t="shared" si="9"/>
        <v>0.97000000000000008</v>
      </c>
      <c r="AG56" s="619"/>
    </row>
    <row r="57" spans="1:33" ht="15.75" customHeight="1">
      <c r="A57" s="623" t="s">
        <v>1512</v>
      </c>
      <c r="B57" s="33" t="s">
        <v>6</v>
      </c>
      <c r="C57" s="325" t="s">
        <v>73</v>
      </c>
      <c r="D57" s="326"/>
      <c r="E57" s="33">
        <v>56.43</v>
      </c>
      <c r="F57" s="35">
        <v>1333</v>
      </c>
      <c r="G57" s="314">
        <f t="shared" si="35"/>
        <v>75221.19</v>
      </c>
      <c r="H57" s="319" t="s">
        <v>5</v>
      </c>
      <c r="I57" s="313">
        <v>25</v>
      </c>
      <c r="J57" s="30">
        <v>2000</v>
      </c>
      <c r="K57" s="13">
        <f t="shared" si="1"/>
        <v>80</v>
      </c>
      <c r="L57" s="313">
        <v>25</v>
      </c>
      <c r="M57" s="14">
        <f t="shared" si="39"/>
        <v>1950.7317073170725</v>
      </c>
      <c r="N57" s="14">
        <f t="shared" si="3"/>
        <v>78.0292682926829</v>
      </c>
      <c r="O57" s="15">
        <f t="shared" si="4"/>
        <v>0</v>
      </c>
      <c r="P57" s="16">
        <f t="shared" si="5"/>
        <v>-1.9707317073170998</v>
      </c>
      <c r="Q57" s="315">
        <f t="shared" si="6"/>
        <v>0.97536585365853623</v>
      </c>
      <c r="R57" s="619"/>
      <c r="S57" s="31">
        <v>0.35138888888888886</v>
      </c>
      <c r="T57" s="31">
        <v>0.37986111111111109</v>
      </c>
      <c r="U57" s="314">
        <f t="shared" si="38"/>
        <v>6.9999999999999751</v>
      </c>
      <c r="V57" s="316">
        <f t="shared" si="37"/>
        <v>41.000000000000014</v>
      </c>
      <c r="W57" s="17"/>
      <c r="X57" s="17"/>
      <c r="Y57" s="20"/>
      <c r="Z57" s="20"/>
      <c r="AA57" s="610"/>
      <c r="AB57" s="610"/>
      <c r="AC57" s="155"/>
      <c r="AD57" s="19"/>
      <c r="AE57" s="15">
        <f t="shared" si="8"/>
        <v>-49.268292682927495</v>
      </c>
      <c r="AF57" s="315">
        <f t="shared" si="9"/>
        <v>0.97536585365853623</v>
      </c>
      <c r="AG57" s="619"/>
    </row>
    <row r="58" spans="1:33" ht="15.75" customHeight="1">
      <c r="A58" s="623" t="s">
        <v>1512</v>
      </c>
      <c r="B58" s="33" t="s">
        <v>6</v>
      </c>
      <c r="C58" s="612" t="s">
        <v>1513</v>
      </c>
      <c r="D58" s="613"/>
      <c r="E58" s="33">
        <v>56.43</v>
      </c>
      <c r="F58" s="35">
        <v>5398</v>
      </c>
      <c r="G58" s="314">
        <f t="shared" si="35"/>
        <v>304609.14</v>
      </c>
      <c r="H58" s="319" t="s">
        <v>5</v>
      </c>
      <c r="I58" s="313">
        <v>21</v>
      </c>
      <c r="J58" s="30">
        <v>2000</v>
      </c>
      <c r="K58" s="13">
        <f t="shared" si="1"/>
        <v>95.238095238095241</v>
      </c>
      <c r="L58" s="313">
        <v>21</v>
      </c>
      <c r="M58" s="14">
        <f t="shared" si="39"/>
        <v>1905.1764705882349</v>
      </c>
      <c r="N58" s="14">
        <f t="shared" si="3"/>
        <v>90.722689075630228</v>
      </c>
      <c r="O58" s="15">
        <f t="shared" si="4"/>
        <v>0</v>
      </c>
      <c r="P58" s="16">
        <f t="shared" si="5"/>
        <v>-4.5154061624650126</v>
      </c>
      <c r="Q58" s="315">
        <f t="shared" si="6"/>
        <v>0.9525882352941174</v>
      </c>
      <c r="R58" s="619"/>
      <c r="S58" s="31">
        <v>0.38472222222222219</v>
      </c>
      <c r="T58" s="31">
        <v>0.50277777777777777</v>
      </c>
      <c r="U58" s="314">
        <f t="shared" si="38"/>
        <v>6.9999999999999751</v>
      </c>
      <c r="V58" s="316">
        <f t="shared" si="37"/>
        <v>170.00000000000003</v>
      </c>
      <c r="W58" s="17"/>
      <c r="X58" s="17"/>
      <c r="Y58" s="20"/>
      <c r="Z58" s="20"/>
      <c r="AA58" s="614"/>
      <c r="AB58" s="615"/>
      <c r="AC58" s="155"/>
      <c r="AD58" s="19"/>
      <c r="AE58" s="15">
        <f t="shared" si="8"/>
        <v>-94.823529411765094</v>
      </c>
      <c r="AF58" s="315">
        <f t="shared" si="9"/>
        <v>0.9525882352941174</v>
      </c>
      <c r="AG58" s="619"/>
    </row>
    <row r="59" spans="1:33" ht="15.75" customHeight="1">
      <c r="A59" s="623" t="s">
        <v>1512</v>
      </c>
      <c r="B59" s="33" t="s">
        <v>6</v>
      </c>
      <c r="C59" s="612" t="s">
        <v>44</v>
      </c>
      <c r="D59" s="613"/>
      <c r="E59" s="33">
        <v>55.56</v>
      </c>
      <c r="F59" s="35">
        <v>1000</v>
      </c>
      <c r="G59" s="314">
        <f t="shared" si="35"/>
        <v>55560</v>
      </c>
      <c r="H59" s="319">
        <v>2</v>
      </c>
      <c r="I59" s="313">
        <v>17</v>
      </c>
      <c r="J59" s="30">
        <v>2000</v>
      </c>
      <c r="K59" s="13">
        <f t="shared" si="1"/>
        <v>117.64705882352941</v>
      </c>
      <c r="L59" s="313">
        <v>17</v>
      </c>
      <c r="M59" s="14">
        <f t="shared" si="39"/>
        <v>1935.483870967739</v>
      </c>
      <c r="N59" s="14">
        <f t="shared" si="3"/>
        <v>113.85199240986699</v>
      </c>
      <c r="O59" s="15">
        <f t="shared" si="4"/>
        <v>0</v>
      </c>
      <c r="P59" s="16">
        <f t="shared" si="5"/>
        <v>-3.7950664136624113</v>
      </c>
      <c r="Q59" s="315">
        <f t="shared" si="6"/>
        <v>0.96774193548386955</v>
      </c>
      <c r="R59" s="619"/>
      <c r="S59" s="31">
        <v>0.70833333333333337</v>
      </c>
      <c r="T59" s="31">
        <v>0.72986111111111118</v>
      </c>
      <c r="U59" s="314" t="str">
        <f t="shared" si="38"/>
        <v/>
      </c>
      <c r="V59" s="316">
        <f t="shared" si="37"/>
        <v>31.00000000000005</v>
      </c>
      <c r="W59" s="17"/>
      <c r="X59" s="17"/>
      <c r="Y59" s="20"/>
      <c r="Z59" s="20"/>
      <c r="AA59" s="614"/>
      <c r="AB59" s="615"/>
      <c r="AC59" s="155"/>
      <c r="AD59" s="19"/>
      <c r="AE59" s="15">
        <f t="shared" si="8"/>
        <v>-64.516129032261006</v>
      </c>
      <c r="AF59" s="315">
        <f t="shared" si="9"/>
        <v>0.96774193548386944</v>
      </c>
      <c r="AG59" s="619"/>
    </row>
    <row r="60" spans="1:33" ht="15.75" customHeight="1">
      <c r="A60" s="623" t="s">
        <v>1512</v>
      </c>
      <c r="B60" s="33" t="s">
        <v>6</v>
      </c>
      <c r="C60" s="612" t="s">
        <v>72</v>
      </c>
      <c r="D60" s="613"/>
      <c r="E60" s="33">
        <v>58.17</v>
      </c>
      <c r="F60" s="35">
        <v>2099</v>
      </c>
      <c r="G60" s="314">
        <f t="shared" si="35"/>
        <v>122098.83</v>
      </c>
      <c r="H60" s="319" t="s">
        <v>5</v>
      </c>
      <c r="I60" s="313">
        <v>13</v>
      </c>
      <c r="J60" s="30">
        <v>2000</v>
      </c>
      <c r="K60" s="13">
        <f t="shared" si="1"/>
        <v>153.84615384615384</v>
      </c>
      <c r="L60" s="313">
        <v>13</v>
      </c>
      <c r="M60" s="14">
        <f t="shared" si="39"/>
        <v>1908.1818181818157</v>
      </c>
      <c r="N60" s="14">
        <f t="shared" si="3"/>
        <v>146.7832167832166</v>
      </c>
      <c r="O60" s="15">
        <f t="shared" si="4"/>
        <v>0</v>
      </c>
      <c r="P60" s="16">
        <f t="shared" si="5"/>
        <v>-7.0629370629372374</v>
      </c>
      <c r="Q60" s="315">
        <f t="shared" si="6"/>
        <v>0.95409090909090799</v>
      </c>
      <c r="R60" s="619"/>
      <c r="S60" s="31">
        <v>0.73333333333333339</v>
      </c>
      <c r="T60" s="31">
        <v>0.77916666666666679</v>
      </c>
      <c r="U60" s="314">
        <f t="shared" si="38"/>
        <v>4.9999999999999822</v>
      </c>
      <c r="V60" s="316">
        <f t="shared" si="37"/>
        <v>66.000000000000085</v>
      </c>
      <c r="W60" s="17"/>
      <c r="X60" s="17"/>
      <c r="Y60" s="20"/>
      <c r="Z60" s="20"/>
      <c r="AA60" s="614"/>
      <c r="AB60" s="615"/>
      <c r="AC60" s="155"/>
      <c r="AD60" s="19"/>
      <c r="AE60" s="15">
        <f t="shared" si="8"/>
        <v>-91.818181818184257</v>
      </c>
      <c r="AF60" s="315">
        <f t="shared" si="9"/>
        <v>0.95409090909090788</v>
      </c>
      <c r="AG60" s="619"/>
    </row>
    <row r="61" spans="1:33">
      <c r="A61" s="623" t="s">
        <v>1512</v>
      </c>
      <c r="B61" s="33" t="s">
        <v>6</v>
      </c>
      <c r="C61" s="325" t="s">
        <v>82</v>
      </c>
      <c r="D61" s="326"/>
      <c r="E61" s="33">
        <v>54.09</v>
      </c>
      <c r="F61" s="35">
        <v>2003</v>
      </c>
      <c r="G61" s="314">
        <f t="shared" si="35"/>
        <v>108342.27</v>
      </c>
      <c r="H61" s="319" t="s">
        <v>5</v>
      </c>
      <c r="I61" s="313">
        <v>14</v>
      </c>
      <c r="J61" s="30">
        <v>2000</v>
      </c>
      <c r="K61" s="13">
        <f t="shared" si="1"/>
        <v>142.85714285714286</v>
      </c>
      <c r="L61" s="313">
        <v>14</v>
      </c>
      <c r="M61" s="14">
        <f t="shared" si="39"/>
        <v>1907.6190476190495</v>
      </c>
      <c r="N61" s="14">
        <f t="shared" si="3"/>
        <v>136.25850340136068</v>
      </c>
      <c r="O61" s="15">
        <f t="shared" si="4"/>
        <v>0</v>
      </c>
      <c r="P61" s="16">
        <f t="shared" si="5"/>
        <v>-6.5986394557821768</v>
      </c>
      <c r="Q61" s="315">
        <f t="shared" si="6"/>
        <v>0.95380952380952477</v>
      </c>
      <c r="R61" s="619"/>
      <c r="S61" s="31">
        <v>0.78263888888888899</v>
      </c>
      <c r="T61" s="31">
        <v>0.82638888888888895</v>
      </c>
      <c r="U61" s="314">
        <f t="shared" si="38"/>
        <v>4.9999999999999822</v>
      </c>
      <c r="V61" s="316">
        <f t="shared" si="37"/>
        <v>62.999999999999936</v>
      </c>
      <c r="W61" s="17">
        <f>T61</f>
        <v>0.82638888888888895</v>
      </c>
      <c r="X61" s="17">
        <f>S62</f>
        <v>0.8666666666666667</v>
      </c>
      <c r="Y61" s="20"/>
      <c r="Z61" s="20"/>
      <c r="AA61" s="320"/>
      <c r="AB61" s="321"/>
      <c r="AC61" s="155"/>
      <c r="AD61" s="19"/>
      <c r="AE61" s="15">
        <f t="shared" si="8"/>
        <v>-92.380952380950475</v>
      </c>
      <c r="AF61" s="315">
        <f t="shared" si="9"/>
        <v>0.95380952380952477</v>
      </c>
      <c r="AG61" s="619"/>
    </row>
    <row r="62" spans="1:33">
      <c r="A62" s="623" t="s">
        <v>1512</v>
      </c>
      <c r="B62" s="33" t="s">
        <v>6</v>
      </c>
      <c r="C62" s="612" t="s">
        <v>44</v>
      </c>
      <c r="D62" s="613"/>
      <c r="E62" s="33">
        <v>55.56</v>
      </c>
      <c r="F62" s="35">
        <v>1737</v>
      </c>
      <c r="G62" s="314">
        <f t="shared" si="35"/>
        <v>96507.72</v>
      </c>
      <c r="H62" s="319" t="s">
        <v>5</v>
      </c>
      <c r="I62" s="313">
        <v>17</v>
      </c>
      <c r="J62" s="30">
        <v>2000</v>
      </c>
      <c r="K62" s="13">
        <f t="shared" si="1"/>
        <v>117.64705882352941</v>
      </c>
      <c r="L62" s="313">
        <v>17</v>
      </c>
      <c r="M62" s="14">
        <f t="shared" si="39"/>
        <v>1930.0000000000011</v>
      </c>
      <c r="N62" s="14">
        <f t="shared" si="3"/>
        <v>113.52941176470596</v>
      </c>
      <c r="O62" s="15">
        <f t="shared" si="4"/>
        <v>0</v>
      </c>
      <c r="P62" s="16">
        <f t="shared" si="5"/>
        <v>-4.1176470588234508</v>
      </c>
      <c r="Q62" s="315">
        <f t="shared" si="6"/>
        <v>0.96500000000000064</v>
      </c>
      <c r="R62" s="619"/>
      <c r="S62" s="31">
        <v>0.8666666666666667</v>
      </c>
      <c r="T62" s="31">
        <v>0.90416666666666667</v>
      </c>
      <c r="U62" s="314">
        <f t="shared" si="38"/>
        <v>57.999999999999957</v>
      </c>
      <c r="V62" s="316">
        <f t="shared" si="37"/>
        <v>53.999999999999972</v>
      </c>
      <c r="W62" s="17"/>
      <c r="X62" s="17"/>
      <c r="Y62" s="20"/>
      <c r="Z62" s="20"/>
      <c r="AA62" s="614"/>
      <c r="AB62" s="615"/>
      <c r="AC62" s="155"/>
      <c r="AD62" s="19"/>
      <c r="AE62" s="15">
        <f t="shared" si="8"/>
        <v>-69.999999999998863</v>
      </c>
      <c r="AF62" s="315">
        <f t="shared" si="9"/>
        <v>0.96500000000000052</v>
      </c>
      <c r="AG62" s="619"/>
    </row>
    <row r="63" spans="1:33">
      <c r="A63" s="624" t="s">
        <v>1512</v>
      </c>
      <c r="B63" s="33" t="s">
        <v>1326</v>
      </c>
      <c r="C63" s="620"/>
      <c r="D63" s="620"/>
      <c r="E63" s="322"/>
      <c r="F63" s="34"/>
      <c r="G63" s="13"/>
      <c r="H63" s="318"/>
      <c r="I63" s="23">
        <v>18.8</v>
      </c>
      <c r="J63" s="30">
        <v>2000</v>
      </c>
      <c r="K63" s="13">
        <f t="shared" si="1"/>
        <v>106.38297872340425</v>
      </c>
      <c r="L63" s="23">
        <v>18.8</v>
      </c>
      <c r="M63" s="14">
        <f>AVERAGE(M53:M62)</f>
        <v>1925.4506575777777</v>
      </c>
      <c r="N63" s="13">
        <f t="shared" si="3"/>
        <v>102.41758816903072</v>
      </c>
      <c r="O63" s="15">
        <f t="shared" si="4"/>
        <v>0</v>
      </c>
      <c r="P63" s="16">
        <f t="shared" si="5"/>
        <v>-3.9653905543735277</v>
      </c>
      <c r="Q63" s="315">
        <f t="shared" si="6"/>
        <v>0.96272532878888883</v>
      </c>
      <c r="R63" s="619"/>
      <c r="S63" s="31"/>
      <c r="T63" s="31"/>
      <c r="U63" s="314"/>
      <c r="V63" s="316"/>
      <c r="W63" s="13"/>
      <c r="X63" s="13"/>
      <c r="Y63" s="24">
        <f>SUM(Y53:Y62)</f>
        <v>0</v>
      </c>
      <c r="Z63" s="24">
        <f>SUM(Z53:Z62)</f>
        <v>0</v>
      </c>
      <c r="AA63" s="609"/>
      <c r="AB63" s="609"/>
      <c r="AC63" s="24">
        <v>10</v>
      </c>
      <c r="AD63" s="24">
        <f>SUM(AD53:AD62)</f>
        <v>0</v>
      </c>
      <c r="AE63" s="15">
        <f>M63-J63</f>
        <v>-74.549342422222253</v>
      </c>
      <c r="AF63" s="315">
        <f t="shared" si="9"/>
        <v>0.96272532878888883</v>
      </c>
      <c r="AG63" s="619"/>
    </row>
    <row r="64" spans="1:33" ht="15.75" customHeight="1">
      <c r="A64" s="621" t="s">
        <v>1514</v>
      </c>
      <c r="B64" s="318" t="s">
        <v>36</v>
      </c>
      <c r="C64" s="611" t="s">
        <v>38</v>
      </c>
      <c r="D64" s="611"/>
      <c r="E64" s="33">
        <v>27.17</v>
      </c>
      <c r="F64" s="35">
        <v>7164</v>
      </c>
      <c r="G64" s="314">
        <f t="shared" ref="G64:G68" si="40">E64*F64</f>
        <v>194645.88</v>
      </c>
      <c r="H64" s="319" t="s">
        <v>5</v>
      </c>
      <c r="I64" s="313">
        <v>10</v>
      </c>
      <c r="J64" s="30">
        <v>3000</v>
      </c>
      <c r="K64" s="13">
        <f t="shared" si="1"/>
        <v>300</v>
      </c>
      <c r="L64" s="313">
        <v>10</v>
      </c>
      <c r="M64" s="14">
        <f t="shared" ref="M64:M68" si="41">F64/V64*60</f>
        <v>2865.6</v>
      </c>
      <c r="N64" s="13">
        <f t="shared" si="3"/>
        <v>286.56</v>
      </c>
      <c r="O64" s="15">
        <f t="shared" si="4"/>
        <v>0</v>
      </c>
      <c r="P64" s="16">
        <f t="shared" si="5"/>
        <v>-13.439999999999998</v>
      </c>
      <c r="Q64" s="315">
        <f t="shared" si="6"/>
        <v>0.95520000000000005</v>
      </c>
      <c r="R64" s="619">
        <f>Q69</f>
        <v>0.95805111331700976</v>
      </c>
      <c r="S64" s="31">
        <v>0.20833333333333334</v>
      </c>
      <c r="T64" s="31">
        <v>0.3125</v>
      </c>
      <c r="U64" s="314"/>
      <c r="V64" s="316">
        <f t="shared" ref="V64:V68" si="42">(T64-S64)*24*60</f>
        <v>150</v>
      </c>
      <c r="W64" s="17"/>
      <c r="X64" s="17"/>
      <c r="Y64" s="22"/>
      <c r="Z64" s="22"/>
      <c r="AA64" s="610"/>
      <c r="AB64" s="610"/>
      <c r="AC64" s="155">
        <v>5</v>
      </c>
      <c r="AD64" s="19"/>
      <c r="AE64" s="15">
        <f t="shared" ref="AE64:AE80" si="43">M64-J64</f>
        <v>-134.40000000000009</v>
      </c>
      <c r="AF64" s="315">
        <f t="shared" si="9"/>
        <v>0.95519999999999994</v>
      </c>
      <c r="AG64" s="619">
        <f>AF69</f>
        <v>0.95805111331700965</v>
      </c>
    </row>
    <row r="65" spans="1:33" ht="15.75" customHeight="1">
      <c r="A65" s="621" t="s">
        <v>1514</v>
      </c>
      <c r="B65" s="318" t="s">
        <v>36</v>
      </c>
      <c r="C65" s="611" t="s">
        <v>47</v>
      </c>
      <c r="D65" s="611"/>
      <c r="E65" s="33">
        <v>26.78</v>
      </c>
      <c r="F65" s="35">
        <v>2854</v>
      </c>
      <c r="G65" s="314">
        <f t="shared" si="40"/>
        <v>76430.12000000001</v>
      </c>
      <c r="H65" s="319" t="s">
        <v>5</v>
      </c>
      <c r="I65" s="313">
        <v>10</v>
      </c>
      <c r="J65" s="30">
        <v>3000</v>
      </c>
      <c r="K65" s="13">
        <f t="shared" si="1"/>
        <v>300</v>
      </c>
      <c r="L65" s="313">
        <v>10</v>
      </c>
      <c r="M65" s="14">
        <f t="shared" si="41"/>
        <v>2853.9999999999986</v>
      </c>
      <c r="N65" s="13">
        <f t="shared" si="3"/>
        <v>285.39999999999986</v>
      </c>
      <c r="O65" s="15">
        <f t="shared" si="4"/>
        <v>0</v>
      </c>
      <c r="P65" s="16">
        <f t="shared" si="5"/>
        <v>-14.600000000000136</v>
      </c>
      <c r="Q65" s="315">
        <f t="shared" si="6"/>
        <v>0.95133333333333292</v>
      </c>
      <c r="R65" s="619"/>
      <c r="S65" s="31">
        <v>0.31805555555555554</v>
      </c>
      <c r="T65" s="31">
        <v>0.35972222222222222</v>
      </c>
      <c r="U65" s="314">
        <f t="shared" ref="U65:U68" si="44">(S65-T64)*24*60</f>
        <v>7.9999999999999716</v>
      </c>
      <c r="V65" s="316">
        <f t="shared" si="42"/>
        <v>60.000000000000028</v>
      </c>
      <c r="W65" s="314"/>
      <c r="X65" s="314"/>
      <c r="Y65" s="314"/>
      <c r="Z65" s="314"/>
      <c r="AA65" s="610"/>
      <c r="AB65" s="610"/>
      <c r="AC65" s="155"/>
      <c r="AD65" s="19"/>
      <c r="AE65" s="15">
        <f t="shared" si="43"/>
        <v>-146.00000000000136</v>
      </c>
      <c r="AF65" s="315">
        <f t="shared" si="9"/>
        <v>0.95133333333333292</v>
      </c>
      <c r="AG65" s="619"/>
    </row>
    <row r="66" spans="1:33" ht="15.75" customHeight="1">
      <c r="A66" s="621" t="s">
        <v>1514</v>
      </c>
      <c r="B66" s="318" t="s">
        <v>36</v>
      </c>
      <c r="C66" s="611" t="s">
        <v>49</v>
      </c>
      <c r="D66" s="611"/>
      <c r="E66" s="33">
        <v>35.869999999999997</v>
      </c>
      <c r="F66" s="35">
        <v>3317</v>
      </c>
      <c r="G66" s="314">
        <f t="shared" si="40"/>
        <v>118980.79</v>
      </c>
      <c r="H66" s="319" t="s">
        <v>5</v>
      </c>
      <c r="I66" s="313">
        <v>10</v>
      </c>
      <c r="J66" s="30">
        <v>3000</v>
      </c>
      <c r="K66" s="13">
        <f t="shared" si="1"/>
        <v>300</v>
      </c>
      <c r="L66" s="313">
        <v>10</v>
      </c>
      <c r="M66" s="14">
        <f t="shared" si="41"/>
        <v>2884.3478260869565</v>
      </c>
      <c r="N66" s="13">
        <f t="shared" si="3"/>
        <v>288.43478260869563</v>
      </c>
      <c r="O66" s="15">
        <f t="shared" si="4"/>
        <v>0</v>
      </c>
      <c r="P66" s="16">
        <f t="shared" si="5"/>
        <v>-11.565217391304373</v>
      </c>
      <c r="Q66" s="315">
        <f t="shared" si="6"/>
        <v>0.96144927536231872</v>
      </c>
      <c r="R66" s="619"/>
      <c r="S66" s="31">
        <v>0.36388888888888887</v>
      </c>
      <c r="T66" s="31">
        <v>0.41180555555555554</v>
      </c>
      <c r="U66" s="314">
        <f t="shared" si="44"/>
        <v>5.9999999999999787</v>
      </c>
      <c r="V66" s="316">
        <f t="shared" si="42"/>
        <v>69</v>
      </c>
      <c r="W66" s="314"/>
      <c r="X66" s="314"/>
      <c r="Y66" s="314"/>
      <c r="Z66" s="314"/>
      <c r="AA66" s="610"/>
      <c r="AB66" s="610"/>
      <c r="AC66" s="155"/>
      <c r="AD66" s="19"/>
      <c r="AE66" s="15">
        <f t="shared" si="43"/>
        <v>-115.6521739130435</v>
      </c>
      <c r="AF66" s="315">
        <f t="shared" si="9"/>
        <v>0.96144927536231883</v>
      </c>
      <c r="AG66" s="619"/>
    </row>
    <row r="67" spans="1:33" ht="15.75" customHeight="1">
      <c r="A67" s="621" t="s">
        <v>1514</v>
      </c>
      <c r="B67" s="318" t="s">
        <v>36</v>
      </c>
      <c r="C67" s="611" t="s">
        <v>39</v>
      </c>
      <c r="D67" s="611"/>
      <c r="E67" s="33">
        <v>35.869999999999997</v>
      </c>
      <c r="F67" s="35">
        <v>1295</v>
      </c>
      <c r="G67" s="314">
        <f t="shared" si="40"/>
        <v>46451.649999999994</v>
      </c>
      <c r="H67" s="319" t="s">
        <v>5</v>
      </c>
      <c r="I67" s="313">
        <v>9</v>
      </c>
      <c r="J67" s="30">
        <v>3000</v>
      </c>
      <c r="K67" s="13">
        <f t="shared" si="1"/>
        <v>333.33333333333331</v>
      </c>
      <c r="L67" s="313">
        <v>9</v>
      </c>
      <c r="M67" s="14">
        <f t="shared" si="41"/>
        <v>2877.7777777777792</v>
      </c>
      <c r="N67" s="13">
        <f t="shared" si="3"/>
        <v>319.75308641975323</v>
      </c>
      <c r="O67" s="15">
        <f t="shared" si="4"/>
        <v>0</v>
      </c>
      <c r="P67" s="16">
        <f t="shared" si="5"/>
        <v>-13.580246913580083</v>
      </c>
      <c r="Q67" s="315">
        <f t="shared" si="6"/>
        <v>0.9592592592592597</v>
      </c>
      <c r="R67" s="619"/>
      <c r="S67" s="31">
        <v>0.41736111111111107</v>
      </c>
      <c r="T67" s="31">
        <v>0.43611111111111106</v>
      </c>
      <c r="U67" s="314">
        <f t="shared" si="44"/>
        <v>7.9999999999999716</v>
      </c>
      <c r="V67" s="316">
        <f t="shared" si="42"/>
        <v>26.999999999999986</v>
      </c>
      <c r="W67" s="314"/>
      <c r="X67" s="314"/>
      <c r="Y67" s="314"/>
      <c r="Z67" s="314"/>
      <c r="AA67" s="610"/>
      <c r="AB67" s="610"/>
      <c r="AC67" s="155"/>
      <c r="AD67" s="19"/>
      <c r="AE67" s="15">
        <f t="shared" si="43"/>
        <v>-122.22222222222081</v>
      </c>
      <c r="AF67" s="315">
        <f t="shared" si="9"/>
        <v>0.9592592592592597</v>
      </c>
      <c r="AG67" s="619"/>
    </row>
    <row r="68" spans="1:33">
      <c r="A68" s="622" t="s">
        <v>1514</v>
      </c>
      <c r="B68" s="318" t="s">
        <v>36</v>
      </c>
      <c r="C68" s="611" t="s">
        <v>74</v>
      </c>
      <c r="D68" s="611"/>
      <c r="E68" s="33">
        <v>33.770000000000003</v>
      </c>
      <c r="F68" s="35">
        <v>3515</v>
      </c>
      <c r="G68" s="314">
        <f t="shared" si="40"/>
        <v>118701.55000000002</v>
      </c>
      <c r="H68" s="319" t="s">
        <v>5</v>
      </c>
      <c r="I68" s="313">
        <v>12</v>
      </c>
      <c r="J68" s="30">
        <v>3000</v>
      </c>
      <c r="K68" s="13">
        <f t="shared" si="1"/>
        <v>250</v>
      </c>
      <c r="L68" s="313">
        <v>12</v>
      </c>
      <c r="M68" s="14">
        <f t="shared" si="41"/>
        <v>2889.0410958904117</v>
      </c>
      <c r="N68" s="13">
        <f t="shared" si="3"/>
        <v>240.75342465753431</v>
      </c>
      <c r="O68" s="15">
        <f t="shared" si="4"/>
        <v>0</v>
      </c>
      <c r="P68" s="16">
        <f t="shared" si="5"/>
        <v>-9.2465753424656896</v>
      </c>
      <c r="Q68" s="315">
        <f t="shared" si="6"/>
        <v>0.96301369863013719</v>
      </c>
      <c r="R68" s="619"/>
      <c r="S68" s="31">
        <v>0.44097222222222215</v>
      </c>
      <c r="T68" s="31">
        <v>0.49166666666666659</v>
      </c>
      <c r="U68" s="314">
        <f t="shared" si="44"/>
        <v>6.9999999999999751</v>
      </c>
      <c r="V68" s="316">
        <f t="shared" si="42"/>
        <v>72.999999999999986</v>
      </c>
      <c r="W68" s="17"/>
      <c r="X68" s="17"/>
      <c r="Y68" s="17"/>
      <c r="Z68" s="17"/>
      <c r="AA68" s="610"/>
      <c r="AB68" s="610"/>
      <c r="AC68" s="155"/>
      <c r="AD68" s="19"/>
      <c r="AE68" s="15">
        <f t="shared" si="43"/>
        <v>-110.95890410958827</v>
      </c>
      <c r="AF68" s="315">
        <f t="shared" si="9"/>
        <v>0.96301369863013719</v>
      </c>
      <c r="AG68" s="619"/>
    </row>
    <row r="69" spans="1:33">
      <c r="A69" s="622" t="s">
        <v>1514</v>
      </c>
      <c r="B69" s="33" t="s">
        <v>1326</v>
      </c>
      <c r="C69" s="620"/>
      <c r="D69" s="620"/>
      <c r="E69" s="322"/>
      <c r="F69" s="34"/>
      <c r="G69" s="13"/>
      <c r="H69" s="318"/>
      <c r="I69" s="23">
        <v>10.199999999999999</v>
      </c>
      <c r="J69" s="30">
        <v>3000</v>
      </c>
      <c r="K69" s="13">
        <f t="shared" ref="K69:K80" si="45">J69/I69</f>
        <v>294.11764705882354</v>
      </c>
      <c r="L69" s="23">
        <v>10.199999999999999</v>
      </c>
      <c r="M69" s="14">
        <f>AVERAGE(M64:M68)</f>
        <v>2874.153339951029</v>
      </c>
      <c r="N69" s="13">
        <f t="shared" ref="N69:N80" si="46">M69/L69</f>
        <v>281.77973921088523</v>
      </c>
      <c r="O69" s="15">
        <f t="shared" ref="O69:O80" si="47">L69-I69</f>
        <v>0</v>
      </c>
      <c r="P69" s="16">
        <f t="shared" ref="P69:P80" si="48">N69-K69</f>
        <v>-12.337907847938311</v>
      </c>
      <c r="Q69" s="315">
        <f t="shared" ref="Q69:Q80" si="49">N69/K69</f>
        <v>0.95805111331700976</v>
      </c>
      <c r="R69" s="619"/>
      <c r="S69" s="31"/>
      <c r="T69" s="31"/>
      <c r="U69" s="13"/>
      <c r="V69" s="316"/>
      <c r="W69" s="13"/>
      <c r="X69" s="13"/>
      <c r="Y69" s="24">
        <f>SUM(Y64:Y68)</f>
        <v>0</v>
      </c>
      <c r="Z69" s="24">
        <f>SUM(Z64:Z68)</f>
        <v>0</v>
      </c>
      <c r="AA69" s="609"/>
      <c r="AB69" s="609"/>
      <c r="AC69" s="24">
        <v>5</v>
      </c>
      <c r="AD69" s="24">
        <f>SUM(AD64:AD68)</f>
        <v>0</v>
      </c>
      <c r="AE69" s="15">
        <f t="shared" si="43"/>
        <v>-125.84666004897099</v>
      </c>
      <c r="AF69" s="315">
        <f t="shared" ref="AF69:AF80" si="50">M69/J69</f>
        <v>0.95805111331700965</v>
      </c>
      <c r="AG69" s="619"/>
    </row>
    <row r="70" spans="1:33" ht="15.75" customHeight="1">
      <c r="A70" s="616" t="s">
        <v>1515</v>
      </c>
      <c r="B70" s="318" t="s">
        <v>27</v>
      </c>
      <c r="C70" s="611" t="s">
        <v>50</v>
      </c>
      <c r="D70" s="611"/>
      <c r="E70" s="33">
        <v>19.02</v>
      </c>
      <c r="F70" s="318">
        <v>4700</v>
      </c>
      <c r="G70" s="314">
        <f t="shared" ref="G70:G79" si="51">E70*F70</f>
        <v>89394</v>
      </c>
      <c r="H70" s="319">
        <v>2</v>
      </c>
      <c r="I70" s="313">
        <v>14</v>
      </c>
      <c r="J70" s="30">
        <v>2400</v>
      </c>
      <c r="K70" s="13">
        <f t="shared" si="45"/>
        <v>171.42857142857142</v>
      </c>
      <c r="L70" s="313">
        <v>14</v>
      </c>
      <c r="M70" s="14">
        <f t="shared" ref="M70:M79" si="52">F70/V70*60</f>
        <v>2292.6829268292686</v>
      </c>
      <c r="N70" s="13">
        <f t="shared" si="46"/>
        <v>163.76306620209061</v>
      </c>
      <c r="O70" s="15">
        <f t="shared" si="47"/>
        <v>0</v>
      </c>
      <c r="P70" s="16">
        <f t="shared" si="48"/>
        <v>-7.6655052264808035</v>
      </c>
      <c r="Q70" s="315">
        <f t="shared" si="49"/>
        <v>0.9552845528455286</v>
      </c>
      <c r="R70" s="619">
        <f>Q80</f>
        <v>0.96156539997853152</v>
      </c>
      <c r="S70" s="31">
        <v>8.3333333333333329E-2</v>
      </c>
      <c r="T70" s="31">
        <v>0.16874999999999998</v>
      </c>
      <c r="U70" s="22"/>
      <c r="V70" s="316">
        <f t="shared" ref="V70:V79" si="53">(T70-S70)*24*60</f>
        <v>122.99999999999999</v>
      </c>
      <c r="W70" s="17">
        <f>T70</f>
        <v>0.16874999999999998</v>
      </c>
      <c r="X70" s="17">
        <f>S71</f>
        <v>0.18611111111111106</v>
      </c>
      <c r="Y70" s="17"/>
      <c r="Z70" s="17"/>
      <c r="AA70" s="610"/>
      <c r="AB70" s="610"/>
      <c r="AC70" s="155">
        <v>10</v>
      </c>
      <c r="AD70" s="19"/>
      <c r="AE70" s="15">
        <f t="shared" si="43"/>
        <v>-107.31707317073142</v>
      </c>
      <c r="AF70" s="315">
        <f t="shared" si="50"/>
        <v>0.9552845528455286</v>
      </c>
      <c r="AG70" s="619">
        <f>AF80</f>
        <v>0.96156539997853163</v>
      </c>
    </row>
    <row r="71" spans="1:33" ht="15.75" customHeight="1">
      <c r="A71" s="617" t="s">
        <v>1515</v>
      </c>
      <c r="B71" s="318" t="s">
        <v>27</v>
      </c>
      <c r="C71" s="611" t="s">
        <v>51</v>
      </c>
      <c r="D71" s="611"/>
      <c r="E71" s="33">
        <v>20.36</v>
      </c>
      <c r="F71" s="318">
        <v>2700</v>
      </c>
      <c r="G71" s="314">
        <f t="shared" si="51"/>
        <v>54972</v>
      </c>
      <c r="H71" s="319">
        <v>2</v>
      </c>
      <c r="I71" s="313">
        <v>17</v>
      </c>
      <c r="J71" s="30">
        <v>2400</v>
      </c>
      <c r="K71" s="13">
        <f t="shared" si="45"/>
        <v>141.1764705882353</v>
      </c>
      <c r="L71" s="313">
        <v>17</v>
      </c>
      <c r="M71" s="14">
        <f t="shared" si="52"/>
        <v>2314.2857142857147</v>
      </c>
      <c r="N71" s="13">
        <f t="shared" si="46"/>
        <v>136.13445378151263</v>
      </c>
      <c r="O71" s="15">
        <f t="shared" si="47"/>
        <v>0</v>
      </c>
      <c r="P71" s="16">
        <f t="shared" si="48"/>
        <v>-5.0420168067226712</v>
      </c>
      <c r="Q71" s="315">
        <f t="shared" si="49"/>
        <v>0.96428571428571441</v>
      </c>
      <c r="R71" s="619"/>
      <c r="S71" s="31">
        <v>0.18611111111111106</v>
      </c>
      <c r="T71" s="31">
        <v>0.23472222222222217</v>
      </c>
      <c r="U71" s="314">
        <f t="shared" ref="U71:U79" si="54">(S71-T70)*24*60</f>
        <v>24.99999999999995</v>
      </c>
      <c r="V71" s="316">
        <f t="shared" si="53"/>
        <v>69.999999999999986</v>
      </c>
      <c r="W71" s="17"/>
      <c r="X71" s="17"/>
      <c r="Y71" s="17"/>
      <c r="Z71" s="17"/>
      <c r="AA71" s="610"/>
      <c r="AB71" s="610"/>
      <c r="AC71" s="155"/>
      <c r="AD71" s="19"/>
      <c r="AE71" s="15">
        <f t="shared" si="43"/>
        <v>-85.714285714285325</v>
      </c>
      <c r="AF71" s="315">
        <f t="shared" si="50"/>
        <v>0.96428571428571441</v>
      </c>
      <c r="AG71" s="619"/>
    </row>
    <row r="72" spans="1:33" ht="15.75" customHeight="1">
      <c r="A72" s="617" t="s">
        <v>1515</v>
      </c>
      <c r="B72" s="318" t="s">
        <v>27</v>
      </c>
      <c r="C72" s="611" t="s">
        <v>876</v>
      </c>
      <c r="D72" s="611"/>
      <c r="E72" s="33">
        <v>23.8</v>
      </c>
      <c r="F72" s="318">
        <v>2200</v>
      </c>
      <c r="G72" s="314">
        <f t="shared" si="51"/>
        <v>52360</v>
      </c>
      <c r="H72" s="319">
        <v>2</v>
      </c>
      <c r="I72" s="313">
        <v>16</v>
      </c>
      <c r="J72" s="30">
        <v>2400</v>
      </c>
      <c r="K72" s="13">
        <f t="shared" si="45"/>
        <v>150</v>
      </c>
      <c r="L72" s="313">
        <v>16</v>
      </c>
      <c r="M72" s="14">
        <f t="shared" si="52"/>
        <v>2315.7894736842109</v>
      </c>
      <c r="N72" s="13">
        <f t="shared" si="46"/>
        <v>144.73684210526318</v>
      </c>
      <c r="O72" s="15">
        <f t="shared" si="47"/>
        <v>0</v>
      </c>
      <c r="P72" s="16">
        <f t="shared" si="48"/>
        <v>-5.2631578947368212</v>
      </c>
      <c r="Q72" s="315">
        <f t="shared" si="49"/>
        <v>0.9649122807017545</v>
      </c>
      <c r="R72" s="619"/>
      <c r="S72" s="31">
        <v>0.23888888888888885</v>
      </c>
      <c r="T72" s="31">
        <v>0.27847222222222218</v>
      </c>
      <c r="U72" s="314">
        <f t="shared" si="54"/>
        <v>6.0000000000000187</v>
      </c>
      <c r="V72" s="316">
        <f t="shared" si="53"/>
        <v>57</v>
      </c>
      <c r="W72" s="17"/>
      <c r="X72" s="17"/>
      <c r="Y72" s="17"/>
      <c r="Z72" s="17"/>
      <c r="AA72" s="610"/>
      <c r="AB72" s="610"/>
      <c r="AC72" s="155"/>
      <c r="AD72" s="19"/>
      <c r="AE72" s="15">
        <f t="shared" si="43"/>
        <v>-84.210526315789139</v>
      </c>
      <c r="AF72" s="315">
        <f t="shared" si="50"/>
        <v>0.9649122807017545</v>
      </c>
      <c r="AG72" s="619"/>
    </row>
    <row r="73" spans="1:33" ht="15.75" customHeight="1">
      <c r="A73" s="617" t="s">
        <v>1515</v>
      </c>
      <c r="B73" s="318" t="s">
        <v>27</v>
      </c>
      <c r="C73" s="611" t="s">
        <v>31</v>
      </c>
      <c r="D73" s="611"/>
      <c r="E73" s="33">
        <v>25.99</v>
      </c>
      <c r="F73" s="318">
        <v>1671</v>
      </c>
      <c r="G73" s="314">
        <f t="shared" si="51"/>
        <v>43429.29</v>
      </c>
      <c r="H73" s="319" t="s">
        <v>5</v>
      </c>
      <c r="I73" s="313">
        <v>18</v>
      </c>
      <c r="J73" s="30">
        <v>2400</v>
      </c>
      <c r="K73" s="13">
        <f t="shared" si="45"/>
        <v>133.33333333333334</v>
      </c>
      <c r="L73" s="313">
        <v>18</v>
      </c>
      <c r="M73" s="14">
        <f t="shared" si="52"/>
        <v>2331.6279069767438</v>
      </c>
      <c r="N73" s="13">
        <f t="shared" si="46"/>
        <v>129.53488372093022</v>
      </c>
      <c r="O73" s="15">
        <f t="shared" si="47"/>
        <v>0</v>
      </c>
      <c r="P73" s="16">
        <f t="shared" si="48"/>
        <v>-3.7984496124031182</v>
      </c>
      <c r="Q73" s="315">
        <f t="shared" si="49"/>
        <v>0.97151162790697665</v>
      </c>
      <c r="R73" s="619"/>
      <c r="S73" s="31">
        <v>0.28194444444444439</v>
      </c>
      <c r="T73" s="31">
        <v>0.3118055555555555</v>
      </c>
      <c r="U73" s="314">
        <f t="shared" si="54"/>
        <v>4.9999999999999822</v>
      </c>
      <c r="V73" s="316">
        <f t="shared" si="53"/>
        <v>43.000000000000007</v>
      </c>
      <c r="W73" s="17"/>
      <c r="X73" s="17"/>
      <c r="Y73" s="17"/>
      <c r="Z73" s="17"/>
      <c r="AA73" s="610"/>
      <c r="AB73" s="610"/>
      <c r="AC73" s="155"/>
      <c r="AD73" s="19"/>
      <c r="AE73" s="15">
        <f t="shared" si="43"/>
        <v>-68.372093023256184</v>
      </c>
      <c r="AF73" s="315">
        <f t="shared" si="50"/>
        <v>0.97151162790697654</v>
      </c>
      <c r="AG73" s="619"/>
    </row>
    <row r="74" spans="1:33" ht="15.75" customHeight="1">
      <c r="A74" s="617" t="s">
        <v>200</v>
      </c>
      <c r="B74" s="318" t="s">
        <v>27</v>
      </c>
      <c r="C74" s="611" t="s">
        <v>53</v>
      </c>
      <c r="D74" s="611"/>
      <c r="E74" s="33">
        <v>28.29</v>
      </c>
      <c r="F74" s="318">
        <v>3527</v>
      </c>
      <c r="G74" s="314">
        <f t="shared" si="51"/>
        <v>99778.83</v>
      </c>
      <c r="H74" s="319" t="s">
        <v>5</v>
      </c>
      <c r="I74" s="313">
        <v>19</v>
      </c>
      <c r="J74" s="30">
        <v>2400</v>
      </c>
      <c r="K74" s="13">
        <f t="shared" si="45"/>
        <v>126.31578947368421</v>
      </c>
      <c r="L74" s="313">
        <v>19</v>
      </c>
      <c r="M74" s="14">
        <f t="shared" si="52"/>
        <v>2300.217391304348</v>
      </c>
      <c r="N74" s="13">
        <f t="shared" si="46"/>
        <v>121.06407322654464</v>
      </c>
      <c r="O74" s="15">
        <f t="shared" si="47"/>
        <v>0</v>
      </c>
      <c r="P74" s="16">
        <f t="shared" si="48"/>
        <v>-5.2517162471395693</v>
      </c>
      <c r="Q74" s="315">
        <f t="shared" si="49"/>
        <v>0.9584239130434784</v>
      </c>
      <c r="R74" s="619"/>
      <c r="S74" s="31">
        <v>0.31597222222222215</v>
      </c>
      <c r="T74" s="31">
        <v>0.37986111111111104</v>
      </c>
      <c r="U74" s="314">
        <f t="shared" si="54"/>
        <v>5.9999999999999787</v>
      </c>
      <c r="V74" s="316">
        <f t="shared" si="53"/>
        <v>92</v>
      </c>
      <c r="W74" s="17"/>
      <c r="X74" s="17"/>
      <c r="Y74" s="17"/>
      <c r="Z74" s="17"/>
      <c r="AA74" s="610"/>
      <c r="AB74" s="610"/>
      <c r="AC74" s="155"/>
      <c r="AD74" s="19"/>
      <c r="AE74" s="15">
        <f t="shared" si="43"/>
        <v>-99.782608695652016</v>
      </c>
      <c r="AF74" s="315">
        <f t="shared" si="50"/>
        <v>0.95842391304347829</v>
      </c>
      <c r="AG74" s="619"/>
    </row>
    <row r="75" spans="1:33" ht="15.75" customHeight="1">
      <c r="A75" s="617" t="s">
        <v>1515</v>
      </c>
      <c r="B75" s="318" t="s">
        <v>27</v>
      </c>
      <c r="C75" s="611" t="s">
        <v>52</v>
      </c>
      <c r="D75" s="611"/>
      <c r="E75" s="33">
        <v>25.98</v>
      </c>
      <c r="F75" s="318">
        <v>2077</v>
      </c>
      <c r="G75" s="314">
        <f t="shared" si="51"/>
        <v>53960.46</v>
      </c>
      <c r="H75" s="319" t="s">
        <v>5</v>
      </c>
      <c r="I75" s="313">
        <v>17</v>
      </c>
      <c r="J75" s="30">
        <v>2400</v>
      </c>
      <c r="K75" s="13">
        <f t="shared" si="45"/>
        <v>141.1764705882353</v>
      </c>
      <c r="L75" s="313">
        <v>17</v>
      </c>
      <c r="M75" s="14">
        <f t="shared" si="52"/>
        <v>2307.7777777777792</v>
      </c>
      <c r="N75" s="13">
        <f t="shared" si="46"/>
        <v>135.7516339869282</v>
      </c>
      <c r="O75" s="15">
        <f t="shared" si="47"/>
        <v>0</v>
      </c>
      <c r="P75" s="16">
        <f t="shared" si="48"/>
        <v>-5.4248366013071063</v>
      </c>
      <c r="Q75" s="315">
        <f t="shared" si="49"/>
        <v>0.96157407407407469</v>
      </c>
      <c r="R75" s="619"/>
      <c r="S75" s="31">
        <v>0.38402777777777769</v>
      </c>
      <c r="T75" s="31">
        <v>0.42152777777777767</v>
      </c>
      <c r="U75" s="314">
        <f t="shared" si="54"/>
        <v>5.9999999999999787</v>
      </c>
      <c r="V75" s="316">
        <f t="shared" si="53"/>
        <v>53.999999999999972</v>
      </c>
      <c r="W75" s="17"/>
      <c r="X75" s="17"/>
      <c r="Y75" s="17"/>
      <c r="Z75" s="17"/>
      <c r="AA75" s="610"/>
      <c r="AB75" s="610"/>
      <c r="AC75" s="155"/>
      <c r="AD75" s="19"/>
      <c r="AE75" s="15">
        <f t="shared" si="43"/>
        <v>-92.222222222220807</v>
      </c>
      <c r="AF75" s="315">
        <f t="shared" si="50"/>
        <v>0.96157407407407469</v>
      </c>
      <c r="AG75" s="619"/>
    </row>
    <row r="76" spans="1:33" ht="15.75" customHeight="1">
      <c r="A76" s="617" t="s">
        <v>1515</v>
      </c>
      <c r="B76" s="318" t="s">
        <v>27</v>
      </c>
      <c r="C76" s="612" t="s">
        <v>197</v>
      </c>
      <c r="D76" s="613"/>
      <c r="E76" s="33">
        <v>23.89</v>
      </c>
      <c r="F76" s="318">
        <v>3687</v>
      </c>
      <c r="G76" s="314">
        <f t="shared" si="51"/>
        <v>88082.430000000008</v>
      </c>
      <c r="H76" s="319" t="s">
        <v>5</v>
      </c>
      <c r="I76" s="313">
        <v>17</v>
      </c>
      <c r="J76" s="30">
        <v>2400</v>
      </c>
      <c r="K76" s="13">
        <f t="shared" si="45"/>
        <v>141.1764705882353</v>
      </c>
      <c r="L76" s="313">
        <v>17</v>
      </c>
      <c r="M76" s="14">
        <f t="shared" si="52"/>
        <v>2304.3750000000009</v>
      </c>
      <c r="N76" s="13">
        <f t="shared" si="46"/>
        <v>135.55147058823536</v>
      </c>
      <c r="O76" s="15">
        <f t="shared" si="47"/>
        <v>0</v>
      </c>
      <c r="P76" s="16">
        <f t="shared" si="48"/>
        <v>-5.6249999999999432</v>
      </c>
      <c r="Q76" s="315">
        <f t="shared" si="49"/>
        <v>0.96015625000000038</v>
      </c>
      <c r="R76" s="619"/>
      <c r="S76" s="31">
        <v>0.42638888888888876</v>
      </c>
      <c r="T76" s="31">
        <v>0.49305555555555541</v>
      </c>
      <c r="U76" s="314">
        <f t="shared" si="54"/>
        <v>6.9999999999999751</v>
      </c>
      <c r="V76" s="316">
        <f t="shared" si="53"/>
        <v>95.999999999999972</v>
      </c>
      <c r="W76" s="17">
        <f>T76</f>
        <v>0.49305555555555541</v>
      </c>
      <c r="X76" s="17">
        <f>S77</f>
        <v>0.53541666666666643</v>
      </c>
      <c r="Y76" s="20"/>
      <c r="Z76" s="20"/>
      <c r="AA76" s="614"/>
      <c r="AB76" s="615"/>
      <c r="AC76" s="155"/>
      <c r="AD76" s="19"/>
      <c r="AE76" s="15">
        <f t="shared" si="43"/>
        <v>-95.624999999999091</v>
      </c>
      <c r="AF76" s="315">
        <f t="shared" si="50"/>
        <v>0.96015625000000038</v>
      </c>
      <c r="AG76" s="619"/>
    </row>
    <row r="77" spans="1:33" ht="15.75" customHeight="1">
      <c r="A77" s="617" t="s">
        <v>1515</v>
      </c>
      <c r="B77" s="318" t="s">
        <v>27</v>
      </c>
      <c r="C77" s="612" t="s">
        <v>50</v>
      </c>
      <c r="D77" s="613"/>
      <c r="E77" s="33">
        <v>19.02</v>
      </c>
      <c r="F77" s="318">
        <v>7752</v>
      </c>
      <c r="G77" s="314">
        <f t="shared" si="51"/>
        <v>147443.04</v>
      </c>
      <c r="H77" s="319" t="s">
        <v>5</v>
      </c>
      <c r="I77" s="313">
        <v>14</v>
      </c>
      <c r="J77" s="30">
        <v>2400</v>
      </c>
      <c r="K77" s="13">
        <f t="shared" si="45"/>
        <v>171.42857142857142</v>
      </c>
      <c r="L77" s="313">
        <v>14</v>
      </c>
      <c r="M77" s="14">
        <f t="shared" si="52"/>
        <v>2291.2315270935951</v>
      </c>
      <c r="N77" s="13">
        <f t="shared" si="46"/>
        <v>163.65939479239964</v>
      </c>
      <c r="O77" s="15">
        <f t="shared" si="47"/>
        <v>0</v>
      </c>
      <c r="P77" s="16">
        <f t="shared" si="48"/>
        <v>-7.7691766361717782</v>
      </c>
      <c r="Q77" s="315">
        <f t="shared" si="49"/>
        <v>0.95467980295566457</v>
      </c>
      <c r="R77" s="619"/>
      <c r="S77" s="31">
        <v>0.53541666666666643</v>
      </c>
      <c r="T77" s="31">
        <v>0.67638888888888871</v>
      </c>
      <c r="U77" s="314">
        <f t="shared" si="54"/>
        <v>60.999999999999865</v>
      </c>
      <c r="V77" s="316">
        <f t="shared" si="53"/>
        <v>203.00000000000009</v>
      </c>
      <c r="W77" s="17"/>
      <c r="X77" s="17"/>
      <c r="Y77" s="20"/>
      <c r="Z77" s="20"/>
      <c r="AA77" s="614"/>
      <c r="AB77" s="615"/>
      <c r="AC77" s="155"/>
      <c r="AD77" s="19"/>
      <c r="AE77" s="15">
        <f t="shared" si="43"/>
        <v>-108.7684729064049</v>
      </c>
      <c r="AF77" s="315">
        <f t="shared" si="50"/>
        <v>0.95467980295566468</v>
      </c>
      <c r="AG77" s="619"/>
    </row>
    <row r="78" spans="1:33" ht="15.75" customHeight="1">
      <c r="A78" s="617" t="s">
        <v>1515</v>
      </c>
      <c r="B78" s="318" t="s">
        <v>27</v>
      </c>
      <c r="C78" s="612" t="s">
        <v>876</v>
      </c>
      <c r="D78" s="613"/>
      <c r="E78" s="33">
        <v>23.8</v>
      </c>
      <c r="F78" s="318">
        <v>1587</v>
      </c>
      <c r="G78" s="314">
        <f t="shared" si="51"/>
        <v>37770.6</v>
      </c>
      <c r="H78" s="319" t="s">
        <v>5</v>
      </c>
      <c r="I78" s="313">
        <v>16</v>
      </c>
      <c r="J78" s="30">
        <v>2400</v>
      </c>
      <c r="K78" s="13">
        <f t="shared" si="45"/>
        <v>150</v>
      </c>
      <c r="L78" s="313">
        <v>16</v>
      </c>
      <c r="M78" s="14">
        <f t="shared" si="52"/>
        <v>2322.439024390243</v>
      </c>
      <c r="N78" s="13">
        <f t="shared" si="46"/>
        <v>145.15243902439019</v>
      </c>
      <c r="O78" s="15">
        <f t="shared" si="47"/>
        <v>0</v>
      </c>
      <c r="P78" s="16">
        <f t="shared" si="48"/>
        <v>-4.8475609756098095</v>
      </c>
      <c r="Q78" s="315">
        <f t="shared" si="49"/>
        <v>0.96768292682926793</v>
      </c>
      <c r="R78" s="619"/>
      <c r="S78" s="31">
        <v>0.6812499999999998</v>
      </c>
      <c r="T78" s="31">
        <v>0.70972222222222203</v>
      </c>
      <c r="U78" s="314">
        <f t="shared" si="54"/>
        <v>6.9999999999999751</v>
      </c>
      <c r="V78" s="316">
        <f t="shared" si="53"/>
        <v>41.000000000000014</v>
      </c>
      <c r="W78" s="17"/>
      <c r="X78" s="17"/>
      <c r="Y78" s="20"/>
      <c r="Z78" s="20"/>
      <c r="AA78" s="614"/>
      <c r="AB78" s="615"/>
      <c r="AC78" s="155"/>
      <c r="AD78" s="19"/>
      <c r="AE78" s="15">
        <f t="shared" si="43"/>
        <v>-77.560975609756952</v>
      </c>
      <c r="AF78" s="315">
        <f t="shared" si="50"/>
        <v>0.96768292682926793</v>
      </c>
      <c r="AG78" s="619"/>
    </row>
    <row r="79" spans="1:33" ht="15.75" customHeight="1">
      <c r="A79" s="617" t="s">
        <v>1515</v>
      </c>
      <c r="B79" s="318" t="s">
        <v>27</v>
      </c>
      <c r="C79" s="612" t="s">
        <v>51</v>
      </c>
      <c r="D79" s="613"/>
      <c r="E79" s="33">
        <v>20.36</v>
      </c>
      <c r="F79" s="318">
        <v>2144</v>
      </c>
      <c r="G79" s="314">
        <f t="shared" si="51"/>
        <v>43651.839999999997</v>
      </c>
      <c r="H79" s="319" t="s">
        <v>5</v>
      </c>
      <c r="I79" s="313">
        <v>17</v>
      </c>
      <c r="J79" s="30">
        <v>2400</v>
      </c>
      <c r="K79" s="13">
        <f t="shared" si="45"/>
        <v>141.1764705882353</v>
      </c>
      <c r="L79" s="313">
        <v>17</v>
      </c>
      <c r="M79" s="14">
        <f t="shared" si="52"/>
        <v>2297.1428571428587</v>
      </c>
      <c r="N79" s="13">
        <f t="shared" si="46"/>
        <v>135.12605042016816</v>
      </c>
      <c r="O79" s="15">
        <f t="shared" si="47"/>
        <v>0</v>
      </c>
      <c r="P79" s="16">
        <f t="shared" si="48"/>
        <v>-6.0504201680671486</v>
      </c>
      <c r="Q79" s="315">
        <f t="shared" si="49"/>
        <v>0.95714285714285774</v>
      </c>
      <c r="R79" s="619"/>
      <c r="S79" s="31">
        <v>0.71319444444444424</v>
      </c>
      <c r="T79" s="31">
        <v>0.7520833333333331</v>
      </c>
      <c r="U79" s="314">
        <f t="shared" si="54"/>
        <v>4.9999999999999822</v>
      </c>
      <c r="V79" s="316">
        <f t="shared" si="53"/>
        <v>55.999999999999957</v>
      </c>
      <c r="W79" s="17"/>
      <c r="X79" s="17"/>
      <c r="Y79" s="20"/>
      <c r="Z79" s="20"/>
      <c r="AA79" s="614"/>
      <c r="AB79" s="615"/>
      <c r="AC79" s="155"/>
      <c r="AD79" s="19"/>
      <c r="AE79" s="15">
        <f t="shared" si="43"/>
        <v>-102.8571428571413</v>
      </c>
      <c r="AF79" s="315">
        <f t="shared" si="50"/>
        <v>0.95714285714285774</v>
      </c>
      <c r="AG79" s="619"/>
    </row>
    <row r="80" spans="1:33" ht="16.5" customHeight="1">
      <c r="A80" s="618" t="s">
        <v>1515</v>
      </c>
      <c r="B80" s="33" t="s">
        <v>1326</v>
      </c>
      <c r="C80" s="607"/>
      <c r="D80" s="608"/>
      <c r="E80" s="322"/>
      <c r="F80" s="34"/>
      <c r="G80" s="13"/>
      <c r="H80" s="318"/>
      <c r="I80" s="23">
        <v>16.5</v>
      </c>
      <c r="J80" s="30">
        <v>2400</v>
      </c>
      <c r="K80" s="13">
        <f t="shared" si="45"/>
        <v>145.45454545454547</v>
      </c>
      <c r="L80" s="23">
        <v>16.5</v>
      </c>
      <c r="M80" s="14">
        <f>AVERAGE(M70:M79)</f>
        <v>2307.7569599484759</v>
      </c>
      <c r="N80" s="13">
        <f t="shared" si="46"/>
        <v>139.8640581786955</v>
      </c>
      <c r="O80" s="15">
        <f t="shared" si="47"/>
        <v>0</v>
      </c>
      <c r="P80" s="16">
        <f t="shared" si="48"/>
        <v>-5.5904872758499664</v>
      </c>
      <c r="Q80" s="315">
        <f t="shared" si="49"/>
        <v>0.96156539997853152</v>
      </c>
      <c r="R80" s="619"/>
      <c r="S80" s="31"/>
      <c r="T80" s="31"/>
      <c r="U80" s="13"/>
      <c r="V80" s="316"/>
      <c r="W80" s="13"/>
      <c r="X80" s="13"/>
      <c r="Y80" s="24">
        <f>SUM(Y70:Y79)</f>
        <v>0</v>
      </c>
      <c r="Z80" s="24">
        <f>SUM(Z70:Z79)</f>
        <v>0</v>
      </c>
      <c r="AA80" s="609"/>
      <c r="AB80" s="609"/>
      <c r="AC80" s="24">
        <v>10</v>
      </c>
      <c r="AD80" s="24">
        <f>SUM(AD70:AD79)</f>
        <v>0</v>
      </c>
      <c r="AE80" s="15">
        <f t="shared" si="43"/>
        <v>-92.243040051524076</v>
      </c>
      <c r="AF80" s="315">
        <f t="shared" si="50"/>
        <v>0.96156539997853163</v>
      </c>
      <c r="AG80" s="619"/>
    </row>
    <row r="81" spans="4:5">
      <c r="D81" s="25"/>
      <c r="E81" s="25"/>
    </row>
  </sheetData>
  <mergeCells count="205">
    <mergeCell ref="AG70:AG80"/>
    <mergeCell ref="C71:D71"/>
    <mergeCell ref="AA71:AB71"/>
    <mergeCell ref="C72:D72"/>
    <mergeCell ref="AA72:AB72"/>
    <mergeCell ref="C73:D73"/>
    <mergeCell ref="C80:D80"/>
    <mergeCell ref="AA80:AB80"/>
    <mergeCell ref="C77:D77"/>
    <mergeCell ref="AA77:AB77"/>
    <mergeCell ref="C78:D78"/>
    <mergeCell ref="AA78:AB78"/>
    <mergeCell ref="C79:D79"/>
    <mergeCell ref="AA79:AB79"/>
    <mergeCell ref="AA73:AB73"/>
    <mergeCell ref="C74:D74"/>
    <mergeCell ref="AA74:AB74"/>
    <mergeCell ref="C75:D75"/>
    <mergeCell ref="AA75:AB75"/>
    <mergeCell ref="C76:D76"/>
    <mergeCell ref="AA76:AB76"/>
    <mergeCell ref="AA63:AB63"/>
    <mergeCell ref="A64:A69"/>
    <mergeCell ref="C64:D64"/>
    <mergeCell ref="R64:R69"/>
    <mergeCell ref="AA64:AB64"/>
    <mergeCell ref="AA69:AB69"/>
    <mergeCell ref="AG64:AG69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70:A80"/>
    <mergeCell ref="C70:D70"/>
    <mergeCell ref="R70:R80"/>
    <mergeCell ref="AA70:AB70"/>
    <mergeCell ref="AG53:AG63"/>
    <mergeCell ref="C54:D54"/>
    <mergeCell ref="AA54:AB54"/>
    <mergeCell ref="C55:D55"/>
    <mergeCell ref="AA55:AB55"/>
    <mergeCell ref="AA56:AB56"/>
    <mergeCell ref="AA57:AB57"/>
    <mergeCell ref="C58:D58"/>
    <mergeCell ref="AA58:AB58"/>
    <mergeCell ref="C59:D59"/>
    <mergeCell ref="AA59:AB59"/>
    <mergeCell ref="C60:D60"/>
    <mergeCell ref="AA60:AB60"/>
    <mergeCell ref="A53:A63"/>
    <mergeCell ref="C53:D53"/>
    <mergeCell ref="R53:R63"/>
    <mergeCell ref="AA53:AB53"/>
    <mergeCell ref="C62:D62"/>
    <mergeCell ref="AA62:AB62"/>
    <mergeCell ref="C63:D63"/>
    <mergeCell ref="A48:A52"/>
    <mergeCell ref="C48:D48"/>
    <mergeCell ref="R48:R52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A30:A38"/>
    <mergeCell ref="C30:D30"/>
    <mergeCell ref="R30:R38"/>
    <mergeCell ref="AA30:AB30"/>
    <mergeCell ref="C38:D38"/>
    <mergeCell ref="AA38:AB38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A47:AB47"/>
    <mergeCell ref="AG30:AG38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C36:D36"/>
    <mergeCell ref="AA36:AB36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2:D22"/>
    <mergeCell ref="A15:A22"/>
    <mergeCell ref="C15:D15"/>
    <mergeCell ref="R15:R22"/>
    <mergeCell ref="AA15:AB15"/>
    <mergeCell ref="AA22:AB22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7:O75 O63:O64 O80 O5:O10 O14:O16 O22:O58">
    <cfRule type="cellIs" dxfId="1249" priority="76" operator="greaterThan">
      <formula>0</formula>
    </cfRule>
  </conditionalFormatting>
  <conditionalFormatting sqref="P5:P8 P67:P68 AE67:AE68 P70:P75 P30:P37 P64 P10 P14:P16 P23:P28 P53:P58 P39:P51 AE5:AE64 AE70:AE80">
    <cfRule type="cellIs" dxfId="1248" priority="80" operator="lessThan">
      <formula>0</formula>
    </cfRule>
  </conditionalFormatting>
  <conditionalFormatting sqref="AF67:AF68 Q67:Q75 Q63:Q64 Q80 Q5:Q10 Q14:Q16 Q22:Q58 AF5:AF64 AF70:AF80">
    <cfRule type="cellIs" dxfId="1247" priority="77" operator="greaterThan">
      <formula>1</formula>
    </cfRule>
    <cfRule type="cellIs" dxfId="1246" priority="78" operator="lessThan">
      <formula>0.8</formula>
    </cfRule>
  </conditionalFormatting>
  <conditionalFormatting sqref="AG15:AG16 R15:R16 AG67 R67:R75 AG63:AG64 R63:R64 R80 AG5:AG10 R5:R10 AG22:AG58 R22:R58">
    <cfRule type="cellIs" dxfId="1245" priority="82" operator="lessThan">
      <formula>0.8</formula>
    </cfRule>
  </conditionalFormatting>
  <conditionalFormatting sqref="AG48">
    <cfRule type="cellIs" dxfId="1244" priority="84" operator="lessThan">
      <formula>0.8</formula>
    </cfRule>
  </conditionalFormatting>
  <conditionalFormatting sqref="AG23:AG28">
    <cfRule type="cellIs" dxfId="1243" priority="81" operator="lessThan">
      <formula>0.8</formula>
    </cfRule>
  </conditionalFormatting>
  <conditionalFormatting sqref="AG30">
    <cfRule type="cellIs" dxfId="1242" priority="83" operator="lessThan">
      <formula>0.8</formula>
    </cfRule>
  </conditionalFormatting>
  <conditionalFormatting sqref="AG39:AG46">
    <cfRule type="cellIs" dxfId="1241" priority="79" operator="lessThan">
      <formula>0.8</formula>
    </cfRule>
  </conditionalFormatting>
  <conditionalFormatting sqref="AE69">
    <cfRule type="cellIs" dxfId="1240" priority="75" operator="lessThan">
      <formula>0</formula>
    </cfRule>
  </conditionalFormatting>
  <conditionalFormatting sqref="AF69">
    <cfRule type="cellIs" dxfId="1239" priority="73" operator="greaterThan">
      <formula>1</formula>
    </cfRule>
    <cfRule type="cellIs" dxfId="1238" priority="74" operator="lessThan">
      <formula>0.8</formula>
    </cfRule>
  </conditionalFormatting>
  <conditionalFormatting sqref="O17:O18">
    <cfRule type="cellIs" dxfId="1237" priority="68" operator="greaterThan">
      <formula>0</formula>
    </cfRule>
  </conditionalFormatting>
  <conditionalFormatting sqref="P17:P18">
    <cfRule type="cellIs" dxfId="1236" priority="71" operator="lessThan">
      <formula>0</formula>
    </cfRule>
  </conditionalFormatting>
  <conditionalFormatting sqref="Q17:Q18">
    <cfRule type="cellIs" dxfId="1235" priority="69" operator="greaterThan">
      <formula>1</formula>
    </cfRule>
    <cfRule type="cellIs" dxfId="1234" priority="70" operator="lessThan">
      <formula>0.8</formula>
    </cfRule>
  </conditionalFormatting>
  <conditionalFormatting sqref="R17:R18 AG17:AG18">
    <cfRule type="cellIs" dxfId="1233" priority="72" operator="lessThan">
      <formula>0.8</formula>
    </cfRule>
  </conditionalFormatting>
  <conditionalFormatting sqref="O11:O13">
    <cfRule type="cellIs" dxfId="1232" priority="64" operator="greaterThan">
      <formula>0</formula>
    </cfRule>
  </conditionalFormatting>
  <conditionalFormatting sqref="P11:P13">
    <cfRule type="cellIs" dxfId="1231" priority="67" operator="lessThan">
      <formula>0</formula>
    </cfRule>
  </conditionalFormatting>
  <conditionalFormatting sqref="Q11:Q13">
    <cfRule type="cellIs" dxfId="1230" priority="65" operator="greaterThan">
      <formula>1</formula>
    </cfRule>
    <cfRule type="cellIs" dxfId="1229" priority="66" operator="lessThan">
      <formula>0.8</formula>
    </cfRule>
  </conditionalFormatting>
  <conditionalFormatting sqref="O59">
    <cfRule type="cellIs" dxfId="1228" priority="59" operator="greaterThan">
      <formula>0</formula>
    </cfRule>
  </conditionalFormatting>
  <conditionalFormatting sqref="P59">
    <cfRule type="cellIs" dxfId="1227" priority="62" operator="lessThan">
      <formula>0</formula>
    </cfRule>
  </conditionalFormatting>
  <conditionalFormatting sqref="Q59">
    <cfRule type="cellIs" dxfId="1226" priority="60" operator="greaterThan">
      <formula>1</formula>
    </cfRule>
    <cfRule type="cellIs" dxfId="1225" priority="61" operator="lessThan">
      <formula>0.8</formula>
    </cfRule>
  </conditionalFormatting>
  <conditionalFormatting sqref="R59 AG59">
    <cfRule type="cellIs" dxfId="1224" priority="63" operator="lessThan">
      <formula>0.8</formula>
    </cfRule>
  </conditionalFormatting>
  <conditionalFormatting sqref="O66">
    <cfRule type="cellIs" dxfId="1223" priority="54" operator="greaterThan">
      <formula>0</formula>
    </cfRule>
  </conditionalFormatting>
  <conditionalFormatting sqref="P66 AE66">
    <cfRule type="cellIs" dxfId="1222" priority="57" operator="lessThan">
      <formula>0</formula>
    </cfRule>
  </conditionalFormatting>
  <conditionalFormatting sqref="Q66 AF66">
    <cfRule type="cellIs" dxfId="1221" priority="55" operator="greaterThan">
      <formula>1</formula>
    </cfRule>
    <cfRule type="cellIs" dxfId="1220" priority="56" operator="lessThan">
      <formula>0.8</formula>
    </cfRule>
  </conditionalFormatting>
  <conditionalFormatting sqref="R66 AG66">
    <cfRule type="cellIs" dxfId="1219" priority="58" operator="lessThan">
      <formula>0.8</formula>
    </cfRule>
  </conditionalFormatting>
  <conditionalFormatting sqref="O76">
    <cfRule type="cellIs" dxfId="1218" priority="49" operator="greaterThan">
      <formula>0</formula>
    </cfRule>
  </conditionalFormatting>
  <conditionalFormatting sqref="P76">
    <cfRule type="cellIs" dxfId="1217" priority="52" operator="lessThan">
      <formula>0</formula>
    </cfRule>
  </conditionalFormatting>
  <conditionalFormatting sqref="Q76">
    <cfRule type="cellIs" dxfId="1216" priority="50" operator="greaterThan">
      <formula>1</formula>
    </cfRule>
    <cfRule type="cellIs" dxfId="1215" priority="51" operator="lessThan">
      <formula>0.8</formula>
    </cfRule>
  </conditionalFormatting>
  <conditionalFormatting sqref="R76">
    <cfRule type="cellIs" dxfId="1214" priority="53" operator="lessThan">
      <formula>0.8</formula>
    </cfRule>
  </conditionalFormatting>
  <conditionalFormatting sqref="O19:O20">
    <cfRule type="cellIs" dxfId="1213" priority="44" operator="greaterThan">
      <formula>0</formula>
    </cfRule>
  </conditionalFormatting>
  <conditionalFormatting sqref="P19:P20">
    <cfRule type="cellIs" dxfId="1212" priority="47" operator="lessThan">
      <formula>0</formula>
    </cfRule>
  </conditionalFormatting>
  <conditionalFormatting sqref="Q19:Q20">
    <cfRule type="cellIs" dxfId="1211" priority="45" operator="greaterThan">
      <formula>1</formula>
    </cfRule>
    <cfRule type="cellIs" dxfId="1210" priority="46" operator="lessThan">
      <formula>0.8</formula>
    </cfRule>
  </conditionalFormatting>
  <conditionalFormatting sqref="R19:R20 AG19:AG20">
    <cfRule type="cellIs" dxfId="1209" priority="48" operator="lessThan">
      <formula>0.8</formula>
    </cfRule>
  </conditionalFormatting>
  <conditionalFormatting sqref="O60">
    <cfRule type="cellIs" dxfId="1208" priority="39" operator="greaterThan">
      <formula>0</formula>
    </cfRule>
  </conditionalFormatting>
  <conditionalFormatting sqref="P60">
    <cfRule type="cellIs" dxfId="1207" priority="42" operator="lessThan">
      <formula>0</formula>
    </cfRule>
  </conditionalFormatting>
  <conditionalFormatting sqref="Q60">
    <cfRule type="cellIs" dxfId="1206" priority="40" operator="greaterThan">
      <formula>1</formula>
    </cfRule>
    <cfRule type="cellIs" dxfId="1205" priority="41" operator="lessThan">
      <formula>0.8</formula>
    </cfRule>
  </conditionalFormatting>
  <conditionalFormatting sqref="AG60 R60">
    <cfRule type="cellIs" dxfId="1204" priority="43" operator="lessThan">
      <formula>0.8</formula>
    </cfRule>
  </conditionalFormatting>
  <conditionalFormatting sqref="O65">
    <cfRule type="cellIs" dxfId="1203" priority="34" operator="greaterThan">
      <formula>0</formula>
    </cfRule>
  </conditionalFormatting>
  <conditionalFormatting sqref="P65 AE65">
    <cfRule type="cellIs" dxfId="1202" priority="37" operator="lessThan">
      <formula>0</formula>
    </cfRule>
  </conditionalFormatting>
  <conditionalFormatting sqref="Q65 AF65">
    <cfRule type="cellIs" dxfId="1201" priority="35" operator="greaterThan">
      <formula>1</formula>
    </cfRule>
    <cfRule type="cellIs" dxfId="1200" priority="36" operator="lessThan">
      <formula>0.8</formula>
    </cfRule>
  </conditionalFormatting>
  <conditionalFormatting sqref="R65 AG65">
    <cfRule type="cellIs" dxfId="1199" priority="38" operator="lessThan">
      <formula>0.8</formula>
    </cfRule>
  </conditionalFormatting>
  <conditionalFormatting sqref="O21">
    <cfRule type="cellIs" dxfId="1198" priority="29" operator="greaterThan">
      <formula>0</formula>
    </cfRule>
  </conditionalFormatting>
  <conditionalFormatting sqref="P21">
    <cfRule type="cellIs" dxfId="1197" priority="32" operator="lessThan">
      <formula>0</formula>
    </cfRule>
  </conditionalFormatting>
  <conditionalFormatting sqref="Q21">
    <cfRule type="cellIs" dxfId="1196" priority="30" operator="greaterThan">
      <formula>1</formula>
    </cfRule>
    <cfRule type="cellIs" dxfId="1195" priority="31" operator="lessThan">
      <formula>0.8</formula>
    </cfRule>
  </conditionalFormatting>
  <conditionalFormatting sqref="AG21 R21">
    <cfRule type="cellIs" dxfId="1194" priority="33" operator="lessThan">
      <formula>0.8</formula>
    </cfRule>
  </conditionalFormatting>
  <conditionalFormatting sqref="P9">
    <cfRule type="cellIs" dxfId="1193" priority="28" operator="lessThan">
      <formula>0</formula>
    </cfRule>
  </conditionalFormatting>
  <conditionalFormatting sqref="P22">
    <cfRule type="cellIs" dxfId="1192" priority="27" operator="lessThan">
      <formula>0</formula>
    </cfRule>
  </conditionalFormatting>
  <conditionalFormatting sqref="P29">
    <cfRule type="cellIs" dxfId="1191" priority="26" operator="lessThan">
      <formula>0</formula>
    </cfRule>
  </conditionalFormatting>
  <conditionalFormatting sqref="P38">
    <cfRule type="cellIs" dxfId="1190" priority="25" operator="lessThan">
      <formula>0</formula>
    </cfRule>
  </conditionalFormatting>
  <conditionalFormatting sqref="P52">
    <cfRule type="cellIs" dxfId="1189" priority="24" operator="lessThan">
      <formula>0</formula>
    </cfRule>
  </conditionalFormatting>
  <conditionalFormatting sqref="P63">
    <cfRule type="cellIs" dxfId="1188" priority="23" operator="lessThan">
      <formula>0</formula>
    </cfRule>
  </conditionalFormatting>
  <conditionalFormatting sqref="P69">
    <cfRule type="cellIs" dxfId="1187" priority="22" operator="lessThan">
      <formula>0</formula>
    </cfRule>
  </conditionalFormatting>
  <conditionalFormatting sqref="P80">
    <cfRule type="cellIs" dxfId="1186" priority="21" operator="lessThan">
      <formula>0</formula>
    </cfRule>
  </conditionalFormatting>
  <conditionalFormatting sqref="O77">
    <cfRule type="cellIs" dxfId="1185" priority="16" operator="greaterThan">
      <formula>0</formula>
    </cfRule>
  </conditionalFormatting>
  <conditionalFormatting sqref="P77">
    <cfRule type="cellIs" dxfId="1184" priority="19" operator="lessThan">
      <formula>0</formula>
    </cfRule>
  </conditionalFormatting>
  <conditionalFormatting sqref="Q77">
    <cfRule type="cellIs" dxfId="1183" priority="17" operator="greaterThan">
      <formula>1</formula>
    </cfRule>
    <cfRule type="cellIs" dxfId="1182" priority="18" operator="lessThan">
      <formula>0.8</formula>
    </cfRule>
  </conditionalFormatting>
  <conditionalFormatting sqref="R77">
    <cfRule type="cellIs" dxfId="1181" priority="20" operator="lessThan">
      <formula>0.8</formula>
    </cfRule>
  </conditionalFormatting>
  <conditionalFormatting sqref="O78">
    <cfRule type="cellIs" dxfId="1180" priority="11" operator="greaterThan">
      <formula>0</formula>
    </cfRule>
  </conditionalFormatting>
  <conditionalFormatting sqref="P78">
    <cfRule type="cellIs" dxfId="1179" priority="14" operator="lessThan">
      <formula>0</formula>
    </cfRule>
  </conditionalFormatting>
  <conditionalFormatting sqref="Q78">
    <cfRule type="cellIs" dxfId="1178" priority="12" operator="greaterThan">
      <formula>1</formula>
    </cfRule>
    <cfRule type="cellIs" dxfId="1177" priority="13" operator="lessThan">
      <formula>0.8</formula>
    </cfRule>
  </conditionalFormatting>
  <conditionalFormatting sqref="R78">
    <cfRule type="cellIs" dxfId="1176" priority="15" operator="lessThan">
      <formula>0.8</formula>
    </cfRule>
  </conditionalFormatting>
  <conditionalFormatting sqref="O61:O62">
    <cfRule type="cellIs" dxfId="1175" priority="6" operator="greaterThan">
      <formula>0</formula>
    </cfRule>
  </conditionalFormatting>
  <conditionalFormatting sqref="P61:P62">
    <cfRule type="cellIs" dxfId="1174" priority="9" operator="lessThan">
      <formula>0</formula>
    </cfRule>
  </conditionalFormatting>
  <conditionalFormatting sqref="Q61:Q62">
    <cfRule type="cellIs" dxfId="1173" priority="7" operator="greaterThan">
      <formula>1</formula>
    </cfRule>
    <cfRule type="cellIs" dxfId="1172" priority="8" operator="lessThan">
      <formula>0.8</formula>
    </cfRule>
  </conditionalFormatting>
  <conditionalFormatting sqref="AG61:AG62 R61:R62">
    <cfRule type="cellIs" dxfId="1171" priority="10" operator="lessThan">
      <formula>0.8</formula>
    </cfRule>
  </conditionalFormatting>
  <conditionalFormatting sqref="O79">
    <cfRule type="cellIs" dxfId="1170" priority="1" operator="greaterThan">
      <formula>0</formula>
    </cfRule>
  </conditionalFormatting>
  <conditionalFormatting sqref="P79">
    <cfRule type="cellIs" dxfId="1169" priority="4" operator="lessThan">
      <formula>0</formula>
    </cfRule>
  </conditionalFormatting>
  <conditionalFormatting sqref="Q79">
    <cfRule type="cellIs" dxfId="1168" priority="2" operator="greaterThan">
      <formula>1</formula>
    </cfRule>
    <cfRule type="cellIs" dxfId="1167" priority="3" operator="lessThan">
      <formula>0.8</formula>
    </cfRule>
  </conditionalFormatting>
  <conditionalFormatting sqref="R79">
    <cfRule type="cellIs" dxfId="1166" priority="5" operator="lessThan">
      <formula>0.8</formula>
    </cfRule>
  </conditionalFormatting>
  <dataValidations count="1">
    <dataValidation type="list" allowBlank="1" showInputMessage="1" showErrorMessage="1" sqref="AB9 AA5:AB8 AB68 AA9:AA68 AB11:AB64 AA69:AB80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8" sqref="E8:F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1332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1333</v>
      </c>
      <c r="C3" s="596" t="str">
        <f>TEXT('0914 4度C'!A2,"yyyy.mm.ddaaaa")</f>
        <v>2026.09.14星期一</v>
      </c>
      <c r="D3" s="597"/>
      <c r="E3" s="39" t="s">
        <v>1334</v>
      </c>
      <c r="F3" s="598">
        <f>'0914 4度C'!D1</f>
        <v>195242</v>
      </c>
      <c r="G3" s="599"/>
      <c r="H3" s="39" t="s">
        <v>1335</v>
      </c>
      <c r="I3" s="600">
        <f>'0914 4度C'!F1</f>
        <v>6643163.8699999982</v>
      </c>
      <c r="J3" s="601"/>
      <c r="K3" s="40"/>
      <c r="L3" s="41"/>
      <c r="M3" s="42"/>
      <c r="N3" s="42"/>
    </row>
    <row r="4" spans="2:17" ht="28.5" customHeight="1">
      <c r="B4" s="602" t="s">
        <v>1336</v>
      </c>
      <c r="C4" s="588" t="s">
        <v>1337</v>
      </c>
      <c r="D4" s="589"/>
      <c r="E4" s="605" t="s">
        <v>1338</v>
      </c>
      <c r="F4" s="606"/>
      <c r="G4" s="605" t="s">
        <v>1339</v>
      </c>
      <c r="H4" s="606"/>
      <c r="I4" s="605" t="s">
        <v>1340</v>
      </c>
      <c r="J4" s="606"/>
      <c r="K4" s="586" t="s">
        <v>1341</v>
      </c>
      <c r="L4" s="587"/>
      <c r="M4" s="587" t="s">
        <v>1342</v>
      </c>
      <c r="N4" s="587"/>
    </row>
    <row r="5" spans="2:17" ht="28.5" customHeight="1">
      <c r="B5" s="603"/>
      <c r="C5" s="588" t="s">
        <v>1343</v>
      </c>
      <c r="D5" s="589"/>
      <c r="E5" s="588" t="s">
        <v>1344</v>
      </c>
      <c r="F5" s="589"/>
      <c r="G5" s="590" t="s">
        <v>1345</v>
      </c>
      <c r="H5" s="591"/>
      <c r="I5" s="592" t="s">
        <v>1346</v>
      </c>
      <c r="J5" s="593"/>
      <c r="K5" s="43" t="s">
        <v>1347</v>
      </c>
      <c r="L5" s="44" t="s">
        <v>1348</v>
      </c>
      <c r="M5" s="43" t="s">
        <v>1349</v>
      </c>
      <c r="N5" s="44" t="s">
        <v>1350</v>
      </c>
    </row>
    <row r="6" spans="2:17" ht="28.5" customHeight="1">
      <c r="B6" s="603"/>
      <c r="C6" s="588" t="s">
        <v>56</v>
      </c>
      <c r="D6" s="589"/>
      <c r="E6" s="580">
        <f>AVERAGE(D13:M13)</f>
        <v>156.46994942768703</v>
      </c>
      <c r="F6" s="581">
        <f>AVERAGE(D31:O31,D13:J13)</f>
        <v>164.10577357042607</v>
      </c>
      <c r="G6" s="582">
        <f>AVERAGE(D13:J13)</f>
        <v>164.10577357042607</v>
      </c>
      <c r="H6" s="583"/>
      <c r="I6" s="582">
        <f>AVERAGE(K13:M13)</f>
        <v>138.65302642796249</v>
      </c>
      <c r="J6" s="583"/>
      <c r="K6" s="584">
        <f>'0914 4度C'!Y2</f>
        <v>0</v>
      </c>
      <c r="L6" s="569">
        <f>'0914 4度C'!Z2</f>
        <v>0</v>
      </c>
      <c r="M6" s="585">
        <f>'0914 4度C'!AC2</f>
        <v>63</v>
      </c>
      <c r="N6" s="569">
        <f>'0914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149.99948024680575</v>
      </c>
      <c r="F7" s="573">
        <f>AVERAGE(D32:O32,D14:J14)</f>
        <v>157.32257621337183</v>
      </c>
      <c r="G7" s="574">
        <f>AVERAGE(D14:J14)</f>
        <v>157.32257621337183</v>
      </c>
      <c r="H7" s="575"/>
      <c r="I7" s="574">
        <f>AVERAGE(K14:M14)</f>
        <v>132.91225632481823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0.95861443702088511</v>
      </c>
      <c r="F8" s="577">
        <f>AVERAGE(D15:J15,D33:O33)</f>
        <v>0.95869633480671379</v>
      </c>
      <c r="G8" s="578">
        <f>AVERAGE(D15:J15)</f>
        <v>0.95869633480671379</v>
      </c>
      <c r="H8" s="579"/>
      <c r="I8" s="578">
        <f>AVERAGE(K15:M15)</f>
        <v>0.95842334218728509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1351</v>
      </c>
      <c r="N9" s="42"/>
      <c r="O9" s="42"/>
      <c r="P9" s="42"/>
      <c r="Q9" s="42"/>
    </row>
    <row r="10" spans="2:17" ht="30" customHeight="1">
      <c r="B10" s="552" t="s">
        <v>1352</v>
      </c>
      <c r="C10" s="553"/>
      <c r="D10" s="554" t="s">
        <v>1353</v>
      </c>
      <c r="E10" s="555"/>
      <c r="F10" s="555"/>
      <c r="G10" s="555"/>
      <c r="H10" s="555"/>
      <c r="I10" s="555"/>
      <c r="J10" s="556"/>
      <c r="K10" s="557" t="s">
        <v>1354</v>
      </c>
      <c r="L10" s="558"/>
      <c r="M10" s="559"/>
      <c r="P10" s="48"/>
      <c r="Q10" s="48"/>
    </row>
    <row r="11" spans="2:17" ht="17.25" customHeight="1">
      <c r="B11" s="560" t="s">
        <v>1355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1356</v>
      </c>
      <c r="C13" s="55" t="s">
        <v>1357</v>
      </c>
      <c r="D13" s="56">
        <f>SUMIFS('0914 4度C'!$K:$K,'0914 4度C'!$A:$A,"新豐6線",'0914 4度C'!$B:$B,"平均")</f>
        <v>133.33333333333334</v>
      </c>
      <c r="E13" s="57">
        <f>SUMIFS('0914 4度C'!$K:$K,'0914 4度C'!$A:$A,"新豐2線",'0914 4度C'!$B:$B,"平均")</f>
        <v>81.081081081081081</v>
      </c>
      <c r="F13" s="58">
        <f>SUMIFS('0914 4度C'!$K:$K,'0914 4度C'!$A:$A,"新豐5線",'0914 4度C'!$B:$B,"平均")</f>
        <v>104.16666666666667</v>
      </c>
      <c r="G13" s="58">
        <f>SUMIFS('0914 4度C'!$K:$K,'0914 4度C'!$A:$A,"新豐7線",'0914 4度C'!$B:$B,"平均")</f>
        <v>126.31578947368421</v>
      </c>
      <c r="H13" s="58">
        <f>SUMIFS('0914 4度C'!$K:$K,'0914 4度C'!$A:$A,"新豐3線",'0914 4度C'!$B:$B,"平均")</f>
        <v>310.34482758620692</v>
      </c>
      <c r="I13" s="58">
        <f>SUMIFS('0914 4度C'!$K:$K,'0914 4度C'!$A:$A,"新豐1線",'0914 4度C'!$B:$B,"平均")</f>
        <v>107.78443113772454</v>
      </c>
      <c r="J13" s="59">
        <f>SUMIFS('0914 4度C'!$K:$K,'0914 4度C'!$A:$A,"新豐10線",'0914 4度C'!$B:$B,"平均")</f>
        <v>285.71428571428572</v>
      </c>
      <c r="K13" s="60">
        <f>SUMIFS('0914 4度C'!$K:$K,'0914 4度C'!$A:$A,"新豐8線",'0914 4度C'!$B:$B,"平均")</f>
        <v>141.1764705882353</v>
      </c>
      <c r="L13" s="61">
        <f>SUMIFS('0914 4度C'!$K:$K,'0914 4度C'!$A:$A,"新豐9線",'0914 4度C'!$B:$B,"平均")</f>
        <v>125.71428571428571</v>
      </c>
      <c r="M13" s="59">
        <f>SUMIFS('0914 4度C'!$K:$K,'0914 4度C'!$A:$A,"新豐4線",'0914 4度C'!$B:$B,"平均")</f>
        <v>149.06832298136644</v>
      </c>
    </row>
    <row r="14" spans="2:17" ht="39.6" customHeight="1">
      <c r="B14" s="565"/>
      <c r="C14" s="62" t="s">
        <v>1358</v>
      </c>
      <c r="D14" s="63">
        <f>SUMIFS('0914 4度C'!$N:$N,'0914 4度C'!$A:$A,"新豐6線",'0914 4度C'!$B:$B,"平均")</f>
        <v>127.88227086533534</v>
      </c>
      <c r="E14" s="64">
        <f>SUMIFS('0914 4度C'!$N:$N,'0914 4度C'!$A:$A,"新豐2線",'0914 4度C'!$B:$B,"平均")</f>
        <v>77.429176884164491</v>
      </c>
      <c r="F14" s="64">
        <f>SUMIFS('0914 4度C'!$N:$N,'0914 4度C'!$A:$A,"新豐5線",'0914 4度C'!$B:$B,"平均")</f>
        <v>99.773062921659147</v>
      </c>
      <c r="G14" s="64">
        <f>SUMIFS('0914 4度C'!$N:$N,'0914 4度C'!$A:$A,"新豐7線",'0914 4度C'!$B:$B,"平均")</f>
        <v>121.18736644243533</v>
      </c>
      <c r="H14" s="64">
        <f>SUMIFS('0914 4度C'!$N:$N,'0914 4度C'!$A:$A,"新豐3線",'0914 4度C'!$B:$B,"平均")</f>
        <v>297.69642857142844</v>
      </c>
      <c r="I14" s="64">
        <f>SUMIFS('0914 4度C'!$N:$N,'0914 4度C'!$A:$A,"新豐1線",'0914 4度C'!$B:$B,"平均")</f>
        <v>103.81465048603876</v>
      </c>
      <c r="J14" s="65">
        <f>SUMIFS('0914 4度C'!$N:$N,'0914 4度C'!$A:$A,"新豐10線",'0914 4度C'!$B:$B,"平均")</f>
        <v>273.47507732254115</v>
      </c>
      <c r="K14" s="66">
        <f>SUMIFS('0914 4度C'!$N:$N,'0914 4度C'!$A:$A,"新豐8線",'0914 4度C'!$B:$B,"平均")</f>
        <v>135.0233574924886</v>
      </c>
      <c r="L14" s="67">
        <f>SUMIFS('0914 4度C'!$N:$N,'0914 4度C'!$A:$A,"新豐9線",'0914 4度C'!$B:$B,"平均")</f>
        <v>120.18588682922257</v>
      </c>
      <c r="M14" s="65">
        <f>SUMIFS('0914 4度C'!$N:$N,'0914 4度C'!$A:$A,"新豐4線",'0914 4度C'!$B:$B,"平均")</f>
        <v>143.52752465274347</v>
      </c>
    </row>
    <row r="15" spans="2:17" ht="40.15" customHeight="1">
      <c r="B15" s="566"/>
      <c r="C15" s="68" t="s">
        <v>1359</v>
      </c>
      <c r="D15" s="69">
        <f t="shared" ref="D15:M15" si="0">D14/D13</f>
        <v>0.95911703149001504</v>
      </c>
      <c r="E15" s="70">
        <f t="shared" si="0"/>
        <v>0.95495984823802871</v>
      </c>
      <c r="F15" s="70">
        <f t="shared" si="0"/>
        <v>0.95782140404792782</v>
      </c>
      <c r="G15" s="70">
        <f t="shared" si="0"/>
        <v>0.95939998433594642</v>
      </c>
      <c r="H15" s="70">
        <f t="shared" si="0"/>
        <v>0.95924404761904714</v>
      </c>
      <c r="I15" s="70">
        <f t="shared" si="0"/>
        <v>0.96316925728713743</v>
      </c>
      <c r="J15" s="71">
        <f t="shared" si="0"/>
        <v>0.95716277062889399</v>
      </c>
      <c r="K15" s="69">
        <f t="shared" si="0"/>
        <v>0.95641544890512753</v>
      </c>
      <c r="L15" s="70">
        <f t="shared" si="0"/>
        <v>0.95602409977790681</v>
      </c>
      <c r="M15" s="71">
        <f t="shared" si="0"/>
        <v>0.96283047787882092</v>
      </c>
    </row>
    <row r="16" spans="2:17" ht="17.25" customHeight="1">
      <c r="B16" s="567" t="s">
        <v>1360</v>
      </c>
      <c r="C16" s="72" t="s">
        <v>1361</v>
      </c>
      <c r="D16" s="73">
        <f>VLOOKUP("新豐6線",'0914 4度C'!$A:$T,19,0)</f>
        <v>0.70833333333333337</v>
      </c>
      <c r="E16" s="74">
        <f>VLOOKUP("新豐2線",'0914 4度C'!$A:$T,19,0)</f>
        <v>8.3333333333333329E-2</v>
      </c>
      <c r="F16" s="74">
        <f>VLOOKUP("新豐5線",'0914 4度C'!$A:$T,19,0)</f>
        <v>0.25</v>
      </c>
      <c r="G16" s="74">
        <f>VLOOKUP("新豐7線",'0914 4度C'!$A:$T,19,0)</f>
        <v>0.25</v>
      </c>
      <c r="H16" s="74">
        <f>VLOOKUP("新豐3線",'0914 4度C'!$A:$T,19,0)</f>
        <v>0.20833333333333334</v>
      </c>
      <c r="I16" s="74">
        <f>VLOOKUP("新豐1線",'0914 4度C'!$A:$T,19,0)</f>
        <v>0.20833333333333334</v>
      </c>
      <c r="J16" s="75">
        <f>VLOOKUP("新豐10線",'0914 4度C'!$A:$T,19,0)</f>
        <v>0.20833333333333334</v>
      </c>
      <c r="K16" s="76">
        <f>VLOOKUP("新豐8線",'0914 4度C'!$A:$T,19,0)</f>
        <v>8.3333333333333329E-2</v>
      </c>
      <c r="L16" s="77">
        <f>VLOOKUP("新豐9線",'0914 4度C'!$A:$T,19,0)</f>
        <v>8.3333333333333329E-2</v>
      </c>
      <c r="M16" s="78">
        <f>VLOOKUP("新豐4線",'0914 4度C'!$A:$T,19,0)</f>
        <v>8.3333333333333329E-2</v>
      </c>
    </row>
    <row r="17" spans="2:13" ht="17.25" customHeight="1">
      <c r="B17" s="568"/>
      <c r="C17" s="72" t="s">
        <v>1362</v>
      </c>
      <c r="D17" s="76">
        <f>LOOKUP(2,1/(('0914 4度C'!$A:$A="新豐6線")*('0914 4度C'!$T:$T&lt;&gt;"")),'0914 4度C'!$T:$T)</f>
        <v>0.89930555555555558</v>
      </c>
      <c r="E17" s="74">
        <f>LOOKUP(2,1/(('0914 4度C'!$A:$A="新豐2線")*('0914 4度C'!$T:$T&lt;&gt;"")),'0914 4度C'!$T:$T)</f>
        <v>0.59374999999999989</v>
      </c>
      <c r="F17" s="74">
        <f>LOOKUP(2,1/(('0914 4度C'!$A:$A="新豐5線")*('0914 4度C'!$T:$T&lt;&gt;"")),'0914 4度C'!$T:$T)</f>
        <v>0.85416666666666663</v>
      </c>
      <c r="G17" s="74">
        <f>LOOKUP(2,1/(('0914 4度C'!$A:$A="新豐7線")*('0914 4度C'!$T:$T&lt;&gt;"")),'0914 4度C'!$T:$T)</f>
        <v>0.84305555555555567</v>
      </c>
      <c r="H17" s="74">
        <f>LOOKUP(2,1/(('0914 4度C'!$A:$A="新豐3線")*('0914 4度C'!$T:$T&lt;&gt;"")),'0914 4度C'!$T:$T)</f>
        <v>0.44930555555555557</v>
      </c>
      <c r="I17" s="74">
        <f>LOOKUP(2,1/(('0914 4度C'!$A:$A="新豐1線")*('0914 4度C'!$T:$T&lt;&gt;"")),'0914 4度C'!$T:$T)</f>
        <v>0.91250000000000009</v>
      </c>
      <c r="J17" s="75">
        <f>LOOKUP(2,1/(('0914 4度C'!$A:$A="新豐10線")*('0914 4度C'!$T:$T&lt;&gt;"")),'0914 4度C'!$T:$T)</f>
        <v>0.47291666666666665</v>
      </c>
      <c r="K17" s="73">
        <f>LOOKUP(2,1/(('0914 4度C'!$A:$A="新豐8線")*('0914 4度C'!$T:$T&lt;&gt;"")),'0914 4度C'!$T:$T)</f>
        <v>0.78055555555555545</v>
      </c>
      <c r="L17" s="74">
        <f>LOOKUP(2,1/(('0914 4度C'!$A:$A="新豐9線")*('0914 4度C'!$T:$T&lt;&gt;"")),'0914 4度C'!$T:$T)</f>
        <v>0.78333333333333321</v>
      </c>
      <c r="M17" s="75">
        <f>LOOKUP(2,1/(('0914 4度C'!$A:$A="新豐4線")*('0914 4度C'!$T:$T&lt;&gt;"")),'0914 4度C'!$T:$T)</f>
        <v>0.76111111111111085</v>
      </c>
    </row>
    <row r="18" spans="2:13" ht="17.25" customHeight="1">
      <c r="B18" s="546" t="s">
        <v>1363</v>
      </c>
      <c r="C18" s="79" t="s">
        <v>1364</v>
      </c>
      <c r="D18" s="80">
        <f>SUMIFS('0914 4度C'!$Y:$Y,'0914 4度C'!$A:$A,"新豐6線",'0914 4度C'!$B:$B,"平均")</f>
        <v>0</v>
      </c>
      <c r="E18" s="81">
        <f>SUMIFS('0914 4度C'!$Y:$Y,'0914 4度C'!$A:$A,"新豐2線",'0914 4度C'!$B:$B,"平均")</f>
        <v>0</v>
      </c>
      <c r="F18" s="81">
        <f>SUMIFS('0914 4度C'!$Y:$Y,'0914 4度C'!$A:$A,"新豐5線",'0914 4度C'!$B:$B,"平均")</f>
        <v>0</v>
      </c>
      <c r="G18" s="81">
        <f>SUMIFS('0914 4度C'!$Y:$Y,'0914 4度C'!$A:$A,"新豐7線",'0914 4度C'!$B:$B,"平均")</f>
        <v>0</v>
      </c>
      <c r="H18" s="81">
        <f>SUMIFS('0914 4度C'!$Y:$Y,'0914 4度C'!$A:$A,"新豐3線",'0914 4度C'!$B:$B,"平均")</f>
        <v>0</v>
      </c>
      <c r="I18" s="81">
        <f>SUMIFS('0914 4度C'!$Y:$Y,'0914 4度C'!$A:$A,"新豐1線",'0914 4度C'!$B:$B,"平均")</f>
        <v>0</v>
      </c>
      <c r="J18" s="82">
        <f>SUMIFS('0914 4度C'!$Y:$Y,'0914 4度C'!$A:$A,"新豐10線",'0914 4度C'!$B:$B,"平均")</f>
        <v>0</v>
      </c>
      <c r="K18" s="83">
        <f>SUMIFS('0914 4度C'!$Y:$Y,'0914 4度C'!$A:$A,"新豐8線",'0914 4度C'!$B:$B,"平均")</f>
        <v>0</v>
      </c>
      <c r="L18" s="81">
        <f>SUMIFS('0914 4度C'!$Y:$Y,'0914 4度C'!$A:$A,"新豐9線",'0914 4度C'!$B:$B,"平均")</f>
        <v>0</v>
      </c>
      <c r="M18" s="82">
        <f>SUMIFS('0914 4度C'!$Y:$Y,'0914 4度C'!$A:$A,"新豐4線",'0914 4度C'!$B:$B,"平均")</f>
        <v>0</v>
      </c>
    </row>
    <row r="19" spans="2:13" ht="17.25" customHeight="1">
      <c r="B19" s="547"/>
      <c r="C19" s="79" t="s">
        <v>1365</v>
      </c>
      <c r="D19" s="80">
        <f>SUMIFS('0914 4度C'!$Z:$Z,'0914 4度C'!$A:$A,"新豐6線",'0914 4度C'!$B:$B,"平均")</f>
        <v>0</v>
      </c>
      <c r="E19" s="81">
        <f>SUMIFS('0914 4度C'!$Z:$Z,'0914 4度C'!$A:$A,"新豐2線",'0914 4度C'!$B:$B,"平均")</f>
        <v>0</v>
      </c>
      <c r="F19" s="81">
        <f>SUMIFS('0914 4度C'!$Z:$Z,'0914 4度C'!$A:$A,"新豐5線",'0914 4度C'!$B:$B,"平均")</f>
        <v>0</v>
      </c>
      <c r="G19" s="81">
        <f>SUMIFS('0914 4度C'!$Z:$Z,'0914 4度C'!$A:$A,"新豐7線",'0914 4度C'!$B:$B,"平均")</f>
        <v>0</v>
      </c>
      <c r="H19" s="81">
        <f>SUMIFS('0914 4度C'!$Z:$Z,'0914 4度C'!$A:$A,"新豐3線",'0914 4度C'!$B:$B,"平均")</f>
        <v>0</v>
      </c>
      <c r="I19" s="81">
        <f>SUMIFS('0914 4度C'!$Z:$Z,'0914 4度C'!$A:$A,"新豐1線",'0914 4度C'!$B:$B,"平均")</f>
        <v>0</v>
      </c>
      <c r="J19" s="82">
        <f>SUMIFS('0914 4度C'!$Z:$Z,'0914 4度C'!$A:$A,"新豐10線",'0914 4度C'!$B:$B,"平均")</f>
        <v>0</v>
      </c>
      <c r="K19" s="83">
        <f>SUMIFS('0914 4度C'!$Z:$Z,'0914 4度C'!$A:$A,"新豐8線",'0914 4度C'!$B:$B,"平均")</f>
        <v>0</v>
      </c>
      <c r="L19" s="81">
        <f>SUMIFS('0914 4度C'!$Z:$Z,'0914 4度C'!$A:$A,"新豐9線",'0914 4度C'!$B:$B,"平均")</f>
        <v>0</v>
      </c>
      <c r="M19" s="82">
        <f>SUMIFS('0914 4度C'!$Z:$Z,'0914 4度C'!$A:$A,"新豐4線",'0914 4度C'!$B:$B,"平均")</f>
        <v>0</v>
      </c>
    </row>
    <row r="20" spans="2:13" ht="17.25" customHeight="1">
      <c r="B20" s="546" t="s">
        <v>1366</v>
      </c>
      <c r="C20" s="79" t="s">
        <v>1364</v>
      </c>
      <c r="D20" s="80">
        <f>SUMIFS('0914 4度C'!$AC:$AC,'0914 4度C'!$A:$A,"新豐6線",'0914 4度C'!$B:$B,"平均")</f>
        <v>4</v>
      </c>
      <c r="E20" s="81">
        <f>SUMIFS('0914 4度C'!$AC:$AC,'0914 4度C'!$A:$A,"新豐2線",'0914 4度C'!$B:$B,"平均")</f>
        <v>4</v>
      </c>
      <c r="F20" s="81">
        <f>SUMIFS('0914 4度C'!$AC:$AC,'0914 4度C'!$A:$A,"新豐5線",'0914 4度C'!$B:$B,"平均")</f>
        <v>7</v>
      </c>
      <c r="G20" s="81">
        <f>SUMIFS('0914 4度C'!$AC:$AC,'0914 4度C'!$A:$A,"新豐7線",'0914 4度C'!$B:$B,"平均")</f>
        <v>6</v>
      </c>
      <c r="H20" s="81">
        <f>SUMIFS('0914 4度C'!$AC:$AC,'0914 4度C'!$A:$A,"新豐3線",'0914 4度C'!$B:$B,"平均")</f>
        <v>3</v>
      </c>
      <c r="I20" s="81">
        <f>SUMIFS('0914 4度C'!$AC:$AC,'0914 4度C'!$A:$A,"新豐1線",'0914 4度C'!$B:$B,"平均")</f>
        <v>9</v>
      </c>
      <c r="J20" s="82">
        <f>SUMIFS('0914 4度C'!$AC:$AC,'0914 4度C'!$A:$A,"新豐10線",'0914 4度C'!$B:$B,"平均")</f>
        <v>4</v>
      </c>
      <c r="K20" s="83">
        <f>SUMIFS('0914 4度C'!$AC:$AC,'0914 4度C'!$A:$A,"新豐8線",'0914 4度C'!$B:$B,"平均")</f>
        <v>8</v>
      </c>
      <c r="L20" s="81">
        <f>SUMIFS('0914 4度C'!$AC:$AC,'0914 4度C'!$A:$A,"新豐9線",'0914 4度C'!$B:$B,"平均")</f>
        <v>8</v>
      </c>
      <c r="M20" s="82">
        <f>SUMIFS('0914 4度C'!$AC:$AC,'0914 4度C'!$A:$A,"新豐4線",'0914 4度C'!$B:$B,"平均")</f>
        <v>10</v>
      </c>
    </row>
    <row r="21" spans="2:13" ht="17.25" customHeight="1">
      <c r="B21" s="547"/>
      <c r="C21" s="79" t="s">
        <v>1367</v>
      </c>
      <c r="D21" s="80">
        <f>SUMIFS('0914 4度C'!$AD:$AD,'0914 4度C'!$A:$A,"新豐6線",'0914 4度C'!$B:$B,"平均")</f>
        <v>0</v>
      </c>
      <c r="E21" s="81">
        <f>SUMIFS('0914 4度C'!$AD:$AD,'0914 4度C'!$A:$A,"新豐2線",'0914 4度C'!$B:$B,"平均")</f>
        <v>0</v>
      </c>
      <c r="F21" s="81">
        <f>SUMIFS('0914 4度C'!$AD:$AD,'0914 4度C'!$A:$A,"新豐5線",'0914 4度C'!$B:$B,"平均")</f>
        <v>0</v>
      </c>
      <c r="G21" s="81">
        <f>SUMIFS('0914 4度C'!$AD:$AD,'0914 4度C'!$A:$A,"新豐7線",'0914 4度C'!$B:$B,"平均")</f>
        <v>0</v>
      </c>
      <c r="H21" s="81">
        <f>SUMIFS('0914 4度C'!$AD:$AD,'0914 4度C'!$A:$A,"新豐3線",'0914 4度C'!$B:$B,"平均")</f>
        <v>0</v>
      </c>
      <c r="I21" s="81">
        <f>SUMIFS('0914 4度C'!$AD:$AD,'0914 4度C'!$A:$A,"新豐1線",'0914 4度C'!$B:$B,"平均")</f>
        <v>0</v>
      </c>
      <c r="J21" s="82">
        <f>SUMIFS('0914 4度C'!$AD:$AD,'0914 4度C'!$A:$A,"新豐10線",'0914 4度C'!$B:$B,"平均")</f>
        <v>0</v>
      </c>
      <c r="K21" s="83">
        <f>SUMIFS('0914 4度C'!$AD:$AD,'0914 4度C'!$A:$A,"新豐8線",'0914 4度C'!$B:$B,"平均")</f>
        <v>0</v>
      </c>
      <c r="L21" s="81">
        <f>SUMIFS('0914 4度C'!$AD:$AD,'0914 4度C'!$A:$A,"新豐9線",'0914 4度C'!$B:$B,"平均")</f>
        <v>0</v>
      </c>
      <c r="M21" s="82">
        <f>SUMIFS('0914 4度C'!$AD:$AD,'0914 4度C'!$A:$A,"新豐4線",'0914 4度C'!$B:$B,"平均")</f>
        <v>0</v>
      </c>
    </row>
    <row r="22" spans="2:13" ht="17.25" customHeight="1">
      <c r="B22" s="548" t="s">
        <v>1368</v>
      </c>
      <c r="C22" s="549"/>
      <c r="D22" s="84">
        <f>SUMIFS('0914 4度C'!$I:$I,'0914 4度C'!$A:$A,"新豐6線",'0914 4度C'!$B:$B,"平均")</f>
        <v>15</v>
      </c>
      <c r="E22" s="85">
        <f>SUMIFS('0914 4度C'!$I:$I,'0914 4度C'!$A:$A,"新豐2線",'0914 4度C'!$B:$B,"平均")</f>
        <v>18.5</v>
      </c>
      <c r="F22" s="85">
        <f>SUMIFS('0914 4度C'!$I:$I,'0914 4度C'!$A:$A,"新豐5線",'0914 4度C'!$B:$B,"平均")</f>
        <v>17.142857142857142</v>
      </c>
      <c r="G22" s="85">
        <f>SUMIFS('0914 4度C'!$I:$I,'0914 4度C'!$A:$A,"新豐7線",'0914 4度C'!$B:$B,"平均")</f>
        <v>15.833333333333334</v>
      </c>
      <c r="H22" s="85">
        <f>SUMIFS('0914 4度C'!$I:$I,'0914 4度C'!$A:$A,"新豐3線",'0914 4度C'!$B:$B,"平均")</f>
        <v>9.6666666666666661</v>
      </c>
      <c r="I22" s="85">
        <f>SUMIFS('0914 4度C'!$I:$I,'0914 4度C'!$A:$A,"新豐1線",'0914 4度C'!$B:$B,"平均")</f>
        <v>18.555555555555557</v>
      </c>
      <c r="J22" s="86">
        <f>SUMIFS('0914 4度C'!$I:$I,'0914 4度C'!$A:$A,"新豐10線",'0914 4度C'!$B:$B,"平均")</f>
        <v>10.5</v>
      </c>
      <c r="K22" s="84">
        <f>SUMIFS('0914 4度C'!$I:$I,'0914 4度C'!$A:$A,"新豐8線",'0914 4度C'!$B:$B,"平均")</f>
        <v>17</v>
      </c>
      <c r="L22" s="85">
        <f>SUMIFS('0914 4度C'!$I:$I,'0914 4度C'!$A:$A,"新豐9線",'0914 4度C'!$B:$B,"平均")</f>
        <v>17.5</v>
      </c>
      <c r="M22" s="86">
        <f>SUMIFS('0914 4度C'!$I:$I,'0914 4度C'!$A:$A,"新豐4線",'0914 4度C'!$B:$B,"平均")</f>
        <v>16.100000000000001</v>
      </c>
    </row>
    <row r="23" spans="2:13" ht="17.25" customHeight="1">
      <c r="B23" s="548" t="s">
        <v>122</v>
      </c>
      <c r="C23" s="549"/>
      <c r="D23" s="87" t="s">
        <v>69</v>
      </c>
      <c r="E23" s="88" t="s">
        <v>70</v>
      </c>
      <c r="F23" s="88" t="s">
        <v>123</v>
      </c>
      <c r="G23" s="88" t="s">
        <v>1369</v>
      </c>
      <c r="H23" s="88" t="s">
        <v>71</v>
      </c>
      <c r="I23" s="88" t="s">
        <v>69</v>
      </c>
      <c r="J23" s="89" t="s">
        <v>71</v>
      </c>
      <c r="K23" s="87" t="s">
        <v>1370</v>
      </c>
      <c r="L23" s="88" t="s">
        <v>1371</v>
      </c>
      <c r="M23" s="89" t="s">
        <v>1371</v>
      </c>
    </row>
    <row r="24" spans="2:13" ht="17.25" customHeight="1">
      <c r="B24" s="548" t="s">
        <v>1372</v>
      </c>
      <c r="C24" s="549"/>
      <c r="D24" s="87"/>
      <c r="E24" s="88"/>
      <c r="F24" s="88" t="s">
        <v>1373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1374</v>
      </c>
      <c r="C25" s="551"/>
      <c r="D25" s="90"/>
      <c r="E25" s="91" t="s">
        <v>1375</v>
      </c>
      <c r="F25" s="544" t="s">
        <v>1376</v>
      </c>
      <c r="G25" s="545"/>
      <c r="H25" s="91" t="s">
        <v>1377</v>
      </c>
      <c r="I25" s="91" t="s">
        <v>1378</v>
      </c>
      <c r="J25" s="92" t="s">
        <v>1377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6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E8" sqref="E8:F8"/>
      <selection pane="bottomLeft" activeCell="E8" sqref="E8:F8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1379</v>
      </c>
      <c r="B1" s="1"/>
      <c r="C1" s="2" t="s">
        <v>1380</v>
      </c>
      <c r="D1" s="3">
        <f>SUM(F5:F77)</f>
        <v>195242</v>
      </c>
      <c r="E1" s="302" t="s">
        <v>1381</v>
      </c>
      <c r="F1" s="1">
        <f>SUM(G5:G77)</f>
        <v>6643163.8699999982</v>
      </c>
      <c r="G1" s="1" t="s">
        <v>135</v>
      </c>
      <c r="H1" s="4">
        <f>L9+L14+L51+L61+L22+L66+L38+L47+L29+L77</f>
        <v>155.7984126984127</v>
      </c>
      <c r="I1" s="660" t="s">
        <v>136</v>
      </c>
      <c r="J1" s="660"/>
      <c r="K1" s="660"/>
      <c r="L1" s="660" t="s">
        <v>137</v>
      </c>
      <c r="M1" s="660"/>
      <c r="N1" s="660"/>
      <c r="O1" s="660" t="s">
        <v>253</v>
      </c>
      <c r="P1" s="660"/>
      <c r="Q1" s="660"/>
      <c r="R1" s="660"/>
      <c r="S1" s="660" t="s">
        <v>139</v>
      </c>
      <c r="T1" s="660"/>
      <c r="U1" s="660"/>
      <c r="V1" s="660"/>
      <c r="W1" s="660"/>
      <c r="X1" s="660"/>
      <c r="Y1" s="5" t="s">
        <v>140</v>
      </c>
      <c r="Z1" s="6" t="s">
        <v>1382</v>
      </c>
      <c r="AA1" s="661" t="s">
        <v>1383</v>
      </c>
      <c r="AB1" s="661"/>
      <c r="AC1" s="7" t="s">
        <v>140</v>
      </c>
      <c r="AD1" s="6" t="s">
        <v>144</v>
      </c>
      <c r="AE1" s="660" t="s">
        <v>259</v>
      </c>
      <c r="AF1" s="662"/>
      <c r="AG1" s="662"/>
    </row>
    <row r="2" spans="1:33" ht="26.25" customHeight="1">
      <c r="A2" s="27">
        <v>46279</v>
      </c>
      <c r="B2" s="28" t="s">
        <v>675</v>
      </c>
      <c r="C2" s="2" t="s">
        <v>1384</v>
      </c>
      <c r="D2" s="9">
        <f>AVERAGE(N9,N14,N51,N61,N22,N66,N29,N38,N47,N77)</f>
        <v>149.99948024680575</v>
      </c>
      <c r="E2" s="10" t="s">
        <v>0</v>
      </c>
      <c r="F2" s="11">
        <f>F1/D1</f>
        <v>34.025280779750247</v>
      </c>
      <c r="G2" s="1" t="s">
        <v>1385</v>
      </c>
      <c r="H2" s="311">
        <f>COUNT(H5:H77)</f>
        <v>12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SUM(Y9+Y14+Y22+Y29+Y38+Y47+Y51+Y61+Y66+Y77)</f>
        <v>0</v>
      </c>
      <c r="Z2" s="12">
        <f>SUM(Z9+Z14+Z22+Z29+Z38+Z47+Z51+Z61+Z66+Z77)</f>
        <v>0</v>
      </c>
      <c r="AA2" s="661"/>
      <c r="AB2" s="661"/>
      <c r="AC2" s="12">
        <v>63</v>
      </c>
      <c r="AD2" s="12">
        <f>SUM(AD9+AD14+AD22+AD29+AD38+AD47+AD51+AD61+AD66+AD77)</f>
        <v>0</v>
      </c>
      <c r="AE2" s="662"/>
      <c r="AF2" s="662"/>
      <c r="AG2" s="662"/>
    </row>
    <row r="3" spans="1:33" ht="40.5" customHeight="1">
      <c r="A3" s="610" t="s">
        <v>149</v>
      </c>
      <c r="B3" s="610" t="s">
        <v>264</v>
      </c>
      <c r="C3" s="610" t="s">
        <v>265</v>
      </c>
      <c r="D3" s="610"/>
      <c r="E3" s="658" t="s">
        <v>1386</v>
      </c>
      <c r="F3" s="610" t="s">
        <v>153</v>
      </c>
      <c r="G3" s="658" t="s">
        <v>154</v>
      </c>
      <c r="H3" s="651" t="s">
        <v>155</v>
      </c>
      <c r="I3" s="649" t="s">
        <v>159</v>
      </c>
      <c r="J3" s="646" t="s">
        <v>1387</v>
      </c>
      <c r="K3" s="656" t="s">
        <v>1388</v>
      </c>
      <c r="L3" s="649" t="s">
        <v>159</v>
      </c>
      <c r="M3" s="646" t="s">
        <v>1389</v>
      </c>
      <c r="N3" s="656" t="s">
        <v>158</v>
      </c>
      <c r="O3" s="649" t="s">
        <v>159</v>
      </c>
      <c r="P3" s="656" t="s">
        <v>158</v>
      </c>
      <c r="Q3" s="647" t="s">
        <v>161</v>
      </c>
      <c r="R3" s="623" t="s">
        <v>162</v>
      </c>
      <c r="S3" s="610" t="s">
        <v>1</v>
      </c>
      <c r="T3" s="610"/>
      <c r="U3" s="651" t="s">
        <v>2</v>
      </c>
      <c r="V3" s="651" t="s">
        <v>1390</v>
      </c>
      <c r="W3" s="610" t="s">
        <v>275</v>
      </c>
      <c r="X3" s="610"/>
      <c r="Y3" s="652" t="s">
        <v>165</v>
      </c>
      <c r="Z3" s="609"/>
      <c r="AA3" s="653" t="s">
        <v>1391</v>
      </c>
      <c r="AB3" s="654"/>
      <c r="AC3" s="652" t="s">
        <v>1392</v>
      </c>
      <c r="AD3" s="609"/>
      <c r="AE3" s="646" t="s">
        <v>1393</v>
      </c>
      <c r="AF3" s="647" t="s">
        <v>161</v>
      </c>
      <c r="AG3" s="623" t="s">
        <v>162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302" t="s">
        <v>3</v>
      </c>
      <c r="T4" s="302" t="s">
        <v>4</v>
      </c>
      <c r="U4" s="651"/>
      <c r="V4" s="651"/>
      <c r="W4" s="302" t="s">
        <v>280</v>
      </c>
      <c r="X4" s="302" t="s">
        <v>1394</v>
      </c>
      <c r="Y4" s="297" t="s">
        <v>118</v>
      </c>
      <c r="Z4" s="297" t="s">
        <v>1395</v>
      </c>
      <c r="AA4" s="655"/>
      <c r="AB4" s="654"/>
      <c r="AC4" s="297" t="s">
        <v>1396</v>
      </c>
      <c r="AD4" s="297" t="s">
        <v>1397</v>
      </c>
      <c r="AE4" s="646"/>
      <c r="AF4" s="647"/>
      <c r="AG4" s="623"/>
    </row>
    <row r="5" spans="1:33">
      <c r="A5" s="648" t="s">
        <v>1398</v>
      </c>
      <c r="B5" s="33" t="s">
        <v>6</v>
      </c>
      <c r="C5" s="650" t="s">
        <v>7</v>
      </c>
      <c r="D5" s="650"/>
      <c r="E5" s="33">
        <v>50.92</v>
      </c>
      <c r="F5" s="309">
        <v>2542</v>
      </c>
      <c r="G5" s="302">
        <f t="shared" ref="G5:G8" si="0">E5*F5</f>
        <v>129438.64</v>
      </c>
      <c r="H5" s="310" t="s">
        <v>5</v>
      </c>
      <c r="I5" s="307">
        <v>15</v>
      </c>
      <c r="J5" s="30">
        <v>2000</v>
      </c>
      <c r="K5" s="13">
        <f t="shared" ref="K5:K68" si="1">J5/I5</f>
        <v>133.33333333333334</v>
      </c>
      <c r="L5" s="307">
        <v>15</v>
      </c>
      <c r="M5" s="14">
        <f t="shared" ref="M5:M8" si="2">F5/V5*60</f>
        <v>1906.4999999999993</v>
      </c>
      <c r="N5" s="13">
        <f t="shared" ref="N5:N68" si="3">M5/L5</f>
        <v>127.09999999999995</v>
      </c>
      <c r="O5" s="15">
        <f t="shared" ref="O5:O68" si="4">L5-I5</f>
        <v>0</v>
      </c>
      <c r="P5" s="16">
        <f t="shared" ref="P5:P68" si="5">N5-K5</f>
        <v>-6.2333333333333911</v>
      </c>
      <c r="Q5" s="303">
        <f t="shared" ref="Q5:Q68" si="6">N5/K5</f>
        <v>0.9532499999999996</v>
      </c>
      <c r="R5" s="619">
        <f>Q9</f>
        <v>0.95911703149001504</v>
      </c>
      <c r="S5" s="31">
        <v>0.70833333333333337</v>
      </c>
      <c r="T5" s="31">
        <v>0.76388888888888895</v>
      </c>
      <c r="U5" s="302"/>
      <c r="V5" s="308">
        <f t="shared" ref="V5:V8" si="7">(T5-S5)*24*60</f>
        <v>80.000000000000028</v>
      </c>
      <c r="W5" s="17"/>
      <c r="X5" s="17"/>
      <c r="Y5" s="18"/>
      <c r="Z5" s="18"/>
      <c r="AA5" s="610"/>
      <c r="AB5" s="610"/>
      <c r="AC5" s="155">
        <v>4</v>
      </c>
      <c r="AD5" s="19"/>
      <c r="AE5" s="15">
        <f t="shared" ref="AE5:AE60" si="8">M5-J5</f>
        <v>-93.500000000000682</v>
      </c>
      <c r="AF5" s="303">
        <f t="shared" ref="AF5:AF68" si="9">M5/J5</f>
        <v>0.95324999999999971</v>
      </c>
      <c r="AG5" s="619">
        <f>AF9</f>
        <v>0.95911703149001504</v>
      </c>
    </row>
    <row r="6" spans="1:33">
      <c r="A6" s="649" t="s">
        <v>177</v>
      </c>
      <c r="B6" s="33" t="s">
        <v>6</v>
      </c>
      <c r="C6" s="650" t="s">
        <v>8</v>
      </c>
      <c r="D6" s="650"/>
      <c r="E6" s="33">
        <v>50.98</v>
      </c>
      <c r="F6" s="309">
        <v>1000</v>
      </c>
      <c r="G6" s="302">
        <f t="shared" si="0"/>
        <v>50980</v>
      </c>
      <c r="H6" s="310">
        <v>2</v>
      </c>
      <c r="I6" s="307">
        <v>16</v>
      </c>
      <c r="J6" s="30">
        <v>2000</v>
      </c>
      <c r="K6" s="13">
        <f t="shared" si="1"/>
        <v>125</v>
      </c>
      <c r="L6" s="307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303">
        <f t="shared" si="6"/>
        <v>0.96774193548386944</v>
      </c>
      <c r="R6" s="619"/>
      <c r="S6" s="31">
        <v>0.76875000000000004</v>
      </c>
      <c r="T6" s="31">
        <v>0.79027777777777786</v>
      </c>
      <c r="U6" s="302">
        <f t="shared" ref="U6:U8" si="10">IF(S6=TIME(17,0,0),"",(S6-T5)*24*60)</f>
        <v>6.9999999999999751</v>
      </c>
      <c r="V6" s="308">
        <f t="shared" si="7"/>
        <v>31.00000000000005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-64.516129032261006</v>
      </c>
      <c r="AF6" s="303">
        <f t="shared" si="9"/>
        <v>0.96774193548386944</v>
      </c>
      <c r="AG6" s="619"/>
    </row>
    <row r="7" spans="1:33">
      <c r="A7" s="649" t="s">
        <v>177</v>
      </c>
      <c r="B7" s="33" t="s">
        <v>6</v>
      </c>
      <c r="C7" s="641" t="s">
        <v>25</v>
      </c>
      <c r="D7" s="642"/>
      <c r="E7" s="33">
        <v>56.43</v>
      </c>
      <c r="F7" s="309">
        <v>1347</v>
      </c>
      <c r="G7" s="302">
        <f t="shared" si="0"/>
        <v>76011.210000000006</v>
      </c>
      <c r="H7" s="310" t="s">
        <v>5</v>
      </c>
      <c r="I7" s="307">
        <v>13</v>
      </c>
      <c r="J7" s="30">
        <v>2000</v>
      </c>
      <c r="K7" s="13">
        <f t="shared" si="1"/>
        <v>153.84615384615384</v>
      </c>
      <c r="L7" s="307">
        <v>13</v>
      </c>
      <c r="M7" s="14">
        <f t="shared" si="2"/>
        <v>1924.2857142857138</v>
      </c>
      <c r="N7" s="13">
        <f t="shared" si="3"/>
        <v>148.02197802197799</v>
      </c>
      <c r="O7" s="15">
        <f t="shared" si="4"/>
        <v>0</v>
      </c>
      <c r="P7" s="16">
        <f t="shared" si="5"/>
        <v>-5.8241758241758532</v>
      </c>
      <c r="Q7" s="303">
        <f t="shared" si="6"/>
        <v>0.96214285714285697</v>
      </c>
      <c r="R7" s="619"/>
      <c r="S7" s="31">
        <v>0.79375000000000007</v>
      </c>
      <c r="T7" s="31">
        <v>0.82291666666666674</v>
      </c>
      <c r="U7" s="302">
        <f t="shared" si="10"/>
        <v>4.9999999999999822</v>
      </c>
      <c r="V7" s="308">
        <f t="shared" si="7"/>
        <v>42.000000000000014</v>
      </c>
      <c r="W7" s="17">
        <f>T7</f>
        <v>0.82291666666666674</v>
      </c>
      <c r="X7" s="17">
        <f>S8</f>
        <v>0.8618055555555556</v>
      </c>
      <c r="Y7" s="20"/>
      <c r="Z7" s="20"/>
      <c r="AA7" s="614"/>
      <c r="AB7" s="615"/>
      <c r="AC7" s="155"/>
      <c r="AD7" s="21"/>
      <c r="AE7" s="15">
        <f t="shared" si="8"/>
        <v>-75.714285714286234</v>
      </c>
      <c r="AF7" s="303">
        <f t="shared" si="9"/>
        <v>0.96214285714285686</v>
      </c>
      <c r="AG7" s="619"/>
    </row>
    <row r="8" spans="1:33">
      <c r="A8" s="649" t="s">
        <v>177</v>
      </c>
      <c r="B8" s="33" t="s">
        <v>6</v>
      </c>
      <c r="C8" s="641" t="s">
        <v>8</v>
      </c>
      <c r="D8" s="642"/>
      <c r="E8" s="33">
        <v>50.98</v>
      </c>
      <c r="F8" s="309">
        <v>1716</v>
      </c>
      <c r="G8" s="302">
        <f t="shared" si="0"/>
        <v>87481.68</v>
      </c>
      <c r="H8" s="310" t="s">
        <v>5</v>
      </c>
      <c r="I8" s="307">
        <v>16</v>
      </c>
      <c r="J8" s="30">
        <v>2000</v>
      </c>
      <c r="K8" s="13">
        <f t="shared" si="1"/>
        <v>125</v>
      </c>
      <c r="L8" s="307">
        <v>16</v>
      </c>
      <c r="M8" s="14">
        <f t="shared" si="2"/>
        <v>1906.6666666666677</v>
      </c>
      <c r="N8" s="13">
        <f t="shared" si="3"/>
        <v>119.16666666666673</v>
      </c>
      <c r="O8" s="15">
        <f t="shared" si="4"/>
        <v>0</v>
      </c>
      <c r="P8" s="16">
        <f t="shared" si="5"/>
        <v>-5.8333333333332718</v>
      </c>
      <c r="Q8" s="303">
        <f t="shared" si="6"/>
        <v>0.95333333333333381</v>
      </c>
      <c r="R8" s="619"/>
      <c r="S8" s="31">
        <v>0.8618055555555556</v>
      </c>
      <c r="T8" s="31">
        <v>0.89930555555555558</v>
      </c>
      <c r="U8" s="302">
        <f t="shared" si="10"/>
        <v>55.999999999999957</v>
      </c>
      <c r="V8" s="308">
        <f t="shared" si="7"/>
        <v>53.999999999999972</v>
      </c>
      <c r="W8" s="22"/>
      <c r="X8" s="22"/>
      <c r="Y8" s="94"/>
      <c r="Z8" s="94"/>
      <c r="AA8" s="614"/>
      <c r="AB8" s="615"/>
      <c r="AC8" s="155"/>
      <c r="AD8" s="21"/>
      <c r="AE8" s="15">
        <f t="shared" si="8"/>
        <v>-93.333333333332348</v>
      </c>
      <c r="AF8" s="303">
        <f t="shared" si="9"/>
        <v>0.95333333333333381</v>
      </c>
      <c r="AG8" s="619"/>
    </row>
    <row r="9" spans="1:33">
      <c r="A9" s="649" t="s">
        <v>177</v>
      </c>
      <c r="B9" s="33" t="s">
        <v>194</v>
      </c>
      <c r="C9" s="620"/>
      <c r="D9" s="620"/>
      <c r="E9" s="304"/>
      <c r="F9" s="34"/>
      <c r="G9" s="13"/>
      <c r="H9" s="309"/>
      <c r="I9" s="23">
        <v>15</v>
      </c>
      <c r="J9" s="30">
        <v>2000</v>
      </c>
      <c r="K9" s="13">
        <f t="shared" si="1"/>
        <v>133.33333333333334</v>
      </c>
      <c r="L9" s="23">
        <v>15</v>
      </c>
      <c r="M9" s="14">
        <f>AVERAGE(M5:M8)</f>
        <v>1918.2340629800301</v>
      </c>
      <c r="N9" s="13">
        <f t="shared" si="3"/>
        <v>127.88227086533534</v>
      </c>
      <c r="O9" s="15">
        <f t="shared" si="4"/>
        <v>0</v>
      </c>
      <c r="P9" s="16">
        <f t="shared" si="5"/>
        <v>-5.4510624679979998</v>
      </c>
      <c r="Q9" s="303">
        <f t="shared" si="6"/>
        <v>0.95911703149001504</v>
      </c>
      <c r="R9" s="619"/>
      <c r="S9" s="31"/>
      <c r="T9" s="31"/>
      <c r="U9" s="302"/>
      <c r="V9" s="308"/>
      <c r="W9" s="13"/>
      <c r="X9" s="13"/>
      <c r="Y9" s="24">
        <f>SUM(Y5:Y8)</f>
        <v>0</v>
      </c>
      <c r="Z9" s="24">
        <f>SUM(Z5:Z8)</f>
        <v>0</v>
      </c>
      <c r="AA9" s="609"/>
      <c r="AB9" s="609"/>
      <c r="AC9" s="24">
        <v>4</v>
      </c>
      <c r="AD9" s="24">
        <f>SUM(AD5:AD8)</f>
        <v>0</v>
      </c>
      <c r="AE9" s="15">
        <f t="shared" si="8"/>
        <v>-81.765937019969897</v>
      </c>
      <c r="AF9" s="303">
        <f t="shared" si="9"/>
        <v>0.95911703149001504</v>
      </c>
      <c r="AG9" s="619"/>
    </row>
    <row r="10" spans="1:33" ht="15.75" customHeight="1">
      <c r="A10" s="645" t="s">
        <v>1399</v>
      </c>
      <c r="B10" s="33" t="s">
        <v>10</v>
      </c>
      <c r="C10" s="641" t="s">
        <v>14</v>
      </c>
      <c r="D10" s="642"/>
      <c r="E10" s="33">
        <v>39.619999999999997</v>
      </c>
      <c r="F10" s="309">
        <v>3000</v>
      </c>
      <c r="G10" s="302">
        <f t="shared" ref="G10:G13" si="11">E10*F10</f>
        <v>118859.99999999999</v>
      </c>
      <c r="H10" s="310">
        <v>2</v>
      </c>
      <c r="I10" s="307">
        <v>19</v>
      </c>
      <c r="J10" s="30">
        <v>1500</v>
      </c>
      <c r="K10" s="13">
        <f t="shared" si="1"/>
        <v>78.94736842105263</v>
      </c>
      <c r="L10" s="307">
        <v>19</v>
      </c>
      <c r="M10" s="14">
        <f t="shared" ref="M10:M13" si="12">F10/V10*60</f>
        <v>1428.5714285714287</v>
      </c>
      <c r="N10" s="13">
        <f t="shared" si="3"/>
        <v>75.187969924812037</v>
      </c>
      <c r="O10" s="15">
        <f t="shared" si="4"/>
        <v>0</v>
      </c>
      <c r="P10" s="16">
        <f t="shared" si="5"/>
        <v>-3.7593984962405926</v>
      </c>
      <c r="Q10" s="303">
        <f t="shared" si="6"/>
        <v>0.95238095238095244</v>
      </c>
      <c r="R10" s="619">
        <f>Q14</f>
        <v>0.95495984823802871</v>
      </c>
      <c r="S10" s="31">
        <v>8.3333333333333329E-2</v>
      </c>
      <c r="T10" s="31">
        <v>0.17083333333333334</v>
      </c>
      <c r="U10" s="302"/>
      <c r="V10" s="308">
        <f t="shared" ref="V10:V13" si="13">(T10-S10)*24*60</f>
        <v>126</v>
      </c>
      <c r="W10" s="17">
        <f>T10</f>
        <v>0.17083333333333334</v>
      </c>
      <c r="X10" s="17">
        <f>S11</f>
        <v>0.19027777777777777</v>
      </c>
      <c r="Y10" s="17"/>
      <c r="Z10" s="17"/>
      <c r="AA10" s="610"/>
      <c r="AB10" s="610"/>
      <c r="AC10" s="155">
        <v>4</v>
      </c>
      <c r="AD10" s="19"/>
      <c r="AE10" s="15">
        <f t="shared" si="8"/>
        <v>-71.428571428571331</v>
      </c>
      <c r="AF10" s="303">
        <f t="shared" si="9"/>
        <v>0.95238095238095244</v>
      </c>
      <c r="AG10" s="619">
        <f>AF14</f>
        <v>0.95495984823802871</v>
      </c>
    </row>
    <row r="11" spans="1:33" ht="15.75" customHeight="1">
      <c r="A11" s="645" t="s">
        <v>1399</v>
      </c>
      <c r="B11" s="33" t="s">
        <v>10</v>
      </c>
      <c r="C11" s="641" t="s">
        <v>11</v>
      </c>
      <c r="D11" s="642"/>
      <c r="E11" s="33">
        <v>39.799999999999997</v>
      </c>
      <c r="F11" s="309">
        <v>7679</v>
      </c>
      <c r="G11" s="302">
        <f t="shared" si="11"/>
        <v>305624.19999999995</v>
      </c>
      <c r="H11" s="310" t="s">
        <v>5</v>
      </c>
      <c r="I11" s="307">
        <v>17</v>
      </c>
      <c r="J11" s="30">
        <v>1500</v>
      </c>
      <c r="K11" s="13">
        <f t="shared" si="1"/>
        <v>88.235294117647058</v>
      </c>
      <c r="L11" s="307">
        <v>17</v>
      </c>
      <c r="M11" s="14">
        <f t="shared" si="12"/>
        <v>1430.8695652173915</v>
      </c>
      <c r="N11" s="13">
        <f t="shared" si="3"/>
        <v>84.168797953964201</v>
      </c>
      <c r="O11" s="15">
        <f t="shared" si="4"/>
        <v>0</v>
      </c>
      <c r="P11" s="16">
        <f t="shared" si="5"/>
        <v>-4.0664961636828565</v>
      </c>
      <c r="Q11" s="303">
        <f t="shared" si="6"/>
        <v>0.953913043478261</v>
      </c>
      <c r="R11" s="619"/>
      <c r="S11" s="31">
        <v>0.19027777777777777</v>
      </c>
      <c r="T11" s="31">
        <v>0.41388888888888886</v>
      </c>
      <c r="U11" s="302">
        <f t="shared" ref="U11:U13" si="14">IF(S11=TIME(17,0,0),"",(S11-T10)*24*60)</f>
        <v>27.999999999999979</v>
      </c>
      <c r="V11" s="308">
        <f t="shared" si="13"/>
        <v>322</v>
      </c>
      <c r="W11" s="17"/>
      <c r="X11" s="17"/>
      <c r="Y11" s="17"/>
      <c r="Z11" s="17"/>
      <c r="AA11" s="610"/>
      <c r="AB11" s="610"/>
      <c r="AC11" s="155"/>
      <c r="AD11" s="19"/>
      <c r="AE11" s="15">
        <f t="shared" si="8"/>
        <v>-69.130434782608518</v>
      </c>
      <c r="AF11" s="303">
        <f t="shared" si="9"/>
        <v>0.953913043478261</v>
      </c>
      <c r="AG11" s="619"/>
    </row>
    <row r="12" spans="1:33" ht="15.75" customHeight="1">
      <c r="A12" s="645" t="s">
        <v>81</v>
      </c>
      <c r="B12" s="33" t="s">
        <v>10</v>
      </c>
      <c r="C12" s="641" t="s">
        <v>13</v>
      </c>
      <c r="D12" s="642"/>
      <c r="E12" s="33">
        <v>39.520000000000003</v>
      </c>
      <c r="F12" s="309">
        <v>2412</v>
      </c>
      <c r="G12" s="302">
        <f t="shared" si="11"/>
        <v>95322.240000000005</v>
      </c>
      <c r="H12" s="310" t="s">
        <v>5</v>
      </c>
      <c r="I12" s="307">
        <v>19</v>
      </c>
      <c r="J12" s="30">
        <v>1500</v>
      </c>
      <c r="K12" s="13">
        <f t="shared" si="1"/>
        <v>78.94736842105263</v>
      </c>
      <c r="L12" s="307">
        <v>19</v>
      </c>
      <c r="M12" s="14">
        <f t="shared" si="12"/>
        <v>1432.8712871287134</v>
      </c>
      <c r="N12" s="13">
        <f t="shared" si="3"/>
        <v>75.414278269932282</v>
      </c>
      <c r="O12" s="15">
        <f t="shared" si="4"/>
        <v>0</v>
      </c>
      <c r="P12" s="16">
        <f t="shared" si="5"/>
        <v>-3.5330901511203479</v>
      </c>
      <c r="Q12" s="303">
        <f t="shared" si="6"/>
        <v>0.95524752475247554</v>
      </c>
      <c r="R12" s="619"/>
      <c r="S12" s="31">
        <v>0.41736111111111107</v>
      </c>
      <c r="T12" s="31">
        <v>0.48749999999999993</v>
      </c>
      <c r="U12" s="302">
        <f t="shared" si="14"/>
        <v>4.9999999999999822</v>
      </c>
      <c r="V12" s="308">
        <f t="shared" si="13"/>
        <v>100.99999999999996</v>
      </c>
      <c r="W12" s="17">
        <f>T12</f>
        <v>0.48749999999999993</v>
      </c>
      <c r="X12" s="17">
        <f>S13</f>
        <v>0.52847222222222212</v>
      </c>
      <c r="Y12" s="17"/>
      <c r="Z12" s="17"/>
      <c r="AA12" s="610"/>
      <c r="AB12" s="610"/>
      <c r="AC12" s="155"/>
      <c r="AD12" s="19"/>
      <c r="AE12" s="15">
        <f t="shared" si="8"/>
        <v>-67.128712871286552</v>
      </c>
      <c r="AF12" s="303">
        <f t="shared" si="9"/>
        <v>0.95524752475247565</v>
      </c>
      <c r="AG12" s="619"/>
    </row>
    <row r="13" spans="1:33" ht="15.75" customHeight="1">
      <c r="A13" s="645" t="s">
        <v>81</v>
      </c>
      <c r="B13" s="33" t="s">
        <v>10</v>
      </c>
      <c r="C13" s="641" t="s">
        <v>14</v>
      </c>
      <c r="D13" s="642"/>
      <c r="E13" s="33">
        <v>39.619999999999997</v>
      </c>
      <c r="F13" s="309">
        <v>2252</v>
      </c>
      <c r="G13" s="302">
        <f t="shared" si="11"/>
        <v>89224.239999999991</v>
      </c>
      <c r="H13" s="310" t="s">
        <v>5</v>
      </c>
      <c r="I13" s="307">
        <v>19</v>
      </c>
      <c r="J13" s="30">
        <v>1500</v>
      </c>
      <c r="K13" s="13">
        <f t="shared" si="1"/>
        <v>78.94736842105263</v>
      </c>
      <c r="L13" s="307">
        <v>19</v>
      </c>
      <c r="M13" s="14">
        <f t="shared" si="12"/>
        <v>1437.4468085106384</v>
      </c>
      <c r="N13" s="13">
        <f t="shared" si="3"/>
        <v>75.655095184770445</v>
      </c>
      <c r="O13" s="15">
        <f t="shared" si="4"/>
        <v>0</v>
      </c>
      <c r="P13" s="16">
        <f t="shared" si="5"/>
        <v>-3.2922732362821847</v>
      </c>
      <c r="Q13" s="303">
        <f t="shared" si="6"/>
        <v>0.95829787234042563</v>
      </c>
      <c r="R13" s="619"/>
      <c r="S13" s="31">
        <v>0.52847222222222212</v>
      </c>
      <c r="T13" s="31">
        <v>0.59374999999999989</v>
      </c>
      <c r="U13" s="302">
        <f t="shared" si="14"/>
        <v>58.99999999999995</v>
      </c>
      <c r="V13" s="308">
        <f t="shared" si="13"/>
        <v>93.999999999999986</v>
      </c>
      <c r="W13" s="17"/>
      <c r="X13" s="17"/>
      <c r="Y13" s="17"/>
      <c r="Z13" s="17"/>
      <c r="AA13" s="614"/>
      <c r="AB13" s="615"/>
      <c r="AC13" s="155"/>
      <c r="AD13" s="19"/>
      <c r="AE13" s="15">
        <f t="shared" si="8"/>
        <v>-62.553191489361552</v>
      </c>
      <c r="AF13" s="303">
        <f t="shared" si="9"/>
        <v>0.95829787234042563</v>
      </c>
      <c r="AG13" s="619"/>
    </row>
    <row r="14" spans="1:33" ht="16.5" customHeight="1">
      <c r="A14" s="645" t="s">
        <v>1400</v>
      </c>
      <c r="B14" s="33" t="s">
        <v>194</v>
      </c>
      <c r="C14" s="620"/>
      <c r="D14" s="620"/>
      <c r="E14" s="304"/>
      <c r="F14" s="30"/>
      <c r="G14" s="14"/>
      <c r="H14" s="309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1432.439772357043</v>
      </c>
      <c r="N14" s="13">
        <f t="shared" si="3"/>
        <v>77.429176884164491</v>
      </c>
      <c r="O14" s="15">
        <f t="shared" si="4"/>
        <v>0</v>
      </c>
      <c r="P14" s="16">
        <f t="shared" si="5"/>
        <v>-3.6519041969165897</v>
      </c>
      <c r="Q14" s="303">
        <f t="shared" si="6"/>
        <v>0.95495984823802871</v>
      </c>
      <c r="R14" s="619"/>
      <c r="S14" s="31"/>
      <c r="T14" s="31"/>
      <c r="U14" s="13"/>
      <c r="V14" s="308"/>
      <c r="W14" s="13"/>
      <c r="X14" s="13"/>
      <c r="Y14" s="24">
        <f>SUM(Y10:Y13)</f>
        <v>0</v>
      </c>
      <c r="Z14" s="24">
        <f>SUM(Z10:Z13)</f>
        <v>0</v>
      </c>
      <c r="AA14" s="609"/>
      <c r="AB14" s="609"/>
      <c r="AC14" s="24">
        <v>4</v>
      </c>
      <c r="AD14" s="24">
        <f>SUM(AD10:AD13)</f>
        <v>0</v>
      </c>
      <c r="AE14" s="15">
        <f t="shared" si="8"/>
        <v>-67.560227642956988</v>
      </c>
      <c r="AF14" s="303">
        <f t="shared" si="9"/>
        <v>0.95495984823802871</v>
      </c>
      <c r="AG14" s="619"/>
    </row>
    <row r="15" spans="1:33" ht="16.5" customHeight="1">
      <c r="A15" s="643" t="s">
        <v>1401</v>
      </c>
      <c r="B15" s="309" t="s">
        <v>15</v>
      </c>
      <c r="C15" s="635" t="s">
        <v>16</v>
      </c>
      <c r="D15" s="635"/>
      <c r="E15" s="33">
        <v>31.11</v>
      </c>
      <c r="F15" s="309">
        <v>2647</v>
      </c>
      <c r="G15" s="302">
        <f t="shared" ref="G15:G21" si="15">E15*F15</f>
        <v>82348.17</v>
      </c>
      <c r="H15" s="310" t="s">
        <v>5</v>
      </c>
      <c r="I15" s="307">
        <v>14</v>
      </c>
      <c r="J15" s="30">
        <v>2000</v>
      </c>
      <c r="K15" s="13">
        <f t="shared" si="1"/>
        <v>142.85714285714286</v>
      </c>
      <c r="L15" s="307">
        <v>14</v>
      </c>
      <c r="M15" s="14">
        <f t="shared" ref="M15:M21" si="16">F15/V15*60</f>
        <v>1913.4939759036138</v>
      </c>
      <c r="N15" s="13">
        <f t="shared" si="3"/>
        <v>136.67814113597242</v>
      </c>
      <c r="O15" s="15">
        <f t="shared" si="4"/>
        <v>0</v>
      </c>
      <c r="P15" s="16">
        <f t="shared" si="5"/>
        <v>-6.1790017211704367</v>
      </c>
      <c r="Q15" s="303">
        <f t="shared" si="6"/>
        <v>0.9567469879518069</v>
      </c>
      <c r="R15" s="619">
        <f>Q22</f>
        <v>0.95782140404792782</v>
      </c>
      <c r="S15" s="31">
        <v>0.25</v>
      </c>
      <c r="T15" s="31">
        <v>0.30763888888888891</v>
      </c>
      <c r="U15" s="302"/>
      <c r="V15" s="308">
        <f t="shared" ref="V15:V21" si="17">(T15-S15)*24*60</f>
        <v>83.000000000000028</v>
      </c>
      <c r="W15" s="17"/>
      <c r="X15" s="17"/>
      <c r="Y15" s="22"/>
      <c r="Z15" s="22"/>
      <c r="AA15" s="610"/>
      <c r="AB15" s="610"/>
      <c r="AC15" s="155">
        <v>7</v>
      </c>
      <c r="AD15" s="19"/>
      <c r="AE15" s="15">
        <f t="shared" si="8"/>
        <v>-86.506024096386227</v>
      </c>
      <c r="AF15" s="303">
        <f t="shared" si="9"/>
        <v>0.9567469879518069</v>
      </c>
      <c r="AG15" s="619">
        <f>AF22</f>
        <v>0.9578214040479277</v>
      </c>
    </row>
    <row r="16" spans="1:33" ht="16.5" customHeight="1">
      <c r="A16" s="644" t="s">
        <v>187</v>
      </c>
      <c r="B16" s="309" t="s">
        <v>17</v>
      </c>
      <c r="C16" s="635" t="s">
        <v>18</v>
      </c>
      <c r="D16" s="635"/>
      <c r="E16" s="33">
        <v>41</v>
      </c>
      <c r="F16" s="309">
        <v>2088</v>
      </c>
      <c r="G16" s="302">
        <f t="shared" si="15"/>
        <v>85608</v>
      </c>
      <c r="H16" s="310" t="s">
        <v>5</v>
      </c>
      <c r="I16" s="307">
        <v>26</v>
      </c>
      <c r="J16" s="30">
        <v>1500</v>
      </c>
      <c r="K16" s="13">
        <f t="shared" si="1"/>
        <v>57.692307692307693</v>
      </c>
      <c r="L16" s="307">
        <v>26</v>
      </c>
      <c r="M16" s="14">
        <f t="shared" si="16"/>
        <v>1439.9999999999998</v>
      </c>
      <c r="N16" s="13">
        <f t="shared" si="3"/>
        <v>55.384615384615373</v>
      </c>
      <c r="O16" s="15">
        <f t="shared" si="4"/>
        <v>0</v>
      </c>
      <c r="P16" s="16">
        <f t="shared" si="5"/>
        <v>-2.3076923076923208</v>
      </c>
      <c r="Q16" s="303">
        <f t="shared" si="6"/>
        <v>0.95999999999999974</v>
      </c>
      <c r="R16" s="619"/>
      <c r="S16" s="31">
        <v>0.31319444444444444</v>
      </c>
      <c r="T16" s="31">
        <v>0.37361111111111112</v>
      </c>
      <c r="U16" s="302">
        <f t="shared" ref="U16:U21" si="18">IF(S16=TIME(17,0,0),"",(S16-T15)*24*60)</f>
        <v>7.9999999999999716</v>
      </c>
      <c r="V16" s="308">
        <f t="shared" si="17"/>
        <v>87.000000000000014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-60.000000000000227</v>
      </c>
      <c r="AF16" s="303">
        <f t="shared" si="9"/>
        <v>0.95999999999999985</v>
      </c>
      <c r="AG16" s="619"/>
    </row>
    <row r="17" spans="1:33" ht="16.5" customHeight="1">
      <c r="A17" s="644" t="s">
        <v>187</v>
      </c>
      <c r="B17" s="309" t="s">
        <v>15</v>
      </c>
      <c r="C17" s="635" t="s">
        <v>76</v>
      </c>
      <c r="D17" s="635"/>
      <c r="E17" s="33">
        <v>68.88</v>
      </c>
      <c r="F17" s="309">
        <v>1616</v>
      </c>
      <c r="G17" s="302">
        <f t="shared" si="15"/>
        <v>111310.07999999999</v>
      </c>
      <c r="H17" s="310" t="s">
        <v>5</v>
      </c>
      <c r="I17" s="307">
        <v>16</v>
      </c>
      <c r="J17" s="30">
        <v>2000</v>
      </c>
      <c r="K17" s="13">
        <f t="shared" si="1"/>
        <v>125</v>
      </c>
      <c r="L17" s="307">
        <v>16</v>
      </c>
      <c r="M17" s="14">
        <f t="shared" si="16"/>
        <v>1901.176470588236</v>
      </c>
      <c r="N17" s="13">
        <f t="shared" si="3"/>
        <v>118.82352941176475</v>
      </c>
      <c r="O17" s="15">
        <f t="shared" si="4"/>
        <v>0</v>
      </c>
      <c r="P17" s="16">
        <f t="shared" si="5"/>
        <v>-6.1764705882352473</v>
      </c>
      <c r="Q17" s="303">
        <f t="shared" si="6"/>
        <v>0.95058823529411807</v>
      </c>
      <c r="R17" s="619"/>
      <c r="S17" s="31">
        <v>0.37708333333333333</v>
      </c>
      <c r="T17" s="31">
        <v>0.41249999999999998</v>
      </c>
      <c r="U17" s="302">
        <f t="shared" si="18"/>
        <v>4.9999999999999822</v>
      </c>
      <c r="V17" s="308">
        <f t="shared" si="17"/>
        <v>50.999999999999979</v>
      </c>
      <c r="W17" s="17"/>
      <c r="X17" s="17"/>
      <c r="Y17" s="17"/>
      <c r="Z17" s="17"/>
      <c r="AA17" s="610"/>
      <c r="AB17" s="610"/>
      <c r="AC17" s="155"/>
      <c r="AD17" s="19"/>
      <c r="AE17" s="15">
        <f t="shared" si="8"/>
        <v>-98.823529411763957</v>
      </c>
      <c r="AF17" s="303">
        <f t="shared" si="9"/>
        <v>0.95058823529411807</v>
      </c>
      <c r="AG17" s="619"/>
    </row>
    <row r="18" spans="1:33" ht="16.5" customHeight="1">
      <c r="A18" s="644" t="s">
        <v>187</v>
      </c>
      <c r="B18" s="309" t="s">
        <v>10</v>
      </c>
      <c r="C18" s="635" t="s">
        <v>12</v>
      </c>
      <c r="D18" s="635"/>
      <c r="E18" s="33">
        <v>39.46</v>
      </c>
      <c r="F18" s="309">
        <v>2659</v>
      </c>
      <c r="G18" s="302">
        <f t="shared" si="15"/>
        <v>104924.14</v>
      </c>
      <c r="H18" s="310" t="s">
        <v>5</v>
      </c>
      <c r="I18" s="307">
        <v>15</v>
      </c>
      <c r="J18" s="30">
        <v>1500</v>
      </c>
      <c r="K18" s="13">
        <f t="shared" si="1"/>
        <v>100</v>
      </c>
      <c r="L18" s="307">
        <v>15</v>
      </c>
      <c r="M18" s="14">
        <f t="shared" si="16"/>
        <v>1437.2972972972973</v>
      </c>
      <c r="N18" s="13">
        <f t="shared" si="3"/>
        <v>95.819819819819813</v>
      </c>
      <c r="O18" s="15">
        <f t="shared" si="4"/>
        <v>0</v>
      </c>
      <c r="P18" s="16">
        <f t="shared" si="5"/>
        <v>-4.1801801801801872</v>
      </c>
      <c r="Q18" s="303">
        <f t="shared" si="6"/>
        <v>0.95819819819819818</v>
      </c>
      <c r="R18" s="619"/>
      <c r="S18" s="31">
        <v>0.41805555555555551</v>
      </c>
      <c r="T18" s="31">
        <v>0.49513888888888885</v>
      </c>
      <c r="U18" s="302">
        <f t="shared" si="18"/>
        <v>7.9999999999999716</v>
      </c>
      <c r="V18" s="308">
        <f t="shared" si="17"/>
        <v>111</v>
      </c>
      <c r="W18" s="17"/>
      <c r="X18" s="17"/>
      <c r="Y18" s="17"/>
      <c r="Z18" s="17"/>
      <c r="AA18" s="610"/>
      <c r="AB18" s="610"/>
      <c r="AC18" s="155"/>
      <c r="AD18" s="19"/>
      <c r="AE18" s="15">
        <f t="shared" si="8"/>
        <v>-62.702702702702709</v>
      </c>
      <c r="AF18" s="303">
        <f t="shared" si="9"/>
        <v>0.95819819819819818</v>
      </c>
      <c r="AG18" s="619"/>
    </row>
    <row r="19" spans="1:33" ht="16.5" customHeight="1">
      <c r="A19" s="644" t="s">
        <v>187</v>
      </c>
      <c r="B19" s="309" t="s">
        <v>6</v>
      </c>
      <c r="C19" s="635" t="s">
        <v>20</v>
      </c>
      <c r="D19" s="635"/>
      <c r="E19" s="33">
        <v>54.5</v>
      </c>
      <c r="F19" s="309">
        <v>980</v>
      </c>
      <c r="G19" s="302">
        <f t="shared" si="15"/>
        <v>53410</v>
      </c>
      <c r="H19" s="310" t="s">
        <v>5</v>
      </c>
      <c r="I19" s="307">
        <v>19</v>
      </c>
      <c r="J19" s="30">
        <v>1500</v>
      </c>
      <c r="K19" s="13">
        <f t="shared" si="1"/>
        <v>78.94736842105263</v>
      </c>
      <c r="L19" s="307">
        <v>19</v>
      </c>
      <c r="M19" s="14">
        <f t="shared" si="16"/>
        <v>1434.1463414634143</v>
      </c>
      <c r="N19" s="13">
        <f t="shared" si="3"/>
        <v>75.481386392811274</v>
      </c>
      <c r="O19" s="15">
        <f t="shared" si="4"/>
        <v>0</v>
      </c>
      <c r="P19" s="16">
        <f t="shared" si="5"/>
        <v>-3.4659820282413563</v>
      </c>
      <c r="Q19" s="303">
        <f t="shared" si="6"/>
        <v>0.9560975609756095</v>
      </c>
      <c r="R19" s="619"/>
      <c r="S19" s="31">
        <v>0.70833333333333337</v>
      </c>
      <c r="T19" s="31">
        <v>0.7368055555555556</v>
      </c>
      <c r="U19" s="302" t="str">
        <f t="shared" si="18"/>
        <v/>
      </c>
      <c r="V19" s="308">
        <f t="shared" si="17"/>
        <v>41.000000000000014</v>
      </c>
      <c r="W19" s="17"/>
      <c r="X19" s="17"/>
      <c r="Y19" s="17"/>
      <c r="Z19" s="17"/>
      <c r="AA19" s="610"/>
      <c r="AB19" s="610"/>
      <c r="AC19" s="155"/>
      <c r="AD19" s="19"/>
      <c r="AE19" s="15">
        <f t="shared" si="8"/>
        <v>-65.853658536585726</v>
      </c>
      <c r="AF19" s="303">
        <f t="shared" si="9"/>
        <v>0.9560975609756095</v>
      </c>
      <c r="AG19" s="619"/>
    </row>
    <row r="20" spans="1:33" ht="16.5" customHeight="1">
      <c r="A20" s="644" t="s">
        <v>187</v>
      </c>
      <c r="B20" s="309" t="s">
        <v>6</v>
      </c>
      <c r="C20" s="305" t="s">
        <v>19</v>
      </c>
      <c r="D20" s="306"/>
      <c r="E20" s="33">
        <v>50.67</v>
      </c>
      <c r="F20" s="309">
        <v>1771</v>
      </c>
      <c r="G20" s="302">
        <f t="shared" si="15"/>
        <v>89736.57</v>
      </c>
      <c r="H20" s="310" t="s">
        <v>5</v>
      </c>
      <c r="I20" s="307">
        <v>17</v>
      </c>
      <c r="J20" s="30">
        <v>2000</v>
      </c>
      <c r="K20" s="13">
        <f t="shared" si="1"/>
        <v>117.64705882352941</v>
      </c>
      <c r="L20" s="307">
        <v>17</v>
      </c>
      <c r="M20" s="14">
        <f t="shared" si="16"/>
        <v>1932.0000000000014</v>
      </c>
      <c r="N20" s="13">
        <f t="shared" si="3"/>
        <v>113.64705882352949</v>
      </c>
      <c r="O20" s="15">
        <f t="shared" si="4"/>
        <v>0</v>
      </c>
      <c r="P20" s="16">
        <f t="shared" si="5"/>
        <v>-3.9999999999999147</v>
      </c>
      <c r="Q20" s="303">
        <f t="shared" si="6"/>
        <v>0.96600000000000075</v>
      </c>
      <c r="R20" s="619"/>
      <c r="S20" s="31">
        <v>0.74097222222222225</v>
      </c>
      <c r="T20" s="31">
        <v>0.77916666666666667</v>
      </c>
      <c r="U20" s="302">
        <f t="shared" si="18"/>
        <v>5.9999999999999787</v>
      </c>
      <c r="V20" s="308">
        <f t="shared" si="17"/>
        <v>54.999999999999964</v>
      </c>
      <c r="W20" s="17"/>
      <c r="X20" s="17"/>
      <c r="Y20" s="20"/>
      <c r="Z20" s="20"/>
      <c r="AA20" s="300"/>
      <c r="AB20" s="301"/>
      <c r="AC20" s="155"/>
      <c r="AD20" s="19"/>
      <c r="AE20" s="15">
        <f t="shared" si="8"/>
        <v>-67.999999999998636</v>
      </c>
      <c r="AF20" s="303">
        <f t="shared" si="9"/>
        <v>0.96600000000000064</v>
      </c>
      <c r="AG20" s="619"/>
    </row>
    <row r="21" spans="1:33" ht="16.5" customHeight="1">
      <c r="A21" s="644" t="s">
        <v>187</v>
      </c>
      <c r="B21" s="309" t="s">
        <v>6</v>
      </c>
      <c r="C21" s="305" t="s">
        <v>45</v>
      </c>
      <c r="D21" s="306"/>
      <c r="E21" s="33">
        <v>51.06</v>
      </c>
      <c r="F21" s="309">
        <v>3223</v>
      </c>
      <c r="G21" s="302">
        <f t="shared" si="15"/>
        <v>164566.38</v>
      </c>
      <c r="H21" s="310" t="s">
        <v>5</v>
      </c>
      <c r="I21" s="307">
        <v>13</v>
      </c>
      <c r="J21" s="30">
        <v>2000</v>
      </c>
      <c r="K21" s="13">
        <f t="shared" si="1"/>
        <v>153.84615384615384</v>
      </c>
      <c r="L21" s="307">
        <v>13</v>
      </c>
      <c r="M21" s="14">
        <f t="shared" si="16"/>
        <v>1914.6534653465355</v>
      </c>
      <c r="N21" s="13">
        <f t="shared" si="3"/>
        <v>147.28103579588736</v>
      </c>
      <c r="O21" s="15">
        <f t="shared" si="4"/>
        <v>0</v>
      </c>
      <c r="P21" s="16">
        <f t="shared" si="5"/>
        <v>-6.5651180502664772</v>
      </c>
      <c r="Q21" s="303">
        <f t="shared" si="6"/>
        <v>0.95732673267326784</v>
      </c>
      <c r="R21" s="619"/>
      <c r="S21" s="31">
        <v>0.78402777777777777</v>
      </c>
      <c r="T21" s="31">
        <v>0.85416666666666663</v>
      </c>
      <c r="U21" s="302">
        <f t="shared" si="18"/>
        <v>6.9999999999999751</v>
      </c>
      <c r="V21" s="308">
        <f t="shared" si="17"/>
        <v>100.99999999999996</v>
      </c>
      <c r="W21" s="17"/>
      <c r="X21" s="17"/>
      <c r="Y21" s="20"/>
      <c r="Z21" s="20"/>
      <c r="AA21" s="300"/>
      <c r="AB21" s="301"/>
      <c r="AC21" s="155"/>
      <c r="AD21" s="19"/>
      <c r="AE21" s="15">
        <f t="shared" si="8"/>
        <v>-85.34653465346446</v>
      </c>
      <c r="AF21" s="303">
        <f t="shared" si="9"/>
        <v>0.95732673267326773</v>
      </c>
      <c r="AG21" s="619"/>
    </row>
    <row r="22" spans="1:33" ht="16.5" customHeight="1">
      <c r="A22" s="644" t="s">
        <v>187</v>
      </c>
      <c r="B22" s="33" t="s">
        <v>194</v>
      </c>
      <c r="C22" s="620"/>
      <c r="D22" s="620"/>
      <c r="E22" s="304"/>
      <c r="F22" s="34"/>
      <c r="G22" s="13"/>
      <c r="H22" s="309"/>
      <c r="I22" s="23">
        <v>17.142857142857142</v>
      </c>
      <c r="J22" s="30">
        <v>1785.7142857142858</v>
      </c>
      <c r="K22" s="13">
        <f t="shared" si="1"/>
        <v>104.16666666666667</v>
      </c>
      <c r="L22" s="23">
        <v>17.142857142857142</v>
      </c>
      <c r="M22" s="14">
        <f>AVERAGE(M15:M21)</f>
        <v>1710.3953643712996</v>
      </c>
      <c r="N22" s="13">
        <f t="shared" si="3"/>
        <v>99.773062921659147</v>
      </c>
      <c r="O22" s="15">
        <f t="shared" si="4"/>
        <v>0</v>
      </c>
      <c r="P22" s="16">
        <f t="shared" si="5"/>
        <v>-4.3936037450075247</v>
      </c>
      <c r="Q22" s="303">
        <f t="shared" si="6"/>
        <v>0.95782140404792782</v>
      </c>
      <c r="R22" s="619"/>
      <c r="S22" s="31"/>
      <c r="T22" s="31"/>
      <c r="U22" s="302"/>
      <c r="V22" s="308"/>
      <c r="W22" s="13"/>
      <c r="X22" s="13"/>
      <c r="Y22" s="24">
        <f>SUM(Y15:Y21)</f>
        <v>0</v>
      </c>
      <c r="Z22" s="24">
        <f>SUM(Z15:Z21)</f>
        <v>0</v>
      </c>
      <c r="AA22" s="609"/>
      <c r="AB22" s="609"/>
      <c r="AC22" s="24">
        <v>7</v>
      </c>
      <c r="AD22" s="24">
        <f>SUM(AD15:AD21)</f>
        <v>0</v>
      </c>
      <c r="AE22" s="15">
        <f t="shared" si="8"/>
        <v>-75.318921342986187</v>
      </c>
      <c r="AF22" s="303">
        <f t="shared" si="9"/>
        <v>0.9578214040479277</v>
      </c>
      <c r="AG22" s="619"/>
    </row>
    <row r="23" spans="1:33" ht="15.75" customHeight="1">
      <c r="A23" s="637" t="s">
        <v>190</v>
      </c>
      <c r="B23" s="33" t="s">
        <v>6</v>
      </c>
      <c r="C23" s="635" t="s">
        <v>22</v>
      </c>
      <c r="D23" s="635"/>
      <c r="E23" s="33">
        <v>50.67</v>
      </c>
      <c r="F23" s="309">
        <v>2003</v>
      </c>
      <c r="G23" s="302">
        <f t="shared" ref="G23:G28" si="19">E23*F23</f>
        <v>101492.01000000001</v>
      </c>
      <c r="H23" s="310" t="s">
        <v>5</v>
      </c>
      <c r="I23" s="307">
        <v>17</v>
      </c>
      <c r="J23" s="30">
        <v>2000</v>
      </c>
      <c r="K23" s="13">
        <f t="shared" si="1"/>
        <v>117.64705882352941</v>
      </c>
      <c r="L23" s="307">
        <v>17</v>
      </c>
      <c r="M23" s="14">
        <f t="shared" ref="M23:M28" si="20">F23/V23*60</f>
        <v>1907.6190476190473</v>
      </c>
      <c r="N23" s="13">
        <f t="shared" si="3"/>
        <v>112.21288515406161</v>
      </c>
      <c r="O23" s="15">
        <f t="shared" si="4"/>
        <v>0</v>
      </c>
      <c r="P23" s="16">
        <f t="shared" si="5"/>
        <v>-5.4341736694677962</v>
      </c>
      <c r="Q23" s="303">
        <f t="shared" si="6"/>
        <v>0.95380952380952377</v>
      </c>
      <c r="R23" s="619">
        <f>Q29</f>
        <v>0.95939998433594642</v>
      </c>
      <c r="S23" s="31">
        <v>0.25</v>
      </c>
      <c r="T23" s="31">
        <v>0.29375000000000001</v>
      </c>
      <c r="U23" s="302"/>
      <c r="V23" s="308">
        <f t="shared" ref="V23:V28" si="21">(T23-S23)*24*60</f>
        <v>63.000000000000014</v>
      </c>
      <c r="W23" s="17"/>
      <c r="X23" s="17"/>
      <c r="Y23" s="22"/>
      <c r="Z23" s="22"/>
      <c r="AA23" s="610"/>
      <c r="AB23" s="610"/>
      <c r="AC23" s="155">
        <v>6</v>
      </c>
      <c r="AD23" s="19"/>
      <c r="AE23" s="15">
        <f t="shared" si="8"/>
        <v>-92.380952380952749</v>
      </c>
      <c r="AF23" s="303">
        <f t="shared" si="9"/>
        <v>0.95380952380952366</v>
      </c>
      <c r="AG23" s="619">
        <f>AF29</f>
        <v>0.95939998433594642</v>
      </c>
    </row>
    <row r="24" spans="1:33" ht="15.75" customHeight="1">
      <c r="A24" s="638" t="s">
        <v>190</v>
      </c>
      <c r="B24" s="33" t="s">
        <v>6</v>
      </c>
      <c r="C24" s="635" t="s">
        <v>23</v>
      </c>
      <c r="D24" s="635"/>
      <c r="E24" s="33">
        <v>57.73</v>
      </c>
      <c r="F24" s="309">
        <v>3201</v>
      </c>
      <c r="G24" s="302">
        <f t="shared" si="19"/>
        <v>184793.72999999998</v>
      </c>
      <c r="H24" s="310" t="s">
        <v>5</v>
      </c>
      <c r="I24" s="307">
        <v>14</v>
      </c>
      <c r="J24" s="30">
        <v>2000</v>
      </c>
      <c r="K24" s="13">
        <f t="shared" si="1"/>
        <v>142.85714285714286</v>
      </c>
      <c r="L24" s="307">
        <v>14</v>
      </c>
      <c r="M24" s="14">
        <f t="shared" si="20"/>
        <v>1920.599999999999</v>
      </c>
      <c r="N24" s="13">
        <f t="shared" si="3"/>
        <v>137.18571428571423</v>
      </c>
      <c r="O24" s="15">
        <f t="shared" si="4"/>
        <v>0</v>
      </c>
      <c r="P24" s="16">
        <f t="shared" si="5"/>
        <v>-5.6714285714286348</v>
      </c>
      <c r="Q24" s="303">
        <f t="shared" si="6"/>
        <v>0.9602999999999996</v>
      </c>
      <c r="R24" s="619"/>
      <c r="S24" s="31">
        <v>0.29930555555555555</v>
      </c>
      <c r="T24" s="31">
        <v>0.36875000000000002</v>
      </c>
      <c r="U24" s="302">
        <f t="shared" ref="U24:U28" si="22">IF(S24=TIME(17,0,0),"",(S24-T23)*24*60)</f>
        <v>7.9999999999999716</v>
      </c>
      <c r="V24" s="308">
        <f t="shared" si="21"/>
        <v>100.00000000000004</v>
      </c>
      <c r="W24" s="17"/>
      <c r="X24" s="302"/>
      <c r="Y24" s="302"/>
      <c r="Z24" s="302"/>
      <c r="AA24" s="610"/>
      <c r="AB24" s="610"/>
      <c r="AC24" s="155"/>
      <c r="AD24" s="19"/>
      <c r="AE24" s="15">
        <f t="shared" si="8"/>
        <v>-79.400000000001</v>
      </c>
      <c r="AF24" s="303">
        <f t="shared" si="9"/>
        <v>0.96029999999999949</v>
      </c>
      <c r="AG24" s="619"/>
    </row>
    <row r="25" spans="1:33" ht="15.75" customHeight="1">
      <c r="A25" s="638" t="s">
        <v>1402</v>
      </c>
      <c r="B25" s="33" t="s">
        <v>6</v>
      </c>
      <c r="C25" s="635" t="s">
        <v>24</v>
      </c>
      <c r="D25" s="635"/>
      <c r="E25" s="33">
        <v>53.27</v>
      </c>
      <c r="F25" s="309">
        <v>1855</v>
      </c>
      <c r="G25" s="302">
        <f t="shared" si="19"/>
        <v>98815.85</v>
      </c>
      <c r="H25" s="310" t="s">
        <v>5</v>
      </c>
      <c r="I25" s="307">
        <v>16</v>
      </c>
      <c r="J25" s="30">
        <v>2000</v>
      </c>
      <c r="K25" s="13">
        <f t="shared" si="1"/>
        <v>125</v>
      </c>
      <c r="L25" s="307">
        <v>16</v>
      </c>
      <c r="M25" s="14">
        <f t="shared" si="20"/>
        <v>1918.9655172413782</v>
      </c>
      <c r="N25" s="13">
        <f t="shared" si="3"/>
        <v>119.93534482758614</v>
      </c>
      <c r="O25" s="15">
        <f t="shared" si="4"/>
        <v>0</v>
      </c>
      <c r="P25" s="16">
        <f t="shared" si="5"/>
        <v>-5.0646551724138646</v>
      </c>
      <c r="Q25" s="303">
        <f t="shared" si="6"/>
        <v>0.9594827586206891</v>
      </c>
      <c r="R25" s="619"/>
      <c r="S25" s="31">
        <v>0.37430555555555556</v>
      </c>
      <c r="T25" s="31">
        <v>0.41458333333333336</v>
      </c>
      <c r="U25" s="302">
        <f t="shared" si="22"/>
        <v>7.9999999999999716</v>
      </c>
      <c r="V25" s="308">
        <f t="shared" si="21"/>
        <v>58.000000000000036</v>
      </c>
      <c r="W25" s="17"/>
      <c r="X25" s="302"/>
      <c r="Y25" s="302"/>
      <c r="Z25" s="302"/>
      <c r="AA25" s="610"/>
      <c r="AB25" s="610"/>
      <c r="AC25" s="155"/>
      <c r="AD25" s="19"/>
      <c r="AE25" s="15">
        <f t="shared" si="8"/>
        <v>-81.034482758621834</v>
      </c>
      <c r="AF25" s="303">
        <f t="shared" si="9"/>
        <v>0.9594827586206891</v>
      </c>
      <c r="AG25" s="619"/>
    </row>
    <row r="26" spans="1:33" ht="15.75" customHeight="1">
      <c r="A26" s="638" t="s">
        <v>190</v>
      </c>
      <c r="B26" s="33" t="s">
        <v>6</v>
      </c>
      <c r="C26" s="635" t="s">
        <v>21</v>
      </c>
      <c r="D26" s="635"/>
      <c r="E26" s="33">
        <v>50.49</v>
      </c>
      <c r="F26" s="309">
        <v>2212</v>
      </c>
      <c r="G26" s="302">
        <f t="shared" si="19"/>
        <v>111683.88</v>
      </c>
      <c r="H26" s="310" t="s">
        <v>5</v>
      </c>
      <c r="I26" s="307">
        <v>15</v>
      </c>
      <c r="J26" s="30">
        <v>2000</v>
      </c>
      <c r="K26" s="13">
        <f t="shared" si="1"/>
        <v>133.33333333333334</v>
      </c>
      <c r="L26" s="307">
        <v>15</v>
      </c>
      <c r="M26" s="14">
        <f t="shared" si="20"/>
        <v>1923.4782608695632</v>
      </c>
      <c r="N26" s="13">
        <f t="shared" si="3"/>
        <v>128.23188405797089</v>
      </c>
      <c r="O26" s="15">
        <f t="shared" si="4"/>
        <v>0</v>
      </c>
      <c r="P26" s="16">
        <f t="shared" si="5"/>
        <v>-5.1014492753624552</v>
      </c>
      <c r="Q26" s="303">
        <f t="shared" si="6"/>
        <v>0.96173913043478154</v>
      </c>
      <c r="R26" s="619"/>
      <c r="S26" s="31">
        <v>0.70833333333333337</v>
      </c>
      <c r="T26" s="31">
        <v>0.75625000000000009</v>
      </c>
      <c r="U26" s="302" t="str">
        <f t="shared" si="22"/>
        <v/>
      </c>
      <c r="V26" s="308">
        <f t="shared" si="21"/>
        <v>69.000000000000071</v>
      </c>
      <c r="W26" s="17"/>
      <c r="X26" s="302"/>
      <c r="Y26" s="302"/>
      <c r="Z26" s="302"/>
      <c r="AA26" s="610"/>
      <c r="AB26" s="610"/>
      <c r="AC26" s="155"/>
      <c r="AD26" s="19"/>
      <c r="AE26" s="15">
        <f t="shared" si="8"/>
        <v>-76.521739130436799</v>
      </c>
      <c r="AF26" s="303">
        <f t="shared" si="9"/>
        <v>0.96173913043478165</v>
      </c>
      <c r="AG26" s="619"/>
    </row>
    <row r="27" spans="1:33" ht="15.75" customHeight="1">
      <c r="A27" s="638" t="s">
        <v>1403</v>
      </c>
      <c r="B27" s="33" t="s">
        <v>6</v>
      </c>
      <c r="C27" s="635" t="s">
        <v>26</v>
      </c>
      <c r="D27" s="635"/>
      <c r="E27" s="33">
        <v>54.09</v>
      </c>
      <c r="F27" s="309">
        <v>2324</v>
      </c>
      <c r="G27" s="302">
        <f t="shared" si="19"/>
        <v>125705.16</v>
      </c>
      <c r="H27" s="310" t="s">
        <v>5</v>
      </c>
      <c r="I27" s="307">
        <v>18</v>
      </c>
      <c r="J27" s="30">
        <v>2000</v>
      </c>
      <c r="K27" s="13">
        <f t="shared" si="1"/>
        <v>111.11111111111111</v>
      </c>
      <c r="L27" s="307">
        <v>18</v>
      </c>
      <c r="M27" s="14">
        <f t="shared" si="20"/>
        <v>1910.1369863013683</v>
      </c>
      <c r="N27" s="13">
        <f t="shared" si="3"/>
        <v>106.11872146118714</v>
      </c>
      <c r="O27" s="15">
        <f t="shared" si="4"/>
        <v>0</v>
      </c>
      <c r="P27" s="16">
        <f t="shared" si="5"/>
        <v>-4.9923896499239788</v>
      </c>
      <c r="Q27" s="303">
        <f t="shared" si="6"/>
        <v>0.95506849315068421</v>
      </c>
      <c r="R27" s="619"/>
      <c r="S27" s="31">
        <v>0.76111111111111118</v>
      </c>
      <c r="T27" s="31">
        <v>0.81180555555555567</v>
      </c>
      <c r="U27" s="302">
        <f t="shared" si="22"/>
        <v>6.9999999999999751</v>
      </c>
      <c r="V27" s="308">
        <f t="shared" si="21"/>
        <v>73.000000000000057</v>
      </c>
      <c r="W27" s="17"/>
      <c r="X27" s="17"/>
      <c r="Y27" s="302"/>
      <c r="Z27" s="302"/>
      <c r="AA27" s="610"/>
      <c r="AB27" s="610"/>
      <c r="AC27" s="155"/>
      <c r="AD27" s="19"/>
      <c r="AE27" s="15">
        <f t="shared" si="8"/>
        <v>-89.863013698631676</v>
      </c>
      <c r="AF27" s="303">
        <f t="shared" si="9"/>
        <v>0.95506849315068421</v>
      </c>
      <c r="AG27" s="619"/>
    </row>
    <row r="28" spans="1:33" ht="15.75" customHeight="1">
      <c r="A28" s="638" t="s">
        <v>190</v>
      </c>
      <c r="B28" s="33" t="s">
        <v>6</v>
      </c>
      <c r="C28" s="635" t="s">
        <v>9</v>
      </c>
      <c r="D28" s="635"/>
      <c r="E28" s="33">
        <v>50.67</v>
      </c>
      <c r="F28" s="309">
        <v>1288</v>
      </c>
      <c r="G28" s="302">
        <f t="shared" si="19"/>
        <v>65262.96</v>
      </c>
      <c r="H28" s="310" t="s">
        <v>5</v>
      </c>
      <c r="I28" s="307">
        <v>15</v>
      </c>
      <c r="J28" s="30">
        <v>2000</v>
      </c>
      <c r="K28" s="13">
        <f t="shared" si="1"/>
        <v>133.33333333333334</v>
      </c>
      <c r="L28" s="307">
        <v>15</v>
      </c>
      <c r="M28" s="14">
        <f t="shared" si="20"/>
        <v>1931.9999999999993</v>
      </c>
      <c r="N28" s="13">
        <f t="shared" si="3"/>
        <v>128.79999999999995</v>
      </c>
      <c r="O28" s="15">
        <f t="shared" si="4"/>
        <v>0</v>
      </c>
      <c r="P28" s="16">
        <f t="shared" si="5"/>
        <v>-4.5333333333333883</v>
      </c>
      <c r="Q28" s="303">
        <f t="shared" si="6"/>
        <v>0.96599999999999964</v>
      </c>
      <c r="R28" s="619"/>
      <c r="S28" s="31">
        <v>0.81527777777777788</v>
      </c>
      <c r="T28" s="31">
        <v>0.84305555555555567</v>
      </c>
      <c r="U28" s="302">
        <f t="shared" si="22"/>
        <v>4.9999999999999822</v>
      </c>
      <c r="V28" s="308">
        <f t="shared" si="21"/>
        <v>40.000000000000014</v>
      </c>
      <c r="W28" s="17"/>
      <c r="X28" s="22"/>
      <c r="Y28" s="22"/>
      <c r="Z28" s="22"/>
      <c r="AA28" s="610"/>
      <c r="AB28" s="610"/>
      <c r="AC28" s="155"/>
      <c r="AD28" s="19"/>
      <c r="AE28" s="15">
        <f t="shared" si="8"/>
        <v>-68.000000000000682</v>
      </c>
      <c r="AF28" s="303">
        <f t="shared" si="9"/>
        <v>0.96599999999999964</v>
      </c>
      <c r="AG28" s="619"/>
    </row>
    <row r="29" spans="1:33" ht="15.75" customHeight="1">
      <c r="A29" s="638" t="s">
        <v>190</v>
      </c>
      <c r="B29" s="33" t="s">
        <v>194</v>
      </c>
      <c r="C29" s="620"/>
      <c r="D29" s="620"/>
      <c r="E29" s="304"/>
      <c r="F29" s="309"/>
      <c r="G29" s="302"/>
      <c r="H29" s="309"/>
      <c r="I29" s="23">
        <v>15.833333333333334</v>
      </c>
      <c r="J29" s="30">
        <v>2000</v>
      </c>
      <c r="K29" s="13">
        <f t="shared" si="1"/>
        <v>126.31578947368421</v>
      </c>
      <c r="L29" s="23">
        <v>15.833333333333334</v>
      </c>
      <c r="M29" s="14">
        <f>AVERAGE(M23:M28)</f>
        <v>1918.7999686718929</v>
      </c>
      <c r="N29" s="13">
        <f t="shared" si="3"/>
        <v>121.18736644243533</v>
      </c>
      <c r="O29" s="15">
        <f t="shared" si="4"/>
        <v>0</v>
      </c>
      <c r="P29" s="16">
        <f t="shared" si="5"/>
        <v>-5.1284230312488717</v>
      </c>
      <c r="Q29" s="303">
        <f t="shared" si="6"/>
        <v>0.95939998433594642</v>
      </c>
      <c r="R29" s="619"/>
      <c r="S29" s="31"/>
      <c r="T29" s="31"/>
      <c r="U29" s="13"/>
      <c r="V29" s="308"/>
      <c r="W29" s="13"/>
      <c r="X29" s="13"/>
      <c r="Y29" s="24">
        <f>SUM(Y23:Y28)</f>
        <v>0</v>
      </c>
      <c r="Z29" s="24">
        <f>SUM(Z23:Z28)</f>
        <v>0</v>
      </c>
      <c r="AA29" s="609"/>
      <c r="AB29" s="609"/>
      <c r="AC29" s="24">
        <v>6</v>
      </c>
      <c r="AD29" s="24">
        <f>SUM(AD23:AD28)</f>
        <v>0</v>
      </c>
      <c r="AE29" s="15">
        <f t="shared" si="8"/>
        <v>-81.200031328107116</v>
      </c>
      <c r="AF29" s="303">
        <f t="shared" si="9"/>
        <v>0.95939998433594642</v>
      </c>
      <c r="AG29" s="619"/>
    </row>
    <row r="30" spans="1:33" ht="15.75" customHeight="1">
      <c r="A30" s="636" t="s">
        <v>192</v>
      </c>
      <c r="B30" s="33" t="s">
        <v>27</v>
      </c>
      <c r="C30" s="635" t="s">
        <v>28</v>
      </c>
      <c r="D30" s="635"/>
      <c r="E30" s="33">
        <v>31.29</v>
      </c>
      <c r="F30" s="309">
        <v>6200</v>
      </c>
      <c r="G30" s="302">
        <f t="shared" ref="G30:G37" si="23">E30*F30</f>
        <v>193998</v>
      </c>
      <c r="H30" s="310">
        <v>2</v>
      </c>
      <c r="I30" s="307">
        <v>18</v>
      </c>
      <c r="J30" s="30">
        <v>2400</v>
      </c>
      <c r="K30" s="13">
        <f t="shared" si="1"/>
        <v>133.33333333333334</v>
      </c>
      <c r="L30" s="307">
        <v>18</v>
      </c>
      <c r="M30" s="14">
        <f t="shared" ref="M30:M37" si="24">F30/V30*60</f>
        <v>2296.2962962962965</v>
      </c>
      <c r="N30" s="13">
        <f t="shared" si="3"/>
        <v>127.57201646090536</v>
      </c>
      <c r="O30" s="15">
        <f t="shared" si="4"/>
        <v>0</v>
      </c>
      <c r="P30" s="16">
        <f t="shared" si="5"/>
        <v>-5.7613168724279831</v>
      </c>
      <c r="Q30" s="303">
        <f t="shared" si="6"/>
        <v>0.95679012345679015</v>
      </c>
      <c r="R30" s="619">
        <f>Q38</f>
        <v>0.95641544890512753</v>
      </c>
      <c r="S30" s="31">
        <v>8.3333333333333329E-2</v>
      </c>
      <c r="T30" s="31">
        <v>0.19583333333333333</v>
      </c>
      <c r="U30" s="302"/>
      <c r="V30" s="308">
        <f t="shared" ref="V30:V37" si="25">(T30-S30)*24*60</f>
        <v>162</v>
      </c>
      <c r="W30" s="17">
        <f>T30</f>
        <v>0.19583333333333333</v>
      </c>
      <c r="X30" s="17">
        <f>S31</f>
        <v>0.21597222222222223</v>
      </c>
      <c r="Y30" s="17"/>
      <c r="Z30" s="17"/>
      <c r="AA30" s="610"/>
      <c r="AB30" s="610"/>
      <c r="AC30" s="155">
        <v>8</v>
      </c>
      <c r="AD30" s="19"/>
      <c r="AE30" s="15">
        <f t="shared" si="8"/>
        <v>-103.70370370370347</v>
      </c>
      <c r="AF30" s="303">
        <f t="shared" si="9"/>
        <v>0.95679012345679026</v>
      </c>
      <c r="AG30" s="619">
        <f>AF38</f>
        <v>0.95641544890512764</v>
      </c>
    </row>
    <row r="31" spans="1:33" ht="15.75" customHeight="1">
      <c r="A31" s="636" t="s">
        <v>192</v>
      </c>
      <c r="B31" s="33" t="s">
        <v>27</v>
      </c>
      <c r="C31" s="635" t="s">
        <v>29</v>
      </c>
      <c r="D31" s="635"/>
      <c r="E31" s="33">
        <v>26.37</v>
      </c>
      <c r="F31" s="309">
        <v>4500</v>
      </c>
      <c r="G31" s="302">
        <f t="shared" si="23"/>
        <v>118665</v>
      </c>
      <c r="H31" s="310">
        <v>2</v>
      </c>
      <c r="I31" s="307">
        <v>18</v>
      </c>
      <c r="J31" s="30">
        <v>2400</v>
      </c>
      <c r="K31" s="13">
        <f t="shared" si="1"/>
        <v>133.33333333333334</v>
      </c>
      <c r="L31" s="307">
        <v>18</v>
      </c>
      <c r="M31" s="14">
        <f t="shared" si="24"/>
        <v>2288.1355932203396</v>
      </c>
      <c r="N31" s="13">
        <f t="shared" si="3"/>
        <v>127.11864406779665</v>
      </c>
      <c r="O31" s="15">
        <f t="shared" si="4"/>
        <v>0</v>
      </c>
      <c r="P31" s="16">
        <f t="shared" si="5"/>
        <v>-6.2146892655366912</v>
      </c>
      <c r="Q31" s="303">
        <f t="shared" si="6"/>
        <v>0.95338983050847481</v>
      </c>
      <c r="R31" s="619"/>
      <c r="S31" s="31">
        <v>0.21597222222222223</v>
      </c>
      <c r="T31" s="31">
        <v>0.29791666666666666</v>
      </c>
      <c r="U31" s="302">
        <f t="shared" ref="U31:U37" si="26">(S31-T30)*24*60</f>
        <v>29.000000000000018</v>
      </c>
      <c r="V31" s="308">
        <f t="shared" si="25"/>
        <v>117.99999999999999</v>
      </c>
      <c r="W31" s="17"/>
      <c r="X31" s="17"/>
      <c r="Y31" s="17"/>
      <c r="Z31" s="17"/>
      <c r="AA31" s="610"/>
      <c r="AB31" s="610"/>
      <c r="AC31" s="155"/>
      <c r="AD31" s="19"/>
      <c r="AE31" s="15">
        <f t="shared" si="8"/>
        <v>-111.86440677966038</v>
      </c>
      <c r="AF31" s="303">
        <f t="shared" si="9"/>
        <v>0.95338983050847481</v>
      </c>
      <c r="AG31" s="619"/>
    </row>
    <row r="32" spans="1:33" ht="15.75" customHeight="1">
      <c r="A32" s="636" t="s">
        <v>1404</v>
      </c>
      <c r="B32" s="33" t="s">
        <v>27</v>
      </c>
      <c r="C32" s="635" t="s">
        <v>34</v>
      </c>
      <c r="D32" s="635"/>
      <c r="E32" s="33">
        <v>24.43</v>
      </c>
      <c r="F32" s="309">
        <v>3400</v>
      </c>
      <c r="G32" s="302">
        <f t="shared" si="23"/>
        <v>83062</v>
      </c>
      <c r="H32" s="310">
        <v>2</v>
      </c>
      <c r="I32" s="307">
        <v>14</v>
      </c>
      <c r="J32" s="30">
        <v>2400</v>
      </c>
      <c r="K32" s="13">
        <f t="shared" si="1"/>
        <v>171.42857142857142</v>
      </c>
      <c r="L32" s="307">
        <v>14</v>
      </c>
      <c r="M32" s="14">
        <f t="shared" si="24"/>
        <v>2292.1348314606744</v>
      </c>
      <c r="N32" s="13">
        <f t="shared" si="3"/>
        <v>163.72391653290532</v>
      </c>
      <c r="O32" s="15">
        <f t="shared" si="4"/>
        <v>0</v>
      </c>
      <c r="P32" s="16">
        <f t="shared" si="5"/>
        <v>-7.7046548956660956</v>
      </c>
      <c r="Q32" s="303">
        <f t="shared" si="6"/>
        <v>0.95505617977528112</v>
      </c>
      <c r="R32" s="619"/>
      <c r="S32" s="31">
        <v>0.30138888888888887</v>
      </c>
      <c r="T32" s="31">
        <v>0.36319444444444443</v>
      </c>
      <c r="U32" s="302">
        <f t="shared" si="26"/>
        <v>4.9999999999999822</v>
      </c>
      <c r="V32" s="308">
        <f t="shared" si="25"/>
        <v>89</v>
      </c>
      <c r="W32" s="17"/>
      <c r="X32" s="17"/>
      <c r="Y32" s="17"/>
      <c r="Z32" s="17"/>
      <c r="AA32" s="610"/>
      <c r="AB32" s="610"/>
      <c r="AC32" s="155"/>
      <c r="AD32" s="19"/>
      <c r="AE32" s="15">
        <f t="shared" si="8"/>
        <v>-107.86516853932562</v>
      </c>
      <c r="AF32" s="303">
        <f t="shared" si="9"/>
        <v>0.95505617977528101</v>
      </c>
      <c r="AG32" s="619"/>
    </row>
    <row r="33" spans="1:33" ht="15.75" customHeight="1">
      <c r="A33" s="636" t="s">
        <v>1405</v>
      </c>
      <c r="B33" s="33" t="s">
        <v>27</v>
      </c>
      <c r="C33" s="635" t="s">
        <v>75</v>
      </c>
      <c r="D33" s="635"/>
      <c r="E33" s="33">
        <v>25.98</v>
      </c>
      <c r="F33" s="309">
        <v>4560</v>
      </c>
      <c r="G33" s="302">
        <f t="shared" si="23"/>
        <v>118468.8</v>
      </c>
      <c r="H33" s="310" t="s">
        <v>5</v>
      </c>
      <c r="I33" s="307">
        <v>19</v>
      </c>
      <c r="J33" s="30">
        <v>2400</v>
      </c>
      <c r="K33" s="13">
        <f t="shared" si="1"/>
        <v>126.31578947368421</v>
      </c>
      <c r="L33" s="307">
        <v>19</v>
      </c>
      <c r="M33" s="14">
        <f t="shared" si="24"/>
        <v>2299.1596638655465</v>
      </c>
      <c r="N33" s="13">
        <f t="shared" si="3"/>
        <v>121.00840336134455</v>
      </c>
      <c r="O33" s="15">
        <f t="shared" si="4"/>
        <v>0</v>
      </c>
      <c r="P33" s="16">
        <f t="shared" si="5"/>
        <v>-5.3073861123396568</v>
      </c>
      <c r="Q33" s="303">
        <f t="shared" si="6"/>
        <v>0.95798319327731107</v>
      </c>
      <c r="R33" s="619"/>
      <c r="S33" s="31">
        <v>0.36874999999999997</v>
      </c>
      <c r="T33" s="31">
        <v>0.45138888888888884</v>
      </c>
      <c r="U33" s="302">
        <f t="shared" si="26"/>
        <v>7.9999999999999716</v>
      </c>
      <c r="V33" s="308">
        <f t="shared" si="25"/>
        <v>118.99999999999997</v>
      </c>
      <c r="W33" s="17"/>
      <c r="X33" s="17"/>
      <c r="Y33" s="17"/>
      <c r="Z33" s="17"/>
      <c r="AA33" s="610"/>
      <c r="AB33" s="610"/>
      <c r="AC33" s="155"/>
      <c r="AD33" s="19"/>
      <c r="AE33" s="15">
        <f t="shared" si="8"/>
        <v>-100.84033613445354</v>
      </c>
      <c r="AF33" s="303">
        <f t="shared" si="9"/>
        <v>0.95798319327731107</v>
      </c>
      <c r="AG33" s="619"/>
    </row>
    <row r="34" spans="1:33" ht="15.75" customHeight="1">
      <c r="A34" s="636" t="s">
        <v>1406</v>
      </c>
      <c r="B34" s="33" t="s">
        <v>27</v>
      </c>
      <c r="C34" s="635" t="s">
        <v>52</v>
      </c>
      <c r="D34" s="635"/>
      <c r="E34" s="33">
        <v>25.98</v>
      </c>
      <c r="F34" s="309">
        <v>2128</v>
      </c>
      <c r="G34" s="302">
        <f t="shared" si="23"/>
        <v>55285.440000000002</v>
      </c>
      <c r="H34" s="310" t="s">
        <v>5</v>
      </c>
      <c r="I34" s="307">
        <v>17</v>
      </c>
      <c r="J34" s="30">
        <v>2400</v>
      </c>
      <c r="K34" s="13">
        <f t="shared" si="1"/>
        <v>141.1764705882353</v>
      </c>
      <c r="L34" s="307">
        <v>17</v>
      </c>
      <c r="M34" s="14">
        <f t="shared" si="24"/>
        <v>2321.4545454545469</v>
      </c>
      <c r="N34" s="13">
        <f t="shared" si="3"/>
        <v>136.55614973262041</v>
      </c>
      <c r="O34" s="15">
        <f t="shared" si="4"/>
        <v>0</v>
      </c>
      <c r="P34" s="16">
        <f t="shared" si="5"/>
        <v>-4.6203208556148923</v>
      </c>
      <c r="Q34" s="303">
        <f t="shared" si="6"/>
        <v>0.96727272727272784</v>
      </c>
      <c r="R34" s="619"/>
      <c r="S34" s="31">
        <v>0.45694444444444438</v>
      </c>
      <c r="T34" s="31">
        <v>0.4951388888888888</v>
      </c>
      <c r="U34" s="302">
        <f t="shared" si="26"/>
        <v>7.9999999999999716</v>
      </c>
      <c r="V34" s="308">
        <f t="shared" si="25"/>
        <v>54.999999999999964</v>
      </c>
      <c r="W34" s="17">
        <f>T34</f>
        <v>0.4951388888888888</v>
      </c>
      <c r="X34" s="17">
        <f>S35</f>
        <v>0.5347222222222221</v>
      </c>
      <c r="Y34" s="17"/>
      <c r="Z34" s="17"/>
      <c r="AA34" s="610"/>
      <c r="AB34" s="610"/>
      <c r="AC34" s="155"/>
      <c r="AD34" s="19"/>
      <c r="AE34" s="15">
        <f t="shared" si="8"/>
        <v>-78.54545454545314</v>
      </c>
      <c r="AF34" s="303">
        <f t="shared" si="9"/>
        <v>0.96727272727272784</v>
      </c>
      <c r="AG34" s="619"/>
    </row>
    <row r="35" spans="1:33" ht="15.75" customHeight="1">
      <c r="A35" s="636" t="s">
        <v>192</v>
      </c>
      <c r="B35" s="33" t="s">
        <v>27</v>
      </c>
      <c r="C35" s="635" t="s">
        <v>34</v>
      </c>
      <c r="D35" s="635"/>
      <c r="E35" s="33">
        <v>24.43</v>
      </c>
      <c r="F35" s="309">
        <v>5265</v>
      </c>
      <c r="G35" s="302">
        <f t="shared" si="23"/>
        <v>128623.95</v>
      </c>
      <c r="H35" s="310" t="s">
        <v>5</v>
      </c>
      <c r="I35" s="307">
        <v>14</v>
      </c>
      <c r="J35" s="30">
        <v>2400</v>
      </c>
      <c r="K35" s="13">
        <f t="shared" si="1"/>
        <v>171.42857142857142</v>
      </c>
      <c r="L35" s="307">
        <v>14</v>
      </c>
      <c r="M35" s="14">
        <f t="shared" si="24"/>
        <v>2289.1304347826085</v>
      </c>
      <c r="N35" s="13">
        <f t="shared" si="3"/>
        <v>163.50931677018633</v>
      </c>
      <c r="O35" s="15">
        <f t="shared" si="4"/>
        <v>0</v>
      </c>
      <c r="P35" s="16">
        <f t="shared" si="5"/>
        <v>-7.9192546583850856</v>
      </c>
      <c r="Q35" s="303">
        <f t="shared" si="6"/>
        <v>0.95380434782608703</v>
      </c>
      <c r="R35" s="619"/>
      <c r="S35" s="31">
        <v>0.5347222222222221</v>
      </c>
      <c r="T35" s="31">
        <v>0.63055555555555542</v>
      </c>
      <c r="U35" s="302">
        <f t="shared" si="26"/>
        <v>56.999999999999957</v>
      </c>
      <c r="V35" s="308">
        <f t="shared" si="25"/>
        <v>138</v>
      </c>
      <c r="W35" s="17"/>
      <c r="X35" s="17"/>
      <c r="Y35" s="17"/>
      <c r="Z35" s="17"/>
      <c r="AA35" s="610"/>
      <c r="AB35" s="610"/>
      <c r="AC35" s="155"/>
      <c r="AD35" s="19"/>
      <c r="AE35" s="15">
        <f t="shared" si="8"/>
        <v>-110.86956521739148</v>
      </c>
      <c r="AF35" s="303">
        <f t="shared" si="9"/>
        <v>0.95380434782608692</v>
      </c>
      <c r="AG35" s="619"/>
    </row>
    <row r="36" spans="1:33" ht="15.75" customHeight="1">
      <c r="A36" s="636" t="s">
        <v>1407</v>
      </c>
      <c r="B36" s="33" t="s">
        <v>27</v>
      </c>
      <c r="C36" s="635" t="s">
        <v>28</v>
      </c>
      <c r="D36" s="635"/>
      <c r="E36" s="33">
        <v>31.29</v>
      </c>
      <c r="F36" s="309">
        <v>4645</v>
      </c>
      <c r="G36" s="302">
        <f t="shared" si="23"/>
        <v>145342.04999999999</v>
      </c>
      <c r="H36" s="310" t="s">
        <v>5</v>
      </c>
      <c r="I36" s="307">
        <v>18</v>
      </c>
      <c r="J36" s="30">
        <v>2400</v>
      </c>
      <c r="K36" s="13">
        <f t="shared" si="1"/>
        <v>133.33333333333334</v>
      </c>
      <c r="L36" s="307">
        <v>18</v>
      </c>
      <c r="M36" s="14">
        <f t="shared" si="24"/>
        <v>2284.4262295081958</v>
      </c>
      <c r="N36" s="13">
        <f t="shared" si="3"/>
        <v>126.91256830601088</v>
      </c>
      <c r="O36" s="15">
        <f t="shared" si="4"/>
        <v>0</v>
      </c>
      <c r="P36" s="16">
        <f t="shared" si="5"/>
        <v>-6.4207650273224601</v>
      </c>
      <c r="Q36" s="303">
        <f t="shared" si="6"/>
        <v>0.95184426229508157</v>
      </c>
      <c r="R36" s="619"/>
      <c r="S36" s="31">
        <v>0.63541666666666652</v>
      </c>
      <c r="T36" s="31">
        <v>0.72013888888888877</v>
      </c>
      <c r="U36" s="302">
        <f t="shared" si="26"/>
        <v>6.9999999999999751</v>
      </c>
      <c r="V36" s="308">
        <f t="shared" si="25"/>
        <v>122.00000000000004</v>
      </c>
      <c r="W36" s="17"/>
      <c r="X36" s="17"/>
      <c r="Y36" s="17"/>
      <c r="Z36" s="17"/>
      <c r="AA36" s="610"/>
      <c r="AB36" s="610"/>
      <c r="AC36" s="155"/>
      <c r="AD36" s="19"/>
      <c r="AE36" s="15">
        <f t="shared" si="8"/>
        <v>-115.57377049180423</v>
      </c>
      <c r="AF36" s="303">
        <f t="shared" si="9"/>
        <v>0.95184426229508157</v>
      </c>
      <c r="AG36" s="619"/>
    </row>
    <row r="37" spans="1:33" ht="15.75" customHeight="1">
      <c r="A37" s="636" t="s">
        <v>1407</v>
      </c>
      <c r="B37" s="33" t="s">
        <v>27</v>
      </c>
      <c r="C37" s="305" t="s">
        <v>29</v>
      </c>
      <c r="D37" s="306"/>
      <c r="E37" s="33">
        <v>26.37</v>
      </c>
      <c r="F37" s="309">
        <v>3133</v>
      </c>
      <c r="G37" s="302">
        <f t="shared" si="23"/>
        <v>82617.210000000006</v>
      </c>
      <c r="H37" s="310" t="s">
        <v>5</v>
      </c>
      <c r="I37" s="307">
        <v>18</v>
      </c>
      <c r="J37" s="30">
        <v>2400</v>
      </c>
      <c r="K37" s="13">
        <f t="shared" si="1"/>
        <v>133.33333333333334</v>
      </c>
      <c r="L37" s="307">
        <v>18</v>
      </c>
      <c r="M37" s="14">
        <f t="shared" si="24"/>
        <v>2292.439024390243</v>
      </c>
      <c r="N37" s="13">
        <f t="shared" si="3"/>
        <v>127.35772357723573</v>
      </c>
      <c r="O37" s="15">
        <f t="shared" si="4"/>
        <v>0</v>
      </c>
      <c r="P37" s="16">
        <f t="shared" si="5"/>
        <v>-5.9756097560976116</v>
      </c>
      <c r="Q37" s="303">
        <f t="shared" si="6"/>
        <v>0.95518292682926786</v>
      </c>
      <c r="R37" s="619"/>
      <c r="S37" s="31">
        <v>0.72361111111111098</v>
      </c>
      <c r="T37" s="31">
        <v>0.78055555555555545</v>
      </c>
      <c r="U37" s="302">
        <f t="shared" si="26"/>
        <v>4.9999999999999822</v>
      </c>
      <c r="V37" s="308">
        <f t="shared" si="25"/>
        <v>82.000000000000028</v>
      </c>
      <c r="W37" s="17"/>
      <c r="X37" s="17"/>
      <c r="Y37" s="17"/>
      <c r="Z37" s="17"/>
      <c r="AA37" s="300"/>
      <c r="AB37" s="301"/>
      <c r="AC37" s="155"/>
      <c r="AD37" s="19"/>
      <c r="AE37" s="15">
        <f t="shared" si="8"/>
        <v>-107.56097560975695</v>
      </c>
      <c r="AF37" s="303">
        <f t="shared" si="9"/>
        <v>0.95518292682926798</v>
      </c>
      <c r="AG37" s="619"/>
    </row>
    <row r="38" spans="1:33" ht="15.75" customHeight="1">
      <c r="A38" s="636" t="s">
        <v>192</v>
      </c>
      <c r="B38" s="33" t="s">
        <v>194</v>
      </c>
      <c r="C38" s="620"/>
      <c r="D38" s="620"/>
      <c r="E38" s="304"/>
      <c r="F38" s="309"/>
      <c r="G38" s="302"/>
      <c r="H38" s="309"/>
      <c r="I38" s="23">
        <v>17</v>
      </c>
      <c r="J38" s="30">
        <v>2400</v>
      </c>
      <c r="K38" s="13">
        <f t="shared" si="1"/>
        <v>141.1764705882353</v>
      </c>
      <c r="L38" s="23">
        <v>17</v>
      </c>
      <c r="M38" s="14">
        <f>AVERAGE(M30:M37)</f>
        <v>2295.3970773723063</v>
      </c>
      <c r="N38" s="13">
        <f t="shared" si="3"/>
        <v>135.0233574924886</v>
      </c>
      <c r="O38" s="15">
        <f t="shared" si="4"/>
        <v>0</v>
      </c>
      <c r="P38" s="16">
        <f t="shared" si="5"/>
        <v>-6.1531130957467042</v>
      </c>
      <c r="Q38" s="303">
        <f t="shared" si="6"/>
        <v>0.95641544890512753</v>
      </c>
      <c r="R38" s="619"/>
      <c r="S38" s="31"/>
      <c r="T38" s="31"/>
      <c r="U38" s="302"/>
      <c r="V38" s="308"/>
      <c r="W38" s="302"/>
      <c r="X38" s="302"/>
      <c r="Y38" s="24">
        <f>SUM(Y30:Y37)</f>
        <v>0</v>
      </c>
      <c r="Z38" s="24">
        <f>SUM(Z30:Z37)</f>
        <v>0</v>
      </c>
      <c r="AA38" s="609"/>
      <c r="AB38" s="609"/>
      <c r="AC38" s="24">
        <v>8</v>
      </c>
      <c r="AD38" s="24">
        <f>SUM(AD30:AD37)</f>
        <v>0</v>
      </c>
      <c r="AE38" s="15">
        <f t="shared" si="8"/>
        <v>-104.60292262769372</v>
      </c>
      <c r="AF38" s="303">
        <f t="shared" si="9"/>
        <v>0.95641544890512764</v>
      </c>
      <c r="AG38" s="619"/>
    </row>
    <row r="39" spans="1:33" ht="15.75" customHeight="1">
      <c r="A39" s="633" t="s">
        <v>295</v>
      </c>
      <c r="B39" s="33" t="s">
        <v>27</v>
      </c>
      <c r="C39" s="611" t="s">
        <v>33</v>
      </c>
      <c r="D39" s="611"/>
      <c r="E39" s="33">
        <v>26.18</v>
      </c>
      <c r="F39" s="309">
        <v>4100</v>
      </c>
      <c r="G39" s="302">
        <f t="shared" ref="G39:G46" si="27">E39*F39</f>
        <v>107338</v>
      </c>
      <c r="H39" s="310">
        <v>2</v>
      </c>
      <c r="I39" s="307">
        <v>20</v>
      </c>
      <c r="J39" s="30">
        <v>2400</v>
      </c>
      <c r="K39" s="13">
        <f t="shared" si="1"/>
        <v>120</v>
      </c>
      <c r="L39" s="307">
        <v>20</v>
      </c>
      <c r="M39" s="14">
        <f t="shared" ref="M39:M46" si="28">F39/V39*60</f>
        <v>2299.065420560748</v>
      </c>
      <c r="N39" s="13">
        <f t="shared" si="3"/>
        <v>114.95327102803739</v>
      </c>
      <c r="O39" s="15">
        <f t="shared" si="4"/>
        <v>0</v>
      </c>
      <c r="P39" s="16">
        <f t="shared" si="5"/>
        <v>-5.0467289719626081</v>
      </c>
      <c r="Q39" s="303">
        <f t="shared" si="6"/>
        <v>0.95794392523364491</v>
      </c>
      <c r="R39" s="619">
        <f>Q47</f>
        <v>0.95602409977790681</v>
      </c>
      <c r="S39" s="31">
        <v>8.3333333333333329E-2</v>
      </c>
      <c r="T39" s="31">
        <v>0.15763888888888888</v>
      </c>
      <c r="U39" s="302"/>
      <c r="V39" s="308">
        <f t="shared" ref="V39:V46" si="29">(T39-S39)*24*60</f>
        <v>107</v>
      </c>
      <c r="W39" s="22">
        <f>T39</f>
        <v>0.15763888888888888</v>
      </c>
      <c r="X39" s="22">
        <f>S40</f>
        <v>0.17916666666666667</v>
      </c>
      <c r="Y39" s="22"/>
      <c r="Z39" s="22"/>
      <c r="AA39" s="610"/>
      <c r="AB39" s="610"/>
      <c r="AC39" s="155">
        <v>8</v>
      </c>
      <c r="AD39" s="19"/>
      <c r="AE39" s="15">
        <f t="shared" si="8"/>
        <v>-100.93457943925205</v>
      </c>
      <c r="AF39" s="303">
        <f t="shared" si="9"/>
        <v>0.95794392523364502</v>
      </c>
      <c r="AG39" s="619">
        <f>AF47</f>
        <v>0.95602409977790681</v>
      </c>
    </row>
    <row r="40" spans="1:33" ht="15.75" customHeight="1">
      <c r="A40" s="633" t="s">
        <v>295</v>
      </c>
      <c r="B40" s="33" t="s">
        <v>27</v>
      </c>
      <c r="C40" s="611" t="s">
        <v>30</v>
      </c>
      <c r="D40" s="611"/>
      <c r="E40" s="33">
        <v>26.18</v>
      </c>
      <c r="F40" s="309">
        <v>5300</v>
      </c>
      <c r="G40" s="302">
        <f t="shared" si="27"/>
        <v>138754</v>
      </c>
      <c r="H40" s="310">
        <v>2</v>
      </c>
      <c r="I40" s="307">
        <v>18</v>
      </c>
      <c r="J40" s="30">
        <v>2400</v>
      </c>
      <c r="K40" s="13">
        <f t="shared" si="1"/>
        <v>133.33333333333334</v>
      </c>
      <c r="L40" s="307">
        <v>18</v>
      </c>
      <c r="M40" s="14">
        <f t="shared" si="28"/>
        <v>2287.7697841726613</v>
      </c>
      <c r="N40" s="13">
        <f t="shared" si="3"/>
        <v>127.09832134292563</v>
      </c>
      <c r="O40" s="15">
        <f t="shared" si="4"/>
        <v>0</v>
      </c>
      <c r="P40" s="16">
        <f t="shared" si="5"/>
        <v>-6.2350119904077133</v>
      </c>
      <c r="Q40" s="303">
        <f t="shared" si="6"/>
        <v>0.95323741007194218</v>
      </c>
      <c r="R40" s="619"/>
      <c r="S40" s="31">
        <v>0.17916666666666667</v>
      </c>
      <c r="T40" s="31">
        <v>0.27569444444444446</v>
      </c>
      <c r="U40" s="302">
        <f t="shared" ref="U40:U46" si="30">(S40-T39)*24*60</f>
        <v>31.000000000000011</v>
      </c>
      <c r="V40" s="308">
        <f t="shared" si="29"/>
        <v>139.00000000000003</v>
      </c>
      <c r="W40" s="302"/>
      <c r="X40" s="302"/>
      <c r="Y40" s="302"/>
      <c r="Z40" s="302"/>
      <c r="AA40" s="610"/>
      <c r="AB40" s="610"/>
      <c r="AC40" s="155"/>
      <c r="AD40" s="19"/>
      <c r="AE40" s="15">
        <f t="shared" si="8"/>
        <v>-112.23021582733872</v>
      </c>
      <c r="AF40" s="303">
        <f t="shared" si="9"/>
        <v>0.95323741007194218</v>
      </c>
      <c r="AG40" s="619"/>
    </row>
    <row r="41" spans="1:33">
      <c r="A41" s="634" t="s">
        <v>1408</v>
      </c>
      <c r="B41" s="33" t="s">
        <v>27</v>
      </c>
      <c r="C41" s="611" t="s">
        <v>35</v>
      </c>
      <c r="D41" s="611"/>
      <c r="E41" s="33">
        <v>34.1</v>
      </c>
      <c r="F41" s="309">
        <v>3200</v>
      </c>
      <c r="G41" s="302">
        <f t="shared" si="27"/>
        <v>109120</v>
      </c>
      <c r="H41" s="310">
        <v>2</v>
      </c>
      <c r="I41" s="307">
        <v>17</v>
      </c>
      <c r="J41" s="30">
        <v>1600</v>
      </c>
      <c r="K41" s="13">
        <f t="shared" si="1"/>
        <v>94.117647058823536</v>
      </c>
      <c r="L41" s="307">
        <v>17</v>
      </c>
      <c r="M41" s="14">
        <f t="shared" si="28"/>
        <v>1535.9999999999995</v>
      </c>
      <c r="N41" s="13">
        <f t="shared" si="3"/>
        <v>90.352941176470566</v>
      </c>
      <c r="O41" s="15">
        <f t="shared" si="4"/>
        <v>0</v>
      </c>
      <c r="P41" s="16">
        <f t="shared" si="5"/>
        <v>-3.7647058823529704</v>
      </c>
      <c r="Q41" s="303">
        <f t="shared" si="6"/>
        <v>0.95999999999999974</v>
      </c>
      <c r="R41" s="619"/>
      <c r="S41" s="31">
        <v>0.28125</v>
      </c>
      <c r="T41" s="31">
        <v>0.36805555555555558</v>
      </c>
      <c r="U41" s="302">
        <f t="shared" si="30"/>
        <v>7.9999999999999716</v>
      </c>
      <c r="V41" s="308">
        <f t="shared" si="29"/>
        <v>125.00000000000003</v>
      </c>
      <c r="W41" s="302"/>
      <c r="X41" s="302"/>
      <c r="Y41" s="302"/>
      <c r="Z41" s="302"/>
      <c r="AA41" s="610"/>
      <c r="AB41" s="610"/>
      <c r="AC41" s="155"/>
      <c r="AD41" s="19"/>
      <c r="AE41" s="15">
        <f t="shared" si="8"/>
        <v>-64.000000000000455</v>
      </c>
      <c r="AF41" s="303">
        <f t="shared" si="9"/>
        <v>0.95999999999999974</v>
      </c>
      <c r="AG41" s="619"/>
    </row>
    <row r="42" spans="1:33">
      <c r="A42" s="634" t="s">
        <v>1409</v>
      </c>
      <c r="B42" s="33" t="s">
        <v>27</v>
      </c>
      <c r="C42" s="611" t="s">
        <v>54</v>
      </c>
      <c r="D42" s="611"/>
      <c r="E42" s="33">
        <v>24.25</v>
      </c>
      <c r="F42" s="309">
        <v>2171</v>
      </c>
      <c r="G42" s="302">
        <f t="shared" si="27"/>
        <v>52646.75</v>
      </c>
      <c r="H42" s="310" t="s">
        <v>5</v>
      </c>
      <c r="I42" s="307">
        <v>16</v>
      </c>
      <c r="J42" s="30">
        <v>2400</v>
      </c>
      <c r="K42" s="13">
        <f t="shared" si="1"/>
        <v>150</v>
      </c>
      <c r="L42" s="307">
        <v>16</v>
      </c>
      <c r="M42" s="14">
        <f t="shared" si="28"/>
        <v>2285.2631578947385</v>
      </c>
      <c r="N42" s="13">
        <f t="shared" si="3"/>
        <v>142.82894736842115</v>
      </c>
      <c r="O42" s="15">
        <f t="shared" si="4"/>
        <v>0</v>
      </c>
      <c r="P42" s="16">
        <f t="shared" si="5"/>
        <v>-7.1710526315788456</v>
      </c>
      <c r="Q42" s="303">
        <f t="shared" si="6"/>
        <v>0.95219298245614103</v>
      </c>
      <c r="R42" s="619"/>
      <c r="S42" s="31">
        <v>0.37361111111111112</v>
      </c>
      <c r="T42" s="31">
        <v>0.41319444444444442</v>
      </c>
      <c r="U42" s="302">
        <f t="shared" si="30"/>
        <v>7.9999999999999716</v>
      </c>
      <c r="V42" s="308">
        <f t="shared" si="29"/>
        <v>56.999999999999957</v>
      </c>
      <c r="W42" s="17"/>
      <c r="X42" s="17"/>
      <c r="Y42" s="17"/>
      <c r="Z42" s="17"/>
      <c r="AA42" s="610"/>
      <c r="AB42" s="610"/>
      <c r="AC42" s="155"/>
      <c r="AD42" s="19"/>
      <c r="AE42" s="15">
        <f t="shared" si="8"/>
        <v>-114.73684210526153</v>
      </c>
      <c r="AF42" s="303">
        <f t="shared" si="9"/>
        <v>0.95219298245614103</v>
      </c>
      <c r="AG42" s="619"/>
    </row>
    <row r="43" spans="1:33">
      <c r="A43" s="634" t="s">
        <v>1408</v>
      </c>
      <c r="B43" s="33" t="s">
        <v>27</v>
      </c>
      <c r="C43" s="611" t="s">
        <v>32</v>
      </c>
      <c r="D43" s="611"/>
      <c r="E43" s="33">
        <v>25.99</v>
      </c>
      <c r="F43" s="309">
        <v>4283</v>
      </c>
      <c r="G43" s="302">
        <f t="shared" si="27"/>
        <v>111315.17</v>
      </c>
      <c r="H43" s="310" t="s">
        <v>5</v>
      </c>
      <c r="I43" s="307">
        <v>14</v>
      </c>
      <c r="J43" s="30">
        <v>2400</v>
      </c>
      <c r="K43" s="13">
        <f t="shared" si="1"/>
        <v>171.42857142857142</v>
      </c>
      <c r="L43" s="307">
        <v>14</v>
      </c>
      <c r="M43" s="14">
        <f t="shared" si="28"/>
        <v>2294.4642857142858</v>
      </c>
      <c r="N43" s="13">
        <f t="shared" si="3"/>
        <v>163.89030612244898</v>
      </c>
      <c r="O43" s="15">
        <f t="shared" si="4"/>
        <v>0</v>
      </c>
      <c r="P43" s="16">
        <f t="shared" si="5"/>
        <v>-7.5382653061224403</v>
      </c>
      <c r="Q43" s="303">
        <f t="shared" si="6"/>
        <v>0.95602678571428579</v>
      </c>
      <c r="R43" s="619"/>
      <c r="S43" s="31">
        <v>0.41736111111111107</v>
      </c>
      <c r="T43" s="31">
        <v>0.49513888888888885</v>
      </c>
      <c r="U43" s="302">
        <f t="shared" si="30"/>
        <v>5.9999999999999787</v>
      </c>
      <c r="V43" s="308">
        <f t="shared" si="29"/>
        <v>112</v>
      </c>
      <c r="W43" s="17">
        <f>T43</f>
        <v>0.49513888888888885</v>
      </c>
      <c r="X43" s="17">
        <f>S44</f>
        <v>0.53472222222222221</v>
      </c>
      <c r="Y43" s="17"/>
      <c r="Z43" s="17"/>
      <c r="AA43" s="610"/>
      <c r="AB43" s="610"/>
      <c r="AC43" s="155"/>
      <c r="AD43" s="19"/>
      <c r="AE43" s="15">
        <f t="shared" si="8"/>
        <v>-105.53571428571422</v>
      </c>
      <c r="AF43" s="303">
        <f t="shared" si="9"/>
        <v>0.95602678571428579</v>
      </c>
      <c r="AG43" s="619"/>
    </row>
    <row r="44" spans="1:33">
      <c r="A44" s="634" t="s">
        <v>1410</v>
      </c>
      <c r="B44" s="33" t="s">
        <v>27</v>
      </c>
      <c r="C44" s="611" t="s">
        <v>35</v>
      </c>
      <c r="D44" s="611"/>
      <c r="E44" s="33">
        <v>34.1</v>
      </c>
      <c r="F44" s="309">
        <v>4079</v>
      </c>
      <c r="G44" s="302">
        <f t="shared" si="27"/>
        <v>139093.9</v>
      </c>
      <c r="H44" s="310" t="s">
        <v>5</v>
      </c>
      <c r="I44" s="307">
        <v>17</v>
      </c>
      <c r="J44" s="30">
        <v>1600</v>
      </c>
      <c r="K44" s="13">
        <f t="shared" si="1"/>
        <v>94.117647058823536</v>
      </c>
      <c r="L44" s="307">
        <v>17</v>
      </c>
      <c r="M44" s="14">
        <f t="shared" si="28"/>
        <v>1529.6250000000007</v>
      </c>
      <c r="N44" s="13">
        <f t="shared" si="3"/>
        <v>89.977941176470623</v>
      </c>
      <c r="O44" s="15">
        <f t="shared" si="4"/>
        <v>0</v>
      </c>
      <c r="P44" s="16">
        <f t="shared" si="5"/>
        <v>-4.1397058823529136</v>
      </c>
      <c r="Q44" s="303">
        <f t="shared" si="6"/>
        <v>0.95601562500000026</v>
      </c>
      <c r="R44" s="619"/>
      <c r="S44" s="31">
        <v>0.53472222222222221</v>
      </c>
      <c r="T44" s="31">
        <v>0.64583333333333326</v>
      </c>
      <c r="U44" s="302">
        <f t="shared" si="30"/>
        <v>57.000000000000036</v>
      </c>
      <c r="V44" s="308">
        <f t="shared" si="29"/>
        <v>159.99999999999991</v>
      </c>
      <c r="W44" s="17"/>
      <c r="X44" s="17"/>
      <c r="Y44" s="17"/>
      <c r="Z44" s="17"/>
      <c r="AA44" s="610"/>
      <c r="AB44" s="610"/>
      <c r="AC44" s="155"/>
      <c r="AD44" s="19"/>
      <c r="AE44" s="15">
        <f t="shared" si="8"/>
        <v>-70.374999999999318</v>
      </c>
      <c r="AF44" s="303">
        <f t="shared" si="9"/>
        <v>0.95601562500000048</v>
      </c>
      <c r="AG44" s="619"/>
    </row>
    <row r="45" spans="1:33">
      <c r="A45" s="634" t="s">
        <v>295</v>
      </c>
      <c r="B45" s="33" t="s">
        <v>27</v>
      </c>
      <c r="C45" s="611" t="s">
        <v>30</v>
      </c>
      <c r="D45" s="611"/>
      <c r="E45" s="33">
        <v>26.18</v>
      </c>
      <c r="F45" s="309">
        <v>4083</v>
      </c>
      <c r="G45" s="302">
        <f t="shared" si="27"/>
        <v>106892.94</v>
      </c>
      <c r="H45" s="310" t="s">
        <v>5</v>
      </c>
      <c r="I45" s="307">
        <v>18</v>
      </c>
      <c r="J45" s="30">
        <v>2400</v>
      </c>
      <c r="K45" s="13">
        <f t="shared" si="1"/>
        <v>133.33333333333334</v>
      </c>
      <c r="L45" s="307">
        <v>18</v>
      </c>
      <c r="M45" s="14">
        <f t="shared" si="28"/>
        <v>2289.5327102803753</v>
      </c>
      <c r="N45" s="13">
        <f t="shared" si="3"/>
        <v>127.19626168224308</v>
      </c>
      <c r="O45" s="15">
        <f t="shared" si="4"/>
        <v>0</v>
      </c>
      <c r="P45" s="16">
        <f t="shared" si="5"/>
        <v>-6.1370716510902668</v>
      </c>
      <c r="Q45" s="303">
        <f t="shared" si="6"/>
        <v>0.95397196261682304</v>
      </c>
      <c r="R45" s="619"/>
      <c r="S45" s="31">
        <v>0.64930555555555547</v>
      </c>
      <c r="T45" s="31">
        <v>0.72361111111111098</v>
      </c>
      <c r="U45" s="302">
        <f t="shared" si="30"/>
        <v>4.9999999999999822</v>
      </c>
      <c r="V45" s="308">
        <f t="shared" si="29"/>
        <v>106.99999999999994</v>
      </c>
      <c r="W45" s="17"/>
      <c r="X45" s="17"/>
      <c r="Y45" s="20"/>
      <c r="Z45" s="20"/>
      <c r="AA45" s="614"/>
      <c r="AB45" s="615"/>
      <c r="AC45" s="155"/>
      <c r="AD45" s="19"/>
      <c r="AE45" s="15">
        <f t="shared" si="8"/>
        <v>-110.46728971962466</v>
      </c>
      <c r="AF45" s="303">
        <f t="shared" si="9"/>
        <v>0.95397196261682304</v>
      </c>
      <c r="AG45" s="619"/>
    </row>
    <row r="46" spans="1:33">
      <c r="A46" s="634" t="s">
        <v>295</v>
      </c>
      <c r="B46" s="33" t="s">
        <v>27</v>
      </c>
      <c r="C46" s="611" t="s">
        <v>33</v>
      </c>
      <c r="D46" s="611"/>
      <c r="E46" s="33">
        <v>26.18</v>
      </c>
      <c r="F46" s="309">
        <v>3034</v>
      </c>
      <c r="G46" s="302">
        <f t="shared" si="27"/>
        <v>79430.12</v>
      </c>
      <c r="H46" s="310" t="s">
        <v>5</v>
      </c>
      <c r="I46" s="307">
        <v>20</v>
      </c>
      <c r="J46" s="30">
        <v>2400</v>
      </c>
      <c r="K46" s="13">
        <f t="shared" si="1"/>
        <v>120</v>
      </c>
      <c r="L46" s="307">
        <v>20</v>
      </c>
      <c r="M46" s="14">
        <f t="shared" si="28"/>
        <v>2304.3037974683534</v>
      </c>
      <c r="N46" s="13">
        <f t="shared" si="3"/>
        <v>115.21518987341767</v>
      </c>
      <c r="O46" s="15">
        <f t="shared" si="4"/>
        <v>0</v>
      </c>
      <c r="P46" s="16">
        <f t="shared" si="5"/>
        <v>-4.7848101265823288</v>
      </c>
      <c r="Q46" s="303">
        <f t="shared" si="6"/>
        <v>0.96012658227848058</v>
      </c>
      <c r="R46" s="619"/>
      <c r="S46" s="31">
        <v>0.72847222222222208</v>
      </c>
      <c r="T46" s="31">
        <v>0.78333333333333321</v>
      </c>
      <c r="U46" s="302">
        <f t="shared" si="30"/>
        <v>6.9999999999999751</v>
      </c>
      <c r="V46" s="308">
        <f t="shared" si="29"/>
        <v>79.000000000000043</v>
      </c>
      <c r="W46" s="17"/>
      <c r="X46" s="17"/>
      <c r="Y46" s="20"/>
      <c r="Z46" s="20"/>
      <c r="AA46" s="614"/>
      <c r="AB46" s="615"/>
      <c r="AC46" s="155"/>
      <c r="AD46" s="19"/>
      <c r="AE46" s="15">
        <f t="shared" si="8"/>
        <v>-95.696202531646577</v>
      </c>
      <c r="AF46" s="303">
        <f t="shared" si="9"/>
        <v>0.96012658227848058</v>
      </c>
      <c r="AG46" s="619"/>
    </row>
    <row r="47" spans="1:33">
      <c r="A47" s="634" t="s">
        <v>295</v>
      </c>
      <c r="B47" s="34" t="s">
        <v>194</v>
      </c>
      <c r="C47" s="620"/>
      <c r="D47" s="620"/>
      <c r="E47" s="304"/>
      <c r="F47" s="34"/>
      <c r="G47" s="13"/>
      <c r="H47" s="309"/>
      <c r="I47" s="23">
        <v>17.5</v>
      </c>
      <c r="J47" s="30">
        <v>2200</v>
      </c>
      <c r="K47" s="13">
        <f t="shared" si="1"/>
        <v>125.71428571428571</v>
      </c>
      <c r="L47" s="23">
        <v>17.5</v>
      </c>
      <c r="M47" s="14">
        <f>AVERAGE(M39:M46)</f>
        <v>2103.253019511395</v>
      </c>
      <c r="N47" s="13">
        <f t="shared" si="3"/>
        <v>120.18588682922257</v>
      </c>
      <c r="O47" s="15">
        <f t="shared" si="4"/>
        <v>0</v>
      </c>
      <c r="P47" s="16">
        <f t="shared" si="5"/>
        <v>-5.5283988850631403</v>
      </c>
      <c r="Q47" s="303">
        <f t="shared" si="6"/>
        <v>0.95602409977790681</v>
      </c>
      <c r="R47" s="619"/>
      <c r="S47" s="31"/>
      <c r="T47" s="31"/>
      <c r="U47" s="13"/>
      <c r="V47" s="308"/>
      <c r="W47" s="13"/>
      <c r="X47" s="13"/>
      <c r="Y47" s="24">
        <f>SUM(Y39:Y46)</f>
        <v>0</v>
      </c>
      <c r="Z47" s="24">
        <f>SUM(Z39:Z46)</f>
        <v>0</v>
      </c>
      <c r="AA47" s="609"/>
      <c r="AB47" s="609"/>
      <c r="AC47" s="24">
        <v>8</v>
      </c>
      <c r="AD47" s="24">
        <f>SUM(AD39:AD46)</f>
        <v>0</v>
      </c>
      <c r="AE47" s="15">
        <f t="shared" si="8"/>
        <v>-96.746980488605004</v>
      </c>
      <c r="AF47" s="303">
        <f t="shared" si="9"/>
        <v>0.95602409977790681</v>
      </c>
      <c r="AG47" s="619"/>
    </row>
    <row r="48" spans="1:33" ht="15.75" customHeight="1">
      <c r="A48" s="630" t="s">
        <v>198</v>
      </c>
      <c r="B48" s="33" t="s">
        <v>36</v>
      </c>
      <c r="C48" s="612" t="s">
        <v>37</v>
      </c>
      <c r="D48" s="613"/>
      <c r="E48" s="33">
        <v>21.13</v>
      </c>
      <c r="F48" s="309">
        <v>6686</v>
      </c>
      <c r="G48" s="302">
        <f t="shared" ref="G48:G50" si="31">E48*F48</f>
        <v>141275.18</v>
      </c>
      <c r="H48" s="310" t="s">
        <v>5</v>
      </c>
      <c r="I48" s="307">
        <v>10</v>
      </c>
      <c r="J48" s="30">
        <v>3000</v>
      </c>
      <c r="K48" s="13">
        <f t="shared" si="1"/>
        <v>300</v>
      </c>
      <c r="L48" s="307">
        <v>10</v>
      </c>
      <c r="M48" s="14">
        <f t="shared" ref="M48:M50" si="32">F48/V48*60</f>
        <v>2865.4285714285706</v>
      </c>
      <c r="N48" s="14">
        <f t="shared" si="3"/>
        <v>286.54285714285709</v>
      </c>
      <c r="O48" s="15">
        <f t="shared" si="4"/>
        <v>0</v>
      </c>
      <c r="P48" s="16">
        <f t="shared" si="5"/>
        <v>-13.457142857142912</v>
      </c>
      <c r="Q48" s="303">
        <f t="shared" si="6"/>
        <v>0.95514285714285696</v>
      </c>
      <c r="R48" s="625">
        <f>Q51</f>
        <v>0.95924404761904714</v>
      </c>
      <c r="S48" s="31">
        <v>0.20833333333333334</v>
      </c>
      <c r="T48" s="31">
        <v>0.30555555555555558</v>
      </c>
      <c r="U48" s="22"/>
      <c r="V48" s="308">
        <f t="shared" ref="V48:V50" si="33">(T48-S48)*24*60</f>
        <v>140.00000000000003</v>
      </c>
      <c r="W48" s="17"/>
      <c r="X48" s="17"/>
      <c r="Y48" s="20"/>
      <c r="Z48" s="20"/>
      <c r="AA48" s="614"/>
      <c r="AB48" s="615"/>
      <c r="AC48" s="155">
        <v>3</v>
      </c>
      <c r="AD48" s="19"/>
      <c r="AE48" s="15">
        <f t="shared" si="8"/>
        <v>-134.57142857142935</v>
      </c>
      <c r="AF48" s="303">
        <f t="shared" si="9"/>
        <v>0.95514285714285685</v>
      </c>
      <c r="AG48" s="625">
        <f>AF51</f>
        <v>0.95924404761904714</v>
      </c>
    </row>
    <row r="49" spans="1:33" ht="15.75" customHeight="1">
      <c r="A49" s="631" t="s">
        <v>198</v>
      </c>
      <c r="B49" s="33" t="s">
        <v>36</v>
      </c>
      <c r="C49" s="612" t="s">
        <v>38</v>
      </c>
      <c r="D49" s="613"/>
      <c r="E49" s="33">
        <v>27.17</v>
      </c>
      <c r="F49" s="309">
        <v>7655</v>
      </c>
      <c r="G49" s="302">
        <f t="shared" si="31"/>
        <v>207986.35</v>
      </c>
      <c r="H49" s="310" t="s">
        <v>5</v>
      </c>
      <c r="I49" s="307">
        <v>10</v>
      </c>
      <c r="J49" s="30">
        <v>3000</v>
      </c>
      <c r="K49" s="13">
        <f t="shared" si="1"/>
        <v>300</v>
      </c>
      <c r="L49" s="307">
        <v>10</v>
      </c>
      <c r="M49" s="14">
        <f t="shared" si="32"/>
        <v>2870.625</v>
      </c>
      <c r="N49" s="14">
        <f t="shared" si="3"/>
        <v>287.0625</v>
      </c>
      <c r="O49" s="15">
        <f t="shared" si="4"/>
        <v>0</v>
      </c>
      <c r="P49" s="16">
        <f t="shared" si="5"/>
        <v>-12.9375</v>
      </c>
      <c r="Q49" s="303">
        <f t="shared" si="6"/>
        <v>0.95687500000000003</v>
      </c>
      <c r="R49" s="626"/>
      <c r="S49" s="31">
        <v>0.31041666666666667</v>
      </c>
      <c r="T49" s="31">
        <v>0.42152777777777778</v>
      </c>
      <c r="U49" s="302">
        <f t="shared" ref="U49:U50" si="34">(S49-T48)*24*60</f>
        <v>6.9999999999999751</v>
      </c>
      <c r="V49" s="308">
        <f t="shared" si="33"/>
        <v>160</v>
      </c>
      <c r="W49" s="17"/>
      <c r="X49" s="17"/>
      <c r="Y49" s="20"/>
      <c r="Z49" s="20"/>
      <c r="AA49" s="614"/>
      <c r="AB49" s="615"/>
      <c r="AC49" s="155"/>
      <c r="AD49" s="19"/>
      <c r="AE49" s="15">
        <f t="shared" si="8"/>
        <v>-129.375</v>
      </c>
      <c r="AF49" s="303">
        <f t="shared" si="9"/>
        <v>0.95687500000000003</v>
      </c>
      <c r="AG49" s="626"/>
    </row>
    <row r="50" spans="1:33" ht="15.75" customHeight="1">
      <c r="A50" s="631" t="s">
        <v>198</v>
      </c>
      <c r="B50" s="33" t="s">
        <v>36</v>
      </c>
      <c r="C50" s="612" t="s">
        <v>39</v>
      </c>
      <c r="D50" s="613"/>
      <c r="E50" s="33">
        <v>35.869999999999997</v>
      </c>
      <c r="F50" s="309">
        <v>1690</v>
      </c>
      <c r="G50" s="302">
        <f t="shared" si="31"/>
        <v>60620.299999999996</v>
      </c>
      <c r="H50" s="310" t="s">
        <v>5</v>
      </c>
      <c r="I50" s="307">
        <v>9</v>
      </c>
      <c r="J50" s="30">
        <v>3000</v>
      </c>
      <c r="K50" s="13">
        <f t="shared" si="1"/>
        <v>333.33333333333331</v>
      </c>
      <c r="L50" s="307">
        <v>9</v>
      </c>
      <c r="M50" s="14">
        <f t="shared" si="32"/>
        <v>2897.1428571428542</v>
      </c>
      <c r="N50" s="14">
        <f t="shared" si="3"/>
        <v>321.90476190476159</v>
      </c>
      <c r="O50" s="15">
        <f t="shared" si="4"/>
        <v>0</v>
      </c>
      <c r="P50" s="16">
        <f t="shared" si="5"/>
        <v>-11.428571428571729</v>
      </c>
      <c r="Q50" s="303">
        <f t="shared" si="6"/>
        <v>0.96571428571428486</v>
      </c>
      <c r="R50" s="626"/>
      <c r="S50" s="31">
        <v>0.42499999999999999</v>
      </c>
      <c r="T50" s="31">
        <v>0.44930555555555557</v>
      </c>
      <c r="U50" s="302">
        <f t="shared" si="34"/>
        <v>4.9999999999999822</v>
      </c>
      <c r="V50" s="308">
        <f t="shared" si="33"/>
        <v>35.000000000000036</v>
      </c>
      <c r="W50" s="17"/>
      <c r="X50" s="17"/>
      <c r="Y50" s="20"/>
      <c r="Z50" s="20"/>
      <c r="AA50" s="614"/>
      <c r="AB50" s="615"/>
      <c r="AC50" s="155"/>
      <c r="AD50" s="19"/>
      <c r="AE50" s="15">
        <f t="shared" si="8"/>
        <v>-102.85714285714585</v>
      </c>
      <c r="AF50" s="303">
        <f t="shared" si="9"/>
        <v>0.96571428571428475</v>
      </c>
      <c r="AG50" s="626"/>
    </row>
    <row r="51" spans="1:33" ht="15.75" customHeight="1">
      <c r="A51" s="632" t="s">
        <v>1411</v>
      </c>
      <c r="B51" s="33" t="s">
        <v>194</v>
      </c>
      <c r="C51" s="607"/>
      <c r="D51" s="608"/>
      <c r="E51" s="296"/>
      <c r="F51" s="309"/>
      <c r="G51" s="302"/>
      <c r="H51" s="309"/>
      <c r="I51" s="23">
        <v>9.6666666666666661</v>
      </c>
      <c r="J51" s="30">
        <v>3000</v>
      </c>
      <c r="K51" s="13">
        <f t="shared" si="1"/>
        <v>310.34482758620692</v>
      </c>
      <c r="L51" s="23">
        <v>9.6666666666666661</v>
      </c>
      <c r="M51" s="14">
        <f>AVERAGE(M48:M50)</f>
        <v>2877.7321428571413</v>
      </c>
      <c r="N51" s="13">
        <f t="shared" si="3"/>
        <v>297.69642857142844</v>
      </c>
      <c r="O51" s="15">
        <f t="shared" si="4"/>
        <v>0</v>
      </c>
      <c r="P51" s="16">
        <f t="shared" si="5"/>
        <v>-12.648399014778477</v>
      </c>
      <c r="Q51" s="303">
        <f t="shared" si="6"/>
        <v>0.95924404761904714</v>
      </c>
      <c r="R51" s="627"/>
      <c r="S51" s="31"/>
      <c r="T51" s="31"/>
      <c r="U51" s="302"/>
      <c r="V51" s="308"/>
      <c r="W51" s="17"/>
      <c r="X51" s="17"/>
      <c r="Y51" s="24">
        <f>SUM(Y48:Y50)</f>
        <v>0</v>
      </c>
      <c r="Z51" s="24">
        <f>SUM(Z48:Z50)</f>
        <v>0</v>
      </c>
      <c r="AA51" s="628"/>
      <c r="AB51" s="629"/>
      <c r="AC51" s="24">
        <v>3</v>
      </c>
      <c r="AD51" s="24">
        <f>SUM(AD48:AD50)</f>
        <v>0</v>
      </c>
      <c r="AE51" s="15">
        <f t="shared" si="8"/>
        <v>-122.2678571428587</v>
      </c>
      <c r="AF51" s="303">
        <f t="shared" si="9"/>
        <v>0.95924404761904714</v>
      </c>
      <c r="AG51" s="627"/>
    </row>
    <row r="52" spans="1:33" ht="15.75" customHeight="1">
      <c r="A52" s="623" t="s">
        <v>297</v>
      </c>
      <c r="B52" s="33" t="s">
        <v>6</v>
      </c>
      <c r="C52" s="611" t="s">
        <v>41</v>
      </c>
      <c r="D52" s="611"/>
      <c r="E52" s="33">
        <v>51.44</v>
      </c>
      <c r="F52" s="35">
        <v>1740</v>
      </c>
      <c r="G52" s="302">
        <f t="shared" ref="G52:G60" si="35">E52*F52</f>
        <v>89505.599999999991</v>
      </c>
      <c r="H52" s="310" t="s">
        <v>5</v>
      </c>
      <c r="I52" s="307">
        <v>25</v>
      </c>
      <c r="J52" s="30">
        <v>2000</v>
      </c>
      <c r="K52" s="13">
        <f t="shared" si="1"/>
        <v>80</v>
      </c>
      <c r="L52" s="307">
        <v>25</v>
      </c>
      <c r="M52" s="14">
        <f t="shared" ref="M52" si="36">F52/V52*60</f>
        <v>1933.3333333333333</v>
      </c>
      <c r="N52" s="14">
        <f t="shared" si="3"/>
        <v>77.333333333333329</v>
      </c>
      <c r="O52" s="15">
        <f t="shared" si="4"/>
        <v>0</v>
      </c>
      <c r="P52" s="16">
        <f t="shared" si="5"/>
        <v>-2.6666666666666714</v>
      </c>
      <c r="Q52" s="303">
        <f t="shared" si="6"/>
        <v>0.96666666666666656</v>
      </c>
      <c r="R52" s="619">
        <f>Q61</f>
        <v>0.96316925728713743</v>
      </c>
      <c r="S52" s="31">
        <v>0.20833333333333334</v>
      </c>
      <c r="T52" s="31">
        <v>0.24583333333333335</v>
      </c>
      <c r="U52" s="22"/>
      <c r="V52" s="308">
        <f t="shared" ref="V52:V60" si="37">(T52-S52)*24*60</f>
        <v>54.000000000000007</v>
      </c>
      <c r="W52" s="17"/>
      <c r="X52" s="17"/>
      <c r="Y52" s="22"/>
      <c r="Z52" s="22"/>
      <c r="AA52" s="610"/>
      <c r="AB52" s="610"/>
      <c r="AC52" s="155">
        <v>9</v>
      </c>
      <c r="AD52" s="19"/>
      <c r="AE52" s="15">
        <f t="shared" si="8"/>
        <v>-66.666666666666742</v>
      </c>
      <c r="AF52" s="303">
        <f t="shared" si="9"/>
        <v>0.96666666666666667</v>
      </c>
      <c r="AG52" s="619">
        <f>AF61</f>
        <v>0.96316925728713743</v>
      </c>
    </row>
    <row r="53" spans="1:33" ht="15.75" customHeight="1">
      <c r="A53" s="623" t="s">
        <v>297</v>
      </c>
      <c r="B53" s="33" t="s">
        <v>6</v>
      </c>
      <c r="C53" s="611" t="s">
        <v>77</v>
      </c>
      <c r="D53" s="611"/>
      <c r="E53" s="33">
        <v>56.43</v>
      </c>
      <c r="F53" s="35">
        <v>1945</v>
      </c>
      <c r="G53" s="302">
        <f t="shared" si="35"/>
        <v>109756.35</v>
      </c>
      <c r="H53" s="310" t="s">
        <v>5</v>
      </c>
      <c r="I53" s="307">
        <v>23</v>
      </c>
      <c r="J53" s="30">
        <v>2000</v>
      </c>
      <c r="K53" s="13">
        <f t="shared" si="1"/>
        <v>86.956521739130437</v>
      </c>
      <c r="L53" s="307">
        <v>23</v>
      </c>
      <c r="M53" s="14">
        <f>F53/V53*60</f>
        <v>1913.11475409836</v>
      </c>
      <c r="N53" s="14">
        <f t="shared" si="3"/>
        <v>83.178902352102611</v>
      </c>
      <c r="O53" s="15">
        <f t="shared" si="4"/>
        <v>0</v>
      </c>
      <c r="P53" s="16">
        <f t="shared" si="5"/>
        <v>-3.7776193870278263</v>
      </c>
      <c r="Q53" s="303">
        <f t="shared" si="6"/>
        <v>0.95655737704917998</v>
      </c>
      <c r="R53" s="619"/>
      <c r="S53" s="31">
        <v>0.25069444444444444</v>
      </c>
      <c r="T53" s="31">
        <v>0.29305555555555557</v>
      </c>
      <c r="U53" s="302">
        <f t="shared" ref="U53:U60" si="38">IF(S53=TIME(17,0,0),"",(S53-T52)*24*60)</f>
        <v>6.9999999999999751</v>
      </c>
      <c r="V53" s="308">
        <f t="shared" si="37"/>
        <v>61.000000000000021</v>
      </c>
      <c r="W53" s="17"/>
      <c r="X53" s="17"/>
      <c r="Y53" s="17"/>
      <c r="Z53" s="17"/>
      <c r="AA53" s="610"/>
      <c r="AB53" s="610"/>
      <c r="AC53" s="155"/>
      <c r="AD53" s="19"/>
      <c r="AE53" s="15">
        <f t="shared" si="8"/>
        <v>-86.885245901640019</v>
      </c>
      <c r="AF53" s="303">
        <f t="shared" si="9"/>
        <v>0.95655737704917998</v>
      </c>
      <c r="AG53" s="619"/>
    </row>
    <row r="54" spans="1:33" ht="15.75" customHeight="1">
      <c r="A54" s="623" t="s">
        <v>1412</v>
      </c>
      <c r="B54" s="33" t="s">
        <v>6</v>
      </c>
      <c r="C54" s="612" t="s">
        <v>73</v>
      </c>
      <c r="D54" s="613"/>
      <c r="E54" s="33">
        <v>56.43</v>
      </c>
      <c r="F54" s="35">
        <v>1697</v>
      </c>
      <c r="G54" s="302">
        <f t="shared" si="35"/>
        <v>95761.71</v>
      </c>
      <c r="H54" s="310" t="s">
        <v>5</v>
      </c>
      <c r="I54" s="307">
        <v>25</v>
      </c>
      <c r="J54" s="30">
        <v>2000</v>
      </c>
      <c r="K54" s="13">
        <f t="shared" si="1"/>
        <v>80</v>
      </c>
      <c r="L54" s="307">
        <v>25</v>
      </c>
      <c r="M54" s="14">
        <f t="shared" ref="M54:M60" si="39">F54/V54*60</f>
        <v>1921.1320754716994</v>
      </c>
      <c r="N54" s="14">
        <f t="shared" si="3"/>
        <v>76.845283018867974</v>
      </c>
      <c r="O54" s="15">
        <f t="shared" si="4"/>
        <v>0</v>
      </c>
      <c r="P54" s="16">
        <f t="shared" si="5"/>
        <v>-3.1547169811320259</v>
      </c>
      <c r="Q54" s="303">
        <f t="shared" si="6"/>
        <v>0.9605660377358497</v>
      </c>
      <c r="R54" s="619"/>
      <c r="S54" s="31">
        <v>0.29791666666666666</v>
      </c>
      <c r="T54" s="31">
        <v>0.3347222222222222</v>
      </c>
      <c r="U54" s="302">
        <f t="shared" si="38"/>
        <v>6.9999999999999751</v>
      </c>
      <c r="V54" s="308">
        <f t="shared" si="37"/>
        <v>52.999999999999972</v>
      </c>
      <c r="W54" s="17"/>
      <c r="X54" s="17"/>
      <c r="Y54" s="20"/>
      <c r="Z54" s="20"/>
      <c r="AA54" s="610"/>
      <c r="AB54" s="610"/>
      <c r="AC54" s="155"/>
      <c r="AD54" s="19"/>
      <c r="AE54" s="15">
        <f t="shared" si="8"/>
        <v>-78.867924528300591</v>
      </c>
      <c r="AF54" s="303">
        <f t="shared" si="9"/>
        <v>0.9605660377358497</v>
      </c>
      <c r="AG54" s="619"/>
    </row>
    <row r="55" spans="1:33" ht="15.75" customHeight="1">
      <c r="A55" s="623" t="s">
        <v>1413</v>
      </c>
      <c r="B55" s="33" t="s">
        <v>10</v>
      </c>
      <c r="C55" s="298" t="s">
        <v>42</v>
      </c>
      <c r="D55" s="299"/>
      <c r="E55" s="33">
        <v>46</v>
      </c>
      <c r="F55" s="35">
        <v>1554</v>
      </c>
      <c r="G55" s="302">
        <f t="shared" si="35"/>
        <v>71484</v>
      </c>
      <c r="H55" s="310" t="s">
        <v>5</v>
      </c>
      <c r="I55" s="307">
        <v>16</v>
      </c>
      <c r="J55" s="30">
        <v>2000</v>
      </c>
      <c r="K55" s="13">
        <f t="shared" si="1"/>
        <v>125</v>
      </c>
      <c r="L55" s="307">
        <v>16</v>
      </c>
      <c r="M55" s="14">
        <f t="shared" si="39"/>
        <v>1942.5000000000005</v>
      </c>
      <c r="N55" s="14">
        <f t="shared" si="3"/>
        <v>121.40625000000003</v>
      </c>
      <c r="O55" s="15">
        <f t="shared" si="4"/>
        <v>0</v>
      </c>
      <c r="P55" s="16">
        <f t="shared" si="5"/>
        <v>-3.5937499999999716</v>
      </c>
      <c r="Q55" s="303">
        <f t="shared" si="6"/>
        <v>0.97125000000000028</v>
      </c>
      <c r="R55" s="619"/>
      <c r="S55" s="31">
        <v>0.33888888888888885</v>
      </c>
      <c r="T55" s="31">
        <v>0.37222222222222218</v>
      </c>
      <c r="U55" s="302">
        <f t="shared" si="38"/>
        <v>5.9999999999999787</v>
      </c>
      <c r="V55" s="308">
        <f t="shared" si="37"/>
        <v>47.999999999999986</v>
      </c>
      <c r="W55" s="17"/>
      <c r="X55" s="17"/>
      <c r="Y55" s="20"/>
      <c r="Z55" s="20"/>
      <c r="AA55" s="610"/>
      <c r="AB55" s="610"/>
      <c r="AC55" s="155"/>
      <c r="AD55" s="19"/>
      <c r="AE55" s="15">
        <f t="shared" si="8"/>
        <v>-57.499999999999545</v>
      </c>
      <c r="AF55" s="303">
        <f t="shared" si="9"/>
        <v>0.97125000000000028</v>
      </c>
      <c r="AG55" s="619"/>
    </row>
    <row r="56" spans="1:33" ht="15.75" customHeight="1">
      <c r="A56" s="623" t="s">
        <v>1414</v>
      </c>
      <c r="B56" s="33" t="s">
        <v>10</v>
      </c>
      <c r="C56" s="298" t="s">
        <v>43</v>
      </c>
      <c r="D56" s="299"/>
      <c r="E56" s="33">
        <v>46</v>
      </c>
      <c r="F56" s="35">
        <v>1663</v>
      </c>
      <c r="G56" s="302">
        <f t="shared" si="35"/>
        <v>76498</v>
      </c>
      <c r="H56" s="310" t="s">
        <v>5</v>
      </c>
      <c r="I56" s="307">
        <v>17</v>
      </c>
      <c r="J56" s="30">
        <v>2000</v>
      </c>
      <c r="K56" s="13">
        <f t="shared" si="1"/>
        <v>117.64705882352941</v>
      </c>
      <c r="L56" s="307">
        <v>17</v>
      </c>
      <c r="M56" s="14">
        <f t="shared" si="39"/>
        <v>1918.8461538461549</v>
      </c>
      <c r="N56" s="14">
        <f t="shared" si="3"/>
        <v>112.87330316742089</v>
      </c>
      <c r="O56" s="15">
        <f t="shared" si="4"/>
        <v>0</v>
      </c>
      <c r="P56" s="16">
        <f t="shared" si="5"/>
        <v>-4.7737556561085199</v>
      </c>
      <c r="Q56" s="303">
        <f t="shared" si="6"/>
        <v>0.9594230769230776</v>
      </c>
      <c r="R56" s="619"/>
      <c r="S56" s="31">
        <v>0.37708333333333327</v>
      </c>
      <c r="T56" s="31">
        <v>0.41319444444444436</v>
      </c>
      <c r="U56" s="302">
        <f t="shared" si="38"/>
        <v>6.9999999999999751</v>
      </c>
      <c r="V56" s="308">
        <f t="shared" si="37"/>
        <v>51.999999999999972</v>
      </c>
      <c r="W56" s="17"/>
      <c r="X56" s="17"/>
      <c r="Y56" s="20"/>
      <c r="Z56" s="20"/>
      <c r="AA56" s="610"/>
      <c r="AB56" s="610"/>
      <c r="AC56" s="155"/>
      <c r="AD56" s="19"/>
      <c r="AE56" s="15">
        <f t="shared" si="8"/>
        <v>-81.153846153845052</v>
      </c>
      <c r="AF56" s="303">
        <f t="shared" si="9"/>
        <v>0.95942307692307749</v>
      </c>
      <c r="AG56" s="619"/>
    </row>
    <row r="57" spans="1:33" ht="15.75" customHeight="1">
      <c r="A57" s="623" t="s">
        <v>1415</v>
      </c>
      <c r="B57" s="33" t="s">
        <v>6</v>
      </c>
      <c r="C57" s="612" t="s">
        <v>44</v>
      </c>
      <c r="D57" s="613"/>
      <c r="E57" s="33">
        <v>55.56</v>
      </c>
      <c r="F57" s="35">
        <v>1000</v>
      </c>
      <c r="G57" s="302">
        <f t="shared" si="35"/>
        <v>55560</v>
      </c>
      <c r="H57" s="310">
        <v>2</v>
      </c>
      <c r="I57" s="307">
        <v>17</v>
      </c>
      <c r="J57" s="30">
        <v>2000</v>
      </c>
      <c r="K57" s="13">
        <f t="shared" si="1"/>
        <v>117.64705882352941</v>
      </c>
      <c r="L57" s="307">
        <v>17</v>
      </c>
      <c r="M57" s="14">
        <f t="shared" si="39"/>
        <v>1935.483870967739</v>
      </c>
      <c r="N57" s="14">
        <f t="shared" si="3"/>
        <v>113.85199240986699</v>
      </c>
      <c r="O57" s="15">
        <f t="shared" si="4"/>
        <v>0</v>
      </c>
      <c r="P57" s="16">
        <f t="shared" si="5"/>
        <v>-3.7950664136624113</v>
      </c>
      <c r="Q57" s="303">
        <f t="shared" si="6"/>
        <v>0.96774193548386955</v>
      </c>
      <c r="R57" s="619"/>
      <c r="S57" s="31">
        <v>0.70833333333333337</v>
      </c>
      <c r="T57" s="31">
        <v>0.72986111111111118</v>
      </c>
      <c r="U57" s="302" t="str">
        <f t="shared" si="38"/>
        <v/>
      </c>
      <c r="V57" s="308">
        <f t="shared" si="37"/>
        <v>31.00000000000005</v>
      </c>
      <c r="W57" s="17"/>
      <c r="X57" s="17"/>
      <c r="Y57" s="20"/>
      <c r="Z57" s="20"/>
      <c r="AA57" s="614"/>
      <c r="AB57" s="615"/>
      <c r="AC57" s="155"/>
      <c r="AD57" s="19"/>
      <c r="AE57" s="15">
        <f t="shared" si="8"/>
        <v>-64.516129032261006</v>
      </c>
      <c r="AF57" s="303">
        <f t="shared" si="9"/>
        <v>0.96774193548386944</v>
      </c>
      <c r="AG57" s="619"/>
    </row>
    <row r="58" spans="1:33" ht="15.75" customHeight="1">
      <c r="A58" s="623" t="s">
        <v>297</v>
      </c>
      <c r="B58" s="33" t="s">
        <v>6</v>
      </c>
      <c r="C58" s="612" t="s">
        <v>72</v>
      </c>
      <c r="D58" s="613"/>
      <c r="E58" s="33">
        <v>58.17</v>
      </c>
      <c r="F58" s="35">
        <v>2157</v>
      </c>
      <c r="G58" s="302">
        <f t="shared" si="35"/>
        <v>125472.69</v>
      </c>
      <c r="H58" s="310" t="s">
        <v>5</v>
      </c>
      <c r="I58" s="307">
        <v>13</v>
      </c>
      <c r="J58" s="30">
        <v>2000</v>
      </c>
      <c r="K58" s="13">
        <f t="shared" si="1"/>
        <v>153.84615384615384</v>
      </c>
      <c r="L58" s="307">
        <v>13</v>
      </c>
      <c r="M58" s="14">
        <f t="shared" si="39"/>
        <v>1931.6417910447735</v>
      </c>
      <c r="N58" s="14">
        <f t="shared" si="3"/>
        <v>148.58783008036718</v>
      </c>
      <c r="O58" s="15">
        <f t="shared" si="4"/>
        <v>0</v>
      </c>
      <c r="P58" s="16">
        <f t="shared" si="5"/>
        <v>-5.2583237657866562</v>
      </c>
      <c r="Q58" s="303">
        <f t="shared" si="6"/>
        <v>0.9658208955223867</v>
      </c>
      <c r="R58" s="619"/>
      <c r="S58" s="31">
        <v>0.73402777777777783</v>
      </c>
      <c r="T58" s="31">
        <v>0.78055555555555567</v>
      </c>
      <c r="U58" s="302">
        <f t="shared" si="38"/>
        <v>5.9999999999999787</v>
      </c>
      <c r="V58" s="308">
        <f t="shared" si="37"/>
        <v>67.000000000000085</v>
      </c>
      <c r="W58" s="17"/>
      <c r="X58" s="17"/>
      <c r="Y58" s="20"/>
      <c r="Z58" s="20"/>
      <c r="AA58" s="614"/>
      <c r="AB58" s="615"/>
      <c r="AC58" s="155"/>
      <c r="AD58" s="19"/>
      <c r="AE58" s="15">
        <f t="shared" si="8"/>
        <v>-68.358208955226473</v>
      </c>
      <c r="AF58" s="303">
        <f t="shared" si="9"/>
        <v>0.96582089552238681</v>
      </c>
      <c r="AG58" s="619"/>
    </row>
    <row r="59" spans="1:33" ht="15.75" customHeight="1">
      <c r="A59" s="623" t="s">
        <v>297</v>
      </c>
      <c r="B59" s="33" t="s">
        <v>6</v>
      </c>
      <c r="C59" s="612" t="s">
        <v>82</v>
      </c>
      <c r="D59" s="613"/>
      <c r="E59" s="33">
        <v>54.09</v>
      </c>
      <c r="F59" s="35">
        <v>2166</v>
      </c>
      <c r="G59" s="302">
        <f t="shared" si="35"/>
        <v>117158.94</v>
      </c>
      <c r="H59" s="310" t="s">
        <v>5</v>
      </c>
      <c r="I59" s="307">
        <v>14</v>
      </c>
      <c r="J59" s="30">
        <v>2000</v>
      </c>
      <c r="K59" s="13">
        <f t="shared" si="1"/>
        <v>142.85714285714286</v>
      </c>
      <c r="L59" s="307">
        <v>14</v>
      </c>
      <c r="M59" s="14">
        <f t="shared" si="39"/>
        <v>1911.1764705882329</v>
      </c>
      <c r="N59" s="14">
        <f t="shared" si="3"/>
        <v>136.51260504201665</v>
      </c>
      <c r="O59" s="15">
        <f t="shared" si="4"/>
        <v>0</v>
      </c>
      <c r="P59" s="16">
        <f t="shared" si="5"/>
        <v>-6.3445378151262162</v>
      </c>
      <c r="Q59" s="303">
        <f t="shared" si="6"/>
        <v>0.95558823529411652</v>
      </c>
      <c r="R59" s="619"/>
      <c r="S59" s="31">
        <v>0.7861111111111112</v>
      </c>
      <c r="T59" s="31">
        <v>0.83333333333333348</v>
      </c>
      <c r="U59" s="302">
        <f t="shared" si="38"/>
        <v>7.9999999999999716</v>
      </c>
      <c r="V59" s="308">
        <f t="shared" si="37"/>
        <v>68.000000000000085</v>
      </c>
      <c r="W59" s="17">
        <f>T59</f>
        <v>0.83333333333333348</v>
      </c>
      <c r="X59" s="17">
        <f>S60</f>
        <v>0.87430555555555567</v>
      </c>
      <c r="Y59" s="20"/>
      <c r="Z59" s="20"/>
      <c r="AA59" s="614"/>
      <c r="AB59" s="615"/>
      <c r="AC59" s="155"/>
      <c r="AD59" s="19"/>
      <c r="AE59" s="15">
        <f t="shared" si="8"/>
        <v>-88.82352941176714</v>
      </c>
      <c r="AF59" s="303">
        <f t="shared" si="9"/>
        <v>0.95558823529411641</v>
      </c>
      <c r="AG59" s="619"/>
    </row>
    <row r="60" spans="1:33">
      <c r="A60" s="623" t="s">
        <v>1416</v>
      </c>
      <c r="B60" s="33" t="s">
        <v>6</v>
      </c>
      <c r="C60" s="298" t="s">
        <v>44</v>
      </c>
      <c r="D60" s="299"/>
      <c r="E60" s="33">
        <v>55.56</v>
      </c>
      <c r="F60" s="35">
        <v>1769</v>
      </c>
      <c r="G60" s="302">
        <f t="shared" si="35"/>
        <v>98285.64</v>
      </c>
      <c r="H60" s="310" t="s">
        <v>5</v>
      </c>
      <c r="I60" s="307">
        <v>17</v>
      </c>
      <c r="J60" s="30">
        <v>2000</v>
      </c>
      <c r="K60" s="13">
        <f t="shared" si="1"/>
        <v>117.64705882352941</v>
      </c>
      <c r="L60" s="307">
        <v>17</v>
      </c>
      <c r="M60" s="14">
        <f t="shared" si="39"/>
        <v>1929.8181818181831</v>
      </c>
      <c r="N60" s="14">
        <f t="shared" si="3"/>
        <v>113.51871657754019</v>
      </c>
      <c r="O60" s="15">
        <f t="shared" si="4"/>
        <v>0</v>
      </c>
      <c r="P60" s="16">
        <f t="shared" si="5"/>
        <v>-4.1283422459892165</v>
      </c>
      <c r="Q60" s="303">
        <f t="shared" si="6"/>
        <v>0.9649090909090916</v>
      </c>
      <c r="R60" s="619"/>
      <c r="S60" s="31">
        <v>0.87430555555555567</v>
      </c>
      <c r="T60" s="31">
        <v>0.91250000000000009</v>
      </c>
      <c r="U60" s="302">
        <f t="shared" si="38"/>
        <v>58.99999999999995</v>
      </c>
      <c r="V60" s="308">
        <f t="shared" si="37"/>
        <v>54.999999999999964</v>
      </c>
      <c r="W60" s="17"/>
      <c r="X60" s="17"/>
      <c r="Y60" s="20"/>
      <c r="Z60" s="20"/>
      <c r="AA60" s="300"/>
      <c r="AB60" s="301"/>
      <c r="AC60" s="155"/>
      <c r="AD60" s="19"/>
      <c r="AE60" s="15">
        <f t="shared" si="8"/>
        <v>-70.18181818181688</v>
      </c>
      <c r="AF60" s="303">
        <f t="shared" si="9"/>
        <v>0.9649090909090916</v>
      </c>
      <c r="AG60" s="619"/>
    </row>
    <row r="61" spans="1:33">
      <c r="A61" s="624" t="s">
        <v>1413</v>
      </c>
      <c r="B61" s="33" t="s">
        <v>1417</v>
      </c>
      <c r="C61" s="620"/>
      <c r="D61" s="620"/>
      <c r="E61" s="304"/>
      <c r="F61" s="34"/>
      <c r="G61" s="13"/>
      <c r="H61" s="309"/>
      <c r="I61" s="23">
        <v>18.555555555555557</v>
      </c>
      <c r="J61" s="30">
        <v>2000</v>
      </c>
      <c r="K61" s="13">
        <f t="shared" si="1"/>
        <v>107.78443113772454</v>
      </c>
      <c r="L61" s="23">
        <v>18.555555555555557</v>
      </c>
      <c r="M61" s="14">
        <f>AVERAGE(M52:M60)</f>
        <v>1926.3385145742748</v>
      </c>
      <c r="N61" s="13">
        <f t="shared" si="3"/>
        <v>103.81465048603876</v>
      </c>
      <c r="O61" s="15">
        <f t="shared" si="4"/>
        <v>0</v>
      </c>
      <c r="P61" s="16">
        <f t="shared" si="5"/>
        <v>-3.969780651685781</v>
      </c>
      <c r="Q61" s="303">
        <f t="shared" si="6"/>
        <v>0.96316925728713743</v>
      </c>
      <c r="R61" s="619"/>
      <c r="S61" s="31"/>
      <c r="T61" s="31"/>
      <c r="U61" s="302"/>
      <c r="V61" s="308"/>
      <c r="W61" s="13"/>
      <c r="X61" s="13"/>
      <c r="Y61" s="24">
        <f>SUM(Y52:Y60)</f>
        <v>0</v>
      </c>
      <c r="Z61" s="24">
        <f>SUM(Z52:Z60)</f>
        <v>0</v>
      </c>
      <c r="AA61" s="609"/>
      <c r="AB61" s="609"/>
      <c r="AC61" s="24">
        <v>9</v>
      </c>
      <c r="AD61" s="24">
        <f>SUM(AD52:AD60)</f>
        <v>0</v>
      </c>
      <c r="AE61" s="15">
        <f>M61-J61</f>
        <v>-73.661485425725232</v>
      </c>
      <c r="AF61" s="303">
        <f t="shared" si="9"/>
        <v>0.96316925728713743</v>
      </c>
      <c r="AG61" s="619"/>
    </row>
    <row r="62" spans="1:33" ht="15.75" customHeight="1">
      <c r="A62" s="621" t="s">
        <v>300</v>
      </c>
      <c r="B62" s="309" t="s">
        <v>36</v>
      </c>
      <c r="C62" s="611" t="s">
        <v>46</v>
      </c>
      <c r="D62" s="611"/>
      <c r="E62" s="33">
        <v>35.119999999999997</v>
      </c>
      <c r="F62" s="35">
        <v>6361</v>
      </c>
      <c r="G62" s="302">
        <f t="shared" ref="G62:G65" si="40">E62*F62</f>
        <v>223398.31999999998</v>
      </c>
      <c r="H62" s="310" t="s">
        <v>5</v>
      </c>
      <c r="I62" s="307">
        <v>10</v>
      </c>
      <c r="J62" s="30">
        <v>3000</v>
      </c>
      <c r="K62" s="13">
        <f t="shared" si="1"/>
        <v>300</v>
      </c>
      <c r="L62" s="307">
        <v>10</v>
      </c>
      <c r="M62" s="14">
        <f t="shared" ref="M62:M65" si="41">F62/V62*60</f>
        <v>2869.6240601503746</v>
      </c>
      <c r="N62" s="13">
        <f t="shared" si="3"/>
        <v>286.96240601503746</v>
      </c>
      <c r="O62" s="15">
        <f t="shared" si="4"/>
        <v>0</v>
      </c>
      <c r="P62" s="16">
        <f t="shared" si="5"/>
        <v>-13.037593984962541</v>
      </c>
      <c r="Q62" s="303">
        <f t="shared" si="6"/>
        <v>0.95654135338345825</v>
      </c>
      <c r="R62" s="619">
        <f>Q66</f>
        <v>0.95716277062889399</v>
      </c>
      <c r="S62" s="31">
        <v>0.20833333333333334</v>
      </c>
      <c r="T62" s="31">
        <v>0.30069444444444449</v>
      </c>
      <c r="U62" s="302"/>
      <c r="V62" s="308">
        <f t="shared" ref="V62:V65" si="42">(T62-S62)*24*60</f>
        <v>133.00000000000006</v>
      </c>
      <c r="W62" s="17"/>
      <c r="X62" s="17"/>
      <c r="Y62" s="22"/>
      <c r="Z62" s="22"/>
      <c r="AA62" s="610"/>
      <c r="AB62" s="610"/>
      <c r="AC62" s="155">
        <v>4</v>
      </c>
      <c r="AD62" s="19"/>
      <c r="AE62" s="15">
        <f t="shared" ref="AE62:AE77" si="43">M62-J62</f>
        <v>-130.37593984962541</v>
      </c>
      <c r="AF62" s="303">
        <f t="shared" si="9"/>
        <v>0.95654135338345825</v>
      </c>
      <c r="AG62" s="619">
        <f>AF66</f>
        <v>0.95716277062889399</v>
      </c>
    </row>
    <row r="63" spans="1:33" ht="15.75" customHeight="1">
      <c r="A63" s="621" t="s">
        <v>300</v>
      </c>
      <c r="B63" s="309" t="s">
        <v>36</v>
      </c>
      <c r="C63" s="611" t="s">
        <v>47</v>
      </c>
      <c r="D63" s="611"/>
      <c r="E63" s="33">
        <v>26.78</v>
      </c>
      <c r="F63" s="35">
        <v>3207</v>
      </c>
      <c r="G63" s="302">
        <f t="shared" si="40"/>
        <v>85883.46</v>
      </c>
      <c r="H63" s="310" t="s">
        <v>5</v>
      </c>
      <c r="I63" s="307">
        <v>10</v>
      </c>
      <c r="J63" s="30">
        <v>3000</v>
      </c>
      <c r="K63" s="13">
        <f t="shared" si="1"/>
        <v>300</v>
      </c>
      <c r="L63" s="307">
        <v>10</v>
      </c>
      <c r="M63" s="14">
        <f t="shared" si="41"/>
        <v>2871.9402985074626</v>
      </c>
      <c r="N63" s="13">
        <f t="shared" si="3"/>
        <v>287.19402985074623</v>
      </c>
      <c r="O63" s="15">
        <f t="shared" si="4"/>
        <v>0</v>
      </c>
      <c r="P63" s="16">
        <f t="shared" si="5"/>
        <v>-12.805970149253767</v>
      </c>
      <c r="Q63" s="303">
        <f t="shared" si="6"/>
        <v>0.95731343283582082</v>
      </c>
      <c r="R63" s="619"/>
      <c r="S63" s="31">
        <v>0.3041666666666667</v>
      </c>
      <c r="T63" s="31">
        <v>0.35069444444444448</v>
      </c>
      <c r="U63" s="302">
        <f t="shared" ref="U63:U65" si="44">(S63-T62)*24*60</f>
        <v>4.9999999999999822</v>
      </c>
      <c r="V63" s="308">
        <f t="shared" si="42"/>
        <v>67</v>
      </c>
      <c r="W63" s="302"/>
      <c r="X63" s="302"/>
      <c r="Y63" s="302"/>
      <c r="Z63" s="302"/>
      <c r="AA63" s="610"/>
      <c r="AB63" s="610"/>
      <c r="AC63" s="155"/>
      <c r="AD63" s="19"/>
      <c r="AE63" s="15">
        <f t="shared" si="43"/>
        <v>-128.05970149253744</v>
      </c>
      <c r="AF63" s="303">
        <f t="shared" si="9"/>
        <v>0.95731343283582082</v>
      </c>
      <c r="AG63" s="619"/>
    </row>
    <row r="64" spans="1:33" ht="15.75" customHeight="1">
      <c r="A64" s="621" t="s">
        <v>300</v>
      </c>
      <c r="B64" s="309" t="s">
        <v>36</v>
      </c>
      <c r="C64" s="611" t="s">
        <v>49</v>
      </c>
      <c r="D64" s="611"/>
      <c r="E64" s="33">
        <v>35.869999999999997</v>
      </c>
      <c r="F64" s="35">
        <v>3834</v>
      </c>
      <c r="G64" s="302">
        <f t="shared" si="40"/>
        <v>137525.57999999999</v>
      </c>
      <c r="H64" s="310" t="s">
        <v>5</v>
      </c>
      <c r="I64" s="307">
        <v>10</v>
      </c>
      <c r="J64" s="30">
        <v>3000</v>
      </c>
      <c r="K64" s="13">
        <f t="shared" si="1"/>
        <v>300</v>
      </c>
      <c r="L64" s="307">
        <v>10</v>
      </c>
      <c r="M64" s="14">
        <f t="shared" si="41"/>
        <v>2875.5000000000014</v>
      </c>
      <c r="N64" s="13">
        <f t="shared" si="3"/>
        <v>287.55000000000013</v>
      </c>
      <c r="O64" s="15">
        <f t="shared" si="4"/>
        <v>0</v>
      </c>
      <c r="P64" s="16">
        <f t="shared" si="5"/>
        <v>-12.449999999999875</v>
      </c>
      <c r="Q64" s="303">
        <f t="shared" si="6"/>
        <v>0.95850000000000046</v>
      </c>
      <c r="R64" s="619"/>
      <c r="S64" s="31">
        <v>0.35625000000000001</v>
      </c>
      <c r="T64" s="31">
        <v>0.41180555555555554</v>
      </c>
      <c r="U64" s="302">
        <f t="shared" si="44"/>
        <v>7.9999999999999716</v>
      </c>
      <c r="V64" s="308">
        <f t="shared" si="42"/>
        <v>79.999999999999957</v>
      </c>
      <c r="W64" s="302"/>
      <c r="X64" s="302"/>
      <c r="Y64" s="302"/>
      <c r="Z64" s="302"/>
      <c r="AA64" s="610"/>
      <c r="AB64" s="610"/>
      <c r="AC64" s="155"/>
      <c r="AD64" s="19"/>
      <c r="AE64" s="15">
        <f t="shared" si="43"/>
        <v>-124.49999999999864</v>
      </c>
      <c r="AF64" s="303">
        <f t="shared" si="9"/>
        <v>0.95850000000000046</v>
      </c>
      <c r="AG64" s="619"/>
    </row>
    <row r="65" spans="1:33" ht="15.75" customHeight="1">
      <c r="A65" s="621" t="s">
        <v>300</v>
      </c>
      <c r="B65" s="309" t="s">
        <v>36</v>
      </c>
      <c r="C65" s="611" t="s">
        <v>74</v>
      </c>
      <c r="D65" s="611"/>
      <c r="E65" s="33">
        <v>33.770000000000003</v>
      </c>
      <c r="F65" s="35">
        <v>3873</v>
      </c>
      <c r="G65" s="302">
        <f t="shared" si="40"/>
        <v>130791.21</v>
      </c>
      <c r="H65" s="310" t="s">
        <v>5</v>
      </c>
      <c r="I65" s="307">
        <v>12</v>
      </c>
      <c r="J65" s="30">
        <v>3000</v>
      </c>
      <c r="K65" s="13">
        <f t="shared" si="1"/>
        <v>250</v>
      </c>
      <c r="L65" s="307">
        <v>12</v>
      </c>
      <c r="M65" s="14">
        <f t="shared" si="41"/>
        <v>2868.8888888888878</v>
      </c>
      <c r="N65" s="13">
        <f t="shared" si="3"/>
        <v>239.07407407407399</v>
      </c>
      <c r="O65" s="15">
        <f t="shared" si="4"/>
        <v>0</v>
      </c>
      <c r="P65" s="16">
        <f t="shared" si="5"/>
        <v>-10.925925925926009</v>
      </c>
      <c r="Q65" s="303">
        <f t="shared" si="6"/>
        <v>0.95629629629629598</v>
      </c>
      <c r="R65" s="619"/>
      <c r="S65" s="31">
        <v>0.41666666666666663</v>
      </c>
      <c r="T65" s="31">
        <v>0.47291666666666665</v>
      </c>
      <c r="U65" s="302">
        <f t="shared" si="44"/>
        <v>6.9999999999999751</v>
      </c>
      <c r="V65" s="308">
        <f t="shared" si="42"/>
        <v>81.000000000000028</v>
      </c>
      <c r="W65" s="302"/>
      <c r="X65" s="302"/>
      <c r="Y65" s="302"/>
      <c r="Z65" s="302"/>
      <c r="AA65" s="610"/>
      <c r="AB65" s="610"/>
      <c r="AC65" s="155"/>
      <c r="AD65" s="19"/>
      <c r="AE65" s="15">
        <f t="shared" si="43"/>
        <v>-131.11111111111222</v>
      </c>
      <c r="AF65" s="303">
        <f t="shared" si="9"/>
        <v>0.95629629629629598</v>
      </c>
      <c r="AG65" s="619"/>
    </row>
    <row r="66" spans="1:33">
      <c r="A66" s="622" t="s">
        <v>1418</v>
      </c>
      <c r="B66" s="33" t="s">
        <v>194</v>
      </c>
      <c r="C66" s="620"/>
      <c r="D66" s="620"/>
      <c r="E66" s="304"/>
      <c r="F66" s="34"/>
      <c r="G66" s="13"/>
      <c r="H66" s="309"/>
      <c r="I66" s="23">
        <v>10.5</v>
      </c>
      <c r="J66" s="30">
        <v>3000</v>
      </c>
      <c r="K66" s="13">
        <f t="shared" si="1"/>
        <v>285.71428571428572</v>
      </c>
      <c r="L66" s="23">
        <v>10.5</v>
      </c>
      <c r="M66" s="14">
        <f>AVERAGE(M62:M65)</f>
        <v>2871.4883118866819</v>
      </c>
      <c r="N66" s="13">
        <f t="shared" si="3"/>
        <v>273.47507732254115</v>
      </c>
      <c r="O66" s="15">
        <f t="shared" si="4"/>
        <v>0</v>
      </c>
      <c r="P66" s="16">
        <f t="shared" si="5"/>
        <v>-12.239208391744569</v>
      </c>
      <c r="Q66" s="303">
        <f t="shared" si="6"/>
        <v>0.95716277062889399</v>
      </c>
      <c r="R66" s="619"/>
      <c r="S66" s="31"/>
      <c r="T66" s="31"/>
      <c r="U66" s="13"/>
      <c r="V66" s="308"/>
      <c r="W66" s="13"/>
      <c r="X66" s="13"/>
      <c r="Y66" s="24">
        <f>SUM(Y62:Y65)</f>
        <v>0</v>
      </c>
      <c r="Z66" s="24">
        <f>SUM(Z62:Z65)</f>
        <v>0</v>
      </c>
      <c r="AA66" s="609"/>
      <c r="AB66" s="609"/>
      <c r="AC66" s="24">
        <v>4</v>
      </c>
      <c r="AD66" s="24">
        <f>SUM(AD62:AD65)</f>
        <v>0</v>
      </c>
      <c r="AE66" s="15">
        <f t="shared" si="43"/>
        <v>-128.51168811331809</v>
      </c>
      <c r="AF66" s="303">
        <f t="shared" si="9"/>
        <v>0.95716277062889399</v>
      </c>
      <c r="AG66" s="619"/>
    </row>
    <row r="67" spans="1:33" ht="15.75" customHeight="1">
      <c r="A67" s="616" t="s">
        <v>200</v>
      </c>
      <c r="B67" s="309" t="s">
        <v>27</v>
      </c>
      <c r="C67" s="611" t="s">
        <v>50</v>
      </c>
      <c r="D67" s="611"/>
      <c r="E67" s="33">
        <v>19.02</v>
      </c>
      <c r="F67" s="309">
        <v>4700</v>
      </c>
      <c r="G67" s="302">
        <f t="shared" ref="G67:G76" si="45">E67*F67</f>
        <v>89394</v>
      </c>
      <c r="H67" s="310">
        <v>2</v>
      </c>
      <c r="I67" s="307">
        <v>14</v>
      </c>
      <c r="J67" s="30">
        <v>2400</v>
      </c>
      <c r="K67" s="13">
        <f t="shared" si="1"/>
        <v>171.42857142857142</v>
      </c>
      <c r="L67" s="307">
        <v>14</v>
      </c>
      <c r="M67" s="14">
        <f t="shared" ref="M67:M76" si="46">F67/V67*60</f>
        <v>2292.6829268292686</v>
      </c>
      <c r="N67" s="13">
        <f t="shared" si="3"/>
        <v>163.76306620209061</v>
      </c>
      <c r="O67" s="15">
        <f t="shared" si="4"/>
        <v>0</v>
      </c>
      <c r="P67" s="16">
        <f t="shared" si="5"/>
        <v>-7.6655052264808035</v>
      </c>
      <c r="Q67" s="303">
        <f t="shared" si="6"/>
        <v>0.9552845528455286</v>
      </c>
      <c r="R67" s="619">
        <f>Q77</f>
        <v>0.96283047787882092</v>
      </c>
      <c r="S67" s="31">
        <v>8.3333333333333329E-2</v>
      </c>
      <c r="T67" s="31">
        <v>0.16874999999999998</v>
      </c>
      <c r="U67" s="22"/>
      <c r="V67" s="308">
        <f t="shared" ref="V67:V76" si="47">(T67-S67)*24*60</f>
        <v>122.99999999999999</v>
      </c>
      <c r="W67" s="17">
        <f>T67</f>
        <v>0.16874999999999998</v>
      </c>
      <c r="X67" s="17">
        <f>S68</f>
        <v>0.18749999999999997</v>
      </c>
      <c r="Y67" s="17"/>
      <c r="Z67" s="17"/>
      <c r="AA67" s="610"/>
      <c r="AB67" s="610"/>
      <c r="AC67" s="155">
        <v>10</v>
      </c>
      <c r="AD67" s="19"/>
      <c r="AE67" s="15">
        <f t="shared" si="43"/>
        <v>-107.31707317073142</v>
      </c>
      <c r="AF67" s="303">
        <f t="shared" si="9"/>
        <v>0.9552845528455286</v>
      </c>
      <c r="AG67" s="619">
        <f>AF77</f>
        <v>0.96283047787882081</v>
      </c>
    </row>
    <row r="68" spans="1:33" ht="15.75" customHeight="1">
      <c r="A68" s="617" t="s">
        <v>200</v>
      </c>
      <c r="B68" s="309" t="s">
        <v>27</v>
      </c>
      <c r="C68" s="611" t="s">
        <v>51</v>
      </c>
      <c r="D68" s="611"/>
      <c r="E68" s="33">
        <v>20.36</v>
      </c>
      <c r="F68" s="309">
        <v>4903</v>
      </c>
      <c r="G68" s="302">
        <f t="shared" si="45"/>
        <v>99825.08</v>
      </c>
      <c r="H68" s="310" t="s">
        <v>5</v>
      </c>
      <c r="I68" s="307">
        <v>17</v>
      </c>
      <c r="J68" s="30">
        <v>2400</v>
      </c>
      <c r="K68" s="13">
        <f t="shared" si="1"/>
        <v>141.1764705882353</v>
      </c>
      <c r="L68" s="307">
        <v>17</v>
      </c>
      <c r="M68" s="14">
        <f t="shared" si="46"/>
        <v>2298.2812500000005</v>
      </c>
      <c r="N68" s="13">
        <f t="shared" si="3"/>
        <v>135.19301470588238</v>
      </c>
      <c r="O68" s="15">
        <f t="shared" si="4"/>
        <v>0</v>
      </c>
      <c r="P68" s="16">
        <f t="shared" si="5"/>
        <v>-5.9834558823529278</v>
      </c>
      <c r="Q68" s="303">
        <f t="shared" si="6"/>
        <v>0.95761718750000013</v>
      </c>
      <c r="R68" s="619"/>
      <c r="S68" s="31">
        <v>0.18749999999999997</v>
      </c>
      <c r="T68" s="31">
        <v>0.27638888888888885</v>
      </c>
      <c r="U68" s="302">
        <f t="shared" ref="U68:U76" si="48">(S68-T67)*24*60</f>
        <v>26.999999999999986</v>
      </c>
      <c r="V68" s="308">
        <f t="shared" si="47"/>
        <v>127.99999999999997</v>
      </c>
      <c r="W68" s="17"/>
      <c r="X68" s="17"/>
      <c r="Y68" s="17"/>
      <c r="Z68" s="17"/>
      <c r="AA68" s="610"/>
      <c r="AB68" s="610"/>
      <c r="AC68" s="155"/>
      <c r="AD68" s="19"/>
      <c r="AE68" s="15">
        <f t="shared" si="43"/>
        <v>-101.71874999999955</v>
      </c>
      <c r="AF68" s="303">
        <f t="shared" si="9"/>
        <v>0.95761718750000024</v>
      </c>
      <c r="AG68" s="619"/>
    </row>
    <row r="69" spans="1:33" ht="15.75" customHeight="1">
      <c r="A69" s="617" t="s">
        <v>1419</v>
      </c>
      <c r="B69" s="309" t="s">
        <v>27</v>
      </c>
      <c r="C69" s="611" t="s">
        <v>876</v>
      </c>
      <c r="D69" s="611"/>
      <c r="E69" s="33">
        <v>23.8</v>
      </c>
      <c r="F69" s="309">
        <v>3100</v>
      </c>
      <c r="G69" s="302">
        <f t="shared" si="45"/>
        <v>73780</v>
      </c>
      <c r="H69" s="310">
        <v>2</v>
      </c>
      <c r="I69" s="307">
        <v>16</v>
      </c>
      <c r="J69" s="30">
        <v>2400</v>
      </c>
      <c r="K69" s="13">
        <f t="shared" ref="K69:K77" si="49">J69/I69</f>
        <v>150</v>
      </c>
      <c r="L69" s="307">
        <v>16</v>
      </c>
      <c r="M69" s="14">
        <f t="shared" si="46"/>
        <v>2296.2962962962956</v>
      </c>
      <c r="N69" s="13">
        <f t="shared" ref="N69:N77" si="50">M69/L69</f>
        <v>143.51851851851848</v>
      </c>
      <c r="O69" s="15">
        <f t="shared" ref="O69:O77" si="51">L69-I69</f>
        <v>0</v>
      </c>
      <c r="P69" s="16">
        <f t="shared" ref="P69:P77" si="52">N69-K69</f>
        <v>-6.4814814814815236</v>
      </c>
      <c r="Q69" s="303">
        <f t="shared" ref="Q69:Q77" si="53">N69/K69</f>
        <v>0.95679012345678982</v>
      </c>
      <c r="R69" s="619"/>
      <c r="S69" s="31">
        <v>0.28124999999999994</v>
      </c>
      <c r="T69" s="31">
        <v>0.33749999999999997</v>
      </c>
      <c r="U69" s="302">
        <f t="shared" si="48"/>
        <v>6.9999999999999751</v>
      </c>
      <c r="V69" s="308">
        <f t="shared" si="47"/>
        <v>81.000000000000028</v>
      </c>
      <c r="W69" s="17"/>
      <c r="X69" s="17"/>
      <c r="Y69" s="17"/>
      <c r="Z69" s="17"/>
      <c r="AA69" s="610"/>
      <c r="AB69" s="610"/>
      <c r="AC69" s="155"/>
      <c r="AD69" s="19"/>
      <c r="AE69" s="15">
        <f t="shared" si="43"/>
        <v>-103.70370370370438</v>
      </c>
      <c r="AF69" s="303">
        <f t="shared" ref="AF69:AF77" si="54">M69/J69</f>
        <v>0.95679012345678982</v>
      </c>
      <c r="AG69" s="619"/>
    </row>
    <row r="70" spans="1:33" ht="15.75" customHeight="1">
      <c r="A70" s="617" t="s">
        <v>200</v>
      </c>
      <c r="B70" s="309" t="s">
        <v>27</v>
      </c>
      <c r="C70" s="611" t="s">
        <v>31</v>
      </c>
      <c r="D70" s="611"/>
      <c r="E70" s="33">
        <v>25.99</v>
      </c>
      <c r="F70" s="309">
        <v>1469</v>
      </c>
      <c r="G70" s="302">
        <f t="shared" si="45"/>
        <v>38179.31</v>
      </c>
      <c r="H70" s="310" t="s">
        <v>5</v>
      </c>
      <c r="I70" s="307">
        <v>18</v>
      </c>
      <c r="J70" s="30">
        <v>2400</v>
      </c>
      <c r="K70" s="13">
        <f t="shared" si="49"/>
        <v>133.33333333333334</v>
      </c>
      <c r="L70" s="307">
        <v>18</v>
      </c>
      <c r="M70" s="14">
        <f t="shared" si="46"/>
        <v>2319.4736842105244</v>
      </c>
      <c r="N70" s="13">
        <f t="shared" si="50"/>
        <v>128.8596491228069</v>
      </c>
      <c r="O70" s="15">
        <f t="shared" si="51"/>
        <v>0</v>
      </c>
      <c r="P70" s="16">
        <f t="shared" si="52"/>
        <v>-4.4736842105264429</v>
      </c>
      <c r="Q70" s="303">
        <f t="shared" si="53"/>
        <v>0.96644736842105172</v>
      </c>
      <c r="R70" s="619"/>
      <c r="S70" s="31">
        <v>0.34166666666666662</v>
      </c>
      <c r="T70" s="31">
        <v>0.36805555555555552</v>
      </c>
      <c r="U70" s="302">
        <f t="shared" si="48"/>
        <v>5.9999999999999787</v>
      </c>
      <c r="V70" s="308">
        <f t="shared" si="47"/>
        <v>38.000000000000028</v>
      </c>
      <c r="W70" s="17"/>
      <c r="X70" s="17"/>
      <c r="Y70" s="17"/>
      <c r="Z70" s="17"/>
      <c r="AA70" s="610"/>
      <c r="AB70" s="610"/>
      <c r="AC70" s="155"/>
      <c r="AD70" s="19"/>
      <c r="AE70" s="15">
        <f t="shared" si="43"/>
        <v>-80.526315789475575</v>
      </c>
      <c r="AF70" s="303">
        <f t="shared" si="54"/>
        <v>0.96644736842105183</v>
      </c>
      <c r="AG70" s="619"/>
    </row>
    <row r="71" spans="1:33" ht="15.75" customHeight="1">
      <c r="A71" s="617" t="s">
        <v>1419</v>
      </c>
      <c r="B71" s="309" t="s">
        <v>27</v>
      </c>
      <c r="C71" s="611" t="s">
        <v>53</v>
      </c>
      <c r="D71" s="611"/>
      <c r="E71" s="33">
        <v>28.29</v>
      </c>
      <c r="F71" s="309">
        <v>3071</v>
      </c>
      <c r="G71" s="302">
        <f t="shared" si="45"/>
        <v>86878.59</v>
      </c>
      <c r="H71" s="310" t="s">
        <v>5</v>
      </c>
      <c r="I71" s="307">
        <v>19</v>
      </c>
      <c r="J71" s="30">
        <v>2400</v>
      </c>
      <c r="K71" s="13">
        <f t="shared" si="49"/>
        <v>126.31578947368421</v>
      </c>
      <c r="L71" s="307">
        <v>19</v>
      </c>
      <c r="M71" s="14">
        <f t="shared" si="46"/>
        <v>2303.2500000000009</v>
      </c>
      <c r="N71" s="13">
        <f t="shared" si="50"/>
        <v>121.22368421052636</v>
      </c>
      <c r="O71" s="15">
        <f t="shared" si="51"/>
        <v>0</v>
      </c>
      <c r="P71" s="16">
        <f t="shared" si="52"/>
        <v>-5.0921052631578476</v>
      </c>
      <c r="Q71" s="303">
        <f t="shared" si="53"/>
        <v>0.95968750000000036</v>
      </c>
      <c r="R71" s="619"/>
      <c r="S71" s="31">
        <v>0.37361111111111106</v>
      </c>
      <c r="T71" s="31">
        <v>0.42916666666666659</v>
      </c>
      <c r="U71" s="302">
        <f t="shared" si="48"/>
        <v>7.9999999999999716</v>
      </c>
      <c r="V71" s="308">
        <f t="shared" si="47"/>
        <v>79.999999999999957</v>
      </c>
      <c r="W71" s="17"/>
      <c r="X71" s="17"/>
      <c r="Y71" s="17"/>
      <c r="Z71" s="17"/>
      <c r="AA71" s="610"/>
      <c r="AB71" s="610"/>
      <c r="AC71" s="155"/>
      <c r="AD71" s="19"/>
      <c r="AE71" s="15">
        <f t="shared" si="43"/>
        <v>-96.749999999999091</v>
      </c>
      <c r="AF71" s="303">
        <f t="shared" si="54"/>
        <v>0.95968750000000036</v>
      </c>
      <c r="AG71" s="619"/>
    </row>
    <row r="72" spans="1:33" ht="15.75" customHeight="1">
      <c r="A72" s="617" t="s">
        <v>200</v>
      </c>
      <c r="B72" s="309" t="s">
        <v>27</v>
      </c>
      <c r="C72" s="611" t="s">
        <v>55</v>
      </c>
      <c r="D72" s="611"/>
      <c r="E72" s="33">
        <v>23.89</v>
      </c>
      <c r="F72" s="309">
        <v>799</v>
      </c>
      <c r="G72" s="302">
        <f t="shared" si="45"/>
        <v>19088.11</v>
      </c>
      <c r="H72" s="310" t="s">
        <v>5</v>
      </c>
      <c r="I72" s="307">
        <v>13</v>
      </c>
      <c r="J72" s="30">
        <v>2400</v>
      </c>
      <c r="K72" s="13">
        <f t="shared" si="49"/>
        <v>184.61538461538461</v>
      </c>
      <c r="L72" s="307">
        <v>13</v>
      </c>
      <c r="M72" s="14">
        <f t="shared" si="46"/>
        <v>2396.9999999999991</v>
      </c>
      <c r="N72" s="13">
        <f t="shared" si="50"/>
        <v>184.3846153846153</v>
      </c>
      <c r="O72" s="15">
        <f t="shared" si="51"/>
        <v>0</v>
      </c>
      <c r="P72" s="16">
        <f t="shared" si="52"/>
        <v>-0.23076923076931166</v>
      </c>
      <c r="Q72" s="303">
        <f t="shared" si="53"/>
        <v>0.99874999999999958</v>
      </c>
      <c r="R72" s="619"/>
      <c r="S72" s="31">
        <v>0.43333333333333324</v>
      </c>
      <c r="T72" s="31">
        <v>0.44722222222222213</v>
      </c>
      <c r="U72" s="302">
        <f t="shared" si="48"/>
        <v>5.9999999999999787</v>
      </c>
      <c r="V72" s="308">
        <f t="shared" si="47"/>
        <v>20.000000000000007</v>
      </c>
      <c r="W72" s="17"/>
      <c r="X72" s="17"/>
      <c r="Y72" s="17"/>
      <c r="Z72" s="17"/>
      <c r="AA72" s="610"/>
      <c r="AB72" s="610"/>
      <c r="AC72" s="155"/>
      <c r="AD72" s="19"/>
      <c r="AE72" s="15">
        <f t="shared" si="43"/>
        <v>-3.0000000000009095</v>
      </c>
      <c r="AF72" s="303">
        <f t="shared" si="54"/>
        <v>0.99874999999999958</v>
      </c>
      <c r="AG72" s="619"/>
    </row>
    <row r="73" spans="1:33" ht="15.75" customHeight="1">
      <c r="A73" s="617" t="s">
        <v>200</v>
      </c>
      <c r="B73" s="309" t="s">
        <v>27</v>
      </c>
      <c r="C73" s="612" t="s">
        <v>197</v>
      </c>
      <c r="D73" s="613"/>
      <c r="E73" s="33">
        <v>23.89</v>
      </c>
      <c r="F73" s="309">
        <v>2700</v>
      </c>
      <c r="G73" s="302">
        <f t="shared" si="45"/>
        <v>64503</v>
      </c>
      <c r="H73" s="310">
        <v>2</v>
      </c>
      <c r="I73" s="307">
        <v>17</v>
      </c>
      <c r="J73" s="30">
        <v>2400</v>
      </c>
      <c r="K73" s="13">
        <f t="shared" si="49"/>
        <v>141.1764705882353</v>
      </c>
      <c r="L73" s="307">
        <v>17</v>
      </c>
      <c r="M73" s="14">
        <f t="shared" si="46"/>
        <v>2314.2857142857147</v>
      </c>
      <c r="N73" s="13">
        <f t="shared" si="50"/>
        <v>136.13445378151263</v>
      </c>
      <c r="O73" s="15">
        <f t="shared" si="51"/>
        <v>0</v>
      </c>
      <c r="P73" s="16">
        <f t="shared" si="52"/>
        <v>-5.0420168067226712</v>
      </c>
      <c r="Q73" s="303">
        <f t="shared" si="53"/>
        <v>0.96428571428571441</v>
      </c>
      <c r="R73" s="619"/>
      <c r="S73" s="31">
        <v>0.45277777777777767</v>
      </c>
      <c r="T73" s="31">
        <v>0.50138888888888877</v>
      </c>
      <c r="U73" s="302">
        <f t="shared" si="48"/>
        <v>7.9999999999999716</v>
      </c>
      <c r="V73" s="308">
        <f t="shared" si="47"/>
        <v>69.999999999999986</v>
      </c>
      <c r="W73" s="17">
        <f>T73</f>
        <v>0.50138888888888877</v>
      </c>
      <c r="X73" s="17">
        <f>S74</f>
        <v>0.54236111111111096</v>
      </c>
      <c r="Y73" s="20"/>
      <c r="Z73" s="20"/>
      <c r="AA73" s="614"/>
      <c r="AB73" s="615"/>
      <c r="AC73" s="155"/>
      <c r="AD73" s="19"/>
      <c r="AE73" s="15">
        <f t="shared" si="43"/>
        <v>-85.714285714285325</v>
      </c>
      <c r="AF73" s="303">
        <f t="shared" si="54"/>
        <v>0.96428571428571441</v>
      </c>
      <c r="AG73" s="619"/>
    </row>
    <row r="74" spans="1:33" ht="15.75" customHeight="1">
      <c r="A74" s="617" t="s">
        <v>200</v>
      </c>
      <c r="B74" s="309" t="s">
        <v>27</v>
      </c>
      <c r="C74" s="612" t="s">
        <v>50</v>
      </c>
      <c r="D74" s="613"/>
      <c r="E74" s="33">
        <v>19.02</v>
      </c>
      <c r="F74" s="309">
        <v>7351</v>
      </c>
      <c r="G74" s="302">
        <f t="shared" si="45"/>
        <v>139816.01999999999</v>
      </c>
      <c r="H74" s="310" t="s">
        <v>5</v>
      </c>
      <c r="I74" s="307">
        <v>14</v>
      </c>
      <c r="J74" s="30">
        <v>2400</v>
      </c>
      <c r="K74" s="13">
        <f t="shared" si="49"/>
        <v>171.42857142857142</v>
      </c>
      <c r="L74" s="307">
        <v>14</v>
      </c>
      <c r="M74" s="14">
        <f t="shared" si="46"/>
        <v>2285.2849740932647</v>
      </c>
      <c r="N74" s="13">
        <f t="shared" si="50"/>
        <v>163.23464100666178</v>
      </c>
      <c r="O74" s="15">
        <f t="shared" si="51"/>
        <v>0</v>
      </c>
      <c r="P74" s="16">
        <f t="shared" si="52"/>
        <v>-8.1939304219096414</v>
      </c>
      <c r="Q74" s="303">
        <f t="shared" si="53"/>
        <v>0.95220207253886047</v>
      </c>
      <c r="R74" s="619"/>
      <c r="S74" s="31">
        <v>0.54236111111111096</v>
      </c>
      <c r="T74" s="31">
        <v>0.67638888888888871</v>
      </c>
      <c r="U74" s="302">
        <f t="shared" si="48"/>
        <v>58.99999999999995</v>
      </c>
      <c r="V74" s="308">
        <f t="shared" si="47"/>
        <v>192.99999999999994</v>
      </c>
      <c r="W74" s="17"/>
      <c r="X74" s="17"/>
      <c r="Y74" s="20"/>
      <c r="Z74" s="20"/>
      <c r="AA74" s="614"/>
      <c r="AB74" s="615"/>
      <c r="AC74" s="155"/>
      <c r="AD74" s="19"/>
      <c r="AE74" s="15">
        <f t="shared" si="43"/>
        <v>-114.71502590673526</v>
      </c>
      <c r="AF74" s="303">
        <f t="shared" si="54"/>
        <v>0.95220207253886036</v>
      </c>
      <c r="AG74" s="619"/>
    </row>
    <row r="75" spans="1:33" ht="15.75" customHeight="1">
      <c r="A75" s="617" t="s">
        <v>200</v>
      </c>
      <c r="B75" s="309" t="s">
        <v>27</v>
      </c>
      <c r="C75" s="612" t="s">
        <v>876</v>
      </c>
      <c r="D75" s="613"/>
      <c r="E75" s="33">
        <v>23.8</v>
      </c>
      <c r="F75" s="309">
        <v>2132</v>
      </c>
      <c r="G75" s="302">
        <f t="shared" si="45"/>
        <v>50741.599999999999</v>
      </c>
      <c r="H75" s="310" t="s">
        <v>5</v>
      </c>
      <c r="I75" s="307">
        <v>16</v>
      </c>
      <c r="J75" s="30">
        <v>2400</v>
      </c>
      <c r="K75" s="13">
        <f t="shared" si="49"/>
        <v>150</v>
      </c>
      <c r="L75" s="307">
        <v>16</v>
      </c>
      <c r="M75" s="14">
        <f t="shared" si="46"/>
        <v>2284.285714285716</v>
      </c>
      <c r="N75" s="13">
        <f t="shared" si="50"/>
        <v>142.76785714285725</v>
      </c>
      <c r="O75" s="15">
        <f t="shared" si="51"/>
        <v>0</v>
      </c>
      <c r="P75" s="16">
        <f t="shared" si="52"/>
        <v>-7.2321428571427475</v>
      </c>
      <c r="Q75" s="303">
        <f t="shared" si="53"/>
        <v>0.95178571428571501</v>
      </c>
      <c r="R75" s="619"/>
      <c r="S75" s="31">
        <v>0.68055555555555536</v>
      </c>
      <c r="T75" s="31">
        <v>0.71944444444444422</v>
      </c>
      <c r="U75" s="302">
        <f t="shared" si="48"/>
        <v>5.9999999999999787</v>
      </c>
      <c r="V75" s="308">
        <f t="shared" si="47"/>
        <v>55.999999999999957</v>
      </c>
      <c r="W75" s="17"/>
      <c r="X75" s="17"/>
      <c r="Y75" s="20"/>
      <c r="Z75" s="20"/>
      <c r="AA75" s="614"/>
      <c r="AB75" s="615"/>
      <c r="AC75" s="155"/>
      <c r="AD75" s="19"/>
      <c r="AE75" s="15">
        <f t="shared" si="43"/>
        <v>-115.71428571428396</v>
      </c>
      <c r="AF75" s="303">
        <f t="shared" si="54"/>
        <v>0.95178571428571501</v>
      </c>
      <c r="AG75" s="619"/>
    </row>
    <row r="76" spans="1:33" ht="15.75" customHeight="1">
      <c r="A76" s="617" t="s">
        <v>200</v>
      </c>
      <c r="B76" s="309" t="s">
        <v>27</v>
      </c>
      <c r="C76" s="612" t="s">
        <v>197</v>
      </c>
      <c r="D76" s="613"/>
      <c r="E76" s="33">
        <v>23.89</v>
      </c>
      <c r="F76" s="309">
        <v>2124</v>
      </c>
      <c r="G76" s="302">
        <f t="shared" si="45"/>
        <v>50742.36</v>
      </c>
      <c r="H76" s="310" t="s">
        <v>5</v>
      </c>
      <c r="I76" s="307">
        <v>17</v>
      </c>
      <c r="J76" s="30">
        <v>2400</v>
      </c>
      <c r="K76" s="13">
        <f t="shared" si="49"/>
        <v>141.1764705882353</v>
      </c>
      <c r="L76" s="307">
        <v>17</v>
      </c>
      <c r="M76" s="14">
        <f t="shared" si="46"/>
        <v>2317.0909090909108</v>
      </c>
      <c r="N76" s="13">
        <f t="shared" si="50"/>
        <v>136.29946524064181</v>
      </c>
      <c r="O76" s="15">
        <f t="shared" si="51"/>
        <v>0</v>
      </c>
      <c r="P76" s="16">
        <f t="shared" si="52"/>
        <v>-4.8770053475934958</v>
      </c>
      <c r="Q76" s="303">
        <f t="shared" si="53"/>
        <v>0.96545454545454612</v>
      </c>
      <c r="R76" s="619"/>
      <c r="S76" s="31">
        <v>0.72291666666666643</v>
      </c>
      <c r="T76" s="31">
        <v>0.76111111111111085</v>
      </c>
      <c r="U76" s="302">
        <f t="shared" si="48"/>
        <v>4.9999999999999822</v>
      </c>
      <c r="V76" s="308">
        <f t="shared" si="47"/>
        <v>54.999999999999964</v>
      </c>
      <c r="W76" s="17"/>
      <c r="X76" s="17"/>
      <c r="Y76" s="20"/>
      <c r="Z76" s="20"/>
      <c r="AA76" s="614"/>
      <c r="AB76" s="615"/>
      <c r="AC76" s="155"/>
      <c r="AD76" s="19"/>
      <c r="AE76" s="15">
        <f t="shared" si="43"/>
        <v>-82.909090909089173</v>
      </c>
      <c r="AF76" s="303">
        <f t="shared" si="54"/>
        <v>0.96545454545454623</v>
      </c>
      <c r="AG76" s="619"/>
    </row>
    <row r="77" spans="1:33" ht="16.5" customHeight="1">
      <c r="A77" s="618" t="s">
        <v>1420</v>
      </c>
      <c r="B77" s="33" t="s">
        <v>194</v>
      </c>
      <c r="C77" s="607"/>
      <c r="D77" s="608"/>
      <c r="E77" s="304"/>
      <c r="F77" s="34"/>
      <c r="G77" s="13"/>
      <c r="H77" s="309"/>
      <c r="I77" s="23">
        <v>16.100000000000001</v>
      </c>
      <c r="J77" s="30">
        <v>2400</v>
      </c>
      <c r="K77" s="13">
        <f t="shared" si="49"/>
        <v>149.06832298136644</v>
      </c>
      <c r="L77" s="23">
        <v>16.100000000000001</v>
      </c>
      <c r="M77" s="14">
        <f>AVERAGE(M67:M76)</f>
        <v>2310.79314690917</v>
      </c>
      <c r="N77" s="13">
        <f t="shared" si="50"/>
        <v>143.52752465274347</v>
      </c>
      <c r="O77" s="15">
        <f t="shared" si="51"/>
        <v>0</v>
      </c>
      <c r="P77" s="16">
        <f t="shared" si="52"/>
        <v>-5.5407983286229694</v>
      </c>
      <c r="Q77" s="303">
        <f t="shared" si="53"/>
        <v>0.96283047787882092</v>
      </c>
      <c r="R77" s="619"/>
      <c r="S77" s="31"/>
      <c r="T77" s="31"/>
      <c r="U77" s="13"/>
      <c r="V77" s="308"/>
      <c r="W77" s="13"/>
      <c r="X77" s="13"/>
      <c r="Y77" s="24">
        <f>SUM(Y67:Y76)</f>
        <v>0</v>
      </c>
      <c r="Z77" s="24">
        <f>SUM(Z67:Z76)</f>
        <v>0</v>
      </c>
      <c r="AA77" s="609"/>
      <c r="AB77" s="609"/>
      <c r="AC77" s="24">
        <v>10</v>
      </c>
      <c r="AD77" s="24">
        <f>SUM(AD67:AD76)</f>
        <v>0</v>
      </c>
      <c r="AE77" s="15">
        <f t="shared" si="43"/>
        <v>-89.206853090830009</v>
      </c>
      <c r="AF77" s="303">
        <f t="shared" si="54"/>
        <v>0.96283047787882081</v>
      </c>
      <c r="AG77" s="619"/>
    </row>
    <row r="78" spans="1:33">
      <c r="D78" s="25"/>
      <c r="E78" s="25"/>
    </row>
  </sheetData>
  <mergeCells count="199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2"/>
    <mergeCell ref="C15:D15"/>
    <mergeCell ref="R15:R22"/>
    <mergeCell ref="AA15:AB15"/>
    <mergeCell ref="AA22:AB22"/>
    <mergeCell ref="A10:A14"/>
    <mergeCell ref="C10:D10"/>
    <mergeCell ref="R10:R14"/>
    <mergeCell ref="AA10:AB10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2:D22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30:AG38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C36:D36"/>
    <mergeCell ref="AA36:AB36"/>
    <mergeCell ref="A30:A38"/>
    <mergeCell ref="C30:D30"/>
    <mergeCell ref="R30:R38"/>
    <mergeCell ref="AA30:AB30"/>
    <mergeCell ref="C38:D38"/>
    <mergeCell ref="AA38:AB38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A47:AB47"/>
    <mergeCell ref="A48:A51"/>
    <mergeCell ref="C48:D48"/>
    <mergeCell ref="R48:R51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48:AG51"/>
    <mergeCell ref="C49:D49"/>
    <mergeCell ref="AA49:AB49"/>
    <mergeCell ref="C50:D50"/>
    <mergeCell ref="AA50:AB50"/>
    <mergeCell ref="C51:D51"/>
    <mergeCell ref="AA51:AB51"/>
    <mergeCell ref="A67:A77"/>
    <mergeCell ref="C67:D67"/>
    <mergeCell ref="R67:R77"/>
    <mergeCell ref="AA67:AB67"/>
    <mergeCell ref="AG52:AG61"/>
    <mergeCell ref="C53:D53"/>
    <mergeCell ref="AA53:AB53"/>
    <mergeCell ref="C54:D54"/>
    <mergeCell ref="AA54:AB54"/>
    <mergeCell ref="AA55:AB55"/>
    <mergeCell ref="A62:A66"/>
    <mergeCell ref="C62:D62"/>
    <mergeCell ref="R62:R66"/>
    <mergeCell ref="AA62:AB62"/>
    <mergeCell ref="AA56:AB56"/>
    <mergeCell ref="C57:D57"/>
    <mergeCell ref="AA57:AB57"/>
    <mergeCell ref="C58:D58"/>
    <mergeCell ref="AA58:AB58"/>
    <mergeCell ref="C59:D59"/>
    <mergeCell ref="AA59:AB59"/>
    <mergeCell ref="A52:A61"/>
    <mergeCell ref="C52:D52"/>
    <mergeCell ref="R52:R61"/>
    <mergeCell ref="AA52:AB52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1:D61"/>
    <mergeCell ref="AA61:AB61"/>
    <mergeCell ref="AG67:AG77"/>
    <mergeCell ref="C68:D68"/>
    <mergeCell ref="AA68:AB68"/>
    <mergeCell ref="C69:D69"/>
    <mergeCell ref="AA69:AB69"/>
    <mergeCell ref="C70:D70"/>
    <mergeCell ref="C77:D77"/>
    <mergeCell ref="AA77:AB77"/>
    <mergeCell ref="C74:D74"/>
    <mergeCell ref="AA74:AB74"/>
    <mergeCell ref="C75:D75"/>
    <mergeCell ref="AA75:AB75"/>
    <mergeCell ref="C76:D76"/>
    <mergeCell ref="AA76:AB76"/>
    <mergeCell ref="AA70:AB70"/>
    <mergeCell ref="C71:D71"/>
    <mergeCell ref="AA71:AB71"/>
    <mergeCell ref="C72:D72"/>
    <mergeCell ref="AA72:AB72"/>
    <mergeCell ref="C73:D73"/>
    <mergeCell ref="AA73:AB73"/>
  </mergeCells>
  <phoneticPr fontId="3" type="noConversion"/>
  <conditionalFormatting sqref="O65:O72 O61:O62 O77 O5:O10 O14:O16 O22:O57">
    <cfRule type="cellIs" dxfId="1164" priority="76" operator="greaterThan">
      <formula>0</formula>
    </cfRule>
  </conditionalFormatting>
  <conditionalFormatting sqref="P5:P8 P65 AE65 P67:P72 P30:P37 P62 P10 P14:P16 P23:P28 P52:P57 P39:P50 AE5:AE62 AE67:AE77">
    <cfRule type="cellIs" dxfId="1163" priority="80" operator="lessThan">
      <formula>0</formula>
    </cfRule>
  </conditionalFormatting>
  <conditionalFormatting sqref="AF65 Q65:Q72 Q61:Q62 Q77 Q5:Q10 Q14:Q16 Q22:Q57 AF5:AF62 AF67:AF77">
    <cfRule type="cellIs" dxfId="1162" priority="77" operator="greaterThan">
      <formula>1</formula>
    </cfRule>
    <cfRule type="cellIs" dxfId="1161" priority="78" operator="lessThan">
      <formula>0.8</formula>
    </cfRule>
  </conditionalFormatting>
  <conditionalFormatting sqref="AG15:AG16 R15:R16 AG65 R65:R72 AG61:AG62 R61:R62 R77 AG5:AG10 R5:R10 AG22:AG57 R22:R57">
    <cfRule type="cellIs" dxfId="1160" priority="82" operator="lessThan">
      <formula>0.8</formula>
    </cfRule>
  </conditionalFormatting>
  <conditionalFormatting sqref="AG48">
    <cfRule type="cellIs" dxfId="1159" priority="84" operator="lessThan">
      <formula>0.8</formula>
    </cfRule>
  </conditionalFormatting>
  <conditionalFormatting sqref="AG23:AG28">
    <cfRule type="cellIs" dxfId="1158" priority="81" operator="lessThan">
      <formula>0.8</formula>
    </cfRule>
  </conditionalFormatting>
  <conditionalFormatting sqref="AG30">
    <cfRule type="cellIs" dxfId="1157" priority="83" operator="lessThan">
      <formula>0.8</formula>
    </cfRule>
  </conditionalFormatting>
  <conditionalFormatting sqref="AG39:AG46">
    <cfRule type="cellIs" dxfId="1156" priority="79" operator="lessThan">
      <formula>0.8</formula>
    </cfRule>
  </conditionalFormatting>
  <conditionalFormatting sqref="AE66">
    <cfRule type="cellIs" dxfId="1155" priority="75" operator="lessThan">
      <formula>0</formula>
    </cfRule>
  </conditionalFormatting>
  <conditionalFormatting sqref="AF66">
    <cfRule type="cellIs" dxfId="1154" priority="73" operator="greaterThan">
      <formula>1</formula>
    </cfRule>
    <cfRule type="cellIs" dxfId="1153" priority="74" operator="lessThan">
      <formula>0.8</formula>
    </cfRule>
  </conditionalFormatting>
  <conditionalFormatting sqref="O17:O18">
    <cfRule type="cellIs" dxfId="1152" priority="68" operator="greaterThan">
      <formula>0</formula>
    </cfRule>
  </conditionalFormatting>
  <conditionalFormatting sqref="P17:P18">
    <cfRule type="cellIs" dxfId="1151" priority="71" operator="lessThan">
      <formula>0</formula>
    </cfRule>
  </conditionalFormatting>
  <conditionalFormatting sqref="Q17:Q18">
    <cfRule type="cellIs" dxfId="1150" priority="69" operator="greaterThan">
      <formula>1</formula>
    </cfRule>
    <cfRule type="cellIs" dxfId="1149" priority="70" operator="lessThan">
      <formula>0.8</formula>
    </cfRule>
  </conditionalFormatting>
  <conditionalFormatting sqref="R17:R18 AG17:AG18">
    <cfRule type="cellIs" dxfId="1148" priority="72" operator="lessThan">
      <formula>0.8</formula>
    </cfRule>
  </conditionalFormatting>
  <conditionalFormatting sqref="O11:O13">
    <cfRule type="cellIs" dxfId="1147" priority="64" operator="greaterThan">
      <formula>0</formula>
    </cfRule>
  </conditionalFormatting>
  <conditionalFormatting sqref="P11:P13">
    <cfRule type="cellIs" dxfId="1146" priority="67" operator="lessThan">
      <formula>0</formula>
    </cfRule>
  </conditionalFormatting>
  <conditionalFormatting sqref="Q11:Q13">
    <cfRule type="cellIs" dxfId="1145" priority="65" operator="greaterThan">
      <formula>1</formula>
    </cfRule>
    <cfRule type="cellIs" dxfId="1144" priority="66" operator="lessThan">
      <formula>0.8</formula>
    </cfRule>
  </conditionalFormatting>
  <conditionalFormatting sqref="O58">
    <cfRule type="cellIs" dxfId="1143" priority="59" operator="greaterThan">
      <formula>0</formula>
    </cfRule>
  </conditionalFormatting>
  <conditionalFormatting sqref="P58">
    <cfRule type="cellIs" dxfId="1142" priority="62" operator="lessThan">
      <formula>0</formula>
    </cfRule>
  </conditionalFormatting>
  <conditionalFormatting sqref="Q58">
    <cfRule type="cellIs" dxfId="1141" priority="60" operator="greaterThan">
      <formula>1</formula>
    </cfRule>
    <cfRule type="cellIs" dxfId="1140" priority="61" operator="lessThan">
      <formula>0.8</formula>
    </cfRule>
  </conditionalFormatting>
  <conditionalFormatting sqref="R58 AG58">
    <cfRule type="cellIs" dxfId="1139" priority="63" operator="lessThan">
      <formula>0.8</formula>
    </cfRule>
  </conditionalFormatting>
  <conditionalFormatting sqref="O64">
    <cfRule type="cellIs" dxfId="1138" priority="54" operator="greaterThan">
      <formula>0</formula>
    </cfRule>
  </conditionalFormatting>
  <conditionalFormatting sqref="P64 AE64">
    <cfRule type="cellIs" dxfId="1137" priority="57" operator="lessThan">
      <formula>0</formula>
    </cfRule>
  </conditionalFormatting>
  <conditionalFormatting sqref="Q64 AF64">
    <cfRule type="cellIs" dxfId="1136" priority="55" operator="greaterThan">
      <formula>1</formula>
    </cfRule>
    <cfRule type="cellIs" dxfId="1135" priority="56" operator="lessThan">
      <formula>0.8</formula>
    </cfRule>
  </conditionalFormatting>
  <conditionalFormatting sqref="R64 AG64">
    <cfRule type="cellIs" dxfId="1134" priority="58" operator="lessThan">
      <formula>0.8</formula>
    </cfRule>
  </conditionalFormatting>
  <conditionalFormatting sqref="O73">
    <cfRule type="cellIs" dxfId="1133" priority="49" operator="greaterThan">
      <formula>0</formula>
    </cfRule>
  </conditionalFormatting>
  <conditionalFormatting sqref="P73">
    <cfRule type="cellIs" dxfId="1132" priority="52" operator="lessThan">
      <formula>0</formula>
    </cfRule>
  </conditionalFormatting>
  <conditionalFormatting sqref="Q73">
    <cfRule type="cellIs" dxfId="1131" priority="50" operator="greaterThan">
      <formula>1</formula>
    </cfRule>
    <cfRule type="cellIs" dxfId="1130" priority="51" operator="lessThan">
      <formula>0.8</formula>
    </cfRule>
  </conditionalFormatting>
  <conditionalFormatting sqref="R73">
    <cfRule type="cellIs" dxfId="1129" priority="53" operator="lessThan">
      <formula>0.8</formula>
    </cfRule>
  </conditionalFormatting>
  <conditionalFormatting sqref="O19:O20">
    <cfRule type="cellIs" dxfId="1128" priority="44" operator="greaterThan">
      <formula>0</formula>
    </cfRule>
  </conditionalFormatting>
  <conditionalFormatting sqref="P19:P20">
    <cfRule type="cellIs" dxfId="1127" priority="47" operator="lessThan">
      <formula>0</formula>
    </cfRule>
  </conditionalFormatting>
  <conditionalFormatting sqref="Q19:Q20">
    <cfRule type="cellIs" dxfId="1126" priority="45" operator="greaterThan">
      <formula>1</formula>
    </cfRule>
    <cfRule type="cellIs" dxfId="1125" priority="46" operator="lessThan">
      <formula>0.8</formula>
    </cfRule>
  </conditionalFormatting>
  <conditionalFormatting sqref="R19:R20 AG19:AG20">
    <cfRule type="cellIs" dxfId="1124" priority="48" operator="lessThan">
      <formula>0.8</formula>
    </cfRule>
  </conditionalFormatting>
  <conditionalFormatting sqref="O59">
    <cfRule type="cellIs" dxfId="1123" priority="39" operator="greaterThan">
      <formula>0</formula>
    </cfRule>
  </conditionalFormatting>
  <conditionalFormatting sqref="P59">
    <cfRule type="cellIs" dxfId="1122" priority="42" operator="lessThan">
      <formula>0</formula>
    </cfRule>
  </conditionalFormatting>
  <conditionalFormatting sqref="Q59">
    <cfRule type="cellIs" dxfId="1121" priority="40" operator="greaterThan">
      <formula>1</formula>
    </cfRule>
    <cfRule type="cellIs" dxfId="1120" priority="41" operator="lessThan">
      <formula>0.8</formula>
    </cfRule>
  </conditionalFormatting>
  <conditionalFormatting sqref="AG59 R59">
    <cfRule type="cellIs" dxfId="1119" priority="43" operator="lessThan">
      <formula>0.8</formula>
    </cfRule>
  </conditionalFormatting>
  <conditionalFormatting sqref="O63">
    <cfRule type="cellIs" dxfId="1118" priority="34" operator="greaterThan">
      <formula>0</formula>
    </cfRule>
  </conditionalFormatting>
  <conditionalFormatting sqref="P63 AE63">
    <cfRule type="cellIs" dxfId="1117" priority="37" operator="lessThan">
      <formula>0</formula>
    </cfRule>
  </conditionalFormatting>
  <conditionalFormatting sqref="Q63 AF63">
    <cfRule type="cellIs" dxfId="1116" priority="35" operator="greaterThan">
      <formula>1</formula>
    </cfRule>
    <cfRule type="cellIs" dxfId="1115" priority="36" operator="lessThan">
      <formula>0.8</formula>
    </cfRule>
  </conditionalFormatting>
  <conditionalFormatting sqref="R63 AG63">
    <cfRule type="cellIs" dxfId="1114" priority="38" operator="lessThan">
      <formula>0.8</formula>
    </cfRule>
  </conditionalFormatting>
  <conditionalFormatting sqref="O21">
    <cfRule type="cellIs" dxfId="1113" priority="29" operator="greaterThan">
      <formula>0</formula>
    </cfRule>
  </conditionalFormatting>
  <conditionalFormatting sqref="P21">
    <cfRule type="cellIs" dxfId="1112" priority="32" operator="lessThan">
      <formula>0</formula>
    </cfRule>
  </conditionalFormatting>
  <conditionalFormatting sqref="Q21">
    <cfRule type="cellIs" dxfId="1111" priority="30" operator="greaterThan">
      <formula>1</formula>
    </cfRule>
    <cfRule type="cellIs" dxfId="1110" priority="31" operator="lessThan">
      <formula>0.8</formula>
    </cfRule>
  </conditionalFormatting>
  <conditionalFormatting sqref="AG21 R21">
    <cfRule type="cellIs" dxfId="1109" priority="33" operator="lessThan">
      <formula>0.8</formula>
    </cfRule>
  </conditionalFormatting>
  <conditionalFormatting sqref="P9">
    <cfRule type="cellIs" dxfId="1108" priority="28" operator="lessThan">
      <formula>0</formula>
    </cfRule>
  </conditionalFormatting>
  <conditionalFormatting sqref="P22">
    <cfRule type="cellIs" dxfId="1107" priority="27" operator="lessThan">
      <formula>0</formula>
    </cfRule>
  </conditionalFormatting>
  <conditionalFormatting sqref="P29">
    <cfRule type="cellIs" dxfId="1106" priority="26" operator="lessThan">
      <formula>0</formula>
    </cfRule>
  </conditionalFormatting>
  <conditionalFormatting sqref="P38">
    <cfRule type="cellIs" dxfId="1105" priority="25" operator="lessThan">
      <formula>0</formula>
    </cfRule>
  </conditionalFormatting>
  <conditionalFormatting sqref="P51">
    <cfRule type="cellIs" dxfId="1104" priority="24" operator="lessThan">
      <formula>0</formula>
    </cfRule>
  </conditionalFormatting>
  <conditionalFormatting sqref="P61">
    <cfRule type="cellIs" dxfId="1103" priority="23" operator="lessThan">
      <formula>0</formula>
    </cfRule>
  </conditionalFormatting>
  <conditionalFormatting sqref="P66">
    <cfRule type="cellIs" dxfId="1102" priority="22" operator="lessThan">
      <formula>0</formula>
    </cfRule>
  </conditionalFormatting>
  <conditionalFormatting sqref="P77">
    <cfRule type="cellIs" dxfId="1101" priority="21" operator="lessThan">
      <formula>0</formula>
    </cfRule>
  </conditionalFormatting>
  <conditionalFormatting sqref="O74">
    <cfRule type="cellIs" dxfId="1100" priority="16" operator="greaterThan">
      <formula>0</formula>
    </cfRule>
  </conditionalFormatting>
  <conditionalFormatting sqref="P74">
    <cfRule type="cellIs" dxfId="1099" priority="19" operator="lessThan">
      <formula>0</formula>
    </cfRule>
  </conditionalFormatting>
  <conditionalFormatting sqref="Q74">
    <cfRule type="cellIs" dxfId="1098" priority="17" operator="greaterThan">
      <formula>1</formula>
    </cfRule>
    <cfRule type="cellIs" dxfId="1097" priority="18" operator="lessThan">
      <formula>0.8</formula>
    </cfRule>
  </conditionalFormatting>
  <conditionalFormatting sqref="R74">
    <cfRule type="cellIs" dxfId="1096" priority="20" operator="lessThan">
      <formula>0.8</formula>
    </cfRule>
  </conditionalFormatting>
  <conditionalFormatting sqref="O75">
    <cfRule type="cellIs" dxfId="1095" priority="11" operator="greaterThan">
      <formula>0</formula>
    </cfRule>
  </conditionalFormatting>
  <conditionalFormatting sqref="P75">
    <cfRule type="cellIs" dxfId="1094" priority="14" operator="lessThan">
      <formula>0</formula>
    </cfRule>
  </conditionalFormatting>
  <conditionalFormatting sqref="Q75">
    <cfRule type="cellIs" dxfId="1093" priority="12" operator="greaterThan">
      <formula>1</formula>
    </cfRule>
    <cfRule type="cellIs" dxfId="1092" priority="13" operator="lessThan">
      <formula>0.8</formula>
    </cfRule>
  </conditionalFormatting>
  <conditionalFormatting sqref="R75">
    <cfRule type="cellIs" dxfId="1091" priority="15" operator="lessThan">
      <formula>0.8</formula>
    </cfRule>
  </conditionalFormatting>
  <conditionalFormatting sqref="O60">
    <cfRule type="cellIs" dxfId="1090" priority="6" operator="greaterThan">
      <formula>0</formula>
    </cfRule>
  </conditionalFormatting>
  <conditionalFormatting sqref="P60">
    <cfRule type="cellIs" dxfId="1089" priority="9" operator="lessThan">
      <formula>0</formula>
    </cfRule>
  </conditionalFormatting>
  <conditionalFormatting sqref="Q60">
    <cfRule type="cellIs" dxfId="1088" priority="7" operator="greaterThan">
      <formula>1</formula>
    </cfRule>
    <cfRule type="cellIs" dxfId="1087" priority="8" operator="lessThan">
      <formula>0.8</formula>
    </cfRule>
  </conditionalFormatting>
  <conditionalFormatting sqref="AG60 R60">
    <cfRule type="cellIs" dxfId="1086" priority="10" operator="lessThan">
      <formula>0.8</formula>
    </cfRule>
  </conditionalFormatting>
  <conditionalFormatting sqref="O76">
    <cfRule type="cellIs" dxfId="1085" priority="1" operator="greaterThan">
      <formula>0</formula>
    </cfRule>
  </conditionalFormatting>
  <conditionalFormatting sqref="P76">
    <cfRule type="cellIs" dxfId="1084" priority="4" operator="lessThan">
      <formula>0</formula>
    </cfRule>
  </conditionalFormatting>
  <conditionalFormatting sqref="Q76">
    <cfRule type="cellIs" dxfId="1083" priority="2" operator="greaterThan">
      <formula>1</formula>
    </cfRule>
    <cfRule type="cellIs" dxfId="1082" priority="3" operator="lessThan">
      <formula>0.8</formula>
    </cfRule>
  </conditionalFormatting>
  <conditionalFormatting sqref="R76">
    <cfRule type="cellIs" dxfId="1081" priority="5" operator="lessThan">
      <formula>0.8</formula>
    </cfRule>
  </conditionalFormatting>
  <dataValidations count="1">
    <dataValidation type="list" allowBlank="1" showInputMessage="1" showErrorMessage="1" sqref="AB9 AA5:AB8 AA9:AA65 AB11:AB62 AA66:AB77">
      <formula1>#REF!</formula1>
    </dataValidation>
  </dataValidations>
  <pageMargins left="0" right="0" top="0" bottom="0" header="0" footer="0"/>
  <pageSetup paperSize="9" scale="13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1223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1224</v>
      </c>
      <c r="C3" s="596" t="str">
        <f>TEXT('0913 4度C'!A2,"yyyy.mm.ddaaaa")</f>
        <v>2026.09.13星期日</v>
      </c>
      <c r="D3" s="597"/>
      <c r="E3" s="39" t="s">
        <v>1225</v>
      </c>
      <c r="F3" s="598">
        <f>'0913 4度C'!D1</f>
        <v>204646</v>
      </c>
      <c r="G3" s="599"/>
      <c r="H3" s="39" t="s">
        <v>1226</v>
      </c>
      <c r="I3" s="600">
        <f>'0913 4度C'!F1</f>
        <v>6956837.7599999988</v>
      </c>
      <c r="J3" s="601"/>
      <c r="K3" s="40"/>
      <c r="L3" s="41"/>
      <c r="M3" s="42"/>
      <c r="N3" s="42"/>
    </row>
    <row r="4" spans="2:17" ht="28.5" customHeight="1">
      <c r="B4" s="602" t="s">
        <v>1227</v>
      </c>
      <c r="C4" s="588" t="s">
        <v>1228</v>
      </c>
      <c r="D4" s="589"/>
      <c r="E4" s="605" t="s">
        <v>1229</v>
      </c>
      <c r="F4" s="606"/>
      <c r="G4" s="605" t="s">
        <v>1230</v>
      </c>
      <c r="H4" s="606"/>
      <c r="I4" s="605" t="s">
        <v>1231</v>
      </c>
      <c r="J4" s="606"/>
      <c r="K4" s="586" t="s">
        <v>1232</v>
      </c>
      <c r="L4" s="587"/>
      <c r="M4" s="587" t="s">
        <v>1233</v>
      </c>
      <c r="N4" s="587"/>
    </row>
    <row r="5" spans="2:17" ht="28.5" customHeight="1">
      <c r="B5" s="603"/>
      <c r="C5" s="588" t="s">
        <v>1234</v>
      </c>
      <c r="D5" s="589"/>
      <c r="E5" s="588" t="s">
        <v>1235</v>
      </c>
      <c r="F5" s="589"/>
      <c r="G5" s="590" t="s">
        <v>1236</v>
      </c>
      <c r="H5" s="591"/>
      <c r="I5" s="592" t="s">
        <v>1237</v>
      </c>
      <c r="J5" s="593"/>
      <c r="K5" s="43" t="s">
        <v>1238</v>
      </c>
      <c r="L5" s="44" t="s">
        <v>1239</v>
      </c>
      <c r="M5" s="43" t="s">
        <v>1240</v>
      </c>
      <c r="N5" s="44" t="s">
        <v>1241</v>
      </c>
    </row>
    <row r="6" spans="2:17" ht="28.5" customHeight="1">
      <c r="B6" s="603"/>
      <c r="C6" s="588" t="s">
        <v>56</v>
      </c>
      <c r="D6" s="589"/>
      <c r="E6" s="580">
        <f>AVERAGE(D13:M13)</f>
        <v>157.26894817281777</v>
      </c>
      <c r="F6" s="581">
        <f>AVERAGE(D31:O31,D13:J13)</f>
        <v>165.37865389678691</v>
      </c>
      <c r="G6" s="582">
        <f>AVERAGE(D13:J13)</f>
        <v>165.37865389678691</v>
      </c>
      <c r="H6" s="583"/>
      <c r="I6" s="582">
        <f>AVERAGE(K13:M13)</f>
        <v>138.3463014835564</v>
      </c>
      <c r="J6" s="583"/>
      <c r="K6" s="584">
        <f>'0913 4度C'!Y2</f>
        <v>0</v>
      </c>
      <c r="L6" s="569">
        <f>'0913 4度C'!Z2</f>
        <v>0</v>
      </c>
      <c r="M6" s="585">
        <f>'0913 4度C'!AC2</f>
        <v>67</v>
      </c>
      <c r="N6" s="569">
        <f>'0913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150.4168017057448</v>
      </c>
      <c r="F7" s="573">
        <f>AVERAGE(D32:O32,D14:J14)</f>
        <v>158.15345708787268</v>
      </c>
      <c r="G7" s="574">
        <f>AVERAGE(D14:J14)</f>
        <v>158.15345708787268</v>
      </c>
      <c r="H7" s="575"/>
      <c r="I7" s="574">
        <f>AVERAGE(K14:M14)</f>
        <v>132.36460581411313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0.95705028064810538</v>
      </c>
      <c r="F8" s="577">
        <f>AVERAGE(D15:J15,D33:O33)</f>
        <v>0.95723483268374931</v>
      </c>
      <c r="G8" s="578">
        <f>AVERAGE(D15:J15)</f>
        <v>0.95723483268374931</v>
      </c>
      <c r="H8" s="579"/>
      <c r="I8" s="578">
        <f>AVERAGE(K15:M15)</f>
        <v>0.95661965923160286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1242</v>
      </c>
      <c r="N9" s="42"/>
      <c r="O9" s="42"/>
      <c r="P9" s="42"/>
      <c r="Q9" s="42"/>
    </row>
    <row r="10" spans="2:17" ht="30" customHeight="1">
      <c r="B10" s="552" t="s">
        <v>1243</v>
      </c>
      <c r="C10" s="553"/>
      <c r="D10" s="554" t="s">
        <v>1244</v>
      </c>
      <c r="E10" s="555"/>
      <c r="F10" s="555"/>
      <c r="G10" s="555"/>
      <c r="H10" s="555"/>
      <c r="I10" s="555"/>
      <c r="J10" s="556"/>
      <c r="K10" s="557" t="s">
        <v>1245</v>
      </c>
      <c r="L10" s="558"/>
      <c r="M10" s="559"/>
      <c r="P10" s="48"/>
      <c r="Q10" s="48"/>
    </row>
    <row r="11" spans="2:17" ht="17.25" customHeight="1">
      <c r="B11" s="560" t="s">
        <v>1246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1247</v>
      </c>
      <c r="C13" s="55" t="s">
        <v>1248</v>
      </c>
      <c r="D13" s="56">
        <f>SUMIFS('0913 4度C'!$K:$K,'0913 4度C'!$A:$A,"新豐6線",'0913 4度C'!$B:$B,"平均")</f>
        <v>133.33333333333334</v>
      </c>
      <c r="E13" s="57">
        <f>SUMIFS('0913 4度C'!$K:$K,'0913 4度C'!$A:$A,"新豐2線",'0913 4度C'!$B:$B,"平均")</f>
        <v>83.333333333333329</v>
      </c>
      <c r="F13" s="58">
        <f>SUMIFS('0913 4度C'!$K:$K,'0913 4度C'!$A:$A,"新豐5線",'0913 4度C'!$B:$B,"平均")</f>
        <v>108.10810810810813</v>
      </c>
      <c r="G13" s="58">
        <f>SUMIFS('0913 4度C'!$K:$K,'0913 4度C'!$A:$A,"新豐7線",'0913 4度C'!$B:$B,"平均")</f>
        <v>129.03225806451613</v>
      </c>
      <c r="H13" s="58">
        <f>SUMIFS('0913 4度C'!$K:$K,'0913 4度C'!$A:$A,"新豐3線",'0913 4度C'!$B:$B,"平均")</f>
        <v>310.34482758620692</v>
      </c>
      <c r="I13" s="58">
        <f>SUMIFS('0913 4度C'!$K:$K,'0913 4度C'!$A:$A,"新豐1線",'0913 4度C'!$B:$B,"平均")</f>
        <v>107.78443113772454</v>
      </c>
      <c r="J13" s="59">
        <f>SUMIFS('0913 4度C'!$K:$K,'0913 4度C'!$A:$A,"新豐10線",'0913 4度C'!$B:$B,"平均")</f>
        <v>285.71428571428572</v>
      </c>
      <c r="K13" s="60">
        <f>SUMIFS('0913 4度C'!$K:$K,'0913 4度C'!$A:$A,"新豐8線",'0913 4度C'!$B:$B,"平均")</f>
        <v>141.1764705882353</v>
      </c>
      <c r="L13" s="61">
        <f>SUMIFS('0913 4度C'!$K:$K,'0913 4度C'!$A:$A,"新豐9線",'0913 4度C'!$B:$B,"平均")</f>
        <v>125.71428571428571</v>
      </c>
      <c r="M13" s="59">
        <f>SUMIFS('0913 4度C'!$K:$K,'0913 4度C'!$A:$A,"新豐4線",'0913 4度C'!$B:$B,"平均")</f>
        <v>148.14814814814815</v>
      </c>
    </row>
    <row r="14" spans="2:17" ht="39.6" customHeight="1">
      <c r="B14" s="565"/>
      <c r="C14" s="62" t="s">
        <v>1249</v>
      </c>
      <c r="D14" s="63">
        <f>SUMIFS('0913 4度C'!$N:$N,'0913 4度C'!$A:$A,"新豐6線",'0913 4度C'!$B:$B,"平均")</f>
        <v>127.64186745503818</v>
      </c>
      <c r="E14" s="64">
        <f>SUMIFS('0913 4度C'!$N:$N,'0913 4度C'!$A:$A,"新豐2線",'0913 4度C'!$B:$B,"平均")</f>
        <v>79.626251336777642</v>
      </c>
      <c r="F14" s="64">
        <f>SUMIFS('0913 4度C'!$N:$N,'0913 4度C'!$A:$A,"新豐5線",'0913 4度C'!$B:$B,"平均")</f>
        <v>103.60503991627637</v>
      </c>
      <c r="G14" s="64">
        <f>SUMIFS('0913 4度C'!$N:$N,'0913 4度C'!$A:$A,"新豐7線",'0913 4度C'!$B:$B,"平均")</f>
        <v>124.18657191449387</v>
      </c>
      <c r="H14" s="64">
        <f>SUMIFS('0913 4度C'!$N:$N,'0913 4度C'!$A:$A,"新豐3線",'0913 4度C'!$B:$B,"平均")</f>
        <v>296.25483750930306</v>
      </c>
      <c r="I14" s="64">
        <f>SUMIFS('0913 4度C'!$N:$N,'0913 4度C'!$A:$A,"新豐1線",'0913 4度C'!$B:$B,"平均")</f>
        <v>103.37272342176888</v>
      </c>
      <c r="J14" s="65">
        <f>SUMIFS('0913 4度C'!$N:$N,'0913 4度C'!$A:$A,"新豐10線",'0913 4度C'!$B:$B,"平均")</f>
        <v>272.3869080614507</v>
      </c>
      <c r="K14" s="66">
        <f>SUMIFS('0913 4度C'!$N:$N,'0913 4度C'!$A:$A,"新豐8線",'0913 4度C'!$B:$B,"平均")</f>
        <v>135.08866076728444</v>
      </c>
      <c r="L14" s="67">
        <f>SUMIFS('0913 4度C'!$N:$N,'0913 4度C'!$A:$A,"新豐9線",'0913 4度C'!$B:$B,"平均")</f>
        <v>119.9175637788038</v>
      </c>
      <c r="M14" s="65">
        <f>SUMIFS('0913 4度C'!$N:$N,'0913 4度C'!$A:$A,"新豐4線",'0913 4度C'!$B:$B,"平均")</f>
        <v>142.08759289625115</v>
      </c>
    </row>
    <row r="15" spans="2:17" ht="40.15" customHeight="1">
      <c r="B15" s="566"/>
      <c r="C15" s="68" t="s">
        <v>1250</v>
      </c>
      <c r="D15" s="69">
        <f t="shared" ref="D15:M15" si="0">D14/D13</f>
        <v>0.95731400591278626</v>
      </c>
      <c r="E15" s="70">
        <f t="shared" si="0"/>
        <v>0.95551501604133171</v>
      </c>
      <c r="F15" s="70">
        <f t="shared" si="0"/>
        <v>0.9583466192255562</v>
      </c>
      <c r="G15" s="70">
        <f t="shared" si="0"/>
        <v>0.96244593233732745</v>
      </c>
      <c r="H15" s="70">
        <f t="shared" si="0"/>
        <v>0.95459892086330977</v>
      </c>
      <c r="I15" s="70">
        <f t="shared" si="0"/>
        <v>0.95906915619085586</v>
      </c>
      <c r="J15" s="71">
        <f t="shared" si="0"/>
        <v>0.9533541782150774</v>
      </c>
      <c r="K15" s="69">
        <f t="shared" si="0"/>
        <v>0.95687801376826465</v>
      </c>
      <c r="L15" s="70">
        <f t="shared" si="0"/>
        <v>0.95388971187684846</v>
      </c>
      <c r="M15" s="71">
        <f t="shared" si="0"/>
        <v>0.95909125204969525</v>
      </c>
    </row>
    <row r="16" spans="2:17" ht="17.25" customHeight="1">
      <c r="B16" s="567" t="s">
        <v>1251</v>
      </c>
      <c r="C16" s="72" t="s">
        <v>1252</v>
      </c>
      <c r="D16" s="73">
        <f>VLOOKUP("新豐6線",'0913 4度C'!$A:$T,19,0)</f>
        <v>0.70833333333333337</v>
      </c>
      <c r="E16" s="74">
        <f>VLOOKUP("新豐2線",'0913 4度C'!$A:$T,19,0)</f>
        <v>8.3333333333333329E-2</v>
      </c>
      <c r="F16" s="74">
        <f>VLOOKUP("新豐5線",'0913 4度C'!$A:$T,19,0)</f>
        <v>0.29166666666666669</v>
      </c>
      <c r="G16" s="74">
        <f>VLOOKUP("新豐7線",'0913 4度C'!$A:$T,19,0)</f>
        <v>0.33333333333333331</v>
      </c>
      <c r="H16" s="74">
        <f>VLOOKUP("新豐3線",'0913 4度C'!$A:$T,19,0)</f>
        <v>0.20833333333333334</v>
      </c>
      <c r="I16" s="74">
        <f>VLOOKUP("新豐1線",'0913 4度C'!$A:$T,19,0)</f>
        <v>0.20833333333333334</v>
      </c>
      <c r="J16" s="75">
        <f>VLOOKUP("新豐10線",'0913 4度C'!$A:$T,19,0)</f>
        <v>0.20833333333333334</v>
      </c>
      <c r="K16" s="76">
        <f>VLOOKUP("新豐8線",'0913 4度C'!$A:$T,19,0)</f>
        <v>8.3333333333333329E-2</v>
      </c>
      <c r="L16" s="77">
        <f>VLOOKUP("新豐9線",'0913 4度C'!$A:$T,19,0)</f>
        <v>8.3333333333333329E-2</v>
      </c>
      <c r="M16" s="78">
        <f>VLOOKUP("新豐4線",'0913 4度C'!$A:$T,19,0)</f>
        <v>8.3333333333333329E-2</v>
      </c>
    </row>
    <row r="17" spans="2:13" ht="17.25" customHeight="1">
      <c r="B17" s="568"/>
      <c r="C17" s="72" t="s">
        <v>1253</v>
      </c>
      <c r="D17" s="76">
        <f>LOOKUP(2,1/(('0913 4度C'!$A:$A="新豐6線")*('0913 4度C'!$T:$T&lt;&gt;"")),'0913 4度C'!$T:$T)</f>
        <v>0.91111111111111109</v>
      </c>
      <c r="E17" s="74">
        <f>LOOKUP(2,1/(('0913 4度C'!$A:$A="新豐2線")*('0913 4度C'!$T:$T&lt;&gt;"")),'0913 4度C'!$T:$T)</f>
        <v>0.63263888888888886</v>
      </c>
      <c r="F17" s="74">
        <f>LOOKUP(2,1/(('0913 4度C'!$A:$A="新豐5線")*('0913 4度C'!$T:$T&lt;&gt;"")),'0913 4度C'!$T:$T)</f>
        <v>0.91111111111111098</v>
      </c>
      <c r="G17" s="74">
        <f>LOOKUP(2,1/(('0913 4度C'!$A:$A="新豐7線")*('0913 4度C'!$T:$T&lt;&gt;"")),'0913 4度C'!$T:$T)</f>
        <v>0.9159722222222223</v>
      </c>
      <c r="H17" s="74">
        <f>LOOKUP(2,1/(('0913 4度C'!$A:$A="新豐3線")*('0913 4度C'!$T:$T&lt;&gt;"")),'0913 4度C'!$T:$T)</f>
        <v>0.4458333333333333</v>
      </c>
      <c r="I17" s="74">
        <f>LOOKUP(2,1/(('0913 4度C'!$A:$A="新豐1線")*('0913 4度C'!$T:$T&lt;&gt;"")),'0913 4度C'!$T:$T)</f>
        <v>0.92777777777777781</v>
      </c>
      <c r="J17" s="75">
        <f>LOOKUP(2,1/(('0913 4度C'!$A:$A="新豐10線")*('0913 4度C'!$T:$T&lt;&gt;"")),'0913 4度C'!$T:$T)</f>
        <v>0.46944444444444444</v>
      </c>
      <c r="K17" s="73">
        <f>LOOKUP(2,1/(('0913 4度C'!$A:$A="新豐8線")*('0913 4度C'!$T:$T&lt;&gt;"")),'0913 4度C'!$T:$T)</f>
        <v>0.78541666666666665</v>
      </c>
      <c r="L17" s="74">
        <f>LOOKUP(2,1/(('0913 4度C'!$A:$A="新豐9線")*('0913 4度C'!$T:$T&lt;&gt;"")),'0913 4度C'!$T:$T)</f>
        <v>0.77916666666666656</v>
      </c>
      <c r="M17" s="75">
        <f>LOOKUP(2,1/(('0913 4度C'!$A:$A="新豐4線")*('0913 4度C'!$T:$T&lt;&gt;"")),'0913 4度C'!$T:$T)</f>
        <v>0.77847222222222201</v>
      </c>
    </row>
    <row r="18" spans="2:13" ht="17.25" customHeight="1">
      <c r="B18" s="546" t="s">
        <v>1254</v>
      </c>
      <c r="C18" s="79" t="s">
        <v>1255</v>
      </c>
      <c r="D18" s="80">
        <f>SUMIFS('0913 4度C'!$Y:$Y,'0913 4度C'!$A:$A,"新豐6線",'0913 4度C'!$B:$B,"平均")</f>
        <v>0</v>
      </c>
      <c r="E18" s="81">
        <f>SUMIFS('0913 4度C'!$Y:$Y,'0913 4度C'!$A:$A,"新豐2線",'0913 4度C'!$B:$B,"平均")</f>
        <v>0</v>
      </c>
      <c r="F18" s="81">
        <f>SUMIFS('0913 4度C'!$Y:$Y,'0913 4度C'!$A:$A,"新豐5線",'0913 4度C'!$B:$B,"平均")</f>
        <v>0</v>
      </c>
      <c r="G18" s="81">
        <f>SUMIFS('0913 4度C'!$Y:$Y,'0913 4度C'!$A:$A,"新豐7線",'0913 4度C'!$B:$B,"平均")</f>
        <v>0</v>
      </c>
      <c r="H18" s="81">
        <f>SUMIFS('0913 4度C'!$Y:$Y,'0913 4度C'!$A:$A,"新豐3線",'0913 4度C'!$B:$B,"平均")</f>
        <v>0</v>
      </c>
      <c r="I18" s="81">
        <f>SUMIFS('0913 4度C'!$Y:$Y,'0913 4度C'!$A:$A,"新豐1線",'0913 4度C'!$B:$B,"平均")</f>
        <v>0</v>
      </c>
      <c r="J18" s="82">
        <f>SUMIFS('0913 4度C'!$Y:$Y,'0913 4度C'!$A:$A,"新豐10線",'0913 4度C'!$B:$B,"平均")</f>
        <v>0</v>
      </c>
      <c r="K18" s="83">
        <f>SUMIFS('0913 4度C'!$Y:$Y,'0913 4度C'!$A:$A,"新豐8線",'0913 4度C'!$B:$B,"平均")</f>
        <v>0</v>
      </c>
      <c r="L18" s="81">
        <f>SUMIFS('0913 4度C'!$Y:$Y,'0913 4度C'!$A:$A,"新豐9線",'0913 4度C'!$B:$B,"平均")</f>
        <v>0</v>
      </c>
      <c r="M18" s="82">
        <f>SUMIFS('0913 4度C'!$Y:$Y,'0913 4度C'!$A:$A,"新豐4線",'0913 4度C'!$B:$B,"平均")</f>
        <v>0</v>
      </c>
    </row>
    <row r="19" spans="2:13" ht="17.25" customHeight="1">
      <c r="B19" s="547"/>
      <c r="C19" s="79" t="s">
        <v>1256</v>
      </c>
      <c r="D19" s="80">
        <f>SUMIFS('0913 4度C'!$Z:$Z,'0913 4度C'!$A:$A,"新豐6線",'0913 4度C'!$B:$B,"平均")</f>
        <v>0</v>
      </c>
      <c r="E19" s="81">
        <f>SUMIFS('0913 4度C'!$Z:$Z,'0913 4度C'!$A:$A,"新豐2線",'0913 4度C'!$B:$B,"平均")</f>
        <v>0</v>
      </c>
      <c r="F19" s="81">
        <f>SUMIFS('0913 4度C'!$Z:$Z,'0913 4度C'!$A:$A,"新豐5線",'0913 4度C'!$B:$B,"平均")</f>
        <v>0</v>
      </c>
      <c r="G19" s="81">
        <f>SUMIFS('0913 4度C'!$Z:$Z,'0913 4度C'!$A:$A,"新豐7線",'0913 4度C'!$B:$B,"平均")</f>
        <v>0</v>
      </c>
      <c r="H19" s="81">
        <f>SUMIFS('0913 4度C'!$Z:$Z,'0913 4度C'!$A:$A,"新豐3線",'0913 4度C'!$B:$B,"平均")</f>
        <v>0</v>
      </c>
      <c r="I19" s="81">
        <f>SUMIFS('0913 4度C'!$Z:$Z,'0913 4度C'!$A:$A,"新豐1線",'0913 4度C'!$B:$B,"平均")</f>
        <v>0</v>
      </c>
      <c r="J19" s="82">
        <f>SUMIFS('0913 4度C'!$Z:$Z,'0913 4度C'!$A:$A,"新豐10線",'0913 4度C'!$B:$B,"平均")</f>
        <v>0</v>
      </c>
      <c r="K19" s="83">
        <f>SUMIFS('0913 4度C'!$Z:$Z,'0913 4度C'!$A:$A,"新豐8線",'0913 4度C'!$B:$B,"平均")</f>
        <v>0</v>
      </c>
      <c r="L19" s="81">
        <f>SUMIFS('0913 4度C'!$Z:$Z,'0913 4度C'!$A:$A,"新豐9線",'0913 4度C'!$B:$B,"平均")</f>
        <v>0</v>
      </c>
      <c r="M19" s="82">
        <f>SUMIFS('0913 4度C'!$Z:$Z,'0913 4度C'!$A:$A,"新豐4線",'0913 4度C'!$B:$B,"平均")</f>
        <v>0</v>
      </c>
    </row>
    <row r="20" spans="2:13" ht="17.25" customHeight="1">
      <c r="B20" s="546" t="s">
        <v>1257</v>
      </c>
      <c r="C20" s="79" t="s">
        <v>1258</v>
      </c>
      <c r="D20" s="80">
        <f>SUMIFS('0913 4度C'!$AC:$AC,'0913 4度C'!$A:$A,"新豐6線",'0913 4度C'!$B:$B,"平均")</f>
        <v>4</v>
      </c>
      <c r="E20" s="81">
        <f>SUMIFS('0913 4度C'!$AC:$AC,'0913 4度C'!$A:$A,"新豐2線",'0913 4度C'!$B:$B,"平均")</f>
        <v>4</v>
      </c>
      <c r="F20" s="81">
        <f>SUMIFS('0913 4度C'!$AC:$AC,'0913 4度C'!$A:$A,"新豐5線",'0913 4度C'!$B:$B,"平均")</f>
        <v>9</v>
      </c>
      <c r="G20" s="81">
        <f>SUMIFS('0913 4度C'!$AC:$AC,'0913 4度C'!$A:$A,"新豐7線",'0913 4度C'!$B:$B,"平均")</f>
        <v>8</v>
      </c>
      <c r="H20" s="81">
        <f>SUMIFS('0913 4度C'!$AC:$AC,'0913 4度C'!$A:$A,"新豐3線",'0913 4度C'!$B:$B,"平均")</f>
        <v>3</v>
      </c>
      <c r="I20" s="81">
        <f>SUMIFS('0913 4度C'!$AC:$AC,'0913 4度C'!$A:$A,"新豐1線",'0913 4度C'!$B:$B,"平均")</f>
        <v>9</v>
      </c>
      <c r="J20" s="82">
        <f>SUMIFS('0913 4度C'!$AC:$AC,'0913 4度C'!$A:$A,"新豐10線",'0913 4度C'!$B:$B,"平均")</f>
        <v>4</v>
      </c>
      <c r="K20" s="83">
        <f>SUMIFS('0913 4度C'!$AC:$AC,'0913 4度C'!$A:$A,"新豐8線",'0913 4度C'!$B:$B,"平均")</f>
        <v>8</v>
      </c>
      <c r="L20" s="81">
        <f>SUMIFS('0913 4度C'!$AC:$AC,'0913 4度C'!$A:$A,"新豐9線",'0913 4度C'!$B:$B,"平均")</f>
        <v>8</v>
      </c>
      <c r="M20" s="82">
        <f>SUMIFS('0913 4度C'!$AC:$AC,'0913 4度C'!$A:$A,"新豐4線",'0913 4度C'!$B:$B,"平均")</f>
        <v>10</v>
      </c>
    </row>
    <row r="21" spans="2:13" ht="17.25" customHeight="1">
      <c r="B21" s="547"/>
      <c r="C21" s="79" t="s">
        <v>1259</v>
      </c>
      <c r="D21" s="80">
        <f>SUMIFS('0913 4度C'!$AD:$AD,'0913 4度C'!$A:$A,"新豐6線",'0913 4度C'!$B:$B,"平均")</f>
        <v>0</v>
      </c>
      <c r="E21" s="81">
        <f>SUMIFS('0913 4度C'!$AD:$AD,'0913 4度C'!$A:$A,"新豐2線",'0913 4度C'!$B:$B,"平均")</f>
        <v>0</v>
      </c>
      <c r="F21" s="81">
        <f>SUMIFS('0913 4度C'!$AD:$AD,'0913 4度C'!$A:$A,"新豐5線",'0913 4度C'!$B:$B,"平均")</f>
        <v>0</v>
      </c>
      <c r="G21" s="81">
        <f>SUMIFS('0913 4度C'!$AD:$AD,'0913 4度C'!$A:$A,"新豐7線",'0913 4度C'!$B:$B,"平均")</f>
        <v>0</v>
      </c>
      <c r="H21" s="81">
        <f>SUMIFS('0913 4度C'!$AD:$AD,'0913 4度C'!$A:$A,"新豐3線",'0913 4度C'!$B:$B,"平均")</f>
        <v>0</v>
      </c>
      <c r="I21" s="81">
        <f>SUMIFS('0913 4度C'!$AD:$AD,'0913 4度C'!$A:$A,"新豐1線",'0913 4度C'!$B:$B,"平均")</f>
        <v>0</v>
      </c>
      <c r="J21" s="82">
        <f>SUMIFS('0913 4度C'!$AD:$AD,'0913 4度C'!$A:$A,"新豐10線",'0913 4度C'!$B:$B,"平均")</f>
        <v>0</v>
      </c>
      <c r="K21" s="83">
        <f>SUMIFS('0913 4度C'!$AD:$AD,'0913 4度C'!$A:$A,"新豐8線",'0913 4度C'!$B:$B,"平均")</f>
        <v>0</v>
      </c>
      <c r="L21" s="81">
        <f>SUMIFS('0913 4度C'!$AD:$AD,'0913 4度C'!$A:$A,"新豐9線",'0913 4度C'!$B:$B,"平均")</f>
        <v>0</v>
      </c>
      <c r="M21" s="82">
        <f>SUMIFS('0913 4度C'!$AD:$AD,'0913 4度C'!$A:$A,"新豐4線",'0913 4度C'!$B:$B,"平均")</f>
        <v>0</v>
      </c>
    </row>
    <row r="22" spans="2:13" ht="17.25" customHeight="1">
      <c r="B22" s="548" t="s">
        <v>1260</v>
      </c>
      <c r="C22" s="549"/>
      <c r="D22" s="84">
        <f>SUMIFS('0913 4度C'!$I:$I,'0913 4度C'!$A:$A,"新豐6線",'0913 4度C'!$B:$B,"平均")</f>
        <v>15</v>
      </c>
      <c r="E22" s="85">
        <f>SUMIFS('0913 4度C'!$I:$I,'0913 4度C'!$A:$A,"新豐2線",'0913 4度C'!$B:$B,"平均")</f>
        <v>18</v>
      </c>
      <c r="F22" s="85">
        <f>SUMIFS('0913 4度C'!$I:$I,'0913 4度C'!$A:$A,"新豐5線",'0913 4度C'!$B:$B,"平均")</f>
        <v>16.444444444444443</v>
      </c>
      <c r="G22" s="85">
        <f>SUMIFS('0913 4度C'!$I:$I,'0913 4度C'!$A:$A,"新豐7線",'0913 4度C'!$B:$B,"平均")</f>
        <v>15.5</v>
      </c>
      <c r="H22" s="85">
        <f>SUMIFS('0913 4度C'!$I:$I,'0913 4度C'!$A:$A,"新豐3線",'0913 4度C'!$B:$B,"平均")</f>
        <v>9.6666666666666661</v>
      </c>
      <c r="I22" s="85">
        <f>SUMIFS('0913 4度C'!$I:$I,'0913 4度C'!$A:$A,"新豐1線",'0913 4度C'!$B:$B,"平均")</f>
        <v>18.555555555555557</v>
      </c>
      <c r="J22" s="86">
        <f>SUMIFS('0913 4度C'!$I:$I,'0913 4度C'!$A:$A,"新豐10線",'0913 4度C'!$B:$B,"平均")</f>
        <v>10.5</v>
      </c>
      <c r="K22" s="84">
        <f>SUMIFS('0913 4度C'!$I:$I,'0913 4度C'!$A:$A,"新豐8線",'0913 4度C'!$B:$B,"平均")</f>
        <v>17</v>
      </c>
      <c r="L22" s="85">
        <f>SUMIFS('0913 4度C'!$I:$I,'0913 4度C'!$A:$A,"新豐9線",'0913 4度C'!$B:$B,"平均")</f>
        <v>17.5</v>
      </c>
      <c r="M22" s="86">
        <f>SUMIFS('0913 4度C'!$I:$I,'0913 4度C'!$A:$A,"新豐4線",'0913 4度C'!$B:$B,"平均")</f>
        <v>16.2</v>
      </c>
    </row>
    <row r="23" spans="2:13" ht="17.25" customHeight="1">
      <c r="B23" s="548" t="s">
        <v>1261</v>
      </c>
      <c r="C23" s="549"/>
      <c r="D23" s="87" t="s">
        <v>69</v>
      </c>
      <c r="E23" s="88" t="s">
        <v>70</v>
      </c>
      <c r="F23" s="88" t="s">
        <v>1262</v>
      </c>
      <c r="G23" s="88" t="s">
        <v>1262</v>
      </c>
      <c r="H23" s="88" t="s">
        <v>71</v>
      </c>
      <c r="I23" s="88" t="s">
        <v>69</v>
      </c>
      <c r="J23" s="89" t="s">
        <v>71</v>
      </c>
      <c r="K23" s="87" t="s">
        <v>1263</v>
      </c>
      <c r="L23" s="88" t="s">
        <v>1264</v>
      </c>
      <c r="M23" s="89" t="s">
        <v>1263</v>
      </c>
    </row>
    <row r="24" spans="2:13" ht="17.25" customHeight="1">
      <c r="B24" s="548" t="s">
        <v>1265</v>
      </c>
      <c r="C24" s="549"/>
      <c r="D24" s="87"/>
      <c r="E24" s="88"/>
      <c r="F24" s="88" t="s">
        <v>1266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1267</v>
      </c>
      <c r="C25" s="551"/>
      <c r="D25" s="90"/>
      <c r="E25" s="91" t="s">
        <v>1268</v>
      </c>
      <c r="F25" s="544" t="s">
        <v>1269</v>
      </c>
      <c r="G25" s="545"/>
      <c r="H25" s="91" t="s">
        <v>1270</v>
      </c>
      <c r="I25" s="91" t="s">
        <v>1271</v>
      </c>
      <c r="J25" s="92" t="s">
        <v>1270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08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2"/>
  <sheetViews>
    <sheetView topLeftCell="G1" zoomScale="80" zoomScaleNormal="80" workbookViewId="0">
      <pane ySplit="4" topLeftCell="A71" activePane="bottomLeft" state="frozen"/>
      <selection activeCell="M45" sqref="M45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1272</v>
      </c>
      <c r="B1" s="1"/>
      <c r="C1" s="2" t="s">
        <v>1273</v>
      </c>
      <c r="D1" s="3">
        <f>SUM(F5:F81)</f>
        <v>204646</v>
      </c>
      <c r="E1" s="283" t="s">
        <v>1274</v>
      </c>
      <c r="F1" s="1">
        <f>SUM(G5:G81)</f>
        <v>6956837.7599999988</v>
      </c>
      <c r="G1" s="1" t="s">
        <v>1275</v>
      </c>
      <c r="H1" s="4">
        <f>L9+L14+L55+L65+L24+L70+L42+L51+L33+L81</f>
        <v>154.36666666666665</v>
      </c>
      <c r="I1" s="660" t="s">
        <v>1276</v>
      </c>
      <c r="J1" s="660"/>
      <c r="K1" s="660"/>
      <c r="L1" s="660" t="s">
        <v>1277</v>
      </c>
      <c r="M1" s="660"/>
      <c r="N1" s="660"/>
      <c r="O1" s="660" t="s">
        <v>1278</v>
      </c>
      <c r="P1" s="660"/>
      <c r="Q1" s="660"/>
      <c r="R1" s="660"/>
      <c r="S1" s="660" t="s">
        <v>1279</v>
      </c>
      <c r="T1" s="660"/>
      <c r="U1" s="660"/>
      <c r="V1" s="660"/>
      <c r="W1" s="660"/>
      <c r="X1" s="660"/>
      <c r="Y1" s="5" t="s">
        <v>1280</v>
      </c>
      <c r="Z1" s="6" t="s">
        <v>1281</v>
      </c>
      <c r="AA1" s="661" t="s">
        <v>1282</v>
      </c>
      <c r="AB1" s="661"/>
      <c r="AC1" s="7" t="s">
        <v>1280</v>
      </c>
      <c r="AD1" s="6" t="s">
        <v>1283</v>
      </c>
      <c r="AE1" s="660" t="s">
        <v>1284</v>
      </c>
      <c r="AF1" s="662"/>
      <c r="AG1" s="662"/>
    </row>
    <row r="2" spans="1:33" ht="26.25" customHeight="1">
      <c r="A2" s="27">
        <v>46278</v>
      </c>
      <c r="B2" s="28" t="s">
        <v>580</v>
      </c>
      <c r="C2" s="2" t="s">
        <v>1285</v>
      </c>
      <c r="D2" s="9">
        <f>AVERAGE(N9,N14,N55,N65,N24,N70,N33,N42,N51,N81)</f>
        <v>150.4168017057448</v>
      </c>
      <c r="E2" s="10" t="s">
        <v>0</v>
      </c>
      <c r="F2" s="11">
        <f>F1/D1</f>
        <v>33.994496642983485</v>
      </c>
      <c r="G2" s="1" t="s">
        <v>1286</v>
      </c>
      <c r="H2" s="293">
        <f>COUNT(H5:H81)</f>
        <v>15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SUM(Y9+Y14+Y24+Y33+Y42+Y51+Y55+Y65+Y70+Y81)</f>
        <v>0</v>
      </c>
      <c r="Z2" s="12">
        <f>SUM(Z9+Z14+Z24+Z33+Z42+Z51+Z55+Z65+Z70+Z81)</f>
        <v>0</v>
      </c>
      <c r="AA2" s="661"/>
      <c r="AB2" s="661"/>
      <c r="AC2" s="12">
        <f>SUM(AC9+AC14+AC24+AC33+AC42+AC51+AC55+AC65+AC70+AC81)</f>
        <v>67</v>
      </c>
      <c r="AD2" s="12">
        <f>SUM(AD9+AD14+AD24+AD33+AD42+AD51+AD55+AD65+AD70+AD81)</f>
        <v>0</v>
      </c>
      <c r="AE2" s="662"/>
      <c r="AF2" s="662"/>
      <c r="AG2" s="662"/>
    </row>
    <row r="3" spans="1:33" ht="40.5" customHeight="1">
      <c r="A3" s="610" t="s">
        <v>1287</v>
      </c>
      <c r="B3" s="610" t="s">
        <v>1288</v>
      </c>
      <c r="C3" s="610" t="s">
        <v>1289</v>
      </c>
      <c r="D3" s="610"/>
      <c r="E3" s="658" t="s">
        <v>1290</v>
      </c>
      <c r="F3" s="610" t="s">
        <v>1291</v>
      </c>
      <c r="G3" s="658" t="s">
        <v>1292</v>
      </c>
      <c r="H3" s="676" t="s">
        <v>1293</v>
      </c>
      <c r="I3" s="649" t="s">
        <v>1294</v>
      </c>
      <c r="J3" s="646" t="s">
        <v>1295</v>
      </c>
      <c r="K3" s="656" t="s">
        <v>1285</v>
      </c>
      <c r="L3" s="649" t="s">
        <v>1294</v>
      </c>
      <c r="M3" s="646" t="s">
        <v>1295</v>
      </c>
      <c r="N3" s="656" t="s">
        <v>1285</v>
      </c>
      <c r="O3" s="649" t="s">
        <v>1294</v>
      </c>
      <c r="P3" s="656" t="s">
        <v>1285</v>
      </c>
      <c r="Q3" s="647" t="s">
        <v>1296</v>
      </c>
      <c r="R3" s="623" t="s">
        <v>1297</v>
      </c>
      <c r="S3" s="657" t="s">
        <v>1</v>
      </c>
      <c r="T3" s="657"/>
      <c r="U3" s="651" t="s">
        <v>2</v>
      </c>
      <c r="V3" s="651" t="s">
        <v>1298</v>
      </c>
      <c r="W3" s="610" t="s">
        <v>1299</v>
      </c>
      <c r="X3" s="610"/>
      <c r="Y3" s="652" t="s">
        <v>1300</v>
      </c>
      <c r="Z3" s="609"/>
      <c r="AA3" s="653" t="s">
        <v>1301</v>
      </c>
      <c r="AB3" s="654"/>
      <c r="AC3" s="652" t="s">
        <v>1302</v>
      </c>
      <c r="AD3" s="609"/>
      <c r="AE3" s="646" t="s">
        <v>1295</v>
      </c>
      <c r="AF3" s="647" t="s">
        <v>1296</v>
      </c>
      <c r="AG3" s="623" t="s">
        <v>1297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76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292" t="s">
        <v>3</v>
      </c>
      <c r="T4" s="292" t="s">
        <v>4</v>
      </c>
      <c r="U4" s="651"/>
      <c r="V4" s="651"/>
      <c r="W4" s="283" t="s">
        <v>1303</v>
      </c>
      <c r="X4" s="283" t="s">
        <v>1304</v>
      </c>
      <c r="Y4" s="282" t="s">
        <v>1255</v>
      </c>
      <c r="Z4" s="282" t="s">
        <v>1305</v>
      </c>
      <c r="AA4" s="655"/>
      <c r="AB4" s="654"/>
      <c r="AC4" s="282" t="s">
        <v>1306</v>
      </c>
      <c r="AD4" s="282" t="s">
        <v>1307</v>
      </c>
      <c r="AE4" s="646"/>
      <c r="AF4" s="647"/>
      <c r="AG4" s="623"/>
    </row>
    <row r="5" spans="1:33">
      <c r="A5" s="648" t="s">
        <v>1308</v>
      </c>
      <c r="B5" s="33" t="s">
        <v>6</v>
      </c>
      <c r="C5" s="650" t="s">
        <v>7</v>
      </c>
      <c r="D5" s="650"/>
      <c r="E5" s="33">
        <v>50.92</v>
      </c>
      <c r="F5" s="292">
        <v>2611</v>
      </c>
      <c r="G5" s="283">
        <f t="shared" ref="G5:G8" si="0">E5*F5</f>
        <v>132952.12</v>
      </c>
      <c r="H5" s="29" t="s">
        <v>5</v>
      </c>
      <c r="I5" s="290">
        <v>15</v>
      </c>
      <c r="J5" s="30">
        <v>2000</v>
      </c>
      <c r="K5" s="13">
        <f t="shared" ref="K5:K68" si="1">J5/I5</f>
        <v>133.33333333333334</v>
      </c>
      <c r="L5" s="290">
        <v>15</v>
      </c>
      <c r="M5" s="14">
        <f t="shared" ref="M5:M8" si="2">F5/V5*60</f>
        <v>1910.4878048780481</v>
      </c>
      <c r="N5" s="13">
        <f t="shared" ref="N5:N68" si="3">M5/L5</f>
        <v>127.36585365853654</v>
      </c>
      <c r="O5" s="15">
        <f t="shared" ref="O5:O68" si="4">L5-I5</f>
        <v>0</v>
      </c>
      <c r="P5" s="16">
        <f t="shared" ref="P5:P68" si="5">N5-K5</f>
        <v>-5.967479674796806</v>
      </c>
      <c r="Q5" s="288">
        <f t="shared" ref="Q5:Q68" si="6">N5/K5</f>
        <v>0.95524390243902391</v>
      </c>
      <c r="R5" s="619">
        <f>Q9</f>
        <v>0.95731400591278626</v>
      </c>
      <c r="S5" s="31">
        <v>0.70833333333333337</v>
      </c>
      <c r="T5" s="31">
        <v>0.76527777777777783</v>
      </c>
      <c r="U5" s="283"/>
      <c r="V5" s="291">
        <f t="shared" ref="V5:V8" si="7">(T5-S5)*24*60</f>
        <v>82.000000000000028</v>
      </c>
      <c r="W5" s="17"/>
      <c r="X5" s="17"/>
      <c r="Y5" s="18"/>
      <c r="Z5" s="18"/>
      <c r="AA5" s="610"/>
      <c r="AB5" s="610"/>
      <c r="AC5" s="19">
        <v>4</v>
      </c>
      <c r="AD5" s="19"/>
      <c r="AE5" s="15">
        <f t="shared" ref="AE5:AE64" si="8">M5-J5</f>
        <v>-89.512195121951891</v>
      </c>
      <c r="AF5" s="288">
        <f t="shared" ref="AF5:AF68" si="9">M5/J5</f>
        <v>0.95524390243902402</v>
      </c>
      <c r="AG5" s="619">
        <f>AF9</f>
        <v>0.95731400591278637</v>
      </c>
    </row>
    <row r="6" spans="1:33">
      <c r="A6" s="649" t="s">
        <v>1309</v>
      </c>
      <c r="B6" s="33" t="s">
        <v>6</v>
      </c>
      <c r="C6" s="650" t="s">
        <v>8</v>
      </c>
      <c r="D6" s="650"/>
      <c r="E6" s="33">
        <v>50.98</v>
      </c>
      <c r="F6" s="292">
        <v>1400</v>
      </c>
      <c r="G6" s="283">
        <f t="shared" si="0"/>
        <v>71372</v>
      </c>
      <c r="H6" s="29">
        <v>2</v>
      </c>
      <c r="I6" s="290">
        <v>16</v>
      </c>
      <c r="J6" s="30">
        <v>2000</v>
      </c>
      <c r="K6" s="13">
        <f t="shared" si="1"/>
        <v>125</v>
      </c>
      <c r="L6" s="290">
        <v>16</v>
      </c>
      <c r="M6" s="14">
        <f t="shared" si="2"/>
        <v>1909.090909090909</v>
      </c>
      <c r="N6" s="13">
        <f t="shared" si="3"/>
        <v>119.31818181818181</v>
      </c>
      <c r="O6" s="15">
        <f t="shared" si="4"/>
        <v>0</v>
      </c>
      <c r="P6" s="16">
        <f t="shared" si="5"/>
        <v>-5.681818181818187</v>
      </c>
      <c r="Q6" s="288">
        <f t="shared" si="6"/>
        <v>0.95454545454545447</v>
      </c>
      <c r="R6" s="619"/>
      <c r="S6" s="31">
        <v>0.77013888888888893</v>
      </c>
      <c r="T6" s="31">
        <v>0.80069444444444449</v>
      </c>
      <c r="U6" s="283">
        <f t="shared" ref="U6:U8" si="10">IF(S6=TIME(17,0,0),"",(S6-T5)*24*60)</f>
        <v>6.9999999999999751</v>
      </c>
      <c r="V6" s="291">
        <f t="shared" si="7"/>
        <v>44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-90.909090909090992</v>
      </c>
      <c r="AF6" s="288">
        <f t="shared" si="9"/>
        <v>0.95454545454545447</v>
      </c>
      <c r="AG6" s="619"/>
    </row>
    <row r="7" spans="1:33">
      <c r="A7" s="649" t="s">
        <v>1309</v>
      </c>
      <c r="B7" s="33" t="s">
        <v>6</v>
      </c>
      <c r="C7" s="641" t="s">
        <v>25</v>
      </c>
      <c r="D7" s="642"/>
      <c r="E7" s="33">
        <v>56.43</v>
      </c>
      <c r="F7" s="292">
        <v>1608</v>
      </c>
      <c r="G7" s="283">
        <f t="shared" si="0"/>
        <v>90739.44</v>
      </c>
      <c r="H7" s="29" t="s">
        <v>5</v>
      </c>
      <c r="I7" s="290">
        <v>13</v>
      </c>
      <c r="J7" s="30">
        <v>2000</v>
      </c>
      <c r="K7" s="13">
        <f t="shared" si="1"/>
        <v>153.84615384615384</v>
      </c>
      <c r="L7" s="290">
        <v>13</v>
      </c>
      <c r="M7" s="14">
        <f t="shared" si="2"/>
        <v>1929.6000000000006</v>
      </c>
      <c r="N7" s="13">
        <f t="shared" si="3"/>
        <v>148.43076923076927</v>
      </c>
      <c r="O7" s="15">
        <f t="shared" si="4"/>
        <v>0</v>
      </c>
      <c r="P7" s="16">
        <f t="shared" si="5"/>
        <v>-5.4153846153845677</v>
      </c>
      <c r="Q7" s="288">
        <f t="shared" si="6"/>
        <v>0.96480000000000032</v>
      </c>
      <c r="R7" s="619"/>
      <c r="S7" s="31">
        <v>0.8041666666666667</v>
      </c>
      <c r="T7" s="31">
        <v>0.83888888888888891</v>
      </c>
      <c r="U7" s="283">
        <f t="shared" si="10"/>
        <v>4.9999999999999822</v>
      </c>
      <c r="V7" s="291">
        <f t="shared" si="7"/>
        <v>49.999999999999986</v>
      </c>
      <c r="W7" s="17">
        <f>T7</f>
        <v>0.83888888888888891</v>
      </c>
      <c r="X7" s="17">
        <f>S8</f>
        <v>0.87986111111111109</v>
      </c>
      <c r="Y7" s="20"/>
      <c r="Z7" s="20"/>
      <c r="AA7" s="614"/>
      <c r="AB7" s="615"/>
      <c r="AC7" s="21"/>
      <c r="AD7" s="21"/>
      <c r="AE7" s="15">
        <f t="shared" si="8"/>
        <v>-70.399999999999409</v>
      </c>
      <c r="AF7" s="288">
        <f t="shared" si="9"/>
        <v>0.96480000000000032</v>
      </c>
      <c r="AG7" s="619"/>
    </row>
    <row r="8" spans="1:33">
      <c r="A8" s="649" t="s">
        <v>177</v>
      </c>
      <c r="B8" s="33" t="s">
        <v>6</v>
      </c>
      <c r="C8" s="641" t="s">
        <v>8</v>
      </c>
      <c r="D8" s="642"/>
      <c r="E8" s="33">
        <v>50.98</v>
      </c>
      <c r="F8" s="292">
        <v>1432</v>
      </c>
      <c r="G8" s="283">
        <f t="shared" si="0"/>
        <v>73003.360000000001</v>
      </c>
      <c r="H8" s="29" t="s">
        <v>5</v>
      </c>
      <c r="I8" s="290">
        <v>16</v>
      </c>
      <c r="J8" s="30">
        <v>2000</v>
      </c>
      <c r="K8" s="13">
        <f t="shared" si="1"/>
        <v>125</v>
      </c>
      <c r="L8" s="290">
        <v>16</v>
      </c>
      <c r="M8" s="14">
        <f t="shared" si="2"/>
        <v>1909.3333333333335</v>
      </c>
      <c r="N8" s="13">
        <f t="shared" si="3"/>
        <v>119.33333333333334</v>
      </c>
      <c r="O8" s="15">
        <f t="shared" si="4"/>
        <v>0</v>
      </c>
      <c r="P8" s="16">
        <f t="shared" si="5"/>
        <v>-5.6666666666666572</v>
      </c>
      <c r="Q8" s="288">
        <f t="shared" si="6"/>
        <v>0.95466666666666677</v>
      </c>
      <c r="R8" s="619"/>
      <c r="S8" s="31">
        <v>0.87986111111111109</v>
      </c>
      <c r="T8" s="31">
        <v>0.91111111111111109</v>
      </c>
      <c r="U8" s="283">
        <f t="shared" si="10"/>
        <v>58.99999999999995</v>
      </c>
      <c r="V8" s="291">
        <f t="shared" si="7"/>
        <v>45</v>
      </c>
      <c r="W8" s="22"/>
      <c r="X8" s="22"/>
      <c r="Y8" s="94"/>
      <c r="Z8" s="94"/>
      <c r="AA8" s="614"/>
      <c r="AB8" s="615"/>
      <c r="AC8" s="21"/>
      <c r="AD8" s="21"/>
      <c r="AE8" s="15">
        <f t="shared" si="8"/>
        <v>-90.666666666666515</v>
      </c>
      <c r="AF8" s="288">
        <f t="shared" si="9"/>
        <v>0.95466666666666677</v>
      </c>
      <c r="AG8" s="619"/>
    </row>
    <row r="9" spans="1:33">
      <c r="A9" s="649" t="s">
        <v>177</v>
      </c>
      <c r="B9" s="33" t="s">
        <v>1310</v>
      </c>
      <c r="C9" s="620"/>
      <c r="D9" s="620"/>
      <c r="E9" s="289"/>
      <c r="F9" s="34"/>
      <c r="G9" s="13"/>
      <c r="H9" s="292"/>
      <c r="I9" s="23">
        <v>15</v>
      </c>
      <c r="J9" s="30">
        <v>2000</v>
      </c>
      <c r="K9" s="13">
        <f t="shared" si="1"/>
        <v>133.33333333333334</v>
      </c>
      <c r="L9" s="23">
        <v>15</v>
      </c>
      <c r="M9" s="14">
        <f>AVERAGE(M5:M8)</f>
        <v>1914.6280118255727</v>
      </c>
      <c r="N9" s="13">
        <f t="shared" si="3"/>
        <v>127.64186745503818</v>
      </c>
      <c r="O9" s="15">
        <f t="shared" si="4"/>
        <v>0</v>
      </c>
      <c r="P9" s="16">
        <f t="shared" si="5"/>
        <v>-5.6914658782951619</v>
      </c>
      <c r="Q9" s="288">
        <f t="shared" si="6"/>
        <v>0.95731400591278626</v>
      </c>
      <c r="R9" s="619"/>
      <c r="S9" s="31"/>
      <c r="T9" s="31"/>
      <c r="U9" s="283"/>
      <c r="V9" s="291"/>
      <c r="W9" s="13"/>
      <c r="X9" s="13"/>
      <c r="Y9" s="24">
        <f>SUM(Y5:Y8)</f>
        <v>0</v>
      </c>
      <c r="Z9" s="24">
        <f>SUM(Z5:Z8)</f>
        <v>0</v>
      </c>
      <c r="AA9" s="609"/>
      <c r="AB9" s="609"/>
      <c r="AC9" s="24">
        <v>4</v>
      </c>
      <c r="AD9" s="24">
        <f>SUM(AD5:AD8)</f>
        <v>0</v>
      </c>
      <c r="AE9" s="15">
        <f t="shared" si="8"/>
        <v>-85.371988174427315</v>
      </c>
      <c r="AF9" s="288">
        <f t="shared" si="9"/>
        <v>0.95731400591278637</v>
      </c>
      <c r="AG9" s="619"/>
    </row>
    <row r="10" spans="1:33" ht="15.75" customHeight="1">
      <c r="A10" s="645" t="s">
        <v>1311</v>
      </c>
      <c r="B10" s="33" t="s">
        <v>10</v>
      </c>
      <c r="C10" s="641" t="s">
        <v>14</v>
      </c>
      <c r="D10" s="642"/>
      <c r="E10" s="33">
        <v>39.619999999999997</v>
      </c>
      <c r="F10" s="292">
        <v>5293</v>
      </c>
      <c r="G10" s="283">
        <f t="shared" ref="G10:G13" si="11">E10*F10</f>
        <v>209708.65999999997</v>
      </c>
      <c r="H10" s="29" t="s">
        <v>5</v>
      </c>
      <c r="I10" s="290">
        <v>19</v>
      </c>
      <c r="J10" s="30">
        <v>1500</v>
      </c>
      <c r="K10" s="13">
        <f t="shared" si="1"/>
        <v>78.94736842105263</v>
      </c>
      <c r="L10" s="290">
        <v>19</v>
      </c>
      <c r="M10" s="14">
        <f t="shared" ref="M10:M13" si="12">F10/V10*60</f>
        <v>1430.5405405405404</v>
      </c>
      <c r="N10" s="13">
        <f t="shared" si="3"/>
        <v>75.291607396870546</v>
      </c>
      <c r="O10" s="15">
        <f t="shared" si="4"/>
        <v>0</v>
      </c>
      <c r="P10" s="16">
        <f t="shared" si="5"/>
        <v>-3.6557610241820839</v>
      </c>
      <c r="Q10" s="288">
        <f t="shared" si="6"/>
        <v>0.95369369369369361</v>
      </c>
      <c r="R10" s="619">
        <f>Q14</f>
        <v>0.95551501604133171</v>
      </c>
      <c r="S10" s="31">
        <v>8.3333333333333329E-2</v>
      </c>
      <c r="T10" s="31">
        <v>0.23749999999999999</v>
      </c>
      <c r="U10" s="283"/>
      <c r="V10" s="291">
        <f t="shared" ref="V10:V13" si="13">(T10-S10)*24*60</f>
        <v>222</v>
      </c>
      <c r="W10" s="17">
        <f>T10</f>
        <v>0.23749999999999999</v>
      </c>
      <c r="X10" s="17">
        <f>S11</f>
        <v>0.25555555555555554</v>
      </c>
      <c r="Y10" s="17"/>
      <c r="Z10" s="17"/>
      <c r="AA10" s="610"/>
      <c r="AB10" s="610"/>
      <c r="AC10" s="19">
        <v>4</v>
      </c>
      <c r="AD10" s="19"/>
      <c r="AE10" s="15">
        <f t="shared" si="8"/>
        <v>-69.459459459459595</v>
      </c>
      <c r="AF10" s="288">
        <f t="shared" si="9"/>
        <v>0.95369369369369361</v>
      </c>
      <c r="AG10" s="619">
        <f>AF14</f>
        <v>0.95551501604133171</v>
      </c>
    </row>
    <row r="11" spans="1:33" ht="15.75" customHeight="1">
      <c r="A11" s="645" t="s">
        <v>1312</v>
      </c>
      <c r="B11" s="33" t="s">
        <v>10</v>
      </c>
      <c r="C11" s="641" t="s">
        <v>11</v>
      </c>
      <c r="D11" s="642"/>
      <c r="E11" s="33">
        <v>39.799999999999997</v>
      </c>
      <c r="F11" s="292">
        <v>5000</v>
      </c>
      <c r="G11" s="283">
        <f t="shared" si="11"/>
        <v>199000</v>
      </c>
      <c r="H11" s="29">
        <v>2</v>
      </c>
      <c r="I11" s="290">
        <v>17</v>
      </c>
      <c r="J11" s="30">
        <v>1500</v>
      </c>
      <c r="K11" s="13">
        <f t="shared" si="1"/>
        <v>88.235294117647058</v>
      </c>
      <c r="L11" s="290">
        <v>17</v>
      </c>
      <c r="M11" s="14">
        <f t="shared" si="12"/>
        <v>1435.4066985645929</v>
      </c>
      <c r="N11" s="13">
        <f t="shared" si="3"/>
        <v>84.435688150858411</v>
      </c>
      <c r="O11" s="15">
        <f t="shared" si="4"/>
        <v>0</v>
      </c>
      <c r="P11" s="16">
        <f t="shared" si="5"/>
        <v>-3.799605966788647</v>
      </c>
      <c r="Q11" s="288">
        <f t="shared" si="6"/>
        <v>0.95693779904306198</v>
      </c>
      <c r="R11" s="619"/>
      <c r="S11" s="31">
        <v>0.25555555555555554</v>
      </c>
      <c r="T11" s="31">
        <v>0.40069444444444446</v>
      </c>
      <c r="U11" s="283">
        <f t="shared" ref="U11:U13" si="14">IF(S11=TIME(17,0,0),"",(S11-T10)*24*60)</f>
        <v>25.999999999999986</v>
      </c>
      <c r="V11" s="291">
        <f t="shared" si="13"/>
        <v>209.00000000000006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-64.593301435407056</v>
      </c>
      <c r="AF11" s="288">
        <f t="shared" si="9"/>
        <v>0.95693779904306198</v>
      </c>
      <c r="AG11" s="619"/>
    </row>
    <row r="12" spans="1:33" ht="15.75" customHeight="1">
      <c r="A12" s="645" t="s">
        <v>1312</v>
      </c>
      <c r="B12" s="33" t="s">
        <v>10</v>
      </c>
      <c r="C12" s="641" t="s">
        <v>13</v>
      </c>
      <c r="D12" s="642"/>
      <c r="E12" s="33">
        <v>39.520000000000003</v>
      </c>
      <c r="F12" s="292">
        <v>2445</v>
      </c>
      <c r="G12" s="283">
        <f t="shared" si="11"/>
        <v>96626.400000000009</v>
      </c>
      <c r="H12" s="29" t="s">
        <v>5</v>
      </c>
      <c r="I12" s="290">
        <v>19</v>
      </c>
      <c r="J12" s="30">
        <v>1500</v>
      </c>
      <c r="K12" s="13">
        <f t="shared" si="1"/>
        <v>78.94736842105263</v>
      </c>
      <c r="L12" s="290">
        <v>19</v>
      </c>
      <c r="M12" s="14">
        <f t="shared" si="12"/>
        <v>1438.2352941176475</v>
      </c>
      <c r="N12" s="13">
        <f t="shared" si="3"/>
        <v>75.696594427244605</v>
      </c>
      <c r="O12" s="15">
        <f t="shared" si="4"/>
        <v>0</v>
      </c>
      <c r="P12" s="16">
        <f t="shared" si="5"/>
        <v>-3.2507739938080249</v>
      </c>
      <c r="Q12" s="288">
        <f t="shared" si="6"/>
        <v>0.95882352941176496</v>
      </c>
      <c r="R12" s="619"/>
      <c r="S12" s="31">
        <v>0.40625</v>
      </c>
      <c r="T12" s="31">
        <v>0.4770833333333333</v>
      </c>
      <c r="U12" s="283">
        <f t="shared" si="14"/>
        <v>7.9999999999999716</v>
      </c>
      <c r="V12" s="291">
        <f t="shared" si="13"/>
        <v>101.99999999999996</v>
      </c>
      <c r="W12" s="17">
        <f>T12</f>
        <v>0.4770833333333333</v>
      </c>
      <c r="X12" s="17">
        <f>S13</f>
        <v>0.54999999999999993</v>
      </c>
      <c r="Y12" s="17"/>
      <c r="Z12" s="17"/>
      <c r="AA12" s="610"/>
      <c r="AB12" s="610"/>
      <c r="AC12" s="19"/>
      <c r="AD12" s="19"/>
      <c r="AE12" s="15">
        <f t="shared" si="8"/>
        <v>-61.764705882352473</v>
      </c>
      <c r="AF12" s="288">
        <f t="shared" si="9"/>
        <v>0.95882352941176496</v>
      </c>
      <c r="AG12" s="619"/>
    </row>
    <row r="13" spans="1:33" ht="15.75" customHeight="1">
      <c r="A13" s="645" t="s">
        <v>1313</v>
      </c>
      <c r="B13" s="33" t="s">
        <v>10</v>
      </c>
      <c r="C13" s="641" t="s">
        <v>11</v>
      </c>
      <c r="D13" s="642"/>
      <c r="E13" s="33">
        <v>39.799999999999997</v>
      </c>
      <c r="F13" s="292">
        <v>2834</v>
      </c>
      <c r="G13" s="283">
        <f t="shared" si="11"/>
        <v>112793.2</v>
      </c>
      <c r="H13" s="29" t="s">
        <v>5</v>
      </c>
      <c r="I13" s="290">
        <v>17</v>
      </c>
      <c r="J13" s="30">
        <v>1500</v>
      </c>
      <c r="K13" s="13">
        <f t="shared" si="1"/>
        <v>88.235294117647058</v>
      </c>
      <c r="L13" s="290">
        <v>17</v>
      </c>
      <c r="M13" s="14">
        <f t="shared" si="12"/>
        <v>1428.9075630252096</v>
      </c>
      <c r="N13" s="13">
        <f t="shared" si="3"/>
        <v>84.053386060306451</v>
      </c>
      <c r="O13" s="15">
        <f t="shared" si="4"/>
        <v>0</v>
      </c>
      <c r="P13" s="16">
        <f t="shared" si="5"/>
        <v>-4.1819080573406069</v>
      </c>
      <c r="Q13" s="288">
        <f t="shared" si="6"/>
        <v>0.9526050420168064</v>
      </c>
      <c r="R13" s="619"/>
      <c r="S13" s="31">
        <v>0.54999999999999993</v>
      </c>
      <c r="T13" s="31">
        <v>0.63263888888888886</v>
      </c>
      <c r="U13" s="283">
        <f t="shared" si="14"/>
        <v>104.99999999999994</v>
      </c>
      <c r="V13" s="291">
        <f t="shared" si="13"/>
        <v>119.00000000000006</v>
      </c>
      <c r="W13" s="17"/>
      <c r="X13" s="17"/>
      <c r="Y13" s="17"/>
      <c r="Z13" s="17"/>
      <c r="AA13" s="614"/>
      <c r="AB13" s="615"/>
      <c r="AC13" s="19"/>
      <c r="AD13" s="19"/>
      <c r="AE13" s="15">
        <f t="shared" si="8"/>
        <v>-71.092436974790417</v>
      </c>
      <c r="AF13" s="288">
        <f t="shared" si="9"/>
        <v>0.9526050420168064</v>
      </c>
      <c r="AG13" s="619"/>
    </row>
    <row r="14" spans="1:33" ht="16.5" customHeight="1">
      <c r="A14" s="645" t="s">
        <v>1314</v>
      </c>
      <c r="B14" s="33" t="s">
        <v>1310</v>
      </c>
      <c r="C14" s="620"/>
      <c r="D14" s="620"/>
      <c r="E14" s="289"/>
      <c r="F14" s="30"/>
      <c r="G14" s="14"/>
      <c r="H14" s="292"/>
      <c r="I14" s="23">
        <v>18</v>
      </c>
      <c r="J14" s="30">
        <v>1500</v>
      </c>
      <c r="K14" s="13">
        <f t="shared" si="1"/>
        <v>83.333333333333329</v>
      </c>
      <c r="L14" s="23">
        <v>18</v>
      </c>
      <c r="M14" s="14">
        <f>AVERAGE(M10:M13)</f>
        <v>1433.2725240619975</v>
      </c>
      <c r="N14" s="13">
        <f t="shared" si="3"/>
        <v>79.626251336777642</v>
      </c>
      <c r="O14" s="15">
        <f t="shared" si="4"/>
        <v>0</v>
      </c>
      <c r="P14" s="16">
        <f t="shared" si="5"/>
        <v>-3.7070819965556865</v>
      </c>
      <c r="Q14" s="288">
        <f t="shared" si="6"/>
        <v>0.95551501604133171</v>
      </c>
      <c r="R14" s="619"/>
      <c r="S14" s="31"/>
      <c r="T14" s="31"/>
      <c r="U14" s="13"/>
      <c r="V14" s="291"/>
      <c r="W14" s="13"/>
      <c r="X14" s="13"/>
      <c r="Y14" s="24">
        <f>SUM(Y10:Y13)</f>
        <v>0</v>
      </c>
      <c r="Z14" s="24">
        <f>SUM(Z10:Z13)</f>
        <v>0</v>
      </c>
      <c r="AA14" s="609"/>
      <c r="AB14" s="609"/>
      <c r="AC14" s="24">
        <v>4</v>
      </c>
      <c r="AD14" s="24">
        <f>SUM(AD10:AD13)</f>
        <v>0</v>
      </c>
      <c r="AE14" s="15">
        <f t="shared" si="8"/>
        <v>-66.727475938002499</v>
      </c>
      <c r="AF14" s="288">
        <f t="shared" si="9"/>
        <v>0.95551501604133171</v>
      </c>
      <c r="AG14" s="619"/>
    </row>
    <row r="15" spans="1:33" ht="16.5" customHeight="1">
      <c r="A15" s="643" t="s">
        <v>1315</v>
      </c>
      <c r="B15" s="292" t="s">
        <v>15</v>
      </c>
      <c r="C15" s="635" t="s">
        <v>16</v>
      </c>
      <c r="D15" s="635"/>
      <c r="E15" s="33">
        <v>31.11</v>
      </c>
      <c r="F15" s="292">
        <v>2750</v>
      </c>
      <c r="G15" s="283">
        <f t="shared" ref="G15:G23" si="15">E15*F15</f>
        <v>85552.5</v>
      </c>
      <c r="H15" s="29" t="s">
        <v>5</v>
      </c>
      <c r="I15" s="290">
        <v>14</v>
      </c>
      <c r="J15" s="30">
        <v>2000</v>
      </c>
      <c r="K15" s="13">
        <f t="shared" si="1"/>
        <v>142.85714285714286</v>
      </c>
      <c r="L15" s="290">
        <v>14</v>
      </c>
      <c r="M15" s="14">
        <f t="shared" ref="M15:M23" si="16">F15/V15*60</f>
        <v>1918.6046511627903</v>
      </c>
      <c r="N15" s="13">
        <f t="shared" si="3"/>
        <v>137.04318936877073</v>
      </c>
      <c r="O15" s="15">
        <f t="shared" si="4"/>
        <v>0</v>
      </c>
      <c r="P15" s="16">
        <f t="shared" si="5"/>
        <v>-5.8139534883721353</v>
      </c>
      <c r="Q15" s="288">
        <f t="shared" si="6"/>
        <v>0.95930232558139505</v>
      </c>
      <c r="R15" s="619">
        <f>Q24</f>
        <v>0.9583466192255562</v>
      </c>
      <c r="S15" s="31">
        <v>0.29166666666666669</v>
      </c>
      <c r="T15" s="31">
        <v>0.35138888888888892</v>
      </c>
      <c r="U15" s="283"/>
      <c r="V15" s="291">
        <f t="shared" ref="V15:V23" si="17">(T15-S15)*24*60</f>
        <v>86.000000000000014</v>
      </c>
      <c r="W15" s="17"/>
      <c r="X15" s="17"/>
      <c r="Y15" s="22"/>
      <c r="Z15" s="22"/>
      <c r="AA15" s="610"/>
      <c r="AB15" s="610"/>
      <c r="AC15" s="19">
        <v>9</v>
      </c>
      <c r="AD15" s="19"/>
      <c r="AE15" s="15">
        <f t="shared" si="8"/>
        <v>-81.395348837209667</v>
      </c>
      <c r="AF15" s="288">
        <f t="shared" si="9"/>
        <v>0.95930232558139517</v>
      </c>
      <c r="AG15" s="619">
        <f>AF24</f>
        <v>0.9583466192255562</v>
      </c>
    </row>
    <row r="16" spans="1:33" ht="16.5" customHeight="1">
      <c r="A16" s="644" t="s">
        <v>185</v>
      </c>
      <c r="B16" s="292" t="s">
        <v>17</v>
      </c>
      <c r="C16" s="635" t="s">
        <v>18</v>
      </c>
      <c r="D16" s="635"/>
      <c r="E16" s="33">
        <v>41</v>
      </c>
      <c r="F16" s="292">
        <v>1827</v>
      </c>
      <c r="G16" s="283">
        <f t="shared" si="15"/>
        <v>74907</v>
      </c>
      <c r="H16" s="29" t="s">
        <v>5</v>
      </c>
      <c r="I16" s="290">
        <v>26</v>
      </c>
      <c r="J16" s="30">
        <v>1500</v>
      </c>
      <c r="K16" s="13">
        <f t="shared" si="1"/>
        <v>57.692307692307693</v>
      </c>
      <c r="L16" s="290">
        <v>26</v>
      </c>
      <c r="M16" s="14">
        <f t="shared" si="16"/>
        <v>1442.3684210526321</v>
      </c>
      <c r="N16" s="13">
        <f t="shared" si="3"/>
        <v>55.475708502024311</v>
      </c>
      <c r="O16" s="15">
        <f t="shared" si="4"/>
        <v>0</v>
      </c>
      <c r="P16" s="16">
        <f t="shared" si="5"/>
        <v>-2.2165991902833824</v>
      </c>
      <c r="Q16" s="288">
        <f t="shared" si="6"/>
        <v>0.96157894736842142</v>
      </c>
      <c r="R16" s="619"/>
      <c r="S16" s="31">
        <v>0.35625000000000001</v>
      </c>
      <c r="T16" s="31">
        <v>0.40902777777777777</v>
      </c>
      <c r="U16" s="283">
        <f t="shared" ref="U16:U23" si="18">IF(S16=TIME(17,0,0),"",(S16-T15)*24*60)</f>
        <v>6.9999999999999751</v>
      </c>
      <c r="V16" s="291">
        <f t="shared" si="17"/>
        <v>75.999999999999972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-57.631578947367871</v>
      </c>
      <c r="AF16" s="288">
        <f t="shared" si="9"/>
        <v>0.96157894736842142</v>
      </c>
      <c r="AG16" s="619"/>
    </row>
    <row r="17" spans="1:33" ht="16.5" customHeight="1">
      <c r="A17" s="644" t="s">
        <v>1316</v>
      </c>
      <c r="B17" s="292" t="s">
        <v>15</v>
      </c>
      <c r="C17" s="635" t="s">
        <v>76</v>
      </c>
      <c r="D17" s="635"/>
      <c r="E17" s="33">
        <v>68.88</v>
      </c>
      <c r="F17" s="292">
        <v>1630</v>
      </c>
      <c r="G17" s="283">
        <f t="shared" si="15"/>
        <v>112274.4</v>
      </c>
      <c r="H17" s="29" t="s">
        <v>5</v>
      </c>
      <c r="I17" s="290">
        <v>16</v>
      </c>
      <c r="J17" s="30">
        <v>2000</v>
      </c>
      <c r="K17" s="13">
        <f t="shared" si="1"/>
        <v>125</v>
      </c>
      <c r="L17" s="290">
        <v>16</v>
      </c>
      <c r="M17" s="14">
        <f t="shared" si="16"/>
        <v>1917.6470588235302</v>
      </c>
      <c r="N17" s="13">
        <f t="shared" si="3"/>
        <v>119.85294117647064</v>
      </c>
      <c r="O17" s="15">
        <f t="shared" si="4"/>
        <v>0</v>
      </c>
      <c r="P17" s="16">
        <f t="shared" si="5"/>
        <v>-5.1470588235293633</v>
      </c>
      <c r="Q17" s="288">
        <f t="shared" si="6"/>
        <v>0.95882352941176507</v>
      </c>
      <c r="R17" s="619"/>
      <c r="S17" s="31">
        <v>0.41319444444444442</v>
      </c>
      <c r="T17" s="31">
        <v>0.44861111111111107</v>
      </c>
      <c r="U17" s="283">
        <f t="shared" si="18"/>
        <v>5.9999999999999787</v>
      </c>
      <c r="V17" s="291">
        <f t="shared" si="17"/>
        <v>50.999999999999979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-82.352941176469812</v>
      </c>
      <c r="AF17" s="288">
        <f t="shared" si="9"/>
        <v>0.95882352941176507</v>
      </c>
      <c r="AG17" s="619"/>
    </row>
    <row r="18" spans="1:33" ht="16.5" customHeight="1">
      <c r="A18" s="644" t="s">
        <v>1315</v>
      </c>
      <c r="B18" s="292" t="s">
        <v>10</v>
      </c>
      <c r="C18" s="635" t="s">
        <v>12</v>
      </c>
      <c r="D18" s="635"/>
      <c r="E18" s="33">
        <v>39.46</v>
      </c>
      <c r="F18" s="292">
        <v>1500</v>
      </c>
      <c r="G18" s="283">
        <f t="shared" si="15"/>
        <v>59190</v>
      </c>
      <c r="H18" s="29">
        <v>2</v>
      </c>
      <c r="I18" s="290">
        <v>15</v>
      </c>
      <c r="J18" s="30">
        <v>1500</v>
      </c>
      <c r="K18" s="13">
        <f t="shared" si="1"/>
        <v>100</v>
      </c>
      <c r="L18" s="290">
        <v>15</v>
      </c>
      <c r="M18" s="14">
        <f t="shared" si="16"/>
        <v>1428.5714285714282</v>
      </c>
      <c r="N18" s="13">
        <f t="shared" si="3"/>
        <v>95.238095238095212</v>
      </c>
      <c r="O18" s="15">
        <f t="shared" si="4"/>
        <v>0</v>
      </c>
      <c r="P18" s="16">
        <f t="shared" si="5"/>
        <v>-4.7619047619047876</v>
      </c>
      <c r="Q18" s="288">
        <f t="shared" si="6"/>
        <v>0.95238095238095211</v>
      </c>
      <c r="R18" s="619"/>
      <c r="S18" s="31">
        <v>0.45416666666666661</v>
      </c>
      <c r="T18" s="31">
        <v>0.49791666666666662</v>
      </c>
      <c r="U18" s="283">
        <f t="shared" si="18"/>
        <v>7.9999999999999716</v>
      </c>
      <c r="V18" s="291">
        <f t="shared" si="17"/>
        <v>63.000000000000014</v>
      </c>
      <c r="W18" s="17">
        <f>T18</f>
        <v>0.49791666666666662</v>
      </c>
      <c r="X18" s="17">
        <f>S19</f>
        <v>0.5708333333333333</v>
      </c>
      <c r="Y18" s="17"/>
      <c r="Z18" s="17"/>
      <c r="AA18" s="610"/>
      <c r="AB18" s="610"/>
      <c r="AC18" s="19"/>
      <c r="AD18" s="19"/>
      <c r="AE18" s="15">
        <f t="shared" si="8"/>
        <v>-71.428571428571786</v>
      </c>
      <c r="AF18" s="288">
        <f t="shared" si="9"/>
        <v>0.95238095238095211</v>
      </c>
      <c r="AG18" s="619"/>
    </row>
    <row r="19" spans="1:33" ht="16.5" customHeight="1">
      <c r="A19" s="644" t="s">
        <v>185</v>
      </c>
      <c r="B19" s="292" t="s">
        <v>10</v>
      </c>
      <c r="C19" s="635" t="s">
        <v>12</v>
      </c>
      <c r="D19" s="635"/>
      <c r="E19" s="33">
        <v>39.46</v>
      </c>
      <c r="F19" s="292">
        <v>1049</v>
      </c>
      <c r="G19" s="283">
        <f t="shared" si="15"/>
        <v>41393.54</v>
      </c>
      <c r="H19" s="29" t="s">
        <v>5</v>
      </c>
      <c r="I19" s="290">
        <v>15</v>
      </c>
      <c r="J19" s="30">
        <v>1500</v>
      </c>
      <c r="K19" s="13">
        <f t="shared" si="1"/>
        <v>100</v>
      </c>
      <c r="L19" s="290">
        <v>15</v>
      </c>
      <c r="M19" s="14">
        <f t="shared" si="16"/>
        <v>1430.4545454545455</v>
      </c>
      <c r="N19" s="13">
        <f t="shared" si="3"/>
        <v>95.36363636363636</v>
      </c>
      <c r="O19" s="15">
        <f t="shared" si="4"/>
        <v>0</v>
      </c>
      <c r="P19" s="16">
        <f t="shared" si="5"/>
        <v>-4.6363636363636402</v>
      </c>
      <c r="Q19" s="288">
        <f t="shared" si="6"/>
        <v>0.95363636363636362</v>
      </c>
      <c r="R19" s="619"/>
      <c r="S19" s="31">
        <v>0.5708333333333333</v>
      </c>
      <c r="T19" s="31">
        <v>0.60138888888888886</v>
      </c>
      <c r="U19" s="283">
        <f t="shared" si="18"/>
        <v>105.00000000000003</v>
      </c>
      <c r="V19" s="291">
        <f t="shared" si="17"/>
        <v>44</v>
      </c>
      <c r="W19" s="17"/>
      <c r="X19" s="17"/>
      <c r="Y19" s="17"/>
      <c r="Z19" s="17"/>
      <c r="AA19" s="610"/>
      <c r="AB19" s="610"/>
      <c r="AC19" s="19"/>
      <c r="AD19" s="19"/>
      <c r="AE19" s="15">
        <f t="shared" si="8"/>
        <v>-69.545454545454504</v>
      </c>
      <c r="AF19" s="288">
        <f t="shared" si="9"/>
        <v>0.95363636363636362</v>
      </c>
      <c r="AG19" s="619"/>
    </row>
    <row r="20" spans="1:33" ht="16.5" customHeight="1">
      <c r="A20" s="644" t="s">
        <v>1317</v>
      </c>
      <c r="B20" s="292" t="s">
        <v>6</v>
      </c>
      <c r="C20" s="294" t="s">
        <v>20</v>
      </c>
      <c r="D20" s="295"/>
      <c r="E20" s="33">
        <v>54.5</v>
      </c>
      <c r="F20" s="292">
        <v>1235</v>
      </c>
      <c r="G20" s="283">
        <f t="shared" si="15"/>
        <v>67307.5</v>
      </c>
      <c r="H20" s="29" t="s">
        <v>5</v>
      </c>
      <c r="I20" s="290">
        <v>19</v>
      </c>
      <c r="J20" s="30">
        <v>1500</v>
      </c>
      <c r="K20" s="13">
        <f t="shared" si="1"/>
        <v>78.94736842105263</v>
      </c>
      <c r="L20" s="290">
        <v>19</v>
      </c>
      <c r="M20" s="14">
        <f t="shared" si="16"/>
        <v>1452.9411764705887</v>
      </c>
      <c r="N20" s="13">
        <f t="shared" si="3"/>
        <v>76.470588235294144</v>
      </c>
      <c r="O20" s="15">
        <f t="shared" si="4"/>
        <v>0</v>
      </c>
      <c r="P20" s="16">
        <f t="shared" si="5"/>
        <v>-2.4767801857584857</v>
      </c>
      <c r="Q20" s="288">
        <f t="shared" si="6"/>
        <v>0.96862745098039249</v>
      </c>
      <c r="R20" s="619"/>
      <c r="S20" s="31">
        <v>0.70833333333333337</v>
      </c>
      <c r="T20" s="31">
        <v>0.74375000000000002</v>
      </c>
      <c r="U20" s="283" t="str">
        <f t="shared" si="18"/>
        <v/>
      </c>
      <c r="V20" s="291">
        <f t="shared" si="17"/>
        <v>50.999999999999979</v>
      </c>
      <c r="W20" s="17"/>
      <c r="X20" s="17"/>
      <c r="Y20" s="20"/>
      <c r="Z20" s="20"/>
      <c r="AA20" s="286"/>
      <c r="AB20" s="287"/>
      <c r="AC20" s="19"/>
      <c r="AD20" s="19"/>
      <c r="AE20" s="15">
        <f t="shared" si="8"/>
        <v>-47.058823529411256</v>
      </c>
      <c r="AF20" s="288">
        <f t="shared" si="9"/>
        <v>0.96862745098039249</v>
      </c>
      <c r="AG20" s="619"/>
    </row>
    <row r="21" spans="1:33" ht="16.5" customHeight="1">
      <c r="A21" s="644" t="s">
        <v>1318</v>
      </c>
      <c r="B21" s="292" t="s">
        <v>6</v>
      </c>
      <c r="C21" s="294" t="s">
        <v>19</v>
      </c>
      <c r="D21" s="295"/>
      <c r="E21" s="33">
        <v>50.67</v>
      </c>
      <c r="F21" s="292">
        <v>1940</v>
      </c>
      <c r="G21" s="283">
        <f t="shared" si="15"/>
        <v>98299.8</v>
      </c>
      <c r="H21" s="29" t="s">
        <v>5</v>
      </c>
      <c r="I21" s="290">
        <v>17</v>
      </c>
      <c r="J21" s="30">
        <v>2000</v>
      </c>
      <c r="K21" s="13">
        <f t="shared" si="1"/>
        <v>117.64705882352941</v>
      </c>
      <c r="L21" s="290">
        <v>17</v>
      </c>
      <c r="M21" s="14">
        <f t="shared" si="16"/>
        <v>1908.1967213114772</v>
      </c>
      <c r="N21" s="13">
        <f t="shared" si="3"/>
        <v>112.24686595949866</v>
      </c>
      <c r="O21" s="15">
        <f t="shared" si="4"/>
        <v>0</v>
      </c>
      <c r="P21" s="16">
        <f t="shared" si="5"/>
        <v>-5.4001928640307426</v>
      </c>
      <c r="Q21" s="288">
        <f t="shared" si="6"/>
        <v>0.95409836065573872</v>
      </c>
      <c r="R21" s="619"/>
      <c r="S21" s="31">
        <v>0.74861111111111112</v>
      </c>
      <c r="T21" s="31">
        <v>0.79097222222222219</v>
      </c>
      <c r="U21" s="283">
        <f t="shared" si="18"/>
        <v>6.9999999999999751</v>
      </c>
      <c r="V21" s="291">
        <f t="shared" si="17"/>
        <v>60.999999999999943</v>
      </c>
      <c r="W21" s="17"/>
      <c r="X21" s="17"/>
      <c r="Y21" s="20"/>
      <c r="Z21" s="20"/>
      <c r="AA21" s="286"/>
      <c r="AB21" s="287"/>
      <c r="AC21" s="19"/>
      <c r="AD21" s="19"/>
      <c r="AE21" s="15">
        <f t="shared" si="8"/>
        <v>-91.803278688522823</v>
      </c>
      <c r="AF21" s="288">
        <f t="shared" si="9"/>
        <v>0.95409836065573861</v>
      </c>
      <c r="AG21" s="619"/>
    </row>
    <row r="22" spans="1:33" ht="16.5" customHeight="1">
      <c r="A22" s="644" t="s">
        <v>1315</v>
      </c>
      <c r="B22" s="292" t="s">
        <v>6</v>
      </c>
      <c r="C22" s="294" t="s">
        <v>45</v>
      </c>
      <c r="D22" s="295"/>
      <c r="E22" s="33">
        <v>51.06</v>
      </c>
      <c r="F22" s="292">
        <v>2000</v>
      </c>
      <c r="G22" s="283">
        <f t="shared" si="15"/>
        <v>102120</v>
      </c>
      <c r="H22" s="29">
        <v>2</v>
      </c>
      <c r="I22" s="290">
        <v>13</v>
      </c>
      <c r="J22" s="30">
        <v>2000</v>
      </c>
      <c r="K22" s="13">
        <f t="shared" si="1"/>
        <v>153.84615384615384</v>
      </c>
      <c r="L22" s="290">
        <v>13</v>
      </c>
      <c r="M22" s="14">
        <f t="shared" si="16"/>
        <v>1904.7619047619066</v>
      </c>
      <c r="N22" s="13">
        <f t="shared" si="3"/>
        <v>146.52014652014665</v>
      </c>
      <c r="O22" s="15">
        <f t="shared" si="4"/>
        <v>0</v>
      </c>
      <c r="P22" s="16">
        <f t="shared" si="5"/>
        <v>-7.3260073260071863</v>
      </c>
      <c r="Q22" s="288">
        <f t="shared" si="6"/>
        <v>0.95238095238095333</v>
      </c>
      <c r="R22" s="619"/>
      <c r="S22" s="31">
        <v>0.79513888888888884</v>
      </c>
      <c r="T22" s="31">
        <v>0.8388888888888888</v>
      </c>
      <c r="U22" s="283">
        <f t="shared" si="18"/>
        <v>5.9999999999999787</v>
      </c>
      <c r="V22" s="291">
        <f t="shared" si="17"/>
        <v>62.999999999999936</v>
      </c>
      <c r="W22" s="17">
        <f>T22</f>
        <v>0.8388888888888888</v>
      </c>
      <c r="X22" s="17">
        <f>S23</f>
        <v>0.87777777777777766</v>
      </c>
      <c r="Y22" s="20"/>
      <c r="Z22" s="20"/>
      <c r="AA22" s="286"/>
      <c r="AB22" s="287"/>
      <c r="AC22" s="19"/>
      <c r="AD22" s="19"/>
      <c r="AE22" s="15">
        <f t="shared" si="8"/>
        <v>-95.238095238093365</v>
      </c>
      <c r="AF22" s="288">
        <f t="shared" si="9"/>
        <v>0.95238095238095333</v>
      </c>
      <c r="AG22" s="619"/>
    </row>
    <row r="23" spans="1:33" ht="16.5" customHeight="1">
      <c r="A23" s="644" t="s">
        <v>1315</v>
      </c>
      <c r="B23" s="292" t="s">
        <v>6</v>
      </c>
      <c r="C23" s="294" t="s">
        <v>45</v>
      </c>
      <c r="D23" s="295"/>
      <c r="E23" s="33">
        <v>51.06</v>
      </c>
      <c r="F23" s="292">
        <v>1544</v>
      </c>
      <c r="G23" s="283">
        <f t="shared" si="15"/>
        <v>78836.639999999999</v>
      </c>
      <c r="H23" s="29" t="s">
        <v>5</v>
      </c>
      <c r="I23" s="290">
        <v>13</v>
      </c>
      <c r="J23" s="30">
        <v>2000</v>
      </c>
      <c r="K23" s="13">
        <f t="shared" si="1"/>
        <v>153.84615384615384</v>
      </c>
      <c r="L23" s="290">
        <v>13</v>
      </c>
      <c r="M23" s="14">
        <f t="shared" si="16"/>
        <v>1930.0000000000007</v>
      </c>
      <c r="N23" s="13">
        <f t="shared" si="3"/>
        <v>148.46153846153851</v>
      </c>
      <c r="O23" s="15">
        <f t="shared" si="4"/>
        <v>0</v>
      </c>
      <c r="P23" s="16">
        <f t="shared" si="5"/>
        <v>-5.38461538461533</v>
      </c>
      <c r="Q23" s="288">
        <f t="shared" si="6"/>
        <v>0.9650000000000003</v>
      </c>
      <c r="R23" s="619"/>
      <c r="S23" s="31">
        <v>0.87777777777777766</v>
      </c>
      <c r="T23" s="31">
        <v>0.91111111111111098</v>
      </c>
      <c r="U23" s="283">
        <f t="shared" si="18"/>
        <v>55.999999999999957</v>
      </c>
      <c r="V23" s="291">
        <f t="shared" si="17"/>
        <v>47.999999999999986</v>
      </c>
      <c r="W23" s="17"/>
      <c r="X23" s="17"/>
      <c r="Y23" s="20"/>
      <c r="Z23" s="20"/>
      <c r="AA23" s="286"/>
      <c r="AB23" s="287"/>
      <c r="AC23" s="19"/>
      <c r="AD23" s="19"/>
      <c r="AE23" s="15">
        <f t="shared" si="8"/>
        <v>-69.999999999999318</v>
      </c>
      <c r="AF23" s="288">
        <f t="shared" si="9"/>
        <v>0.9650000000000003</v>
      </c>
      <c r="AG23" s="619"/>
    </row>
    <row r="24" spans="1:33" ht="16.5" customHeight="1">
      <c r="A24" s="644" t="s">
        <v>185</v>
      </c>
      <c r="B24" s="33" t="s">
        <v>1310</v>
      </c>
      <c r="C24" s="620"/>
      <c r="D24" s="620"/>
      <c r="E24" s="289"/>
      <c r="F24" s="34"/>
      <c r="G24" s="13"/>
      <c r="H24" s="292"/>
      <c r="I24" s="23">
        <v>16.444444444444443</v>
      </c>
      <c r="J24" s="30">
        <v>1777.7777777777778</v>
      </c>
      <c r="K24" s="13">
        <f t="shared" si="1"/>
        <v>108.10810810810813</v>
      </c>
      <c r="L24" s="23">
        <v>16.444444444444443</v>
      </c>
      <c r="M24" s="14">
        <f>AVERAGE(M15:M23)</f>
        <v>1703.7273230676556</v>
      </c>
      <c r="N24" s="13">
        <f t="shared" si="3"/>
        <v>103.60503991627637</v>
      </c>
      <c r="O24" s="15">
        <f t="shared" si="4"/>
        <v>0</v>
      </c>
      <c r="P24" s="16">
        <f t="shared" si="5"/>
        <v>-4.5030681918317583</v>
      </c>
      <c r="Q24" s="288">
        <f t="shared" si="6"/>
        <v>0.9583466192255562</v>
      </c>
      <c r="R24" s="619"/>
      <c r="S24" s="31"/>
      <c r="T24" s="31"/>
      <c r="U24" s="283"/>
      <c r="V24" s="291"/>
      <c r="W24" s="13"/>
      <c r="X24" s="13"/>
      <c r="Y24" s="24">
        <f>SUM(Y15:Y23)</f>
        <v>0</v>
      </c>
      <c r="Z24" s="24">
        <f>SUM(Z15:Z23)</f>
        <v>0</v>
      </c>
      <c r="AA24" s="609"/>
      <c r="AB24" s="609"/>
      <c r="AC24" s="24">
        <v>9</v>
      </c>
      <c r="AD24" s="24">
        <f>SUM(AD15:AD23)</f>
        <v>0</v>
      </c>
      <c r="AE24" s="15">
        <f t="shared" si="8"/>
        <v>-74.050454710122267</v>
      </c>
      <c r="AF24" s="288">
        <f t="shared" si="9"/>
        <v>0.9583466192255562</v>
      </c>
      <c r="AG24" s="619"/>
    </row>
    <row r="25" spans="1:33" ht="15.75" customHeight="1">
      <c r="A25" s="637" t="s">
        <v>1319</v>
      </c>
      <c r="B25" s="33" t="s">
        <v>6</v>
      </c>
      <c r="C25" s="635" t="s">
        <v>22</v>
      </c>
      <c r="D25" s="635"/>
      <c r="E25" s="33">
        <v>50.67</v>
      </c>
      <c r="F25" s="292">
        <v>1955</v>
      </c>
      <c r="G25" s="283">
        <f t="shared" ref="G25:G32" si="19">E25*F25</f>
        <v>99059.85</v>
      </c>
      <c r="H25" s="29" t="s">
        <v>5</v>
      </c>
      <c r="I25" s="290">
        <v>17</v>
      </c>
      <c r="J25" s="30">
        <v>2000</v>
      </c>
      <c r="K25" s="13">
        <f t="shared" si="1"/>
        <v>117.64705882352941</v>
      </c>
      <c r="L25" s="290">
        <v>17</v>
      </c>
      <c r="M25" s="14">
        <f t="shared" ref="M25:M32" si="20">F25/V25*60</f>
        <v>1922.9508196721304</v>
      </c>
      <c r="N25" s="13">
        <f t="shared" si="3"/>
        <v>113.11475409836061</v>
      </c>
      <c r="O25" s="15">
        <f t="shared" si="4"/>
        <v>0</v>
      </c>
      <c r="P25" s="16">
        <f t="shared" si="5"/>
        <v>-4.5323047251687996</v>
      </c>
      <c r="Q25" s="288">
        <f t="shared" si="6"/>
        <v>0.96147540983606516</v>
      </c>
      <c r="R25" s="619">
        <f>Q33</f>
        <v>0.96244593233732745</v>
      </c>
      <c r="S25" s="31">
        <v>0.33333333333333331</v>
      </c>
      <c r="T25" s="31">
        <v>0.37569444444444444</v>
      </c>
      <c r="U25" s="283"/>
      <c r="V25" s="291">
        <f t="shared" ref="V25:V32" si="21">(T25-S25)*24*60</f>
        <v>61.000000000000021</v>
      </c>
      <c r="W25" s="17"/>
      <c r="X25" s="17"/>
      <c r="Y25" s="22"/>
      <c r="Z25" s="22"/>
      <c r="AA25" s="610"/>
      <c r="AB25" s="610"/>
      <c r="AC25" s="19">
        <v>8</v>
      </c>
      <c r="AD25" s="19"/>
      <c r="AE25" s="15">
        <f t="shared" si="8"/>
        <v>-77.049180327869635</v>
      </c>
      <c r="AF25" s="288">
        <f t="shared" si="9"/>
        <v>0.96147540983606516</v>
      </c>
      <c r="AG25" s="619">
        <f>AF33</f>
        <v>0.96244593233732745</v>
      </c>
    </row>
    <row r="26" spans="1:33" ht="15.75" customHeight="1">
      <c r="A26" s="638" t="s">
        <v>1320</v>
      </c>
      <c r="B26" s="33" t="s">
        <v>6</v>
      </c>
      <c r="C26" s="635" t="s">
        <v>23</v>
      </c>
      <c r="D26" s="635"/>
      <c r="E26" s="33">
        <v>57.73</v>
      </c>
      <c r="F26" s="292">
        <v>1600</v>
      </c>
      <c r="G26" s="283">
        <f t="shared" si="19"/>
        <v>92368</v>
      </c>
      <c r="H26" s="29">
        <v>2</v>
      </c>
      <c r="I26" s="290">
        <v>14</v>
      </c>
      <c r="J26" s="30">
        <v>2000</v>
      </c>
      <c r="K26" s="13">
        <f t="shared" si="1"/>
        <v>142.85714285714286</v>
      </c>
      <c r="L26" s="290">
        <v>14</v>
      </c>
      <c r="M26" s="14">
        <f t="shared" si="20"/>
        <v>1920.0000000000005</v>
      </c>
      <c r="N26" s="13">
        <f t="shared" si="3"/>
        <v>137.14285714285717</v>
      </c>
      <c r="O26" s="15">
        <f t="shared" si="4"/>
        <v>0</v>
      </c>
      <c r="P26" s="16">
        <f t="shared" si="5"/>
        <v>-5.714285714285694</v>
      </c>
      <c r="Q26" s="288">
        <f t="shared" si="6"/>
        <v>0.96000000000000019</v>
      </c>
      <c r="R26" s="619"/>
      <c r="S26" s="31">
        <v>0.37916666666666665</v>
      </c>
      <c r="T26" s="31">
        <v>0.41388888888888886</v>
      </c>
      <c r="U26" s="283">
        <f t="shared" ref="U26:U32" si="22">IF(S26=TIME(17,0,0),"",(S26-T25)*24*60)</f>
        <v>4.9999999999999822</v>
      </c>
      <c r="V26" s="291">
        <f t="shared" si="21"/>
        <v>49.999999999999986</v>
      </c>
      <c r="W26" s="17"/>
      <c r="X26" s="283"/>
      <c r="Y26" s="283"/>
      <c r="Z26" s="283"/>
      <c r="AA26" s="610"/>
      <c r="AB26" s="610"/>
      <c r="AC26" s="19"/>
      <c r="AD26" s="19"/>
      <c r="AE26" s="15">
        <f t="shared" si="8"/>
        <v>-79.999999999999545</v>
      </c>
      <c r="AF26" s="288">
        <f t="shared" si="9"/>
        <v>0.96000000000000019</v>
      </c>
      <c r="AG26" s="619"/>
    </row>
    <row r="27" spans="1:33" ht="15.75" customHeight="1">
      <c r="A27" s="638" t="s">
        <v>1319</v>
      </c>
      <c r="B27" s="33" t="s">
        <v>6</v>
      </c>
      <c r="C27" s="635" t="s">
        <v>24</v>
      </c>
      <c r="D27" s="635"/>
      <c r="E27" s="33">
        <v>53.27</v>
      </c>
      <c r="F27" s="292">
        <v>1744</v>
      </c>
      <c r="G27" s="283">
        <f t="shared" si="19"/>
        <v>92902.88</v>
      </c>
      <c r="H27" s="29" t="s">
        <v>5</v>
      </c>
      <c r="I27" s="290">
        <v>16</v>
      </c>
      <c r="J27" s="30">
        <v>2000</v>
      </c>
      <c r="K27" s="13">
        <f t="shared" si="1"/>
        <v>125</v>
      </c>
      <c r="L27" s="290">
        <v>16</v>
      </c>
      <c r="M27" s="14">
        <f t="shared" si="20"/>
        <v>1937.7777777777787</v>
      </c>
      <c r="N27" s="13">
        <f t="shared" si="3"/>
        <v>121.11111111111117</v>
      </c>
      <c r="O27" s="15">
        <f t="shared" si="4"/>
        <v>0</v>
      </c>
      <c r="P27" s="16">
        <f t="shared" si="5"/>
        <v>-3.8888888888888289</v>
      </c>
      <c r="Q27" s="288">
        <f t="shared" si="6"/>
        <v>0.96888888888888935</v>
      </c>
      <c r="R27" s="619"/>
      <c r="S27" s="31">
        <v>0.4194444444444444</v>
      </c>
      <c r="T27" s="31">
        <v>0.45694444444444438</v>
      </c>
      <c r="U27" s="283">
        <f t="shared" si="22"/>
        <v>7.9999999999999716</v>
      </c>
      <c r="V27" s="291">
        <f t="shared" si="21"/>
        <v>53.999999999999972</v>
      </c>
      <c r="W27" s="17">
        <f>T27</f>
        <v>0.45694444444444438</v>
      </c>
      <c r="X27" s="17">
        <f>S28</f>
        <v>0.52708333333333324</v>
      </c>
      <c r="Y27" s="283"/>
      <c r="Z27" s="283"/>
      <c r="AA27" s="610"/>
      <c r="AB27" s="610"/>
      <c r="AC27" s="19"/>
      <c r="AD27" s="19"/>
      <c r="AE27" s="15">
        <f t="shared" si="8"/>
        <v>-62.222222222221262</v>
      </c>
      <c r="AF27" s="288">
        <f t="shared" si="9"/>
        <v>0.96888888888888935</v>
      </c>
      <c r="AG27" s="619"/>
    </row>
    <row r="28" spans="1:33" ht="15.75" customHeight="1">
      <c r="A28" s="638" t="s">
        <v>189</v>
      </c>
      <c r="B28" s="33" t="s">
        <v>6</v>
      </c>
      <c r="C28" s="635" t="s">
        <v>23</v>
      </c>
      <c r="D28" s="635"/>
      <c r="E28" s="33">
        <v>57.73</v>
      </c>
      <c r="F28" s="292">
        <v>1581</v>
      </c>
      <c r="G28" s="283">
        <f t="shared" si="19"/>
        <v>91271.12999999999</v>
      </c>
      <c r="H28" s="29" t="s">
        <v>5</v>
      </c>
      <c r="I28" s="290">
        <v>14</v>
      </c>
      <c r="J28" s="30">
        <v>2000</v>
      </c>
      <c r="K28" s="13">
        <f t="shared" si="1"/>
        <v>142.85714285714286</v>
      </c>
      <c r="L28" s="290">
        <v>14</v>
      </c>
      <c r="M28" s="14">
        <f t="shared" si="20"/>
        <v>1935.9183673469395</v>
      </c>
      <c r="N28" s="13">
        <f t="shared" si="3"/>
        <v>138.27988338192424</v>
      </c>
      <c r="O28" s="15">
        <f t="shared" si="4"/>
        <v>0</v>
      </c>
      <c r="P28" s="16">
        <f t="shared" si="5"/>
        <v>-4.5772594752186251</v>
      </c>
      <c r="Q28" s="288">
        <f t="shared" si="6"/>
        <v>0.96795918367346967</v>
      </c>
      <c r="R28" s="619"/>
      <c r="S28" s="31">
        <v>0.52708333333333324</v>
      </c>
      <c r="T28" s="31">
        <v>0.56111111111111101</v>
      </c>
      <c r="U28" s="283">
        <f t="shared" si="22"/>
        <v>100.99999999999996</v>
      </c>
      <c r="V28" s="291">
        <f t="shared" si="21"/>
        <v>48.999999999999986</v>
      </c>
      <c r="W28" s="17"/>
      <c r="X28" s="283"/>
      <c r="Y28" s="283"/>
      <c r="Z28" s="283"/>
      <c r="AA28" s="610"/>
      <c r="AB28" s="610"/>
      <c r="AC28" s="19"/>
      <c r="AD28" s="19"/>
      <c r="AE28" s="15">
        <f t="shared" si="8"/>
        <v>-64.081632653060524</v>
      </c>
      <c r="AF28" s="288">
        <f t="shared" si="9"/>
        <v>0.96795918367346978</v>
      </c>
      <c r="AG28" s="619"/>
    </row>
    <row r="29" spans="1:33" ht="15.75" customHeight="1">
      <c r="A29" s="638" t="s">
        <v>189</v>
      </c>
      <c r="B29" s="33" t="s">
        <v>6</v>
      </c>
      <c r="C29" s="635" t="s">
        <v>21</v>
      </c>
      <c r="D29" s="635"/>
      <c r="E29" s="33">
        <v>50.49</v>
      </c>
      <c r="F29" s="292">
        <v>1000</v>
      </c>
      <c r="G29" s="283">
        <f t="shared" si="19"/>
        <v>50490</v>
      </c>
      <c r="H29" s="29">
        <v>2</v>
      </c>
      <c r="I29" s="290">
        <v>15</v>
      </c>
      <c r="J29" s="30">
        <v>2000</v>
      </c>
      <c r="K29" s="13">
        <f t="shared" si="1"/>
        <v>133.33333333333334</v>
      </c>
      <c r="L29" s="290">
        <v>15</v>
      </c>
      <c r="M29" s="14">
        <f t="shared" si="20"/>
        <v>1935.483870967739</v>
      </c>
      <c r="N29" s="13">
        <f t="shared" si="3"/>
        <v>129.03225806451593</v>
      </c>
      <c r="O29" s="15">
        <f t="shared" si="4"/>
        <v>0</v>
      </c>
      <c r="P29" s="16">
        <f t="shared" si="5"/>
        <v>-4.3010752688174136</v>
      </c>
      <c r="Q29" s="288">
        <f t="shared" si="6"/>
        <v>0.96774193548386944</v>
      </c>
      <c r="R29" s="619"/>
      <c r="S29" s="31">
        <v>0.70833333333333337</v>
      </c>
      <c r="T29" s="31">
        <v>0.72986111111111118</v>
      </c>
      <c r="U29" s="283" t="str">
        <f t="shared" si="22"/>
        <v/>
      </c>
      <c r="V29" s="291">
        <f t="shared" si="21"/>
        <v>31.00000000000005</v>
      </c>
      <c r="W29" s="17"/>
      <c r="X29" s="17"/>
      <c r="Y29" s="283"/>
      <c r="Z29" s="283"/>
      <c r="AA29" s="610"/>
      <c r="AB29" s="610"/>
      <c r="AC29" s="19"/>
      <c r="AD29" s="19"/>
      <c r="AE29" s="15">
        <f t="shared" si="8"/>
        <v>-64.516129032261006</v>
      </c>
      <c r="AF29" s="288">
        <f t="shared" si="9"/>
        <v>0.96774193548386944</v>
      </c>
      <c r="AG29" s="619"/>
    </row>
    <row r="30" spans="1:33" ht="15.75" customHeight="1">
      <c r="A30" s="638" t="s">
        <v>189</v>
      </c>
      <c r="B30" s="33" t="s">
        <v>6</v>
      </c>
      <c r="C30" s="635" t="s">
        <v>26</v>
      </c>
      <c r="D30" s="635"/>
      <c r="E30" s="33">
        <v>54.09</v>
      </c>
      <c r="F30" s="292">
        <v>2397</v>
      </c>
      <c r="G30" s="283">
        <f t="shared" si="19"/>
        <v>129653.73000000001</v>
      </c>
      <c r="H30" s="29" t="s">
        <v>5</v>
      </c>
      <c r="I30" s="290">
        <v>18</v>
      </c>
      <c r="J30" s="30">
        <v>2000</v>
      </c>
      <c r="K30" s="13">
        <f t="shared" si="1"/>
        <v>111.11111111111111</v>
      </c>
      <c r="L30" s="290">
        <v>18</v>
      </c>
      <c r="M30" s="14">
        <f t="shared" si="20"/>
        <v>1917.5999999999985</v>
      </c>
      <c r="N30" s="13">
        <f t="shared" si="3"/>
        <v>106.53333333333325</v>
      </c>
      <c r="O30" s="15">
        <f t="shared" si="4"/>
        <v>0</v>
      </c>
      <c r="P30" s="16">
        <f t="shared" si="5"/>
        <v>-4.5777777777778681</v>
      </c>
      <c r="Q30" s="288">
        <f t="shared" si="6"/>
        <v>0.95879999999999921</v>
      </c>
      <c r="R30" s="619"/>
      <c r="S30" s="31">
        <v>0.73402777777777783</v>
      </c>
      <c r="T30" s="31">
        <v>0.7861111111111112</v>
      </c>
      <c r="U30" s="283">
        <f t="shared" si="22"/>
        <v>5.9999999999999787</v>
      </c>
      <c r="V30" s="291">
        <f t="shared" si="21"/>
        <v>75.000000000000057</v>
      </c>
      <c r="W30" s="17"/>
      <c r="X30" s="22"/>
      <c r="Y30" s="22"/>
      <c r="Z30" s="22"/>
      <c r="AA30" s="610"/>
      <c r="AB30" s="610"/>
      <c r="AC30" s="19"/>
      <c r="AD30" s="19"/>
      <c r="AE30" s="15">
        <f t="shared" si="8"/>
        <v>-82.400000000001455</v>
      </c>
      <c r="AF30" s="288">
        <f t="shared" si="9"/>
        <v>0.95879999999999932</v>
      </c>
      <c r="AG30" s="619"/>
    </row>
    <row r="31" spans="1:33" ht="15.75" customHeight="1">
      <c r="A31" s="638" t="s">
        <v>189</v>
      </c>
      <c r="B31" s="33" t="s">
        <v>6</v>
      </c>
      <c r="C31" s="639" t="s">
        <v>9</v>
      </c>
      <c r="D31" s="640"/>
      <c r="E31" s="33">
        <v>50.67</v>
      </c>
      <c r="F31" s="292">
        <v>2399</v>
      </c>
      <c r="G31" s="283">
        <f t="shared" si="19"/>
        <v>121557.33</v>
      </c>
      <c r="H31" s="29" t="s">
        <v>5</v>
      </c>
      <c r="I31" s="290">
        <v>15</v>
      </c>
      <c r="J31" s="30">
        <v>2000</v>
      </c>
      <c r="K31" s="13">
        <f t="shared" si="1"/>
        <v>133.33333333333334</v>
      </c>
      <c r="L31" s="290">
        <v>15</v>
      </c>
      <c r="M31" s="14">
        <f t="shared" si="20"/>
        <v>1919.1999999999987</v>
      </c>
      <c r="N31" s="13">
        <f t="shared" si="3"/>
        <v>127.94666666666657</v>
      </c>
      <c r="O31" s="15">
        <f t="shared" si="4"/>
        <v>0</v>
      </c>
      <c r="P31" s="16">
        <f t="shared" si="5"/>
        <v>-5.3866666666667697</v>
      </c>
      <c r="Q31" s="288">
        <f t="shared" si="6"/>
        <v>0.95959999999999923</v>
      </c>
      <c r="R31" s="619"/>
      <c r="S31" s="31">
        <v>0.78958333333333341</v>
      </c>
      <c r="T31" s="31">
        <v>0.84166666666666679</v>
      </c>
      <c r="U31" s="283">
        <f t="shared" si="22"/>
        <v>4.9999999999999822</v>
      </c>
      <c r="V31" s="291">
        <f t="shared" si="21"/>
        <v>75.000000000000057</v>
      </c>
      <c r="W31" s="17">
        <f>T31</f>
        <v>0.84166666666666679</v>
      </c>
      <c r="X31" s="17">
        <f>S32</f>
        <v>0.88194444444444453</v>
      </c>
      <c r="Y31" s="94"/>
      <c r="Z31" s="94"/>
      <c r="AA31" s="614"/>
      <c r="AB31" s="615"/>
      <c r="AC31" s="19"/>
      <c r="AD31" s="19"/>
      <c r="AE31" s="15">
        <f t="shared" si="8"/>
        <v>-80.800000000001319</v>
      </c>
      <c r="AF31" s="288">
        <f t="shared" si="9"/>
        <v>0.95959999999999934</v>
      </c>
      <c r="AG31" s="619"/>
    </row>
    <row r="32" spans="1:33" ht="15.75" customHeight="1">
      <c r="A32" s="638" t="s">
        <v>189</v>
      </c>
      <c r="B32" s="33" t="s">
        <v>6</v>
      </c>
      <c r="C32" s="294" t="s">
        <v>21</v>
      </c>
      <c r="D32" s="295"/>
      <c r="E32" s="33">
        <v>50.49</v>
      </c>
      <c r="F32" s="292">
        <v>1560</v>
      </c>
      <c r="G32" s="283">
        <f t="shared" si="19"/>
        <v>78764.400000000009</v>
      </c>
      <c r="H32" s="29" t="s">
        <v>5</v>
      </c>
      <c r="I32" s="290">
        <v>15</v>
      </c>
      <c r="J32" s="30">
        <v>2000</v>
      </c>
      <c r="K32" s="13">
        <f t="shared" si="1"/>
        <v>133.33333333333334</v>
      </c>
      <c r="L32" s="290">
        <v>15</v>
      </c>
      <c r="M32" s="14">
        <f t="shared" si="20"/>
        <v>1910.2040816326535</v>
      </c>
      <c r="N32" s="13">
        <f t="shared" si="3"/>
        <v>127.34693877551022</v>
      </c>
      <c r="O32" s="15">
        <f t="shared" si="4"/>
        <v>0</v>
      </c>
      <c r="P32" s="16">
        <f t="shared" si="5"/>
        <v>-5.9863945578231181</v>
      </c>
      <c r="Q32" s="288">
        <f t="shared" si="6"/>
        <v>0.95510204081632666</v>
      </c>
      <c r="R32" s="619"/>
      <c r="S32" s="31">
        <v>0.88194444444444453</v>
      </c>
      <c r="T32" s="31">
        <v>0.9159722222222223</v>
      </c>
      <c r="U32" s="283">
        <f t="shared" si="22"/>
        <v>57.999999999999957</v>
      </c>
      <c r="V32" s="291">
        <f t="shared" si="21"/>
        <v>48.999999999999986</v>
      </c>
      <c r="W32" s="17"/>
      <c r="X32" s="17"/>
      <c r="Y32" s="20"/>
      <c r="Z32" s="20"/>
      <c r="AA32" s="286"/>
      <c r="AB32" s="287"/>
      <c r="AC32" s="19"/>
      <c r="AD32" s="19"/>
      <c r="AE32" s="15">
        <f t="shared" si="8"/>
        <v>-89.79591836734653</v>
      </c>
      <c r="AF32" s="288">
        <f t="shared" si="9"/>
        <v>0.95510204081632677</v>
      </c>
      <c r="AG32" s="619"/>
    </row>
    <row r="33" spans="1:33" ht="15.75" customHeight="1">
      <c r="A33" s="638" t="s">
        <v>1319</v>
      </c>
      <c r="B33" s="33" t="s">
        <v>184</v>
      </c>
      <c r="C33" s="620"/>
      <c r="D33" s="620"/>
      <c r="E33" s="289"/>
      <c r="F33" s="292"/>
      <c r="G33" s="283"/>
      <c r="H33" s="292"/>
      <c r="I33" s="23">
        <v>15.5</v>
      </c>
      <c r="J33" s="30">
        <v>2000</v>
      </c>
      <c r="K33" s="13">
        <f t="shared" si="1"/>
        <v>129.03225806451613</v>
      </c>
      <c r="L33" s="23">
        <v>15.5</v>
      </c>
      <c r="M33" s="14">
        <f>AVERAGE(M25:M32)</f>
        <v>1924.8918646746549</v>
      </c>
      <c r="N33" s="13">
        <f t="shared" si="3"/>
        <v>124.18657191449387</v>
      </c>
      <c r="O33" s="15">
        <f t="shared" si="4"/>
        <v>0</v>
      </c>
      <c r="P33" s="16">
        <f t="shared" si="5"/>
        <v>-4.8456861500222601</v>
      </c>
      <c r="Q33" s="288">
        <f t="shared" si="6"/>
        <v>0.96244593233732745</v>
      </c>
      <c r="R33" s="619"/>
      <c r="S33" s="31"/>
      <c r="T33" s="31"/>
      <c r="U33" s="13"/>
      <c r="V33" s="291"/>
      <c r="W33" s="13"/>
      <c r="X33" s="13"/>
      <c r="Y33" s="24">
        <f>SUM(Y25:Y32)</f>
        <v>0</v>
      </c>
      <c r="Z33" s="24">
        <f>SUM(Z25:Z32)</f>
        <v>0</v>
      </c>
      <c r="AA33" s="609"/>
      <c r="AB33" s="609"/>
      <c r="AC33" s="24">
        <v>8</v>
      </c>
      <c r="AD33" s="24">
        <f>SUM(AD25:AD32)</f>
        <v>0</v>
      </c>
      <c r="AE33" s="15">
        <f t="shared" si="8"/>
        <v>-75.108135325345074</v>
      </c>
      <c r="AF33" s="288">
        <f t="shared" si="9"/>
        <v>0.96244593233732745</v>
      </c>
      <c r="AG33" s="619"/>
    </row>
    <row r="34" spans="1:33" ht="15.75" customHeight="1">
      <c r="A34" s="636" t="s">
        <v>1321</v>
      </c>
      <c r="B34" s="33" t="s">
        <v>27</v>
      </c>
      <c r="C34" s="635" t="s">
        <v>28</v>
      </c>
      <c r="D34" s="635"/>
      <c r="E34" s="33">
        <v>31.29</v>
      </c>
      <c r="F34" s="292">
        <v>6450</v>
      </c>
      <c r="G34" s="283">
        <f t="shared" ref="G34:G41" si="23">E34*F34</f>
        <v>201820.5</v>
      </c>
      <c r="H34" s="29">
        <v>3</v>
      </c>
      <c r="I34" s="290">
        <v>18</v>
      </c>
      <c r="J34" s="30">
        <v>2400</v>
      </c>
      <c r="K34" s="13">
        <f t="shared" si="1"/>
        <v>133.33333333333334</v>
      </c>
      <c r="L34" s="290">
        <v>18</v>
      </c>
      <c r="M34" s="14">
        <f t="shared" ref="M34:M41" si="24">F34/V34*60</f>
        <v>2289.9408284023671</v>
      </c>
      <c r="N34" s="13">
        <f t="shared" si="3"/>
        <v>127.21893491124261</v>
      </c>
      <c r="O34" s="15">
        <f t="shared" si="4"/>
        <v>0</v>
      </c>
      <c r="P34" s="16">
        <f t="shared" si="5"/>
        <v>-6.1143984220907299</v>
      </c>
      <c r="Q34" s="288">
        <f t="shared" si="6"/>
        <v>0.95414201183431957</v>
      </c>
      <c r="R34" s="619">
        <f>Q42</f>
        <v>0.95687801376826465</v>
      </c>
      <c r="S34" s="31">
        <v>8.3333333333333329E-2</v>
      </c>
      <c r="T34" s="31">
        <v>0.20069444444444445</v>
      </c>
      <c r="U34" s="283"/>
      <c r="V34" s="291">
        <f t="shared" ref="V34:V41" si="25">(T34-S34)*24*60</f>
        <v>169</v>
      </c>
      <c r="W34" s="17">
        <f>T34</f>
        <v>0.20069444444444445</v>
      </c>
      <c r="X34" s="17">
        <f>S35</f>
        <v>0.2215277777777778</v>
      </c>
      <c r="Y34" s="17"/>
      <c r="Z34" s="17"/>
      <c r="AA34" s="610"/>
      <c r="AB34" s="610"/>
      <c r="AC34" s="19">
        <v>8</v>
      </c>
      <c r="AD34" s="19"/>
      <c r="AE34" s="15">
        <f t="shared" si="8"/>
        <v>-110.05917159763294</v>
      </c>
      <c r="AF34" s="288">
        <f t="shared" si="9"/>
        <v>0.95414201183431957</v>
      </c>
      <c r="AG34" s="619">
        <f>AF42</f>
        <v>0.95687801376826487</v>
      </c>
    </row>
    <row r="35" spans="1:33" ht="15.75" customHeight="1">
      <c r="A35" s="636" t="s">
        <v>1322</v>
      </c>
      <c r="B35" s="33" t="s">
        <v>27</v>
      </c>
      <c r="C35" s="635" t="s">
        <v>29</v>
      </c>
      <c r="D35" s="635"/>
      <c r="E35" s="33">
        <v>26.37</v>
      </c>
      <c r="F35" s="292">
        <v>4700</v>
      </c>
      <c r="G35" s="283">
        <f t="shared" si="23"/>
        <v>123939</v>
      </c>
      <c r="H35" s="29">
        <v>2</v>
      </c>
      <c r="I35" s="290">
        <v>18</v>
      </c>
      <c r="J35" s="30">
        <v>2400</v>
      </c>
      <c r="K35" s="13">
        <f t="shared" si="1"/>
        <v>133.33333333333334</v>
      </c>
      <c r="L35" s="290">
        <v>18</v>
      </c>
      <c r="M35" s="14">
        <f t="shared" si="24"/>
        <v>2292.6829268292686</v>
      </c>
      <c r="N35" s="13">
        <f t="shared" si="3"/>
        <v>127.37127371273715</v>
      </c>
      <c r="O35" s="15">
        <f t="shared" si="4"/>
        <v>0</v>
      </c>
      <c r="P35" s="16">
        <f t="shared" si="5"/>
        <v>-5.9620596205961931</v>
      </c>
      <c r="Q35" s="288">
        <f t="shared" si="6"/>
        <v>0.9552845528455286</v>
      </c>
      <c r="R35" s="619"/>
      <c r="S35" s="31">
        <v>0.2215277777777778</v>
      </c>
      <c r="T35" s="31">
        <v>0.30694444444444446</v>
      </c>
      <c r="U35" s="283">
        <f t="shared" ref="U35:U41" si="26">(S35-T34)*24*60</f>
        <v>30.000000000000014</v>
      </c>
      <c r="V35" s="291">
        <f t="shared" si="25"/>
        <v>122.99999999999999</v>
      </c>
      <c r="W35" s="17"/>
      <c r="X35" s="17"/>
      <c r="Y35" s="17"/>
      <c r="Z35" s="17"/>
      <c r="AA35" s="610"/>
      <c r="AB35" s="610"/>
      <c r="AC35" s="19"/>
      <c r="AD35" s="19"/>
      <c r="AE35" s="15">
        <f t="shared" si="8"/>
        <v>-107.31707317073142</v>
      </c>
      <c r="AF35" s="288">
        <f t="shared" si="9"/>
        <v>0.9552845528455286</v>
      </c>
      <c r="AG35" s="619"/>
    </row>
    <row r="36" spans="1:33" ht="15.75" customHeight="1">
      <c r="A36" s="636" t="s">
        <v>1321</v>
      </c>
      <c r="B36" s="33" t="s">
        <v>27</v>
      </c>
      <c r="C36" s="635" t="s">
        <v>34</v>
      </c>
      <c r="D36" s="635"/>
      <c r="E36" s="33">
        <v>24.43</v>
      </c>
      <c r="F36" s="292">
        <v>3500</v>
      </c>
      <c r="G36" s="283">
        <f t="shared" si="23"/>
        <v>85505</v>
      </c>
      <c r="H36" s="29">
        <v>2</v>
      </c>
      <c r="I36" s="290">
        <v>14</v>
      </c>
      <c r="J36" s="30">
        <v>2400</v>
      </c>
      <c r="K36" s="13">
        <f t="shared" si="1"/>
        <v>171.42857142857142</v>
      </c>
      <c r="L36" s="290">
        <v>14</v>
      </c>
      <c r="M36" s="14">
        <f t="shared" si="24"/>
        <v>2307.6923076923076</v>
      </c>
      <c r="N36" s="13">
        <f t="shared" si="3"/>
        <v>164.83516483516482</v>
      </c>
      <c r="O36" s="15">
        <f t="shared" si="4"/>
        <v>0</v>
      </c>
      <c r="P36" s="16">
        <f t="shared" si="5"/>
        <v>-6.5934065934065984</v>
      </c>
      <c r="Q36" s="288">
        <f t="shared" si="6"/>
        <v>0.96153846153846145</v>
      </c>
      <c r="R36" s="619"/>
      <c r="S36" s="31">
        <v>0.31111111111111112</v>
      </c>
      <c r="T36" s="31">
        <v>0.37430555555555556</v>
      </c>
      <c r="U36" s="283">
        <f t="shared" si="26"/>
        <v>5.9999999999999787</v>
      </c>
      <c r="V36" s="291">
        <f t="shared" si="25"/>
        <v>91</v>
      </c>
      <c r="W36" s="17"/>
      <c r="X36" s="17"/>
      <c r="Y36" s="17"/>
      <c r="Z36" s="17"/>
      <c r="AA36" s="610"/>
      <c r="AB36" s="610"/>
      <c r="AC36" s="19"/>
      <c r="AD36" s="19"/>
      <c r="AE36" s="15">
        <f t="shared" si="8"/>
        <v>-92.307692307692378</v>
      </c>
      <c r="AF36" s="288">
        <f t="shared" si="9"/>
        <v>0.96153846153846156</v>
      </c>
      <c r="AG36" s="619"/>
    </row>
    <row r="37" spans="1:33" ht="15.75" customHeight="1">
      <c r="A37" s="636" t="s">
        <v>1321</v>
      </c>
      <c r="B37" s="33" t="s">
        <v>27</v>
      </c>
      <c r="C37" s="635" t="s">
        <v>75</v>
      </c>
      <c r="D37" s="635"/>
      <c r="E37" s="33">
        <v>25.98</v>
      </c>
      <c r="F37" s="292">
        <v>4926</v>
      </c>
      <c r="G37" s="283">
        <f t="shared" si="23"/>
        <v>127977.48</v>
      </c>
      <c r="H37" s="29" t="s">
        <v>5</v>
      </c>
      <c r="I37" s="290">
        <v>19</v>
      </c>
      <c r="J37" s="30">
        <v>2400</v>
      </c>
      <c r="K37" s="13">
        <f t="shared" si="1"/>
        <v>126.31578947368421</v>
      </c>
      <c r="L37" s="290">
        <v>19</v>
      </c>
      <c r="M37" s="14">
        <f t="shared" si="24"/>
        <v>2291.1627906976742</v>
      </c>
      <c r="N37" s="13">
        <f t="shared" si="3"/>
        <v>120.58751529987758</v>
      </c>
      <c r="O37" s="15">
        <f t="shared" si="4"/>
        <v>0</v>
      </c>
      <c r="P37" s="16">
        <f t="shared" si="5"/>
        <v>-5.728274173806625</v>
      </c>
      <c r="Q37" s="288">
        <f t="shared" si="6"/>
        <v>0.95465116279069751</v>
      </c>
      <c r="R37" s="619"/>
      <c r="S37" s="31">
        <v>0.37847222222222221</v>
      </c>
      <c r="T37" s="31">
        <v>0.46805555555555556</v>
      </c>
      <c r="U37" s="283">
        <f t="shared" si="26"/>
        <v>5.9999999999999787</v>
      </c>
      <c r="V37" s="291">
        <f t="shared" si="25"/>
        <v>129.00000000000003</v>
      </c>
      <c r="W37" s="17"/>
      <c r="X37" s="17"/>
      <c r="Y37" s="17"/>
      <c r="Z37" s="17"/>
      <c r="AA37" s="610"/>
      <c r="AB37" s="610"/>
      <c r="AC37" s="19"/>
      <c r="AD37" s="19"/>
      <c r="AE37" s="15">
        <f t="shared" si="8"/>
        <v>-108.83720930232585</v>
      </c>
      <c r="AF37" s="288">
        <f t="shared" si="9"/>
        <v>0.95465116279069762</v>
      </c>
      <c r="AG37" s="619"/>
    </row>
    <row r="38" spans="1:33" ht="15.75" customHeight="1">
      <c r="A38" s="636" t="s">
        <v>192</v>
      </c>
      <c r="B38" s="33" t="s">
        <v>27</v>
      </c>
      <c r="C38" s="635" t="s">
        <v>197</v>
      </c>
      <c r="D38" s="635"/>
      <c r="E38" s="33">
        <v>23.89</v>
      </c>
      <c r="F38" s="292">
        <v>5063</v>
      </c>
      <c r="G38" s="283">
        <f t="shared" si="23"/>
        <v>120955.07</v>
      </c>
      <c r="H38" s="29" t="s">
        <v>5</v>
      </c>
      <c r="I38" s="290">
        <v>17</v>
      </c>
      <c r="J38" s="30">
        <v>2400</v>
      </c>
      <c r="K38" s="13">
        <f t="shared" si="1"/>
        <v>141.1764705882353</v>
      </c>
      <c r="L38" s="290">
        <v>17</v>
      </c>
      <c r="M38" s="14">
        <f t="shared" si="24"/>
        <v>2284.0601503759399</v>
      </c>
      <c r="N38" s="13">
        <f t="shared" si="3"/>
        <v>134.3564794338788</v>
      </c>
      <c r="O38" s="15">
        <f t="shared" si="4"/>
        <v>0</v>
      </c>
      <c r="P38" s="16">
        <f t="shared" si="5"/>
        <v>-6.8199911543565008</v>
      </c>
      <c r="Q38" s="288">
        <f t="shared" si="6"/>
        <v>0.95169172932330814</v>
      </c>
      <c r="R38" s="619"/>
      <c r="S38" s="31">
        <v>0.47152777777777777</v>
      </c>
      <c r="T38" s="31">
        <v>0.56388888888888888</v>
      </c>
      <c r="U38" s="283">
        <f t="shared" si="26"/>
        <v>4.9999999999999822</v>
      </c>
      <c r="V38" s="291">
        <f t="shared" si="25"/>
        <v>133</v>
      </c>
      <c r="W38" s="17"/>
      <c r="X38" s="17"/>
      <c r="Y38" s="17"/>
      <c r="Z38" s="17"/>
      <c r="AA38" s="610"/>
      <c r="AB38" s="610"/>
      <c r="AC38" s="19"/>
      <c r="AD38" s="19"/>
      <c r="AE38" s="15">
        <f t="shared" si="8"/>
        <v>-115.93984962406012</v>
      </c>
      <c r="AF38" s="288">
        <f t="shared" si="9"/>
        <v>0.95169172932330826</v>
      </c>
      <c r="AG38" s="619"/>
    </row>
    <row r="39" spans="1:33" ht="15.75" customHeight="1">
      <c r="A39" s="636" t="s">
        <v>1321</v>
      </c>
      <c r="B39" s="33" t="s">
        <v>27</v>
      </c>
      <c r="C39" s="635" t="s">
        <v>34</v>
      </c>
      <c r="D39" s="635"/>
      <c r="E39" s="33">
        <v>24.43</v>
      </c>
      <c r="F39" s="292">
        <v>5517</v>
      </c>
      <c r="G39" s="283">
        <f t="shared" si="23"/>
        <v>134780.31</v>
      </c>
      <c r="H39" s="29" t="s">
        <v>5</v>
      </c>
      <c r="I39" s="290">
        <v>14</v>
      </c>
      <c r="J39" s="30">
        <v>2400</v>
      </c>
      <c r="K39" s="13">
        <f t="shared" si="1"/>
        <v>171.42857142857142</v>
      </c>
      <c r="L39" s="290">
        <v>14</v>
      </c>
      <c r="M39" s="14">
        <f t="shared" si="24"/>
        <v>2298.7500000000005</v>
      </c>
      <c r="N39" s="13">
        <f t="shared" si="3"/>
        <v>164.19642857142861</v>
      </c>
      <c r="O39" s="15">
        <f t="shared" si="4"/>
        <v>0</v>
      </c>
      <c r="P39" s="16">
        <f t="shared" si="5"/>
        <v>-7.2321428571428044</v>
      </c>
      <c r="Q39" s="288">
        <f t="shared" si="6"/>
        <v>0.95781250000000029</v>
      </c>
      <c r="R39" s="619"/>
      <c r="S39" s="31">
        <v>0.56736111111111109</v>
      </c>
      <c r="T39" s="31">
        <v>0.66736111111111107</v>
      </c>
      <c r="U39" s="283">
        <f t="shared" si="26"/>
        <v>4.9999999999999822</v>
      </c>
      <c r="V39" s="291">
        <f t="shared" si="25"/>
        <v>143.99999999999997</v>
      </c>
      <c r="W39" s="17"/>
      <c r="X39" s="17"/>
      <c r="Y39" s="17"/>
      <c r="Z39" s="17"/>
      <c r="AA39" s="610"/>
      <c r="AB39" s="610"/>
      <c r="AC39" s="19"/>
      <c r="AD39" s="19"/>
      <c r="AE39" s="15">
        <f t="shared" si="8"/>
        <v>-101.24999999999955</v>
      </c>
      <c r="AF39" s="288">
        <f t="shared" si="9"/>
        <v>0.95781250000000018</v>
      </c>
      <c r="AG39" s="619"/>
    </row>
    <row r="40" spans="1:33" ht="15.75" customHeight="1">
      <c r="A40" s="636" t="s">
        <v>1321</v>
      </c>
      <c r="B40" s="33" t="s">
        <v>27</v>
      </c>
      <c r="C40" s="635" t="s">
        <v>28</v>
      </c>
      <c r="D40" s="635"/>
      <c r="E40" s="33">
        <v>31.29</v>
      </c>
      <c r="F40" s="292">
        <v>2700</v>
      </c>
      <c r="G40" s="283">
        <f t="shared" si="23"/>
        <v>84483</v>
      </c>
      <c r="H40" s="29" t="s">
        <v>5</v>
      </c>
      <c r="I40" s="290">
        <v>18</v>
      </c>
      <c r="J40" s="30">
        <v>2400</v>
      </c>
      <c r="K40" s="13">
        <f t="shared" si="1"/>
        <v>133.33333333333334</v>
      </c>
      <c r="L40" s="290">
        <v>18</v>
      </c>
      <c r="M40" s="14">
        <f t="shared" si="24"/>
        <v>2314.2857142857119</v>
      </c>
      <c r="N40" s="13">
        <f t="shared" si="3"/>
        <v>128.57142857142844</v>
      </c>
      <c r="O40" s="15">
        <f t="shared" si="4"/>
        <v>0</v>
      </c>
      <c r="P40" s="16">
        <f t="shared" si="5"/>
        <v>-4.7619047619049013</v>
      </c>
      <c r="Q40" s="288">
        <f t="shared" si="6"/>
        <v>0.96428571428571319</v>
      </c>
      <c r="R40" s="619"/>
      <c r="S40" s="31">
        <v>0.67083333333333328</v>
      </c>
      <c r="T40" s="31">
        <v>0.71944444444444444</v>
      </c>
      <c r="U40" s="283">
        <f t="shared" si="26"/>
        <v>4.9999999999999822</v>
      </c>
      <c r="V40" s="291">
        <f t="shared" si="25"/>
        <v>70.000000000000071</v>
      </c>
      <c r="W40" s="17"/>
      <c r="X40" s="17"/>
      <c r="Y40" s="17"/>
      <c r="Z40" s="17"/>
      <c r="AA40" s="610"/>
      <c r="AB40" s="610"/>
      <c r="AC40" s="19"/>
      <c r="AD40" s="19"/>
      <c r="AE40" s="15">
        <f t="shared" si="8"/>
        <v>-85.714285714288053</v>
      </c>
      <c r="AF40" s="288">
        <f t="shared" si="9"/>
        <v>0.9642857142857133</v>
      </c>
      <c r="AG40" s="619"/>
    </row>
    <row r="41" spans="1:33" ht="15.75" customHeight="1">
      <c r="A41" s="636" t="s">
        <v>192</v>
      </c>
      <c r="B41" s="33" t="s">
        <v>27</v>
      </c>
      <c r="C41" s="294" t="s">
        <v>29</v>
      </c>
      <c r="D41" s="295"/>
      <c r="E41" s="33">
        <v>26.37</v>
      </c>
      <c r="F41" s="292">
        <v>3402</v>
      </c>
      <c r="G41" s="283">
        <f t="shared" si="23"/>
        <v>89710.74</v>
      </c>
      <c r="H41" s="29" t="s">
        <v>5</v>
      </c>
      <c r="I41" s="290">
        <v>18</v>
      </c>
      <c r="J41" s="30">
        <v>2400</v>
      </c>
      <c r="K41" s="13">
        <f t="shared" si="1"/>
        <v>133.33333333333334</v>
      </c>
      <c r="L41" s="290">
        <v>18</v>
      </c>
      <c r="M41" s="14">
        <f t="shared" si="24"/>
        <v>2293.4831460674159</v>
      </c>
      <c r="N41" s="13">
        <f t="shared" si="3"/>
        <v>127.41573033707866</v>
      </c>
      <c r="O41" s="15">
        <f t="shared" si="4"/>
        <v>0</v>
      </c>
      <c r="P41" s="16">
        <f t="shared" si="5"/>
        <v>-5.9176029962546863</v>
      </c>
      <c r="Q41" s="288">
        <f t="shared" si="6"/>
        <v>0.95561797752808986</v>
      </c>
      <c r="R41" s="619"/>
      <c r="S41" s="31">
        <v>0.72361111111111109</v>
      </c>
      <c r="T41" s="31">
        <v>0.78541666666666665</v>
      </c>
      <c r="U41" s="283">
        <f t="shared" si="26"/>
        <v>5.9999999999999787</v>
      </c>
      <c r="V41" s="291">
        <f t="shared" si="25"/>
        <v>89</v>
      </c>
      <c r="W41" s="17"/>
      <c r="X41" s="17"/>
      <c r="Y41" s="17"/>
      <c r="Z41" s="17"/>
      <c r="AA41" s="286"/>
      <c r="AB41" s="287"/>
      <c r="AC41" s="19"/>
      <c r="AD41" s="19"/>
      <c r="AE41" s="15">
        <f t="shared" si="8"/>
        <v>-106.51685393258413</v>
      </c>
      <c r="AF41" s="288">
        <f t="shared" si="9"/>
        <v>0.95561797752808997</v>
      </c>
      <c r="AG41" s="619"/>
    </row>
    <row r="42" spans="1:33" ht="15.75" customHeight="1">
      <c r="A42" s="636" t="s">
        <v>1323</v>
      </c>
      <c r="B42" s="33" t="s">
        <v>184</v>
      </c>
      <c r="C42" s="620"/>
      <c r="D42" s="620"/>
      <c r="E42" s="289"/>
      <c r="F42" s="292"/>
      <c r="G42" s="283"/>
      <c r="H42" s="292"/>
      <c r="I42" s="23">
        <v>17</v>
      </c>
      <c r="J42" s="30">
        <v>2400</v>
      </c>
      <c r="K42" s="13">
        <f t="shared" si="1"/>
        <v>141.1764705882353</v>
      </c>
      <c r="L42" s="23">
        <v>17</v>
      </c>
      <c r="M42" s="14">
        <f>AVERAGE(M34:M41)</f>
        <v>2296.5072330438356</v>
      </c>
      <c r="N42" s="13">
        <f t="shared" si="3"/>
        <v>135.08866076728444</v>
      </c>
      <c r="O42" s="15">
        <f t="shared" si="4"/>
        <v>0</v>
      </c>
      <c r="P42" s="16">
        <f t="shared" si="5"/>
        <v>-6.0878098209508664</v>
      </c>
      <c r="Q42" s="288">
        <f t="shared" si="6"/>
        <v>0.95687801376826465</v>
      </c>
      <c r="R42" s="619"/>
      <c r="S42" s="31"/>
      <c r="T42" s="31"/>
      <c r="U42" s="283"/>
      <c r="V42" s="291"/>
      <c r="W42" s="283"/>
      <c r="X42" s="283"/>
      <c r="Y42" s="24">
        <f>SUM(Y34:Y41)</f>
        <v>0</v>
      </c>
      <c r="Z42" s="24">
        <f>SUM(Z34:Z41)</f>
        <v>0</v>
      </c>
      <c r="AA42" s="609"/>
      <c r="AB42" s="609"/>
      <c r="AC42" s="24">
        <v>8</v>
      </c>
      <c r="AD42" s="24">
        <f>SUM(AD34:AD41)</f>
        <v>0</v>
      </c>
      <c r="AE42" s="15">
        <f t="shared" si="8"/>
        <v>-103.49276695616436</v>
      </c>
      <c r="AF42" s="288">
        <f t="shared" si="9"/>
        <v>0.95687801376826487</v>
      </c>
      <c r="AG42" s="619"/>
    </row>
    <row r="43" spans="1:33" ht="15.75" customHeight="1">
      <c r="A43" s="633" t="s">
        <v>1324</v>
      </c>
      <c r="B43" s="33" t="s">
        <v>27</v>
      </c>
      <c r="C43" s="611" t="s">
        <v>33</v>
      </c>
      <c r="D43" s="611"/>
      <c r="E43" s="33">
        <v>26.18</v>
      </c>
      <c r="F43" s="292">
        <v>4200</v>
      </c>
      <c r="G43" s="283">
        <f t="shared" ref="G43:G50" si="27">E43*F43</f>
        <v>109956</v>
      </c>
      <c r="H43" s="29">
        <v>2</v>
      </c>
      <c r="I43" s="290">
        <v>20</v>
      </c>
      <c r="J43" s="30">
        <v>2400</v>
      </c>
      <c r="K43" s="13">
        <f t="shared" si="1"/>
        <v>120</v>
      </c>
      <c r="L43" s="290">
        <v>20</v>
      </c>
      <c r="M43" s="14">
        <f t="shared" ref="M43:M50" si="28">F43/V43*60</f>
        <v>2290.909090909091</v>
      </c>
      <c r="N43" s="13">
        <f t="shared" si="3"/>
        <v>114.54545454545455</v>
      </c>
      <c r="O43" s="15">
        <f t="shared" si="4"/>
        <v>0</v>
      </c>
      <c r="P43" s="16">
        <f t="shared" si="5"/>
        <v>-5.4545454545454533</v>
      </c>
      <c r="Q43" s="288">
        <f t="shared" si="6"/>
        <v>0.95454545454545459</v>
      </c>
      <c r="R43" s="619">
        <f>Q51</f>
        <v>0.95388971187684846</v>
      </c>
      <c r="S43" s="31">
        <v>8.3333333333333329E-2</v>
      </c>
      <c r="T43" s="31">
        <v>0.15972222222222221</v>
      </c>
      <c r="U43" s="283"/>
      <c r="V43" s="291">
        <f t="shared" ref="V43:V50" si="29">(T43-S43)*24*60</f>
        <v>109.99999999999999</v>
      </c>
      <c r="W43" s="22">
        <f>T43</f>
        <v>0.15972222222222221</v>
      </c>
      <c r="X43" s="22">
        <f>S44</f>
        <v>0.1784722222222222</v>
      </c>
      <c r="Y43" s="22"/>
      <c r="Z43" s="22"/>
      <c r="AA43" s="610"/>
      <c r="AB43" s="610"/>
      <c r="AC43" s="19">
        <v>8</v>
      </c>
      <c r="AD43" s="19"/>
      <c r="AE43" s="15">
        <f t="shared" si="8"/>
        <v>-109.09090909090901</v>
      </c>
      <c r="AF43" s="288">
        <f t="shared" si="9"/>
        <v>0.95454545454545459</v>
      </c>
      <c r="AG43" s="619">
        <f>AF51</f>
        <v>0.95388971187684835</v>
      </c>
    </row>
    <row r="44" spans="1:33" ht="15.75" customHeight="1">
      <c r="A44" s="633" t="s">
        <v>1325</v>
      </c>
      <c r="B44" s="33" t="s">
        <v>27</v>
      </c>
      <c r="C44" s="611" t="s">
        <v>30</v>
      </c>
      <c r="D44" s="611"/>
      <c r="E44" s="33">
        <v>26.18</v>
      </c>
      <c r="F44" s="292">
        <v>5500</v>
      </c>
      <c r="G44" s="283">
        <f t="shared" si="27"/>
        <v>143990</v>
      </c>
      <c r="H44" s="29">
        <v>2</v>
      </c>
      <c r="I44" s="290">
        <v>18</v>
      </c>
      <c r="J44" s="30">
        <v>2400</v>
      </c>
      <c r="K44" s="13">
        <f t="shared" si="1"/>
        <v>133.33333333333334</v>
      </c>
      <c r="L44" s="290">
        <v>18</v>
      </c>
      <c r="M44" s="14">
        <f t="shared" si="28"/>
        <v>2291.666666666667</v>
      </c>
      <c r="N44" s="13">
        <f t="shared" si="3"/>
        <v>127.31481481481484</v>
      </c>
      <c r="O44" s="15">
        <f t="shared" si="4"/>
        <v>0</v>
      </c>
      <c r="P44" s="16">
        <f t="shared" si="5"/>
        <v>-6.0185185185185048</v>
      </c>
      <c r="Q44" s="288">
        <f t="shared" si="6"/>
        <v>0.95486111111111127</v>
      </c>
      <c r="R44" s="619"/>
      <c r="S44" s="31">
        <v>0.1784722222222222</v>
      </c>
      <c r="T44" s="31">
        <v>0.27847222222222218</v>
      </c>
      <c r="U44" s="283">
        <f t="shared" ref="U44:U50" si="30">(S44-T43)*24*60</f>
        <v>26.999999999999986</v>
      </c>
      <c r="V44" s="291">
        <f t="shared" si="29"/>
        <v>143.99999999999997</v>
      </c>
      <c r="W44" s="283"/>
      <c r="X44" s="283"/>
      <c r="Y44" s="283"/>
      <c r="Z44" s="283"/>
      <c r="AA44" s="610"/>
      <c r="AB44" s="610"/>
      <c r="AC44" s="19"/>
      <c r="AD44" s="19"/>
      <c r="AE44" s="15">
        <f t="shared" si="8"/>
        <v>-108.33333333333303</v>
      </c>
      <c r="AF44" s="288">
        <f t="shared" si="9"/>
        <v>0.95486111111111127</v>
      </c>
      <c r="AG44" s="619"/>
    </row>
    <row r="45" spans="1:33">
      <c r="A45" s="634" t="s">
        <v>1325</v>
      </c>
      <c r="B45" s="33" t="s">
        <v>27</v>
      </c>
      <c r="C45" s="611" t="s">
        <v>35</v>
      </c>
      <c r="D45" s="611"/>
      <c r="E45" s="33">
        <v>34.1</v>
      </c>
      <c r="F45" s="292">
        <v>2800</v>
      </c>
      <c r="G45" s="283">
        <f t="shared" si="27"/>
        <v>95480</v>
      </c>
      <c r="H45" s="29">
        <v>2</v>
      </c>
      <c r="I45" s="290">
        <v>17</v>
      </c>
      <c r="J45" s="30">
        <v>1600</v>
      </c>
      <c r="K45" s="13">
        <f t="shared" si="1"/>
        <v>94.117647058823536</v>
      </c>
      <c r="L45" s="290">
        <v>17</v>
      </c>
      <c r="M45" s="14">
        <f t="shared" si="28"/>
        <v>1527.272727272727</v>
      </c>
      <c r="N45" s="13">
        <f t="shared" si="3"/>
        <v>89.839572192513359</v>
      </c>
      <c r="O45" s="15">
        <f t="shared" si="4"/>
        <v>0</v>
      </c>
      <c r="P45" s="16">
        <f t="shared" si="5"/>
        <v>-4.2780748663101775</v>
      </c>
      <c r="Q45" s="288">
        <f t="shared" si="6"/>
        <v>0.95454545454545436</v>
      </c>
      <c r="R45" s="619"/>
      <c r="S45" s="31">
        <v>0.28402777777777771</v>
      </c>
      <c r="T45" s="31">
        <v>0.36041666666666661</v>
      </c>
      <c r="U45" s="283">
        <f t="shared" si="30"/>
        <v>7.9999999999999716</v>
      </c>
      <c r="V45" s="291">
        <f t="shared" si="29"/>
        <v>110.00000000000001</v>
      </c>
      <c r="W45" s="283"/>
      <c r="X45" s="283"/>
      <c r="Y45" s="283"/>
      <c r="Z45" s="283"/>
      <c r="AA45" s="610"/>
      <c r="AB45" s="610"/>
      <c r="AC45" s="19"/>
      <c r="AD45" s="19"/>
      <c r="AE45" s="15">
        <f t="shared" si="8"/>
        <v>-72.727272727272975</v>
      </c>
      <c r="AF45" s="288">
        <f t="shared" si="9"/>
        <v>0.95454545454545436</v>
      </c>
      <c r="AG45" s="619"/>
    </row>
    <row r="46" spans="1:33">
      <c r="A46" s="634" t="s">
        <v>1325</v>
      </c>
      <c r="B46" s="33" t="s">
        <v>27</v>
      </c>
      <c r="C46" s="611" t="s">
        <v>54</v>
      </c>
      <c r="D46" s="611"/>
      <c r="E46" s="33">
        <v>24.25</v>
      </c>
      <c r="F46" s="292">
        <v>2440</v>
      </c>
      <c r="G46" s="283">
        <f t="shared" si="27"/>
        <v>59170</v>
      </c>
      <c r="H46" s="29" t="s">
        <v>5</v>
      </c>
      <c r="I46" s="290">
        <v>16</v>
      </c>
      <c r="J46" s="30">
        <v>2400</v>
      </c>
      <c r="K46" s="13">
        <f t="shared" si="1"/>
        <v>150</v>
      </c>
      <c r="L46" s="290">
        <v>16</v>
      </c>
      <c r="M46" s="14">
        <f t="shared" si="28"/>
        <v>2287.4999999999995</v>
      </c>
      <c r="N46" s="13">
        <f t="shared" si="3"/>
        <v>142.96874999999997</v>
      </c>
      <c r="O46" s="15">
        <f t="shared" si="4"/>
        <v>0</v>
      </c>
      <c r="P46" s="16">
        <f t="shared" si="5"/>
        <v>-7.0312500000000284</v>
      </c>
      <c r="Q46" s="288">
        <f t="shared" si="6"/>
        <v>0.95312499999999978</v>
      </c>
      <c r="R46" s="619"/>
      <c r="S46" s="31">
        <v>0.36388888888888882</v>
      </c>
      <c r="T46" s="31">
        <v>0.40833333333333327</v>
      </c>
      <c r="U46" s="283">
        <f t="shared" si="30"/>
        <v>4.9999999999999822</v>
      </c>
      <c r="V46" s="291">
        <f t="shared" si="29"/>
        <v>64.000000000000014</v>
      </c>
      <c r="W46" s="17"/>
      <c r="X46" s="17"/>
      <c r="Y46" s="17"/>
      <c r="Z46" s="17"/>
      <c r="AA46" s="610"/>
      <c r="AB46" s="610"/>
      <c r="AC46" s="19"/>
      <c r="AD46" s="19"/>
      <c r="AE46" s="15">
        <f t="shared" si="8"/>
        <v>-112.50000000000045</v>
      </c>
      <c r="AF46" s="288">
        <f t="shared" si="9"/>
        <v>0.95312499999999978</v>
      </c>
      <c r="AG46" s="619"/>
    </row>
    <row r="47" spans="1:33">
      <c r="A47" s="634" t="s">
        <v>1325</v>
      </c>
      <c r="B47" s="33" t="s">
        <v>27</v>
      </c>
      <c r="C47" s="611" t="s">
        <v>32</v>
      </c>
      <c r="D47" s="611"/>
      <c r="E47" s="33">
        <v>25.99</v>
      </c>
      <c r="F47" s="292">
        <v>4646</v>
      </c>
      <c r="G47" s="283">
        <f t="shared" si="27"/>
        <v>120749.54</v>
      </c>
      <c r="H47" s="29" t="s">
        <v>5</v>
      </c>
      <c r="I47" s="290">
        <v>14</v>
      </c>
      <c r="J47" s="30">
        <v>2400</v>
      </c>
      <c r="K47" s="13">
        <f t="shared" si="1"/>
        <v>171.42857142857142</v>
      </c>
      <c r="L47" s="290">
        <v>14</v>
      </c>
      <c r="M47" s="14">
        <f t="shared" si="28"/>
        <v>2284.9180327868858</v>
      </c>
      <c r="N47" s="13">
        <f t="shared" si="3"/>
        <v>163.20843091334899</v>
      </c>
      <c r="O47" s="15">
        <f t="shared" si="4"/>
        <v>0</v>
      </c>
      <c r="P47" s="16">
        <f t="shared" si="5"/>
        <v>-8.2201405152224254</v>
      </c>
      <c r="Q47" s="288">
        <f t="shared" si="6"/>
        <v>0.95204918032786923</v>
      </c>
      <c r="R47" s="619"/>
      <c r="S47" s="31">
        <v>0.41180555555555548</v>
      </c>
      <c r="T47" s="31">
        <v>0.49652777777777768</v>
      </c>
      <c r="U47" s="283">
        <f t="shared" si="30"/>
        <v>4.9999999999999822</v>
      </c>
      <c r="V47" s="291">
        <f t="shared" si="29"/>
        <v>121.99999999999997</v>
      </c>
      <c r="W47" s="17"/>
      <c r="X47" s="17"/>
      <c r="Y47" s="17"/>
      <c r="Z47" s="17"/>
      <c r="AA47" s="610"/>
      <c r="AB47" s="610"/>
      <c r="AC47" s="19"/>
      <c r="AD47" s="19"/>
      <c r="AE47" s="15">
        <f t="shared" si="8"/>
        <v>-115.08196721311424</v>
      </c>
      <c r="AF47" s="288">
        <f t="shared" si="9"/>
        <v>0.95204918032786912</v>
      </c>
      <c r="AG47" s="619"/>
    </row>
    <row r="48" spans="1:33">
      <c r="A48" s="634" t="s">
        <v>1325</v>
      </c>
      <c r="B48" s="33" t="s">
        <v>27</v>
      </c>
      <c r="C48" s="611" t="s">
        <v>35</v>
      </c>
      <c r="D48" s="611"/>
      <c r="E48" s="33">
        <v>34.1</v>
      </c>
      <c r="F48" s="292">
        <v>4681</v>
      </c>
      <c r="G48" s="283">
        <f t="shared" si="27"/>
        <v>159622.1</v>
      </c>
      <c r="H48" s="29" t="s">
        <v>5</v>
      </c>
      <c r="I48" s="290">
        <v>17</v>
      </c>
      <c r="J48" s="30">
        <v>1600</v>
      </c>
      <c r="K48" s="13">
        <f t="shared" si="1"/>
        <v>94.117647058823536</v>
      </c>
      <c r="L48" s="290">
        <v>17</v>
      </c>
      <c r="M48" s="14">
        <f t="shared" si="28"/>
        <v>1526.4130434782608</v>
      </c>
      <c r="N48" s="13">
        <f t="shared" si="3"/>
        <v>89.789002557544748</v>
      </c>
      <c r="O48" s="15">
        <f t="shared" si="4"/>
        <v>0</v>
      </c>
      <c r="P48" s="16">
        <f t="shared" si="5"/>
        <v>-4.328644501278788</v>
      </c>
      <c r="Q48" s="288">
        <f t="shared" si="6"/>
        <v>0.95400815217391288</v>
      </c>
      <c r="R48" s="619"/>
      <c r="S48" s="31">
        <v>0.50069444444444433</v>
      </c>
      <c r="T48" s="31">
        <v>0.6284722222222221</v>
      </c>
      <c r="U48" s="283">
        <f t="shared" si="30"/>
        <v>5.9999999999999787</v>
      </c>
      <c r="V48" s="291">
        <f t="shared" si="29"/>
        <v>184</v>
      </c>
      <c r="W48" s="17"/>
      <c r="X48" s="17"/>
      <c r="Y48" s="17"/>
      <c r="Z48" s="17"/>
      <c r="AA48" s="610"/>
      <c r="AB48" s="610"/>
      <c r="AC48" s="19"/>
      <c r="AD48" s="19"/>
      <c r="AE48" s="15">
        <f t="shared" si="8"/>
        <v>-73.586956521739239</v>
      </c>
      <c r="AF48" s="288">
        <f t="shared" si="9"/>
        <v>0.95400815217391299</v>
      </c>
      <c r="AG48" s="619"/>
    </row>
    <row r="49" spans="1:33">
      <c r="A49" s="634" t="s">
        <v>1325</v>
      </c>
      <c r="B49" s="33" t="s">
        <v>27</v>
      </c>
      <c r="C49" s="611" t="s">
        <v>30</v>
      </c>
      <c r="D49" s="611"/>
      <c r="E49" s="33">
        <v>26.18</v>
      </c>
      <c r="F49" s="292">
        <v>4456</v>
      </c>
      <c r="G49" s="283">
        <f t="shared" si="27"/>
        <v>116658.08</v>
      </c>
      <c r="H49" s="29" t="s">
        <v>5</v>
      </c>
      <c r="I49" s="290">
        <v>18</v>
      </c>
      <c r="J49" s="30">
        <v>2400</v>
      </c>
      <c r="K49" s="13">
        <f t="shared" si="1"/>
        <v>133.33333333333334</v>
      </c>
      <c r="L49" s="290">
        <v>18</v>
      </c>
      <c r="M49" s="14">
        <f t="shared" si="28"/>
        <v>2285.1282051282037</v>
      </c>
      <c r="N49" s="13">
        <f t="shared" si="3"/>
        <v>126.95156695156687</v>
      </c>
      <c r="O49" s="15">
        <f t="shared" si="4"/>
        <v>0</v>
      </c>
      <c r="P49" s="16">
        <f t="shared" si="5"/>
        <v>-6.381766381766468</v>
      </c>
      <c r="Q49" s="288">
        <f t="shared" si="6"/>
        <v>0.95213675213675153</v>
      </c>
      <c r="R49" s="619"/>
      <c r="S49" s="31">
        <v>0.63402777777777763</v>
      </c>
      <c r="T49" s="31">
        <v>0.71527777777777768</v>
      </c>
      <c r="U49" s="283">
        <f t="shared" si="30"/>
        <v>7.9999999999999716</v>
      </c>
      <c r="V49" s="291">
        <f t="shared" si="29"/>
        <v>117.00000000000006</v>
      </c>
      <c r="W49" s="17"/>
      <c r="X49" s="17"/>
      <c r="Y49" s="20"/>
      <c r="Z49" s="20"/>
      <c r="AA49" s="614"/>
      <c r="AB49" s="615"/>
      <c r="AC49" s="19"/>
      <c r="AD49" s="19"/>
      <c r="AE49" s="15">
        <f t="shared" si="8"/>
        <v>-114.87179487179628</v>
      </c>
      <c r="AF49" s="288">
        <f t="shared" si="9"/>
        <v>0.95213675213675153</v>
      </c>
      <c r="AG49" s="619"/>
    </row>
    <row r="50" spans="1:33">
      <c r="A50" s="634" t="s">
        <v>1325</v>
      </c>
      <c r="B50" s="33" t="s">
        <v>27</v>
      </c>
      <c r="C50" s="611" t="s">
        <v>33</v>
      </c>
      <c r="D50" s="611"/>
      <c r="E50" s="33">
        <v>26.18</v>
      </c>
      <c r="F50" s="292">
        <v>3289</v>
      </c>
      <c r="G50" s="283">
        <f t="shared" si="27"/>
        <v>86106.02</v>
      </c>
      <c r="H50" s="29" t="s">
        <v>5</v>
      </c>
      <c r="I50" s="290">
        <v>20</v>
      </c>
      <c r="J50" s="30">
        <v>2400</v>
      </c>
      <c r="K50" s="13">
        <f t="shared" si="1"/>
        <v>120</v>
      </c>
      <c r="L50" s="290">
        <v>20</v>
      </c>
      <c r="M50" s="14">
        <f t="shared" si="28"/>
        <v>2294.6511627906975</v>
      </c>
      <c r="N50" s="13">
        <f t="shared" si="3"/>
        <v>114.73255813953487</v>
      </c>
      <c r="O50" s="15">
        <f t="shared" si="4"/>
        <v>0</v>
      </c>
      <c r="P50" s="16">
        <f t="shared" si="5"/>
        <v>-5.2674418604651265</v>
      </c>
      <c r="Q50" s="288">
        <f t="shared" si="6"/>
        <v>0.95610465116279064</v>
      </c>
      <c r="R50" s="619"/>
      <c r="S50" s="31">
        <v>0.71944444444444433</v>
      </c>
      <c r="T50" s="31">
        <v>0.77916666666666656</v>
      </c>
      <c r="U50" s="283">
        <f t="shared" si="30"/>
        <v>5.9999999999999787</v>
      </c>
      <c r="V50" s="291">
        <f t="shared" si="29"/>
        <v>86.000000000000014</v>
      </c>
      <c r="W50" s="17"/>
      <c r="X50" s="17"/>
      <c r="Y50" s="20"/>
      <c r="Z50" s="20"/>
      <c r="AA50" s="614"/>
      <c r="AB50" s="615"/>
      <c r="AC50" s="19"/>
      <c r="AD50" s="19"/>
      <c r="AE50" s="15">
        <f t="shared" si="8"/>
        <v>-105.34883720930247</v>
      </c>
      <c r="AF50" s="288">
        <f t="shared" si="9"/>
        <v>0.95610465116279064</v>
      </c>
      <c r="AG50" s="619"/>
    </row>
    <row r="51" spans="1:33">
      <c r="A51" s="634" t="s">
        <v>1325</v>
      </c>
      <c r="B51" s="34" t="s">
        <v>1326</v>
      </c>
      <c r="C51" s="620"/>
      <c r="D51" s="620"/>
      <c r="E51" s="289"/>
      <c r="F51" s="34"/>
      <c r="G51" s="13"/>
      <c r="H51" s="292"/>
      <c r="I51" s="23">
        <v>17.5</v>
      </c>
      <c r="J51" s="30">
        <v>2200</v>
      </c>
      <c r="K51" s="13">
        <f t="shared" si="1"/>
        <v>125.71428571428571</v>
      </c>
      <c r="L51" s="23">
        <v>17.5</v>
      </c>
      <c r="M51" s="14">
        <f>AVERAGE(M43:M50)</f>
        <v>2098.5573661290664</v>
      </c>
      <c r="N51" s="13">
        <f t="shared" si="3"/>
        <v>119.9175637788038</v>
      </c>
      <c r="O51" s="15">
        <f t="shared" si="4"/>
        <v>0</v>
      </c>
      <c r="P51" s="16">
        <f t="shared" si="5"/>
        <v>-5.7967219354819122</v>
      </c>
      <c r="Q51" s="288">
        <f t="shared" si="6"/>
        <v>0.95388971187684846</v>
      </c>
      <c r="R51" s="619"/>
      <c r="S51" s="31"/>
      <c r="T51" s="31"/>
      <c r="U51" s="13"/>
      <c r="V51" s="291"/>
      <c r="W51" s="13"/>
      <c r="X51" s="13"/>
      <c r="Y51" s="24">
        <f>SUM(Y43:Y50)</f>
        <v>0</v>
      </c>
      <c r="Z51" s="24">
        <f>SUM(Z43:Z50)</f>
        <v>0</v>
      </c>
      <c r="AA51" s="609"/>
      <c r="AB51" s="609"/>
      <c r="AC51" s="24">
        <v>8</v>
      </c>
      <c r="AD51" s="24">
        <f>SUM(AD43:AD50)</f>
        <v>0</v>
      </c>
      <c r="AE51" s="15">
        <f t="shared" si="8"/>
        <v>-101.44263387093361</v>
      </c>
      <c r="AF51" s="288">
        <f t="shared" si="9"/>
        <v>0.95388971187684835</v>
      </c>
      <c r="AG51" s="619"/>
    </row>
    <row r="52" spans="1:33" ht="15.75" customHeight="1">
      <c r="A52" s="630" t="s">
        <v>1327</v>
      </c>
      <c r="B52" s="33" t="s">
        <v>36</v>
      </c>
      <c r="C52" s="612" t="s">
        <v>37</v>
      </c>
      <c r="D52" s="613"/>
      <c r="E52" s="33">
        <v>21.13</v>
      </c>
      <c r="F52" s="292">
        <v>6648</v>
      </c>
      <c r="G52" s="283">
        <f t="shared" ref="G52:G54" si="31">E52*F52</f>
        <v>140472.24</v>
      </c>
      <c r="H52" s="29" t="s">
        <v>5</v>
      </c>
      <c r="I52" s="290">
        <v>10</v>
      </c>
      <c r="J52" s="30">
        <v>3000</v>
      </c>
      <c r="K52" s="13">
        <f t="shared" si="1"/>
        <v>300</v>
      </c>
      <c r="L52" s="290">
        <v>10</v>
      </c>
      <c r="M52" s="14">
        <f t="shared" ref="M52:M54" si="32">F52/V52*60</f>
        <v>2869.6402877697833</v>
      </c>
      <c r="N52" s="14">
        <f t="shared" si="3"/>
        <v>286.96402877697835</v>
      </c>
      <c r="O52" s="15">
        <f t="shared" si="4"/>
        <v>0</v>
      </c>
      <c r="P52" s="16">
        <f t="shared" si="5"/>
        <v>-13.035971223021647</v>
      </c>
      <c r="Q52" s="288">
        <f t="shared" si="6"/>
        <v>0.95654676258992788</v>
      </c>
      <c r="R52" s="625">
        <f>Q55</f>
        <v>0.95459892086330977</v>
      </c>
      <c r="S52" s="31">
        <v>0.20833333333333334</v>
      </c>
      <c r="T52" s="31">
        <v>0.30486111111111114</v>
      </c>
      <c r="U52" s="22"/>
      <c r="V52" s="291">
        <f t="shared" ref="V52:V54" si="33">(T52-S52)*24*60</f>
        <v>139.00000000000003</v>
      </c>
      <c r="W52" s="17"/>
      <c r="X52" s="17"/>
      <c r="Y52" s="20"/>
      <c r="Z52" s="20"/>
      <c r="AA52" s="614"/>
      <c r="AB52" s="615"/>
      <c r="AC52" s="19">
        <v>3</v>
      </c>
      <c r="AD52" s="19"/>
      <c r="AE52" s="15">
        <f t="shared" si="8"/>
        <v>-130.3597122302167</v>
      </c>
      <c r="AF52" s="288">
        <f t="shared" si="9"/>
        <v>0.95654676258992777</v>
      </c>
      <c r="AG52" s="625">
        <f>AF55</f>
        <v>0.95459892086330966</v>
      </c>
    </row>
    <row r="53" spans="1:33" ht="15.75" customHeight="1">
      <c r="A53" s="631" t="s">
        <v>1328</v>
      </c>
      <c r="B53" s="33" t="s">
        <v>36</v>
      </c>
      <c r="C53" s="612" t="s">
        <v>38</v>
      </c>
      <c r="D53" s="613"/>
      <c r="E53" s="33">
        <v>27.17</v>
      </c>
      <c r="F53" s="292">
        <v>7633</v>
      </c>
      <c r="G53" s="283">
        <f t="shared" si="31"/>
        <v>207388.61000000002</v>
      </c>
      <c r="H53" s="29" t="s">
        <v>5</v>
      </c>
      <c r="I53" s="290">
        <v>10</v>
      </c>
      <c r="J53" s="30">
        <v>3000</v>
      </c>
      <c r="K53" s="13">
        <f t="shared" si="1"/>
        <v>300</v>
      </c>
      <c r="L53" s="290">
        <v>10</v>
      </c>
      <c r="M53" s="14">
        <f t="shared" si="32"/>
        <v>2862.375</v>
      </c>
      <c r="N53" s="14">
        <f t="shared" si="3"/>
        <v>286.23750000000001</v>
      </c>
      <c r="O53" s="15">
        <f t="shared" si="4"/>
        <v>0</v>
      </c>
      <c r="P53" s="16">
        <f t="shared" si="5"/>
        <v>-13.762499999999989</v>
      </c>
      <c r="Q53" s="288">
        <f t="shared" si="6"/>
        <v>0.954125</v>
      </c>
      <c r="R53" s="626"/>
      <c r="S53" s="31">
        <v>0.30902777777777779</v>
      </c>
      <c r="T53" s="31">
        <v>0.4201388888888889</v>
      </c>
      <c r="U53" s="283">
        <f t="shared" ref="U53:U54" si="34">(S53-T52)*24*60</f>
        <v>5.9999999999999787</v>
      </c>
      <c r="V53" s="291">
        <f t="shared" si="33"/>
        <v>160</v>
      </c>
      <c r="W53" s="17"/>
      <c r="X53" s="17"/>
      <c r="Y53" s="20"/>
      <c r="Z53" s="20"/>
      <c r="AA53" s="614"/>
      <c r="AB53" s="615"/>
      <c r="AC53" s="19"/>
      <c r="AD53" s="19"/>
      <c r="AE53" s="15">
        <f t="shared" si="8"/>
        <v>-137.625</v>
      </c>
      <c r="AF53" s="288">
        <f t="shared" si="9"/>
        <v>0.954125</v>
      </c>
      <c r="AG53" s="626"/>
    </row>
    <row r="54" spans="1:33" ht="15.75" customHeight="1">
      <c r="A54" s="631" t="s">
        <v>1328</v>
      </c>
      <c r="B54" s="33" t="s">
        <v>36</v>
      </c>
      <c r="C54" s="612" t="s">
        <v>39</v>
      </c>
      <c r="D54" s="613"/>
      <c r="E54" s="33">
        <v>35.869999999999997</v>
      </c>
      <c r="F54" s="292">
        <v>1525</v>
      </c>
      <c r="G54" s="283">
        <f t="shared" si="31"/>
        <v>54701.749999999993</v>
      </c>
      <c r="H54" s="29" t="s">
        <v>5</v>
      </c>
      <c r="I54" s="290">
        <v>9</v>
      </c>
      <c r="J54" s="30">
        <v>3000</v>
      </c>
      <c r="K54" s="13">
        <f t="shared" si="1"/>
        <v>333.33333333333331</v>
      </c>
      <c r="L54" s="290">
        <v>9</v>
      </c>
      <c r="M54" s="14">
        <f t="shared" si="32"/>
        <v>2859.3750000000032</v>
      </c>
      <c r="N54" s="14">
        <f t="shared" si="3"/>
        <v>317.70833333333371</v>
      </c>
      <c r="O54" s="15">
        <f t="shared" si="4"/>
        <v>0</v>
      </c>
      <c r="P54" s="16">
        <f t="shared" si="5"/>
        <v>-15.624999999999602</v>
      </c>
      <c r="Q54" s="288">
        <f t="shared" si="6"/>
        <v>0.95312500000000122</v>
      </c>
      <c r="R54" s="626"/>
      <c r="S54" s="31">
        <v>0.4236111111111111</v>
      </c>
      <c r="T54" s="31">
        <v>0.4458333333333333</v>
      </c>
      <c r="U54" s="283">
        <f t="shared" si="34"/>
        <v>4.9999999999999822</v>
      </c>
      <c r="V54" s="291">
        <f t="shared" si="33"/>
        <v>31.999999999999964</v>
      </c>
      <c r="W54" s="17"/>
      <c r="X54" s="17"/>
      <c r="Y54" s="20"/>
      <c r="Z54" s="20"/>
      <c r="AA54" s="614"/>
      <c r="AB54" s="615"/>
      <c r="AC54" s="19"/>
      <c r="AD54" s="19"/>
      <c r="AE54" s="15">
        <f t="shared" si="8"/>
        <v>-140.62499999999682</v>
      </c>
      <c r="AF54" s="288">
        <f t="shared" si="9"/>
        <v>0.95312500000000111</v>
      </c>
      <c r="AG54" s="626"/>
    </row>
    <row r="55" spans="1:33" ht="15.75" customHeight="1">
      <c r="A55" s="632" t="s">
        <v>1328</v>
      </c>
      <c r="B55" s="33" t="s">
        <v>1310</v>
      </c>
      <c r="C55" s="607"/>
      <c r="D55" s="608"/>
      <c r="E55" s="281"/>
      <c r="F55" s="292"/>
      <c r="G55" s="283"/>
      <c r="H55" s="292"/>
      <c r="I55" s="23">
        <v>9.6666666666666661</v>
      </c>
      <c r="J55" s="30">
        <v>3000</v>
      </c>
      <c r="K55" s="13">
        <f t="shared" si="1"/>
        <v>310.34482758620692</v>
      </c>
      <c r="L55" s="23">
        <v>9.6666666666666661</v>
      </c>
      <c r="M55" s="14">
        <f>AVERAGE(M52:M54)</f>
        <v>2863.7967625899291</v>
      </c>
      <c r="N55" s="13">
        <f t="shared" si="3"/>
        <v>296.25483750930306</v>
      </c>
      <c r="O55" s="15">
        <f t="shared" si="4"/>
        <v>0</v>
      </c>
      <c r="P55" s="16">
        <f t="shared" si="5"/>
        <v>-14.08999007690386</v>
      </c>
      <c r="Q55" s="288">
        <f t="shared" si="6"/>
        <v>0.95459892086330977</v>
      </c>
      <c r="R55" s="627"/>
      <c r="S55" s="31"/>
      <c r="T55" s="31"/>
      <c r="U55" s="283"/>
      <c r="V55" s="291"/>
      <c r="W55" s="17"/>
      <c r="X55" s="17"/>
      <c r="Y55" s="24">
        <f>SUM(Y52:Y54)</f>
        <v>0</v>
      </c>
      <c r="Z55" s="24">
        <f>SUM(Z52:Z54)</f>
        <v>0</v>
      </c>
      <c r="AA55" s="628"/>
      <c r="AB55" s="629"/>
      <c r="AC55" s="24">
        <v>3</v>
      </c>
      <c r="AD55" s="24">
        <f>SUM(AD52:AD54)</f>
        <v>0</v>
      </c>
      <c r="AE55" s="15">
        <f t="shared" si="8"/>
        <v>-136.20323741007087</v>
      </c>
      <c r="AF55" s="288">
        <f t="shared" si="9"/>
        <v>0.95459892086330966</v>
      </c>
      <c r="AG55" s="627"/>
    </row>
    <row r="56" spans="1:33" ht="15.75" customHeight="1">
      <c r="A56" s="623" t="s">
        <v>1329</v>
      </c>
      <c r="B56" s="33" t="s">
        <v>6</v>
      </c>
      <c r="C56" s="611" t="s">
        <v>41</v>
      </c>
      <c r="D56" s="611"/>
      <c r="E56" s="33">
        <v>51.44</v>
      </c>
      <c r="F56" s="35">
        <v>1633</v>
      </c>
      <c r="G56" s="283">
        <f t="shared" ref="G56:G64" si="35">E56*F56</f>
        <v>84001.51999999999</v>
      </c>
      <c r="H56" s="29" t="s">
        <v>5</v>
      </c>
      <c r="I56" s="290">
        <v>25</v>
      </c>
      <c r="J56" s="30">
        <v>2000</v>
      </c>
      <c r="K56" s="13">
        <f t="shared" si="1"/>
        <v>80</v>
      </c>
      <c r="L56" s="290">
        <v>25</v>
      </c>
      <c r="M56" s="14">
        <f t="shared" ref="M56" si="36">F56/V56*60</f>
        <v>1921.1764705882347</v>
      </c>
      <c r="N56" s="14">
        <f t="shared" si="3"/>
        <v>76.84705882352938</v>
      </c>
      <c r="O56" s="15">
        <f t="shared" si="4"/>
        <v>0</v>
      </c>
      <c r="P56" s="16">
        <f t="shared" si="5"/>
        <v>-3.1529411764706197</v>
      </c>
      <c r="Q56" s="288">
        <f t="shared" si="6"/>
        <v>0.9605882352941173</v>
      </c>
      <c r="R56" s="619">
        <f>Q65</f>
        <v>0.95906915619085586</v>
      </c>
      <c r="S56" s="31">
        <v>0.20833333333333334</v>
      </c>
      <c r="T56" s="31">
        <v>0.24375000000000002</v>
      </c>
      <c r="U56" s="22"/>
      <c r="V56" s="291">
        <f t="shared" ref="V56:V64" si="37">(T56-S56)*24*60</f>
        <v>51.000000000000021</v>
      </c>
      <c r="W56" s="17"/>
      <c r="X56" s="17"/>
      <c r="Y56" s="22"/>
      <c r="Z56" s="22"/>
      <c r="AA56" s="610"/>
      <c r="AB56" s="610"/>
      <c r="AC56" s="19">
        <v>9</v>
      </c>
      <c r="AD56" s="19"/>
      <c r="AE56" s="15">
        <f t="shared" si="8"/>
        <v>-78.823529411765321</v>
      </c>
      <c r="AF56" s="288">
        <f t="shared" si="9"/>
        <v>0.9605882352941173</v>
      </c>
      <c r="AG56" s="619">
        <f>AF65</f>
        <v>0.95906915619085575</v>
      </c>
    </row>
    <row r="57" spans="1:33" ht="15.75" customHeight="1">
      <c r="A57" s="623" t="s">
        <v>1329</v>
      </c>
      <c r="B57" s="33" t="s">
        <v>6</v>
      </c>
      <c r="C57" s="611" t="s">
        <v>77</v>
      </c>
      <c r="D57" s="611"/>
      <c r="E57" s="33">
        <v>56.43</v>
      </c>
      <c r="F57" s="35">
        <v>1785</v>
      </c>
      <c r="G57" s="283">
        <f t="shared" si="35"/>
        <v>100727.55</v>
      </c>
      <c r="H57" s="29" t="s">
        <v>5</v>
      </c>
      <c r="I57" s="290">
        <v>23</v>
      </c>
      <c r="J57" s="30">
        <v>2000</v>
      </c>
      <c r="K57" s="13">
        <f t="shared" si="1"/>
        <v>86.956521739130437</v>
      </c>
      <c r="L57" s="290">
        <v>23</v>
      </c>
      <c r="M57" s="14">
        <f>F57/V57*60</f>
        <v>1912.5</v>
      </c>
      <c r="N57" s="14">
        <f t="shared" si="3"/>
        <v>83.152173913043484</v>
      </c>
      <c r="O57" s="15">
        <f t="shared" si="4"/>
        <v>0</v>
      </c>
      <c r="P57" s="16">
        <f t="shared" si="5"/>
        <v>-3.8043478260869534</v>
      </c>
      <c r="Q57" s="288">
        <f t="shared" si="6"/>
        <v>0.95625000000000004</v>
      </c>
      <c r="R57" s="619"/>
      <c r="S57" s="31">
        <v>0.2479166666666667</v>
      </c>
      <c r="T57" s="31">
        <v>0.28680555555555559</v>
      </c>
      <c r="U57" s="283">
        <f t="shared" ref="U57:U64" si="38">IF(S57=TIME(17,0,0),"",(S57-T56)*24*60)</f>
        <v>6.0000000000000187</v>
      </c>
      <c r="V57" s="291">
        <f t="shared" si="37"/>
        <v>56</v>
      </c>
      <c r="W57" s="17"/>
      <c r="X57" s="17"/>
      <c r="Y57" s="17"/>
      <c r="Z57" s="17"/>
      <c r="AA57" s="610"/>
      <c r="AB57" s="610"/>
      <c r="AC57" s="19"/>
      <c r="AD57" s="19"/>
      <c r="AE57" s="15">
        <f t="shared" si="8"/>
        <v>-87.5</v>
      </c>
      <c r="AF57" s="288">
        <f t="shared" si="9"/>
        <v>0.95625000000000004</v>
      </c>
      <c r="AG57" s="619"/>
    </row>
    <row r="58" spans="1:33" ht="15.75" customHeight="1">
      <c r="A58" s="623" t="s">
        <v>1329</v>
      </c>
      <c r="B58" s="33" t="s">
        <v>6</v>
      </c>
      <c r="C58" s="612" t="s">
        <v>73</v>
      </c>
      <c r="D58" s="613"/>
      <c r="E58" s="33">
        <v>56.43</v>
      </c>
      <c r="F58" s="35">
        <v>1555</v>
      </c>
      <c r="G58" s="283">
        <f t="shared" si="35"/>
        <v>87748.65</v>
      </c>
      <c r="H58" s="29" t="s">
        <v>5</v>
      </c>
      <c r="I58" s="290">
        <v>25</v>
      </c>
      <c r="J58" s="30">
        <v>2000</v>
      </c>
      <c r="K58" s="13">
        <f t="shared" si="1"/>
        <v>80</v>
      </c>
      <c r="L58" s="290">
        <v>25</v>
      </c>
      <c r="M58" s="14">
        <f t="shared" ref="M58:M64" si="39">F58/V58*60</f>
        <v>1904.0816326530619</v>
      </c>
      <c r="N58" s="14">
        <f t="shared" si="3"/>
        <v>76.163265306122469</v>
      </c>
      <c r="O58" s="15">
        <f t="shared" si="4"/>
        <v>0</v>
      </c>
      <c r="P58" s="16">
        <f t="shared" si="5"/>
        <v>-3.8367346938775313</v>
      </c>
      <c r="Q58" s="288">
        <f t="shared" si="6"/>
        <v>0.95204081632653081</v>
      </c>
      <c r="R58" s="619"/>
      <c r="S58" s="31">
        <v>0.2902777777777778</v>
      </c>
      <c r="T58" s="31">
        <v>0.32430555555555557</v>
      </c>
      <c r="U58" s="283">
        <f t="shared" si="38"/>
        <v>4.9999999999999822</v>
      </c>
      <c r="V58" s="291">
        <f t="shared" si="37"/>
        <v>48.999999999999986</v>
      </c>
      <c r="W58" s="17"/>
      <c r="X58" s="17"/>
      <c r="Y58" s="20"/>
      <c r="Z58" s="20"/>
      <c r="AA58" s="610"/>
      <c r="AB58" s="610"/>
      <c r="AC58" s="19"/>
      <c r="AD58" s="19"/>
      <c r="AE58" s="15">
        <f t="shared" si="8"/>
        <v>-95.918367346938112</v>
      </c>
      <c r="AF58" s="288">
        <f t="shared" si="9"/>
        <v>0.95204081632653093</v>
      </c>
      <c r="AG58" s="619"/>
    </row>
    <row r="59" spans="1:33" ht="15.75" customHeight="1">
      <c r="A59" s="623" t="s">
        <v>1329</v>
      </c>
      <c r="B59" s="33" t="s">
        <v>10</v>
      </c>
      <c r="C59" s="284" t="s">
        <v>42</v>
      </c>
      <c r="D59" s="285"/>
      <c r="E59" s="33">
        <v>46</v>
      </c>
      <c r="F59" s="35">
        <v>1644</v>
      </c>
      <c r="G59" s="283">
        <f t="shared" si="35"/>
        <v>75624</v>
      </c>
      <c r="H59" s="29" t="s">
        <v>5</v>
      </c>
      <c r="I59" s="290">
        <v>16</v>
      </c>
      <c r="J59" s="30">
        <v>2000</v>
      </c>
      <c r="K59" s="13">
        <f t="shared" si="1"/>
        <v>125</v>
      </c>
      <c r="L59" s="290">
        <v>16</v>
      </c>
      <c r="M59" s="14">
        <f t="shared" si="39"/>
        <v>1934.1176470588243</v>
      </c>
      <c r="N59" s="14">
        <f t="shared" si="3"/>
        <v>120.88235294117652</v>
      </c>
      <c r="O59" s="15">
        <f t="shared" si="4"/>
        <v>0</v>
      </c>
      <c r="P59" s="16">
        <f t="shared" si="5"/>
        <v>-4.1176470588234793</v>
      </c>
      <c r="Q59" s="288">
        <f t="shared" si="6"/>
        <v>0.96705882352941219</v>
      </c>
      <c r="R59" s="619"/>
      <c r="S59" s="31">
        <v>0.32847222222222222</v>
      </c>
      <c r="T59" s="31">
        <v>0.36388888888888887</v>
      </c>
      <c r="U59" s="283">
        <f t="shared" si="38"/>
        <v>5.9999999999999787</v>
      </c>
      <c r="V59" s="291">
        <f t="shared" si="37"/>
        <v>50.999999999999979</v>
      </c>
      <c r="W59" s="17"/>
      <c r="X59" s="17"/>
      <c r="Y59" s="20"/>
      <c r="Z59" s="20"/>
      <c r="AA59" s="610"/>
      <c r="AB59" s="610"/>
      <c r="AC59" s="19"/>
      <c r="AD59" s="19"/>
      <c r="AE59" s="15">
        <f t="shared" si="8"/>
        <v>-65.882352941175668</v>
      </c>
      <c r="AF59" s="288">
        <f t="shared" si="9"/>
        <v>0.96705882352941219</v>
      </c>
      <c r="AG59" s="619"/>
    </row>
    <row r="60" spans="1:33" ht="15.75" customHeight="1">
      <c r="A60" s="623" t="s">
        <v>1329</v>
      </c>
      <c r="B60" s="33" t="s">
        <v>10</v>
      </c>
      <c r="C60" s="284" t="s">
        <v>43</v>
      </c>
      <c r="D60" s="285"/>
      <c r="E60" s="33">
        <v>46</v>
      </c>
      <c r="F60" s="35">
        <v>1671</v>
      </c>
      <c r="G60" s="283">
        <f t="shared" si="35"/>
        <v>76866</v>
      </c>
      <c r="H60" s="29" t="s">
        <v>5</v>
      </c>
      <c r="I60" s="290">
        <v>17</v>
      </c>
      <c r="J60" s="30">
        <v>2000</v>
      </c>
      <c r="K60" s="13">
        <f t="shared" si="1"/>
        <v>117.64705882352941</v>
      </c>
      <c r="L60" s="290">
        <v>17</v>
      </c>
      <c r="M60" s="14">
        <f t="shared" si="39"/>
        <v>1928.076923076924</v>
      </c>
      <c r="N60" s="14">
        <f t="shared" si="3"/>
        <v>113.41628959276024</v>
      </c>
      <c r="O60" s="15">
        <f t="shared" si="4"/>
        <v>0</v>
      </c>
      <c r="P60" s="16">
        <f t="shared" si="5"/>
        <v>-4.2307692307691696</v>
      </c>
      <c r="Q60" s="288">
        <f t="shared" si="6"/>
        <v>0.96403846153846207</v>
      </c>
      <c r="R60" s="619"/>
      <c r="S60" s="31">
        <v>0.36944444444444441</v>
      </c>
      <c r="T60" s="31">
        <v>0.4055555555555555</v>
      </c>
      <c r="U60" s="283">
        <f t="shared" si="38"/>
        <v>7.9999999999999716</v>
      </c>
      <c r="V60" s="291">
        <f t="shared" si="37"/>
        <v>51.999999999999972</v>
      </c>
      <c r="W60" s="17"/>
      <c r="X60" s="17"/>
      <c r="Y60" s="20"/>
      <c r="Z60" s="20"/>
      <c r="AA60" s="610"/>
      <c r="AB60" s="610"/>
      <c r="AC60" s="19"/>
      <c r="AD60" s="19"/>
      <c r="AE60" s="15">
        <f t="shared" si="8"/>
        <v>-71.923076923075996</v>
      </c>
      <c r="AF60" s="288">
        <f t="shared" si="9"/>
        <v>0.96403846153846195</v>
      </c>
      <c r="AG60" s="619"/>
    </row>
    <row r="61" spans="1:33" ht="15.75" customHeight="1">
      <c r="A61" s="623" t="s">
        <v>1329</v>
      </c>
      <c r="B61" s="33" t="s">
        <v>6</v>
      </c>
      <c r="C61" s="612" t="s">
        <v>44</v>
      </c>
      <c r="D61" s="613"/>
      <c r="E61" s="33">
        <v>55.56</v>
      </c>
      <c r="F61" s="35">
        <v>1000</v>
      </c>
      <c r="G61" s="283">
        <f t="shared" si="35"/>
        <v>55560</v>
      </c>
      <c r="H61" s="29">
        <v>2</v>
      </c>
      <c r="I61" s="290">
        <v>17</v>
      </c>
      <c r="J61" s="30">
        <v>2000</v>
      </c>
      <c r="K61" s="13">
        <f t="shared" si="1"/>
        <v>117.64705882352941</v>
      </c>
      <c r="L61" s="290">
        <v>17</v>
      </c>
      <c r="M61" s="14">
        <f t="shared" si="39"/>
        <v>1935.483870967739</v>
      </c>
      <c r="N61" s="14">
        <f t="shared" si="3"/>
        <v>113.85199240986699</v>
      </c>
      <c r="O61" s="15">
        <f t="shared" si="4"/>
        <v>0</v>
      </c>
      <c r="P61" s="16">
        <f t="shared" si="5"/>
        <v>-3.7950664136624113</v>
      </c>
      <c r="Q61" s="288">
        <f t="shared" si="6"/>
        <v>0.96774193548386955</v>
      </c>
      <c r="R61" s="619"/>
      <c r="S61" s="31">
        <v>0.70833333333333337</v>
      </c>
      <c r="T61" s="31">
        <v>0.72986111111111118</v>
      </c>
      <c r="U61" s="283" t="str">
        <f t="shared" si="38"/>
        <v/>
      </c>
      <c r="V61" s="291">
        <f t="shared" si="37"/>
        <v>31.00000000000005</v>
      </c>
      <c r="W61" s="17"/>
      <c r="X61" s="17"/>
      <c r="Y61" s="20"/>
      <c r="Z61" s="20"/>
      <c r="AA61" s="614"/>
      <c r="AB61" s="615"/>
      <c r="AC61" s="19"/>
      <c r="AD61" s="19"/>
      <c r="AE61" s="15">
        <f t="shared" si="8"/>
        <v>-64.516129032261006</v>
      </c>
      <c r="AF61" s="288">
        <f t="shared" si="9"/>
        <v>0.96774193548386944</v>
      </c>
      <c r="AG61" s="619"/>
    </row>
    <row r="62" spans="1:33" ht="15.75" customHeight="1">
      <c r="A62" s="623" t="s">
        <v>1329</v>
      </c>
      <c r="B62" s="33" t="s">
        <v>6</v>
      </c>
      <c r="C62" s="612" t="s">
        <v>72</v>
      </c>
      <c r="D62" s="613"/>
      <c r="E62" s="33">
        <v>58.17</v>
      </c>
      <c r="F62" s="35">
        <v>2402</v>
      </c>
      <c r="G62" s="283">
        <f t="shared" si="35"/>
        <v>139724.34</v>
      </c>
      <c r="H62" s="29" t="s">
        <v>5</v>
      </c>
      <c r="I62" s="290">
        <v>13</v>
      </c>
      <c r="J62" s="30">
        <v>2000</v>
      </c>
      <c r="K62" s="13">
        <f t="shared" si="1"/>
        <v>153.84615384615384</v>
      </c>
      <c r="L62" s="290">
        <v>13</v>
      </c>
      <c r="M62" s="14">
        <f t="shared" si="39"/>
        <v>1921.5999999999985</v>
      </c>
      <c r="N62" s="14">
        <f t="shared" si="3"/>
        <v>147.81538461538452</v>
      </c>
      <c r="O62" s="15">
        <f t="shared" si="4"/>
        <v>0</v>
      </c>
      <c r="P62" s="16">
        <f t="shared" si="5"/>
        <v>-6.030769230769323</v>
      </c>
      <c r="Q62" s="288">
        <f t="shared" si="6"/>
        <v>0.96079999999999943</v>
      </c>
      <c r="R62" s="619"/>
      <c r="S62" s="31">
        <v>0.73472222222222228</v>
      </c>
      <c r="T62" s="31">
        <v>0.78680555555555565</v>
      </c>
      <c r="U62" s="283">
        <f t="shared" si="38"/>
        <v>6.9999999999999751</v>
      </c>
      <c r="V62" s="291">
        <f t="shared" si="37"/>
        <v>75.000000000000057</v>
      </c>
      <c r="W62" s="17"/>
      <c r="X62" s="17"/>
      <c r="Y62" s="20"/>
      <c r="Z62" s="20"/>
      <c r="AA62" s="614"/>
      <c r="AB62" s="615"/>
      <c r="AC62" s="19"/>
      <c r="AD62" s="19"/>
      <c r="AE62" s="15">
        <f t="shared" si="8"/>
        <v>-78.400000000001455</v>
      </c>
      <c r="AF62" s="288">
        <f t="shared" si="9"/>
        <v>0.96079999999999932</v>
      </c>
      <c r="AG62" s="619"/>
    </row>
    <row r="63" spans="1:33" ht="15.75" customHeight="1">
      <c r="A63" s="623" t="s">
        <v>1329</v>
      </c>
      <c r="B63" s="33" t="s">
        <v>6</v>
      </c>
      <c r="C63" s="612" t="s">
        <v>82</v>
      </c>
      <c r="D63" s="613"/>
      <c r="E63" s="33">
        <v>54.09</v>
      </c>
      <c r="F63" s="35">
        <v>2347</v>
      </c>
      <c r="G63" s="283">
        <f t="shared" si="35"/>
        <v>126949.23000000001</v>
      </c>
      <c r="H63" s="29" t="s">
        <v>5</v>
      </c>
      <c r="I63" s="290">
        <v>14</v>
      </c>
      <c r="J63" s="30">
        <v>2000</v>
      </c>
      <c r="K63" s="13">
        <f t="shared" si="1"/>
        <v>142.85714285714286</v>
      </c>
      <c r="L63" s="290">
        <v>14</v>
      </c>
      <c r="M63" s="14">
        <f t="shared" si="39"/>
        <v>1902.9729729729715</v>
      </c>
      <c r="N63" s="14">
        <f t="shared" si="3"/>
        <v>135.92664092664083</v>
      </c>
      <c r="O63" s="15">
        <f t="shared" si="4"/>
        <v>0</v>
      </c>
      <c r="P63" s="16">
        <f t="shared" si="5"/>
        <v>-6.9305019305020323</v>
      </c>
      <c r="Q63" s="288">
        <f t="shared" si="6"/>
        <v>0.95148648648648582</v>
      </c>
      <c r="R63" s="619"/>
      <c r="S63" s="31">
        <v>0.79027777777777786</v>
      </c>
      <c r="T63" s="31">
        <v>0.84166666666666679</v>
      </c>
      <c r="U63" s="283">
        <f t="shared" si="38"/>
        <v>4.9999999999999822</v>
      </c>
      <c r="V63" s="291">
        <f t="shared" si="37"/>
        <v>74.000000000000057</v>
      </c>
      <c r="W63" s="17">
        <f>T63</f>
        <v>0.84166666666666679</v>
      </c>
      <c r="X63" s="17">
        <f>S64</f>
        <v>0.88055555555555565</v>
      </c>
      <c r="Y63" s="20"/>
      <c r="Z63" s="20"/>
      <c r="AA63" s="614"/>
      <c r="AB63" s="615"/>
      <c r="AC63" s="19"/>
      <c r="AD63" s="19"/>
      <c r="AE63" s="15">
        <f t="shared" si="8"/>
        <v>-97.027027027028453</v>
      </c>
      <c r="AF63" s="288">
        <f t="shared" si="9"/>
        <v>0.95148648648648582</v>
      </c>
      <c r="AG63" s="619"/>
    </row>
    <row r="64" spans="1:33">
      <c r="A64" s="623" t="s">
        <v>1329</v>
      </c>
      <c r="B64" s="33" t="s">
        <v>6</v>
      </c>
      <c r="C64" s="284" t="s">
        <v>44</v>
      </c>
      <c r="D64" s="285"/>
      <c r="E64" s="33">
        <v>55.56</v>
      </c>
      <c r="F64" s="35">
        <v>2157</v>
      </c>
      <c r="G64" s="283">
        <f t="shared" si="35"/>
        <v>119842.92</v>
      </c>
      <c r="H64" s="29" t="s">
        <v>5</v>
      </c>
      <c r="I64" s="290">
        <v>17</v>
      </c>
      <c r="J64" s="30">
        <v>2000</v>
      </c>
      <c r="K64" s="13">
        <f t="shared" si="1"/>
        <v>117.64705882352941</v>
      </c>
      <c r="L64" s="290">
        <v>17</v>
      </c>
      <c r="M64" s="14">
        <f t="shared" si="39"/>
        <v>1903.2352941176496</v>
      </c>
      <c r="N64" s="14">
        <f t="shared" si="3"/>
        <v>111.95501730103821</v>
      </c>
      <c r="O64" s="15">
        <f t="shared" si="4"/>
        <v>0</v>
      </c>
      <c r="P64" s="16">
        <f t="shared" si="5"/>
        <v>-5.6920415224911949</v>
      </c>
      <c r="Q64" s="288">
        <f t="shared" si="6"/>
        <v>0.95161764705882479</v>
      </c>
      <c r="R64" s="619"/>
      <c r="S64" s="31">
        <v>0.88055555555555565</v>
      </c>
      <c r="T64" s="31">
        <v>0.92777777777777781</v>
      </c>
      <c r="U64" s="283">
        <f t="shared" si="38"/>
        <v>55.999999999999957</v>
      </c>
      <c r="V64" s="291">
        <f t="shared" si="37"/>
        <v>67.999999999999915</v>
      </c>
      <c r="W64" s="17"/>
      <c r="X64" s="17"/>
      <c r="Y64" s="20"/>
      <c r="Z64" s="20"/>
      <c r="AA64" s="286"/>
      <c r="AB64" s="287"/>
      <c r="AC64" s="19"/>
      <c r="AD64" s="19"/>
      <c r="AE64" s="15">
        <f t="shared" si="8"/>
        <v>-96.764705882350427</v>
      </c>
      <c r="AF64" s="288">
        <f t="shared" si="9"/>
        <v>0.95161764705882479</v>
      </c>
      <c r="AG64" s="619"/>
    </row>
    <row r="65" spans="1:33">
      <c r="A65" s="624" t="s">
        <v>1329</v>
      </c>
      <c r="B65" s="33" t="s">
        <v>1310</v>
      </c>
      <c r="C65" s="620"/>
      <c r="D65" s="620"/>
      <c r="E65" s="289"/>
      <c r="F65" s="34"/>
      <c r="G65" s="13"/>
      <c r="H65" s="292"/>
      <c r="I65" s="23">
        <v>18.555555555555557</v>
      </c>
      <c r="J65" s="30">
        <v>2000</v>
      </c>
      <c r="K65" s="13">
        <f t="shared" si="1"/>
        <v>107.78443113772454</v>
      </c>
      <c r="L65" s="23">
        <v>18.555555555555557</v>
      </c>
      <c r="M65" s="14">
        <f>AVERAGE(M56:M64)</f>
        <v>1918.1383123817116</v>
      </c>
      <c r="N65" s="13">
        <f t="shared" si="3"/>
        <v>103.37272342176888</v>
      </c>
      <c r="O65" s="15">
        <f t="shared" si="4"/>
        <v>0</v>
      </c>
      <c r="P65" s="16">
        <f t="shared" si="5"/>
        <v>-4.4117077159556572</v>
      </c>
      <c r="Q65" s="288">
        <f t="shared" si="6"/>
        <v>0.95906915619085586</v>
      </c>
      <c r="R65" s="619"/>
      <c r="S65" s="31"/>
      <c r="T65" s="31"/>
      <c r="U65" s="283"/>
      <c r="V65" s="291"/>
      <c r="W65" s="13"/>
      <c r="X65" s="13"/>
      <c r="Y65" s="24">
        <f>SUM(Y56:Y64)</f>
        <v>0</v>
      </c>
      <c r="Z65" s="24">
        <f>SUM(Z56:Z64)</f>
        <v>0</v>
      </c>
      <c r="AA65" s="609"/>
      <c r="AB65" s="609"/>
      <c r="AC65" s="24">
        <v>9</v>
      </c>
      <c r="AD65" s="24">
        <f>SUM(AD56:AD64)</f>
        <v>0</v>
      </c>
      <c r="AE65" s="15">
        <f>M65-J65</f>
        <v>-81.861687618288443</v>
      </c>
      <c r="AF65" s="288">
        <f t="shared" si="9"/>
        <v>0.95906915619085575</v>
      </c>
      <c r="AG65" s="619"/>
    </row>
    <row r="66" spans="1:33" ht="15.75" customHeight="1">
      <c r="A66" s="621" t="s">
        <v>1330</v>
      </c>
      <c r="B66" s="292" t="s">
        <v>36</v>
      </c>
      <c r="C66" s="611" t="s">
        <v>46</v>
      </c>
      <c r="D66" s="611"/>
      <c r="E66" s="33">
        <v>35.119999999999997</v>
      </c>
      <c r="F66" s="35">
        <v>6279</v>
      </c>
      <c r="G66" s="283">
        <f t="shared" ref="G66:G69" si="40">E66*F66</f>
        <v>220518.47999999998</v>
      </c>
      <c r="H66" s="29" t="s">
        <v>5</v>
      </c>
      <c r="I66" s="290">
        <v>10</v>
      </c>
      <c r="J66" s="30">
        <v>3000</v>
      </c>
      <c r="K66" s="13">
        <f t="shared" si="1"/>
        <v>300</v>
      </c>
      <c r="L66" s="290">
        <v>10</v>
      </c>
      <c r="M66" s="14">
        <f t="shared" ref="M66:M69" si="41">F66/V66*60</f>
        <v>2854.0909090909081</v>
      </c>
      <c r="N66" s="13">
        <f t="shared" si="3"/>
        <v>285.40909090909082</v>
      </c>
      <c r="O66" s="15">
        <f t="shared" si="4"/>
        <v>0</v>
      </c>
      <c r="P66" s="16">
        <f t="shared" si="5"/>
        <v>-14.590909090909179</v>
      </c>
      <c r="Q66" s="288">
        <f t="shared" si="6"/>
        <v>0.95136363636363608</v>
      </c>
      <c r="R66" s="619">
        <f>Q70</f>
        <v>0.9533541782150774</v>
      </c>
      <c r="S66" s="31">
        <v>0.20833333333333334</v>
      </c>
      <c r="T66" s="31">
        <v>0.30000000000000004</v>
      </c>
      <c r="U66" s="283"/>
      <c r="V66" s="291">
        <f t="shared" ref="V66:V69" si="42">(T66-S66)*24*60</f>
        <v>132.00000000000006</v>
      </c>
      <c r="W66" s="17"/>
      <c r="X66" s="17"/>
      <c r="Y66" s="22"/>
      <c r="Z66" s="22"/>
      <c r="AA66" s="610"/>
      <c r="AB66" s="610"/>
      <c r="AC66" s="19">
        <v>4</v>
      </c>
      <c r="AD66" s="19"/>
      <c r="AE66" s="15">
        <f t="shared" ref="AE66:AE81" si="43">M66-J66</f>
        <v>-145.9090909090919</v>
      </c>
      <c r="AF66" s="288">
        <f t="shared" si="9"/>
        <v>0.95136363636363608</v>
      </c>
      <c r="AG66" s="619">
        <f>AF70</f>
        <v>0.95335417821507751</v>
      </c>
    </row>
    <row r="67" spans="1:33" ht="15.75" customHeight="1">
      <c r="A67" s="621" t="s">
        <v>1330</v>
      </c>
      <c r="B67" s="292" t="s">
        <v>36</v>
      </c>
      <c r="C67" s="611" t="s">
        <v>47</v>
      </c>
      <c r="D67" s="611"/>
      <c r="E67" s="33">
        <v>26.78</v>
      </c>
      <c r="F67" s="35">
        <v>3057</v>
      </c>
      <c r="G67" s="283">
        <f t="shared" si="40"/>
        <v>81866.460000000006</v>
      </c>
      <c r="H67" s="29" t="s">
        <v>5</v>
      </c>
      <c r="I67" s="290">
        <v>10</v>
      </c>
      <c r="J67" s="30">
        <v>3000</v>
      </c>
      <c r="K67" s="13">
        <f t="shared" si="1"/>
        <v>300</v>
      </c>
      <c r="L67" s="290">
        <v>10</v>
      </c>
      <c r="M67" s="14">
        <f t="shared" si="41"/>
        <v>2865.9374999999995</v>
      </c>
      <c r="N67" s="13">
        <f t="shared" si="3"/>
        <v>286.59374999999994</v>
      </c>
      <c r="O67" s="15">
        <f t="shared" si="4"/>
        <v>0</v>
      </c>
      <c r="P67" s="16">
        <f t="shared" si="5"/>
        <v>-13.406250000000057</v>
      </c>
      <c r="Q67" s="288">
        <f t="shared" si="6"/>
        <v>0.95531249999999979</v>
      </c>
      <c r="R67" s="619"/>
      <c r="S67" s="31">
        <v>0.30486111111111114</v>
      </c>
      <c r="T67" s="31">
        <v>0.34930555555555559</v>
      </c>
      <c r="U67" s="283">
        <f t="shared" ref="U67:U69" si="44">(S67-T66)*24*60</f>
        <v>6.9999999999999751</v>
      </c>
      <c r="V67" s="291">
        <f t="shared" si="42"/>
        <v>64.000000000000014</v>
      </c>
      <c r="W67" s="283"/>
      <c r="X67" s="283"/>
      <c r="Y67" s="283"/>
      <c r="Z67" s="283"/>
      <c r="AA67" s="610"/>
      <c r="AB67" s="610"/>
      <c r="AC67" s="19"/>
      <c r="AD67" s="19"/>
      <c r="AE67" s="15">
        <f t="shared" si="43"/>
        <v>-134.06250000000045</v>
      </c>
      <c r="AF67" s="288">
        <f t="shared" si="9"/>
        <v>0.9553124999999999</v>
      </c>
      <c r="AG67" s="619"/>
    </row>
    <row r="68" spans="1:33" ht="15.75" customHeight="1">
      <c r="A68" s="621" t="s">
        <v>1330</v>
      </c>
      <c r="B68" s="292" t="s">
        <v>36</v>
      </c>
      <c r="C68" s="611" t="s">
        <v>49</v>
      </c>
      <c r="D68" s="611"/>
      <c r="E68" s="33">
        <v>35.869999999999997</v>
      </c>
      <c r="F68" s="35">
        <v>3675</v>
      </c>
      <c r="G68" s="283">
        <f t="shared" si="40"/>
        <v>131822.25</v>
      </c>
      <c r="H68" s="29" t="s">
        <v>5</v>
      </c>
      <c r="I68" s="290">
        <v>10</v>
      </c>
      <c r="J68" s="30">
        <v>3000</v>
      </c>
      <c r="K68" s="13">
        <f t="shared" si="1"/>
        <v>300</v>
      </c>
      <c r="L68" s="290">
        <v>10</v>
      </c>
      <c r="M68" s="14">
        <f t="shared" si="41"/>
        <v>2863.6363636363649</v>
      </c>
      <c r="N68" s="13">
        <f t="shared" si="3"/>
        <v>286.36363636363649</v>
      </c>
      <c r="O68" s="15">
        <f t="shared" si="4"/>
        <v>0</v>
      </c>
      <c r="P68" s="16">
        <f t="shared" si="5"/>
        <v>-13.636363636363512</v>
      </c>
      <c r="Q68" s="288">
        <f t="shared" si="6"/>
        <v>0.95454545454545492</v>
      </c>
      <c r="R68" s="619"/>
      <c r="S68" s="31">
        <v>0.35347222222222224</v>
      </c>
      <c r="T68" s="31">
        <v>0.40694444444444444</v>
      </c>
      <c r="U68" s="283">
        <f t="shared" si="44"/>
        <v>5.9999999999999787</v>
      </c>
      <c r="V68" s="291">
        <f t="shared" si="42"/>
        <v>76.999999999999972</v>
      </c>
      <c r="W68" s="283"/>
      <c r="X68" s="283"/>
      <c r="Y68" s="283"/>
      <c r="Z68" s="283"/>
      <c r="AA68" s="610"/>
      <c r="AB68" s="610"/>
      <c r="AC68" s="19"/>
      <c r="AD68" s="19"/>
      <c r="AE68" s="15">
        <f t="shared" si="43"/>
        <v>-136.36363636363512</v>
      </c>
      <c r="AF68" s="288">
        <f t="shared" si="9"/>
        <v>0.95454545454545492</v>
      </c>
      <c r="AG68" s="619"/>
    </row>
    <row r="69" spans="1:33" ht="15.75" customHeight="1">
      <c r="A69" s="621" t="s">
        <v>1330</v>
      </c>
      <c r="B69" s="292" t="s">
        <v>36</v>
      </c>
      <c r="C69" s="611" t="s">
        <v>74</v>
      </c>
      <c r="D69" s="611"/>
      <c r="E69" s="33">
        <v>33.770000000000003</v>
      </c>
      <c r="F69" s="35">
        <v>3904</v>
      </c>
      <c r="G69" s="283">
        <f t="shared" si="40"/>
        <v>131838.08000000002</v>
      </c>
      <c r="H69" s="29" t="s">
        <v>5</v>
      </c>
      <c r="I69" s="290">
        <v>12</v>
      </c>
      <c r="J69" s="30">
        <v>3000</v>
      </c>
      <c r="K69" s="13">
        <f t="shared" ref="K69:K81" si="45">J69/I69</f>
        <v>250</v>
      </c>
      <c r="L69" s="290">
        <v>12</v>
      </c>
      <c r="M69" s="14">
        <f t="shared" si="41"/>
        <v>2856.5853658536575</v>
      </c>
      <c r="N69" s="13">
        <f t="shared" ref="N69:N81" si="46">M69/L69</f>
        <v>238.04878048780481</v>
      </c>
      <c r="O69" s="15">
        <f t="shared" ref="O69:O81" si="47">L69-I69</f>
        <v>0</v>
      </c>
      <c r="P69" s="16">
        <f t="shared" ref="P69:P81" si="48">N69-K69</f>
        <v>-11.951219512195195</v>
      </c>
      <c r="Q69" s="288">
        <f t="shared" ref="Q69:Q81" si="49">N69/K69</f>
        <v>0.95219512195121925</v>
      </c>
      <c r="R69" s="619"/>
      <c r="S69" s="31">
        <v>0.41249999999999998</v>
      </c>
      <c r="T69" s="31">
        <v>0.46944444444444444</v>
      </c>
      <c r="U69" s="283">
        <f t="shared" si="44"/>
        <v>7.9999999999999716</v>
      </c>
      <c r="V69" s="291">
        <f t="shared" si="42"/>
        <v>82.000000000000028</v>
      </c>
      <c r="W69" s="283"/>
      <c r="X69" s="283"/>
      <c r="Y69" s="283"/>
      <c r="Z69" s="283"/>
      <c r="AA69" s="610"/>
      <c r="AB69" s="610"/>
      <c r="AC69" s="19"/>
      <c r="AD69" s="19"/>
      <c r="AE69" s="15">
        <f t="shared" si="43"/>
        <v>-143.41463414634245</v>
      </c>
      <c r="AF69" s="288">
        <f t="shared" ref="AF69:AF81" si="50">M69/J69</f>
        <v>0.95219512195121914</v>
      </c>
      <c r="AG69" s="619"/>
    </row>
    <row r="70" spans="1:33">
      <c r="A70" s="622" t="s">
        <v>1330</v>
      </c>
      <c r="B70" s="33" t="s">
        <v>1310</v>
      </c>
      <c r="C70" s="620"/>
      <c r="D70" s="620"/>
      <c r="E70" s="289"/>
      <c r="F70" s="34"/>
      <c r="G70" s="13"/>
      <c r="H70" s="292"/>
      <c r="I70" s="23">
        <v>10.5</v>
      </c>
      <c r="J70" s="30">
        <v>3000</v>
      </c>
      <c r="K70" s="13">
        <f t="shared" si="45"/>
        <v>285.71428571428572</v>
      </c>
      <c r="L70" s="23">
        <v>10.5</v>
      </c>
      <c r="M70" s="14">
        <f>AVERAGE(M66:M69)</f>
        <v>2860.0625346452325</v>
      </c>
      <c r="N70" s="13">
        <f t="shared" si="46"/>
        <v>272.3869080614507</v>
      </c>
      <c r="O70" s="15">
        <f t="shared" si="47"/>
        <v>0</v>
      </c>
      <c r="P70" s="16">
        <f t="shared" si="48"/>
        <v>-13.327377652835025</v>
      </c>
      <c r="Q70" s="288">
        <f t="shared" si="49"/>
        <v>0.9533541782150774</v>
      </c>
      <c r="R70" s="619"/>
      <c r="S70" s="31"/>
      <c r="T70" s="31"/>
      <c r="U70" s="13"/>
      <c r="V70" s="291"/>
      <c r="W70" s="13"/>
      <c r="X70" s="13"/>
      <c r="Y70" s="24">
        <f>SUM(Y66:Y69)</f>
        <v>0</v>
      </c>
      <c r="Z70" s="24">
        <f>SUM(Z66:Z69)</f>
        <v>0</v>
      </c>
      <c r="AA70" s="609"/>
      <c r="AB70" s="609"/>
      <c r="AC70" s="24">
        <v>4</v>
      </c>
      <c r="AD70" s="24">
        <f>SUM(AD66:AD69)</f>
        <v>0</v>
      </c>
      <c r="AE70" s="15">
        <f t="shared" si="43"/>
        <v>-139.93746535476748</v>
      </c>
      <c r="AF70" s="288">
        <f t="shared" si="50"/>
        <v>0.95335417821507751</v>
      </c>
      <c r="AG70" s="619"/>
    </row>
    <row r="71" spans="1:33" ht="15.75" customHeight="1">
      <c r="A71" s="616" t="s">
        <v>1331</v>
      </c>
      <c r="B71" s="292" t="s">
        <v>27</v>
      </c>
      <c r="C71" s="611" t="s">
        <v>50</v>
      </c>
      <c r="D71" s="611"/>
      <c r="E71" s="33">
        <v>19.02</v>
      </c>
      <c r="F71" s="292">
        <v>4800</v>
      </c>
      <c r="G71" s="283">
        <f t="shared" ref="G71:G80" si="51">E71*F71</f>
        <v>91296</v>
      </c>
      <c r="H71" s="29">
        <v>2</v>
      </c>
      <c r="I71" s="290">
        <v>14</v>
      </c>
      <c r="J71" s="30">
        <v>2400</v>
      </c>
      <c r="K71" s="13">
        <f t="shared" si="45"/>
        <v>171.42857142857142</v>
      </c>
      <c r="L71" s="290">
        <v>14</v>
      </c>
      <c r="M71" s="14">
        <f t="shared" ref="M71:M80" si="52">F71/V71*60</f>
        <v>2285.7142857142858</v>
      </c>
      <c r="N71" s="13">
        <f t="shared" si="46"/>
        <v>163.26530612244898</v>
      </c>
      <c r="O71" s="15">
        <f t="shared" si="47"/>
        <v>0</v>
      </c>
      <c r="P71" s="16">
        <f t="shared" si="48"/>
        <v>-8.1632653061224403</v>
      </c>
      <c r="Q71" s="288">
        <f t="shared" si="49"/>
        <v>0.95238095238095244</v>
      </c>
      <c r="R71" s="619">
        <f>Q81</f>
        <v>0.95909125204969525</v>
      </c>
      <c r="S71" s="31">
        <v>8.3333333333333329E-2</v>
      </c>
      <c r="T71" s="31">
        <v>0.17083333333333334</v>
      </c>
      <c r="U71" s="22"/>
      <c r="V71" s="291">
        <f t="shared" ref="V71:V80" si="53">(T71-S71)*24*60</f>
        <v>126</v>
      </c>
      <c r="W71" s="17">
        <f>T71</f>
        <v>0.17083333333333334</v>
      </c>
      <c r="X71" s="17">
        <f>S72</f>
        <v>0.18958333333333333</v>
      </c>
      <c r="Y71" s="17"/>
      <c r="Z71" s="17"/>
      <c r="AA71" s="610"/>
      <c r="AB71" s="610"/>
      <c r="AC71" s="19">
        <v>10</v>
      </c>
      <c r="AD71" s="19"/>
      <c r="AE71" s="15">
        <f t="shared" si="43"/>
        <v>-114.28571428571422</v>
      </c>
      <c r="AF71" s="288">
        <f t="shared" si="50"/>
        <v>0.95238095238095244</v>
      </c>
      <c r="AG71" s="619">
        <f>AF81</f>
        <v>0.95909125204969525</v>
      </c>
    </row>
    <row r="72" spans="1:33" ht="15.75" customHeight="1">
      <c r="A72" s="617" t="s">
        <v>1331</v>
      </c>
      <c r="B72" s="292" t="s">
        <v>27</v>
      </c>
      <c r="C72" s="611" t="s">
        <v>51</v>
      </c>
      <c r="D72" s="611"/>
      <c r="E72" s="33">
        <v>20.36</v>
      </c>
      <c r="F72" s="292">
        <v>5214</v>
      </c>
      <c r="G72" s="283">
        <f t="shared" si="51"/>
        <v>106157.04</v>
      </c>
      <c r="H72" s="29" t="s">
        <v>5</v>
      </c>
      <c r="I72" s="290">
        <v>17</v>
      </c>
      <c r="J72" s="30">
        <v>2400</v>
      </c>
      <c r="K72" s="13">
        <f t="shared" si="45"/>
        <v>141.1764705882353</v>
      </c>
      <c r="L72" s="290">
        <v>17</v>
      </c>
      <c r="M72" s="14">
        <f t="shared" si="52"/>
        <v>2283.5036496350367</v>
      </c>
      <c r="N72" s="13">
        <f t="shared" si="46"/>
        <v>134.32374409617864</v>
      </c>
      <c r="O72" s="15">
        <f t="shared" si="47"/>
        <v>0</v>
      </c>
      <c r="P72" s="16">
        <f t="shared" si="48"/>
        <v>-6.8527264920566608</v>
      </c>
      <c r="Q72" s="288">
        <f t="shared" si="49"/>
        <v>0.95145985401459865</v>
      </c>
      <c r="R72" s="619"/>
      <c r="S72" s="31">
        <v>0.18958333333333333</v>
      </c>
      <c r="T72" s="31">
        <v>0.28472222222222221</v>
      </c>
      <c r="U72" s="283">
        <f t="shared" ref="U72:U80" si="54">(S72-T71)*24*60</f>
        <v>26.999999999999986</v>
      </c>
      <c r="V72" s="291">
        <f t="shared" si="53"/>
        <v>137</v>
      </c>
      <c r="W72" s="17"/>
      <c r="X72" s="17"/>
      <c r="Y72" s="17"/>
      <c r="Z72" s="17"/>
      <c r="AA72" s="610"/>
      <c r="AB72" s="610"/>
      <c r="AC72" s="19"/>
      <c r="AD72" s="19"/>
      <c r="AE72" s="15">
        <f t="shared" si="43"/>
        <v>-116.49635036496329</v>
      </c>
      <c r="AF72" s="288">
        <f t="shared" si="50"/>
        <v>0.95145985401459865</v>
      </c>
      <c r="AG72" s="619"/>
    </row>
    <row r="73" spans="1:33" ht="15.75" customHeight="1">
      <c r="A73" s="617" t="s">
        <v>1331</v>
      </c>
      <c r="B73" s="292" t="s">
        <v>27</v>
      </c>
      <c r="C73" s="611" t="s">
        <v>876</v>
      </c>
      <c r="D73" s="611"/>
      <c r="E73" s="33">
        <v>23.8</v>
      </c>
      <c r="F73" s="292">
        <v>4000</v>
      </c>
      <c r="G73" s="283">
        <f t="shared" si="51"/>
        <v>95200</v>
      </c>
      <c r="H73" s="29">
        <v>2</v>
      </c>
      <c r="I73" s="290">
        <v>16</v>
      </c>
      <c r="J73" s="30">
        <v>2400</v>
      </c>
      <c r="K73" s="13">
        <f t="shared" si="45"/>
        <v>150</v>
      </c>
      <c r="L73" s="290">
        <v>16</v>
      </c>
      <c r="M73" s="14">
        <f t="shared" si="52"/>
        <v>2285.7142857142853</v>
      </c>
      <c r="N73" s="13">
        <f t="shared" si="46"/>
        <v>142.85714285714283</v>
      </c>
      <c r="O73" s="15">
        <f t="shared" si="47"/>
        <v>0</v>
      </c>
      <c r="P73" s="16">
        <f t="shared" si="48"/>
        <v>-7.1428571428571672</v>
      </c>
      <c r="Q73" s="288">
        <f t="shared" si="49"/>
        <v>0.95238095238095222</v>
      </c>
      <c r="R73" s="619"/>
      <c r="S73" s="31">
        <v>0.28888888888888886</v>
      </c>
      <c r="T73" s="31">
        <v>0.36180555555555555</v>
      </c>
      <c r="U73" s="283">
        <f t="shared" si="54"/>
        <v>5.9999999999999787</v>
      </c>
      <c r="V73" s="291">
        <f t="shared" si="53"/>
        <v>105.00000000000003</v>
      </c>
      <c r="W73" s="17"/>
      <c r="X73" s="17"/>
      <c r="Y73" s="17"/>
      <c r="Z73" s="17"/>
      <c r="AA73" s="610"/>
      <c r="AB73" s="610"/>
      <c r="AC73" s="19"/>
      <c r="AD73" s="19"/>
      <c r="AE73" s="15">
        <f t="shared" si="43"/>
        <v>-114.28571428571468</v>
      </c>
      <c r="AF73" s="288">
        <f t="shared" si="50"/>
        <v>0.95238095238095222</v>
      </c>
      <c r="AG73" s="619"/>
    </row>
    <row r="74" spans="1:33" ht="15.75" customHeight="1">
      <c r="A74" s="617" t="s">
        <v>1331</v>
      </c>
      <c r="B74" s="292" t="s">
        <v>27</v>
      </c>
      <c r="C74" s="611" t="s">
        <v>31</v>
      </c>
      <c r="D74" s="611"/>
      <c r="E74" s="33">
        <v>25.99</v>
      </c>
      <c r="F74" s="292">
        <v>1690</v>
      </c>
      <c r="G74" s="283">
        <f t="shared" si="51"/>
        <v>43923.1</v>
      </c>
      <c r="H74" s="29" t="s">
        <v>5</v>
      </c>
      <c r="I74" s="290">
        <v>18</v>
      </c>
      <c r="J74" s="30">
        <v>2400</v>
      </c>
      <c r="K74" s="13">
        <f t="shared" si="45"/>
        <v>133.33333333333334</v>
      </c>
      <c r="L74" s="290">
        <v>18</v>
      </c>
      <c r="M74" s="14">
        <f t="shared" si="52"/>
        <v>2304.5454545454545</v>
      </c>
      <c r="N74" s="13">
        <f t="shared" si="46"/>
        <v>128.03030303030303</v>
      </c>
      <c r="O74" s="15">
        <f t="shared" si="47"/>
        <v>0</v>
      </c>
      <c r="P74" s="16">
        <f t="shared" si="48"/>
        <v>-5.3030303030303116</v>
      </c>
      <c r="Q74" s="288">
        <f t="shared" si="49"/>
        <v>0.96022727272727271</v>
      </c>
      <c r="R74" s="619"/>
      <c r="S74" s="31">
        <v>0.36666666666666664</v>
      </c>
      <c r="T74" s="31">
        <v>0.3972222222222222</v>
      </c>
      <c r="U74" s="283">
        <f t="shared" si="54"/>
        <v>6.9999999999999751</v>
      </c>
      <c r="V74" s="291">
        <f t="shared" si="53"/>
        <v>44</v>
      </c>
      <c r="W74" s="17"/>
      <c r="X74" s="17"/>
      <c r="Y74" s="17"/>
      <c r="Z74" s="17"/>
      <c r="AA74" s="610"/>
      <c r="AB74" s="610"/>
      <c r="AC74" s="19"/>
      <c r="AD74" s="19"/>
      <c r="AE74" s="15">
        <f t="shared" si="43"/>
        <v>-95.454545454545496</v>
      </c>
      <c r="AF74" s="288">
        <f t="shared" si="50"/>
        <v>0.96022727272727271</v>
      </c>
      <c r="AG74" s="619"/>
    </row>
    <row r="75" spans="1:33" ht="15.75" customHeight="1">
      <c r="A75" s="617" t="s">
        <v>1331</v>
      </c>
      <c r="B75" s="292" t="s">
        <v>27</v>
      </c>
      <c r="C75" s="611" t="s">
        <v>53</v>
      </c>
      <c r="D75" s="611"/>
      <c r="E75" s="33">
        <v>28.29</v>
      </c>
      <c r="F75" s="292">
        <v>3288</v>
      </c>
      <c r="G75" s="283">
        <f t="shared" si="51"/>
        <v>93017.52</v>
      </c>
      <c r="H75" s="29" t="s">
        <v>5</v>
      </c>
      <c r="I75" s="290">
        <v>19</v>
      </c>
      <c r="J75" s="30">
        <v>2400</v>
      </c>
      <c r="K75" s="13">
        <f t="shared" si="45"/>
        <v>126.31578947368421</v>
      </c>
      <c r="L75" s="290">
        <v>19</v>
      </c>
      <c r="M75" s="14">
        <f t="shared" si="52"/>
        <v>2293.953488372093</v>
      </c>
      <c r="N75" s="13">
        <f t="shared" si="46"/>
        <v>120.734394124847</v>
      </c>
      <c r="O75" s="15">
        <f t="shared" si="47"/>
        <v>0</v>
      </c>
      <c r="P75" s="16">
        <f t="shared" si="48"/>
        <v>-5.581395348837205</v>
      </c>
      <c r="Q75" s="288">
        <f t="shared" si="49"/>
        <v>0.95581395348837217</v>
      </c>
      <c r="R75" s="619"/>
      <c r="S75" s="31">
        <v>0.40277777777777773</v>
      </c>
      <c r="T75" s="31">
        <v>0.46249999999999997</v>
      </c>
      <c r="U75" s="283">
        <f t="shared" si="54"/>
        <v>7.9999999999999716</v>
      </c>
      <c r="V75" s="291">
        <f t="shared" si="53"/>
        <v>86.000000000000014</v>
      </c>
      <c r="W75" s="17"/>
      <c r="X75" s="17"/>
      <c r="Y75" s="17"/>
      <c r="Z75" s="17"/>
      <c r="AA75" s="610"/>
      <c r="AB75" s="610"/>
      <c r="AC75" s="19"/>
      <c r="AD75" s="19"/>
      <c r="AE75" s="15">
        <f t="shared" si="43"/>
        <v>-106.04651162790697</v>
      </c>
      <c r="AF75" s="288">
        <f t="shared" si="50"/>
        <v>0.95581395348837206</v>
      </c>
      <c r="AG75" s="619"/>
    </row>
    <row r="76" spans="1:33" ht="15.75" customHeight="1">
      <c r="A76" s="617" t="s">
        <v>1331</v>
      </c>
      <c r="B76" s="292" t="s">
        <v>27</v>
      </c>
      <c r="C76" s="611" t="s">
        <v>55</v>
      </c>
      <c r="D76" s="611"/>
      <c r="E76" s="33">
        <v>23.89</v>
      </c>
      <c r="F76" s="292">
        <v>898</v>
      </c>
      <c r="G76" s="283">
        <f t="shared" si="51"/>
        <v>21453.22</v>
      </c>
      <c r="H76" s="29" t="s">
        <v>5</v>
      </c>
      <c r="I76" s="290">
        <v>13</v>
      </c>
      <c r="J76" s="30">
        <v>2400</v>
      </c>
      <c r="K76" s="13">
        <f t="shared" si="45"/>
        <v>184.61538461538461</v>
      </c>
      <c r="L76" s="290">
        <v>13</v>
      </c>
      <c r="M76" s="14">
        <f t="shared" si="52"/>
        <v>2342.608695652174</v>
      </c>
      <c r="N76" s="13">
        <f t="shared" si="46"/>
        <v>180.20066889632108</v>
      </c>
      <c r="O76" s="15">
        <f t="shared" si="47"/>
        <v>0</v>
      </c>
      <c r="P76" s="16">
        <f t="shared" si="48"/>
        <v>-4.4147157190635369</v>
      </c>
      <c r="Q76" s="288">
        <f t="shared" si="49"/>
        <v>0.97608695652173916</v>
      </c>
      <c r="R76" s="619"/>
      <c r="S76" s="31">
        <v>0.4680555555555555</v>
      </c>
      <c r="T76" s="31">
        <v>0.48402777777777772</v>
      </c>
      <c r="U76" s="283">
        <f t="shared" si="54"/>
        <v>7.9999999999999716</v>
      </c>
      <c r="V76" s="291">
        <f t="shared" si="53"/>
        <v>23</v>
      </c>
      <c r="W76" s="17"/>
      <c r="X76" s="17"/>
      <c r="Y76" s="17"/>
      <c r="Z76" s="17"/>
      <c r="AA76" s="610"/>
      <c r="AB76" s="610"/>
      <c r="AC76" s="19"/>
      <c r="AD76" s="19"/>
      <c r="AE76" s="15">
        <f t="shared" si="43"/>
        <v>-57.391304347826008</v>
      </c>
      <c r="AF76" s="288">
        <f t="shared" si="50"/>
        <v>0.97608695652173916</v>
      </c>
      <c r="AG76" s="619"/>
    </row>
    <row r="77" spans="1:33" ht="15.75" customHeight="1">
      <c r="A77" s="617" t="s">
        <v>1331</v>
      </c>
      <c r="B77" s="292" t="s">
        <v>27</v>
      </c>
      <c r="C77" s="612" t="s">
        <v>52</v>
      </c>
      <c r="D77" s="613"/>
      <c r="E77" s="33">
        <v>25.98</v>
      </c>
      <c r="F77" s="292">
        <v>2351</v>
      </c>
      <c r="G77" s="283">
        <f t="shared" si="51"/>
        <v>61078.98</v>
      </c>
      <c r="H77" s="29" t="s">
        <v>5</v>
      </c>
      <c r="I77" s="290">
        <v>17</v>
      </c>
      <c r="J77" s="30">
        <v>2400</v>
      </c>
      <c r="K77" s="13">
        <f t="shared" si="45"/>
        <v>141.1764705882353</v>
      </c>
      <c r="L77" s="290">
        <v>17</v>
      </c>
      <c r="M77" s="14">
        <f t="shared" si="52"/>
        <v>2312.4590163934445</v>
      </c>
      <c r="N77" s="13">
        <f t="shared" si="46"/>
        <v>136.02700096432025</v>
      </c>
      <c r="O77" s="15">
        <f t="shared" si="47"/>
        <v>0</v>
      </c>
      <c r="P77" s="16">
        <f t="shared" si="48"/>
        <v>-5.1494696239150528</v>
      </c>
      <c r="Q77" s="288">
        <f t="shared" si="49"/>
        <v>0.96352459016393499</v>
      </c>
      <c r="R77" s="619"/>
      <c r="S77" s="31">
        <v>0.48749999999999993</v>
      </c>
      <c r="T77" s="31">
        <v>0.52986111111111101</v>
      </c>
      <c r="U77" s="283">
        <f t="shared" si="54"/>
        <v>4.9999999999999822</v>
      </c>
      <c r="V77" s="291">
        <f t="shared" si="53"/>
        <v>60.999999999999943</v>
      </c>
      <c r="W77" s="17"/>
      <c r="X77" s="17"/>
      <c r="Y77" s="20"/>
      <c r="Z77" s="20"/>
      <c r="AA77" s="614"/>
      <c r="AB77" s="615"/>
      <c r="AC77" s="19"/>
      <c r="AD77" s="19"/>
      <c r="AE77" s="15">
        <f t="shared" si="43"/>
        <v>-87.540983606555528</v>
      </c>
      <c r="AF77" s="288">
        <f t="shared" si="50"/>
        <v>0.96352459016393521</v>
      </c>
      <c r="AG77" s="619"/>
    </row>
    <row r="78" spans="1:33" ht="15.75" customHeight="1">
      <c r="A78" s="617" t="s">
        <v>1331</v>
      </c>
      <c r="B78" s="292" t="s">
        <v>27</v>
      </c>
      <c r="C78" s="612" t="s">
        <v>50</v>
      </c>
      <c r="D78" s="613"/>
      <c r="E78" s="33">
        <v>19.02</v>
      </c>
      <c r="F78" s="292">
        <v>7835</v>
      </c>
      <c r="G78" s="283">
        <f t="shared" si="51"/>
        <v>149021.69999999998</v>
      </c>
      <c r="H78" s="29" t="s">
        <v>5</v>
      </c>
      <c r="I78" s="290">
        <v>14</v>
      </c>
      <c r="J78" s="30">
        <v>2400</v>
      </c>
      <c r="K78" s="13">
        <f t="shared" si="45"/>
        <v>171.42857142857142</v>
      </c>
      <c r="L78" s="290">
        <v>14</v>
      </c>
      <c r="M78" s="14">
        <f t="shared" si="52"/>
        <v>2282.0388349514574</v>
      </c>
      <c r="N78" s="13">
        <f t="shared" si="46"/>
        <v>163.00277392510409</v>
      </c>
      <c r="O78" s="15">
        <f t="shared" si="47"/>
        <v>0</v>
      </c>
      <c r="P78" s="16">
        <f t="shared" si="48"/>
        <v>-8.4257975034673223</v>
      </c>
      <c r="Q78" s="288">
        <f t="shared" si="49"/>
        <v>0.95084951456310729</v>
      </c>
      <c r="R78" s="619"/>
      <c r="S78" s="31">
        <v>0.5347222222222221</v>
      </c>
      <c r="T78" s="31">
        <v>0.67777777777777759</v>
      </c>
      <c r="U78" s="283">
        <f t="shared" si="54"/>
        <v>6.9999999999999751</v>
      </c>
      <c r="V78" s="291">
        <f t="shared" si="53"/>
        <v>205.99999999999991</v>
      </c>
      <c r="W78" s="17"/>
      <c r="X78" s="17"/>
      <c r="Y78" s="20"/>
      <c r="Z78" s="20"/>
      <c r="AA78" s="614"/>
      <c r="AB78" s="615"/>
      <c r="AC78" s="19"/>
      <c r="AD78" s="19"/>
      <c r="AE78" s="15">
        <f t="shared" si="43"/>
        <v>-117.96116504854263</v>
      </c>
      <c r="AF78" s="288">
        <f t="shared" si="50"/>
        <v>0.95084951456310729</v>
      </c>
      <c r="AG78" s="619"/>
    </row>
    <row r="79" spans="1:33" ht="15.75" customHeight="1">
      <c r="A79" s="617" t="s">
        <v>1331</v>
      </c>
      <c r="B79" s="292" t="s">
        <v>27</v>
      </c>
      <c r="C79" s="612" t="s">
        <v>876</v>
      </c>
      <c r="D79" s="613"/>
      <c r="E79" s="33">
        <v>23.8</v>
      </c>
      <c r="F79" s="292">
        <v>2811</v>
      </c>
      <c r="G79" s="283">
        <f t="shared" si="51"/>
        <v>66901.8</v>
      </c>
      <c r="H79" s="29" t="s">
        <v>5</v>
      </c>
      <c r="I79" s="290">
        <v>16</v>
      </c>
      <c r="J79" s="30">
        <v>2400</v>
      </c>
      <c r="K79" s="13">
        <f t="shared" si="45"/>
        <v>150</v>
      </c>
      <c r="L79" s="290">
        <v>16</v>
      </c>
      <c r="M79" s="14">
        <f t="shared" si="52"/>
        <v>2310.4109589041077</v>
      </c>
      <c r="N79" s="13">
        <f t="shared" si="46"/>
        <v>144.40068493150673</v>
      </c>
      <c r="O79" s="15">
        <f t="shared" si="47"/>
        <v>0</v>
      </c>
      <c r="P79" s="16">
        <f t="shared" si="48"/>
        <v>-5.5993150684932687</v>
      </c>
      <c r="Q79" s="288">
        <f t="shared" si="49"/>
        <v>0.96267123287671152</v>
      </c>
      <c r="R79" s="619"/>
      <c r="S79" s="31">
        <v>0.68333333333333313</v>
      </c>
      <c r="T79" s="31">
        <v>0.73402777777777761</v>
      </c>
      <c r="U79" s="283">
        <f t="shared" si="54"/>
        <v>7.9999999999999716</v>
      </c>
      <c r="V79" s="291">
        <f t="shared" si="53"/>
        <v>73.000000000000057</v>
      </c>
      <c r="W79" s="17"/>
      <c r="X79" s="17"/>
      <c r="Y79" s="20"/>
      <c r="Z79" s="20"/>
      <c r="AA79" s="614"/>
      <c r="AB79" s="615"/>
      <c r="AC79" s="19"/>
      <c r="AD79" s="19"/>
      <c r="AE79" s="15">
        <f t="shared" si="43"/>
        <v>-89.589041095892298</v>
      </c>
      <c r="AF79" s="288">
        <f t="shared" si="50"/>
        <v>0.96267123287671152</v>
      </c>
      <c r="AG79" s="619"/>
    </row>
    <row r="80" spans="1:33" ht="15.75" customHeight="1">
      <c r="A80" s="617" t="s">
        <v>1331</v>
      </c>
      <c r="B80" s="292" t="s">
        <v>27</v>
      </c>
      <c r="C80" s="612" t="s">
        <v>28</v>
      </c>
      <c r="D80" s="613"/>
      <c r="E80" s="33">
        <v>31.29</v>
      </c>
      <c r="F80" s="292">
        <v>2240</v>
      </c>
      <c r="G80" s="283">
        <f t="shared" si="51"/>
        <v>70089.599999999991</v>
      </c>
      <c r="H80" s="29" t="s">
        <v>5</v>
      </c>
      <c r="I80" s="290">
        <v>18</v>
      </c>
      <c r="J80" s="30">
        <v>2400</v>
      </c>
      <c r="K80" s="13">
        <f t="shared" si="45"/>
        <v>133.33333333333334</v>
      </c>
      <c r="L80" s="290">
        <v>18</v>
      </c>
      <c r="M80" s="14">
        <f t="shared" si="52"/>
        <v>2317.2413793103465</v>
      </c>
      <c r="N80" s="13">
        <f t="shared" si="46"/>
        <v>128.73563218390814</v>
      </c>
      <c r="O80" s="15">
        <f t="shared" si="47"/>
        <v>0</v>
      </c>
      <c r="P80" s="16">
        <f t="shared" si="48"/>
        <v>-4.5977011494252054</v>
      </c>
      <c r="Q80" s="288">
        <f t="shared" si="49"/>
        <v>0.96551724137931094</v>
      </c>
      <c r="R80" s="619"/>
      <c r="S80" s="31">
        <v>0.73819444444444426</v>
      </c>
      <c r="T80" s="31">
        <v>0.77847222222222201</v>
      </c>
      <c r="U80" s="283">
        <f t="shared" si="54"/>
        <v>5.9999999999999787</v>
      </c>
      <c r="V80" s="291">
        <f t="shared" si="53"/>
        <v>57.999999999999957</v>
      </c>
      <c r="W80" s="17"/>
      <c r="X80" s="17"/>
      <c r="Y80" s="20"/>
      <c r="Z80" s="20"/>
      <c r="AA80" s="614"/>
      <c r="AB80" s="615"/>
      <c r="AC80" s="19"/>
      <c r="AD80" s="19"/>
      <c r="AE80" s="15">
        <f t="shared" si="43"/>
        <v>-82.758620689653526</v>
      </c>
      <c r="AF80" s="288">
        <f t="shared" si="50"/>
        <v>0.96551724137931105</v>
      </c>
      <c r="AG80" s="619"/>
    </row>
    <row r="81" spans="1:33" ht="16.5" customHeight="1">
      <c r="A81" s="618" t="s">
        <v>1331</v>
      </c>
      <c r="B81" s="33" t="s">
        <v>1310</v>
      </c>
      <c r="C81" s="607"/>
      <c r="D81" s="608"/>
      <c r="E81" s="289"/>
      <c r="F81" s="34"/>
      <c r="G81" s="13"/>
      <c r="H81" s="292"/>
      <c r="I81" s="23">
        <v>16.2</v>
      </c>
      <c r="J81" s="30">
        <v>2400</v>
      </c>
      <c r="K81" s="13">
        <f t="shared" si="45"/>
        <v>148.14814814814815</v>
      </c>
      <c r="L81" s="23">
        <v>16.2</v>
      </c>
      <c r="M81" s="14">
        <f>AVERAGE(M71:M80)</f>
        <v>2301.8190049192685</v>
      </c>
      <c r="N81" s="13">
        <f t="shared" si="46"/>
        <v>142.08759289625115</v>
      </c>
      <c r="O81" s="15">
        <f t="shared" si="47"/>
        <v>0</v>
      </c>
      <c r="P81" s="16">
        <f t="shared" si="48"/>
        <v>-6.0605552518970001</v>
      </c>
      <c r="Q81" s="288">
        <f t="shared" si="49"/>
        <v>0.95909125204969525</v>
      </c>
      <c r="R81" s="619"/>
      <c r="S81" s="31"/>
      <c r="T81" s="31"/>
      <c r="U81" s="13"/>
      <c r="V81" s="291"/>
      <c r="W81" s="13"/>
      <c r="X81" s="13"/>
      <c r="Y81" s="24">
        <f>SUM(Y71:Y80)</f>
        <v>0</v>
      </c>
      <c r="Z81" s="24">
        <f>SUM(Z71:Z80)</f>
        <v>0</v>
      </c>
      <c r="AA81" s="609"/>
      <c r="AB81" s="609"/>
      <c r="AC81" s="24">
        <v>10</v>
      </c>
      <c r="AD81" s="24">
        <f>SUM(AD71:AD80)</f>
        <v>0</v>
      </c>
      <c r="AE81" s="15">
        <f t="shared" si="43"/>
        <v>-98.180995080731464</v>
      </c>
      <c r="AF81" s="288">
        <f t="shared" si="50"/>
        <v>0.95909125204969525</v>
      </c>
      <c r="AG81" s="619"/>
    </row>
    <row r="82" spans="1:33">
      <c r="D82" s="25"/>
      <c r="E82" s="25"/>
    </row>
  </sheetData>
  <mergeCells count="201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4"/>
    <mergeCell ref="C15:D15"/>
    <mergeCell ref="R15:R24"/>
    <mergeCell ref="AA15:AB15"/>
    <mergeCell ref="AA24:AB24"/>
    <mergeCell ref="A10:A14"/>
    <mergeCell ref="C10:D10"/>
    <mergeCell ref="R10:R14"/>
    <mergeCell ref="AA10:AB10"/>
    <mergeCell ref="AG25:AG33"/>
    <mergeCell ref="C26:D26"/>
    <mergeCell ref="AA26:AB26"/>
    <mergeCell ref="C27:D27"/>
    <mergeCell ref="AA27:AB27"/>
    <mergeCell ref="C28:D28"/>
    <mergeCell ref="AG15:AG24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25:A33"/>
    <mergeCell ref="C25:D25"/>
    <mergeCell ref="R25:R33"/>
    <mergeCell ref="AA25:AB25"/>
    <mergeCell ref="C33:D33"/>
    <mergeCell ref="AA33:AB33"/>
    <mergeCell ref="A34:A42"/>
    <mergeCell ref="C34:D34"/>
    <mergeCell ref="R34:R42"/>
    <mergeCell ref="AA34:AB34"/>
    <mergeCell ref="AA39:AB39"/>
    <mergeCell ref="C40:D40"/>
    <mergeCell ref="AA40:AB40"/>
    <mergeCell ref="C42:D42"/>
    <mergeCell ref="AA42:AB42"/>
    <mergeCell ref="A43:A51"/>
    <mergeCell ref="C43:D43"/>
    <mergeCell ref="R43:R51"/>
    <mergeCell ref="AA43:AB43"/>
    <mergeCell ref="AG43:AG51"/>
    <mergeCell ref="C44:D44"/>
    <mergeCell ref="AA44:AB44"/>
    <mergeCell ref="C45:D45"/>
    <mergeCell ref="AA45:AB45"/>
    <mergeCell ref="C49:D49"/>
    <mergeCell ref="AA49:AB49"/>
    <mergeCell ref="C50:D50"/>
    <mergeCell ref="AA50:AB50"/>
    <mergeCell ref="C51:D51"/>
    <mergeCell ref="AA51:AB51"/>
    <mergeCell ref="C46:D46"/>
    <mergeCell ref="AA46:AB46"/>
    <mergeCell ref="C47:D47"/>
    <mergeCell ref="AA47:AB47"/>
    <mergeCell ref="C48:D48"/>
    <mergeCell ref="AA48:AB48"/>
    <mergeCell ref="AG34:AG42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G56:AG65"/>
    <mergeCell ref="C57:D57"/>
    <mergeCell ref="AA57:AB57"/>
    <mergeCell ref="C58:D58"/>
    <mergeCell ref="AA58:AB58"/>
    <mergeCell ref="A52:A55"/>
    <mergeCell ref="C52:D52"/>
    <mergeCell ref="R52:R55"/>
    <mergeCell ref="AA52:AB52"/>
    <mergeCell ref="AG52:AG55"/>
    <mergeCell ref="C53:D53"/>
    <mergeCell ref="AA53:AB53"/>
    <mergeCell ref="C54:D54"/>
    <mergeCell ref="AA54:AB54"/>
    <mergeCell ref="C55:D55"/>
    <mergeCell ref="C63:D63"/>
    <mergeCell ref="AA63:AB63"/>
    <mergeCell ref="C65:D65"/>
    <mergeCell ref="AA65:AB65"/>
    <mergeCell ref="A71:A81"/>
    <mergeCell ref="C71:D71"/>
    <mergeCell ref="R71:R81"/>
    <mergeCell ref="AA71:AB71"/>
    <mergeCell ref="AA55:AB55"/>
    <mergeCell ref="A56:A65"/>
    <mergeCell ref="C56:D56"/>
    <mergeCell ref="R56:R65"/>
    <mergeCell ref="AA56:AB56"/>
    <mergeCell ref="A66:A70"/>
    <mergeCell ref="C66:D66"/>
    <mergeCell ref="R66:R70"/>
    <mergeCell ref="AA66:AB66"/>
    <mergeCell ref="AA59:AB59"/>
    <mergeCell ref="AA60:AB60"/>
    <mergeCell ref="C61:D61"/>
    <mergeCell ref="AA61:AB61"/>
    <mergeCell ref="C62:D62"/>
    <mergeCell ref="AA62:AB62"/>
    <mergeCell ref="AG66:AG70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AG71:AG81"/>
    <mergeCell ref="C72:D72"/>
    <mergeCell ref="AA72:AB72"/>
    <mergeCell ref="C73:D73"/>
    <mergeCell ref="AA73:AB73"/>
    <mergeCell ref="C74:D74"/>
    <mergeCell ref="C81:D81"/>
    <mergeCell ref="AA81:AB81"/>
    <mergeCell ref="C78:D78"/>
    <mergeCell ref="AA78:AB78"/>
    <mergeCell ref="C79:D79"/>
    <mergeCell ref="AA79:AB79"/>
    <mergeCell ref="C80:D80"/>
    <mergeCell ref="AA80:AB80"/>
    <mergeCell ref="AA74:AB74"/>
    <mergeCell ref="C75:D75"/>
    <mergeCell ref="AA75:AB75"/>
    <mergeCell ref="C76:D76"/>
    <mergeCell ref="AA76:AB76"/>
    <mergeCell ref="C77:D77"/>
    <mergeCell ref="AA77:AB77"/>
  </mergeCells>
  <phoneticPr fontId="3" type="noConversion"/>
  <conditionalFormatting sqref="O69:O76 O65:O66 O81 O5:O10 O14:O16 O24:O61">
    <cfRule type="cellIs" dxfId="1079" priority="85" operator="greaterThan">
      <formula>0</formula>
    </cfRule>
  </conditionalFormatting>
  <conditionalFormatting sqref="P5:P8 P69 AE69 P71:P76 P34:P41 P66 P10 P14:P16 P25:P32 P56:P61 P43:P54 AE5:AE66 AE71:AE81">
    <cfRule type="cellIs" dxfId="1078" priority="89" operator="lessThan">
      <formula>0</formula>
    </cfRule>
  </conditionalFormatting>
  <conditionalFormatting sqref="AF69 Q69:Q76 Q65:Q66 Q81 Q5:Q10 Q14:Q16 Q24:Q61 AF5:AF66 AF71:AF81">
    <cfRule type="cellIs" dxfId="1077" priority="86" operator="greaterThan">
      <formula>1</formula>
    </cfRule>
    <cfRule type="cellIs" dxfId="1076" priority="87" operator="lessThan">
      <formula>0.8</formula>
    </cfRule>
  </conditionalFormatting>
  <conditionalFormatting sqref="AG15:AG16 R15:R16 AG69 R69:R76 R24:R30 AG24:AG30 AG65:AG66 R65:R66 R81 AG5:AG10 R5:R10 AG33:AG61 R33:R61">
    <cfRule type="cellIs" dxfId="1075" priority="91" operator="lessThan">
      <formula>0.8</formula>
    </cfRule>
  </conditionalFormatting>
  <conditionalFormatting sqref="AG52">
    <cfRule type="cellIs" dxfId="1074" priority="93" operator="lessThan">
      <formula>0.8</formula>
    </cfRule>
  </conditionalFormatting>
  <conditionalFormatting sqref="AG25:AG30">
    <cfRule type="cellIs" dxfId="1073" priority="90" operator="lessThan">
      <formula>0.8</formula>
    </cfRule>
  </conditionalFormatting>
  <conditionalFormatting sqref="AG34">
    <cfRule type="cellIs" dxfId="1072" priority="92" operator="lessThan">
      <formula>0.8</formula>
    </cfRule>
  </conditionalFormatting>
  <conditionalFormatting sqref="AG43:AG50">
    <cfRule type="cellIs" dxfId="1071" priority="88" operator="lessThan">
      <formula>0.8</formula>
    </cfRule>
  </conditionalFormatting>
  <conditionalFormatting sqref="AE70">
    <cfRule type="cellIs" dxfId="1070" priority="84" operator="lessThan">
      <formula>0</formula>
    </cfRule>
  </conditionalFormatting>
  <conditionalFormatting sqref="AF70">
    <cfRule type="cellIs" dxfId="1069" priority="82" operator="greaterThan">
      <formula>1</formula>
    </cfRule>
    <cfRule type="cellIs" dxfId="1068" priority="83" operator="lessThan">
      <formula>0.8</formula>
    </cfRule>
  </conditionalFormatting>
  <conditionalFormatting sqref="O17:O18">
    <cfRule type="cellIs" dxfId="1067" priority="77" operator="greaterThan">
      <formula>0</formula>
    </cfRule>
  </conditionalFormatting>
  <conditionalFormatting sqref="P17:P18">
    <cfRule type="cellIs" dxfId="1066" priority="80" operator="lessThan">
      <formula>0</formula>
    </cfRule>
  </conditionalFormatting>
  <conditionalFormatting sqref="Q17:Q18">
    <cfRule type="cellIs" dxfId="1065" priority="78" operator="greaterThan">
      <formula>1</formula>
    </cfRule>
    <cfRule type="cellIs" dxfId="1064" priority="79" operator="lessThan">
      <formula>0.8</formula>
    </cfRule>
  </conditionalFormatting>
  <conditionalFormatting sqref="R17:R18 AG17:AG18">
    <cfRule type="cellIs" dxfId="1063" priority="81" operator="lessThan">
      <formula>0.8</formula>
    </cfRule>
  </conditionalFormatting>
  <conditionalFormatting sqref="O11:O13">
    <cfRule type="cellIs" dxfId="1062" priority="73" operator="greaterThan">
      <formula>0</formula>
    </cfRule>
  </conditionalFormatting>
  <conditionalFormatting sqref="P11:P13">
    <cfRule type="cellIs" dxfId="1061" priority="76" operator="lessThan">
      <formula>0</formula>
    </cfRule>
  </conditionalFormatting>
  <conditionalFormatting sqref="Q11:Q13">
    <cfRule type="cellIs" dxfId="1060" priority="74" operator="greaterThan">
      <formula>1</formula>
    </cfRule>
    <cfRule type="cellIs" dxfId="1059" priority="75" operator="lessThan">
      <formula>0.8</formula>
    </cfRule>
  </conditionalFormatting>
  <conditionalFormatting sqref="O62">
    <cfRule type="cellIs" dxfId="1058" priority="68" operator="greaterThan">
      <formula>0</formula>
    </cfRule>
  </conditionalFormatting>
  <conditionalFormatting sqref="P62">
    <cfRule type="cellIs" dxfId="1057" priority="71" operator="lessThan">
      <formula>0</formula>
    </cfRule>
  </conditionalFormatting>
  <conditionalFormatting sqref="Q62">
    <cfRule type="cellIs" dxfId="1056" priority="69" operator="greaterThan">
      <formula>1</formula>
    </cfRule>
    <cfRule type="cellIs" dxfId="1055" priority="70" operator="lessThan">
      <formula>0.8</formula>
    </cfRule>
  </conditionalFormatting>
  <conditionalFormatting sqref="R62 AG62">
    <cfRule type="cellIs" dxfId="1054" priority="72" operator="lessThan">
      <formula>0.8</formula>
    </cfRule>
  </conditionalFormatting>
  <conditionalFormatting sqref="AG32 R32">
    <cfRule type="cellIs" dxfId="1053" priority="67" operator="lessThan">
      <formula>0.8</formula>
    </cfRule>
  </conditionalFormatting>
  <conditionalFormatting sqref="O68">
    <cfRule type="cellIs" dxfId="1052" priority="62" operator="greaterThan">
      <formula>0</formula>
    </cfRule>
  </conditionalFormatting>
  <conditionalFormatting sqref="P68 AE68">
    <cfRule type="cellIs" dxfId="1051" priority="65" operator="lessThan">
      <formula>0</formula>
    </cfRule>
  </conditionalFormatting>
  <conditionalFormatting sqref="Q68 AF68">
    <cfRule type="cellIs" dxfId="1050" priority="63" operator="greaterThan">
      <formula>1</formula>
    </cfRule>
    <cfRule type="cellIs" dxfId="1049" priority="64" operator="lessThan">
      <formula>0.8</formula>
    </cfRule>
  </conditionalFormatting>
  <conditionalFormatting sqref="R68 AG68">
    <cfRule type="cellIs" dxfId="1048" priority="66" operator="lessThan">
      <formula>0.8</formula>
    </cfRule>
  </conditionalFormatting>
  <conditionalFormatting sqref="O77">
    <cfRule type="cellIs" dxfId="1047" priority="57" operator="greaterThan">
      <formula>0</formula>
    </cfRule>
  </conditionalFormatting>
  <conditionalFormatting sqref="P77">
    <cfRule type="cellIs" dxfId="1046" priority="60" operator="lessThan">
      <formula>0</formula>
    </cfRule>
  </conditionalFormatting>
  <conditionalFormatting sqref="Q77">
    <cfRule type="cellIs" dxfId="1045" priority="58" operator="greaterThan">
      <formula>1</formula>
    </cfRule>
    <cfRule type="cellIs" dxfId="1044" priority="59" operator="lessThan">
      <formula>0.8</formula>
    </cfRule>
  </conditionalFormatting>
  <conditionalFormatting sqref="R77">
    <cfRule type="cellIs" dxfId="1043" priority="61" operator="lessThan">
      <formula>0.8</formula>
    </cfRule>
  </conditionalFormatting>
  <conditionalFormatting sqref="O19:O20">
    <cfRule type="cellIs" dxfId="1042" priority="52" operator="greaterThan">
      <formula>0</formula>
    </cfRule>
  </conditionalFormatting>
  <conditionalFormatting sqref="P19:P20">
    <cfRule type="cellIs" dxfId="1041" priority="55" operator="lessThan">
      <formula>0</formula>
    </cfRule>
  </conditionalFormatting>
  <conditionalFormatting sqref="Q19:Q20">
    <cfRule type="cellIs" dxfId="1040" priority="53" operator="greaterThan">
      <formula>1</formula>
    </cfRule>
    <cfRule type="cellIs" dxfId="1039" priority="54" operator="lessThan">
      <formula>0.8</formula>
    </cfRule>
  </conditionalFormatting>
  <conditionalFormatting sqref="R19:R20 AG19:AG20">
    <cfRule type="cellIs" dxfId="1038" priority="56" operator="lessThan">
      <formula>0.8</formula>
    </cfRule>
  </conditionalFormatting>
  <conditionalFormatting sqref="O63">
    <cfRule type="cellIs" dxfId="1037" priority="47" operator="greaterThan">
      <formula>0</formula>
    </cfRule>
  </conditionalFormatting>
  <conditionalFormatting sqref="P63">
    <cfRule type="cellIs" dxfId="1036" priority="50" operator="lessThan">
      <formula>0</formula>
    </cfRule>
  </conditionalFormatting>
  <conditionalFormatting sqref="Q63">
    <cfRule type="cellIs" dxfId="1035" priority="48" operator="greaterThan">
      <formula>1</formula>
    </cfRule>
    <cfRule type="cellIs" dxfId="1034" priority="49" operator="lessThan">
      <formula>0.8</formula>
    </cfRule>
  </conditionalFormatting>
  <conditionalFormatting sqref="AG63 R63">
    <cfRule type="cellIs" dxfId="1033" priority="51" operator="lessThan">
      <formula>0.8</formula>
    </cfRule>
  </conditionalFormatting>
  <conditionalFormatting sqref="R31 AG31">
    <cfRule type="cellIs" dxfId="1032" priority="46" operator="lessThan">
      <formula>0.8</formula>
    </cfRule>
  </conditionalFormatting>
  <conditionalFormatting sqref="AG31">
    <cfRule type="cellIs" dxfId="1031" priority="45" operator="lessThan">
      <formula>0.8</formula>
    </cfRule>
  </conditionalFormatting>
  <conditionalFormatting sqref="O67">
    <cfRule type="cellIs" dxfId="1030" priority="40" operator="greaterThan">
      <formula>0</formula>
    </cfRule>
  </conditionalFormatting>
  <conditionalFormatting sqref="P67 AE67">
    <cfRule type="cellIs" dxfId="1029" priority="43" operator="lessThan">
      <formula>0</formula>
    </cfRule>
  </conditionalFormatting>
  <conditionalFormatting sqref="Q67 AF67">
    <cfRule type="cellIs" dxfId="1028" priority="41" operator="greaterThan">
      <formula>1</formula>
    </cfRule>
    <cfRule type="cellIs" dxfId="1027" priority="42" operator="lessThan">
      <formula>0.8</formula>
    </cfRule>
  </conditionalFormatting>
  <conditionalFormatting sqref="R67 AG67">
    <cfRule type="cellIs" dxfId="1026" priority="44" operator="lessThan">
      <formula>0.8</formula>
    </cfRule>
  </conditionalFormatting>
  <conditionalFormatting sqref="O21">
    <cfRule type="cellIs" dxfId="1025" priority="35" operator="greaterThan">
      <formula>0</formula>
    </cfRule>
  </conditionalFormatting>
  <conditionalFormatting sqref="P21">
    <cfRule type="cellIs" dxfId="1024" priority="38" operator="lessThan">
      <formula>0</formula>
    </cfRule>
  </conditionalFormatting>
  <conditionalFormatting sqref="Q21">
    <cfRule type="cellIs" dxfId="1023" priority="36" operator="greaterThan">
      <formula>1</formula>
    </cfRule>
    <cfRule type="cellIs" dxfId="1022" priority="37" operator="lessThan">
      <formula>0.8</formula>
    </cfRule>
  </conditionalFormatting>
  <conditionalFormatting sqref="AG21 R21">
    <cfRule type="cellIs" dxfId="1021" priority="39" operator="lessThan">
      <formula>0.8</formula>
    </cfRule>
  </conditionalFormatting>
  <conditionalFormatting sqref="O22:O23">
    <cfRule type="cellIs" dxfId="1020" priority="30" operator="greaterThan">
      <formula>0</formula>
    </cfRule>
  </conditionalFormatting>
  <conditionalFormatting sqref="P22:P23">
    <cfRule type="cellIs" dxfId="1019" priority="33" operator="lessThan">
      <formula>0</formula>
    </cfRule>
  </conditionalFormatting>
  <conditionalFormatting sqref="Q22:Q23">
    <cfRule type="cellIs" dxfId="1018" priority="31" operator="greaterThan">
      <formula>1</formula>
    </cfRule>
    <cfRule type="cellIs" dxfId="1017" priority="32" operator="lessThan">
      <formula>0.8</formula>
    </cfRule>
  </conditionalFormatting>
  <conditionalFormatting sqref="AG22 R22">
    <cfRule type="cellIs" dxfId="1016" priority="34" operator="lessThan">
      <formula>0.8</formula>
    </cfRule>
  </conditionalFormatting>
  <conditionalFormatting sqref="P9">
    <cfRule type="cellIs" dxfId="1015" priority="29" operator="lessThan">
      <formula>0</formula>
    </cfRule>
  </conditionalFormatting>
  <conditionalFormatting sqref="P24">
    <cfRule type="cellIs" dxfId="1014" priority="28" operator="lessThan">
      <formula>0</formula>
    </cfRule>
  </conditionalFormatting>
  <conditionalFormatting sqref="P33">
    <cfRule type="cellIs" dxfId="1013" priority="27" operator="lessThan">
      <formula>0</formula>
    </cfRule>
  </conditionalFormatting>
  <conditionalFormatting sqref="P42">
    <cfRule type="cellIs" dxfId="1012" priority="26" operator="lessThan">
      <formula>0</formula>
    </cfRule>
  </conditionalFormatting>
  <conditionalFormatting sqref="P55">
    <cfRule type="cellIs" dxfId="1011" priority="25" operator="lessThan">
      <formula>0</formula>
    </cfRule>
  </conditionalFormatting>
  <conditionalFormatting sqref="P65">
    <cfRule type="cellIs" dxfId="1010" priority="24" operator="lessThan">
      <formula>0</formula>
    </cfRule>
  </conditionalFormatting>
  <conditionalFormatting sqref="P70">
    <cfRule type="cellIs" dxfId="1009" priority="23" operator="lessThan">
      <formula>0</formula>
    </cfRule>
  </conditionalFormatting>
  <conditionalFormatting sqref="P81">
    <cfRule type="cellIs" dxfId="1008" priority="22" operator="lessThan">
      <formula>0</formula>
    </cfRule>
  </conditionalFormatting>
  <conditionalFormatting sqref="O78">
    <cfRule type="cellIs" dxfId="1007" priority="17" operator="greaterThan">
      <formula>0</formula>
    </cfRule>
  </conditionalFormatting>
  <conditionalFormatting sqref="P78">
    <cfRule type="cellIs" dxfId="1006" priority="20" operator="lessThan">
      <formula>0</formula>
    </cfRule>
  </conditionalFormatting>
  <conditionalFormatting sqref="Q78">
    <cfRule type="cellIs" dxfId="1005" priority="18" operator="greaterThan">
      <formula>1</formula>
    </cfRule>
    <cfRule type="cellIs" dxfId="1004" priority="19" operator="lessThan">
      <formula>0.8</formula>
    </cfRule>
  </conditionalFormatting>
  <conditionalFormatting sqref="R78">
    <cfRule type="cellIs" dxfId="1003" priority="21" operator="lessThan">
      <formula>0.8</formula>
    </cfRule>
  </conditionalFormatting>
  <conditionalFormatting sqref="O79">
    <cfRule type="cellIs" dxfId="1002" priority="12" operator="greaterThan">
      <formula>0</formula>
    </cfRule>
  </conditionalFormatting>
  <conditionalFormatting sqref="P79">
    <cfRule type="cellIs" dxfId="1001" priority="15" operator="lessThan">
      <formula>0</formula>
    </cfRule>
  </conditionalFormatting>
  <conditionalFormatting sqref="Q79">
    <cfRule type="cellIs" dxfId="1000" priority="13" operator="greaterThan">
      <formula>1</formula>
    </cfRule>
    <cfRule type="cellIs" dxfId="999" priority="14" operator="lessThan">
      <formula>0.8</formula>
    </cfRule>
  </conditionalFormatting>
  <conditionalFormatting sqref="R79">
    <cfRule type="cellIs" dxfId="998" priority="16" operator="lessThan">
      <formula>0.8</formula>
    </cfRule>
  </conditionalFormatting>
  <conditionalFormatting sqref="AG23 R23">
    <cfRule type="cellIs" dxfId="997" priority="11" operator="lessThan">
      <formula>0.8</formula>
    </cfRule>
  </conditionalFormatting>
  <conditionalFormatting sqref="O64">
    <cfRule type="cellIs" dxfId="996" priority="6" operator="greaterThan">
      <formula>0</formula>
    </cfRule>
  </conditionalFormatting>
  <conditionalFormatting sqref="P64">
    <cfRule type="cellIs" dxfId="995" priority="9" operator="lessThan">
      <formula>0</formula>
    </cfRule>
  </conditionalFormatting>
  <conditionalFormatting sqref="Q64">
    <cfRule type="cellIs" dxfId="994" priority="7" operator="greaterThan">
      <formula>1</formula>
    </cfRule>
    <cfRule type="cellIs" dxfId="993" priority="8" operator="lessThan">
      <formula>0.8</formula>
    </cfRule>
  </conditionalFormatting>
  <conditionalFormatting sqref="AG64 R64">
    <cfRule type="cellIs" dxfId="992" priority="10" operator="lessThan">
      <formula>0.8</formula>
    </cfRule>
  </conditionalFormatting>
  <conditionalFormatting sqref="O80">
    <cfRule type="cellIs" dxfId="991" priority="1" operator="greaterThan">
      <formula>0</formula>
    </cfRule>
  </conditionalFormatting>
  <conditionalFormatting sqref="P80">
    <cfRule type="cellIs" dxfId="990" priority="4" operator="lessThan">
      <formula>0</formula>
    </cfRule>
  </conditionalFormatting>
  <conditionalFormatting sqref="Q80">
    <cfRule type="cellIs" dxfId="989" priority="2" operator="greaterThan">
      <formula>1</formula>
    </cfRule>
    <cfRule type="cellIs" dxfId="988" priority="3" operator="lessThan">
      <formula>0.8</formula>
    </cfRule>
  </conditionalFormatting>
  <conditionalFormatting sqref="R80">
    <cfRule type="cellIs" dxfId="987" priority="5" operator="lessThan">
      <formula>0.8</formula>
    </cfRule>
  </conditionalFormatting>
  <dataValidations count="1">
    <dataValidation type="list" allowBlank="1" showInputMessage="1" showErrorMessage="1" sqref="AB9 AA5:AB8 AA9:AA69 AB11:AB66 AA70:AB8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16" zoomScale="85" zoomScaleNormal="85" workbookViewId="0">
      <selection activeCell="B1" sqref="B1:J2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86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596" t="str">
        <f>TEXT('0912 4度C'!A2,"yyyy.mm.ddaaaa")</f>
        <v>2026.09.12星期六</v>
      </c>
      <c r="D3" s="597"/>
      <c r="E3" s="39" t="s">
        <v>204</v>
      </c>
      <c r="F3" s="598">
        <f>'0912 4度C'!D1</f>
        <v>151309</v>
      </c>
      <c r="G3" s="599"/>
      <c r="H3" s="39" t="s">
        <v>89</v>
      </c>
      <c r="I3" s="600">
        <f>'0912 4度C'!F1</f>
        <v>5191866.3099999996</v>
      </c>
      <c r="J3" s="601"/>
      <c r="K3" s="40"/>
      <c r="L3" s="41"/>
      <c r="M3" s="42"/>
      <c r="N3" s="42"/>
    </row>
    <row r="4" spans="2:17" ht="28.5" customHeight="1">
      <c r="B4" s="602" t="s">
        <v>206</v>
      </c>
      <c r="C4" s="588" t="s">
        <v>1189</v>
      </c>
      <c r="D4" s="589"/>
      <c r="E4" s="605" t="s">
        <v>1190</v>
      </c>
      <c r="F4" s="606"/>
      <c r="G4" s="605" t="s">
        <v>93</v>
      </c>
      <c r="H4" s="606"/>
      <c r="I4" s="605" t="s">
        <v>210</v>
      </c>
      <c r="J4" s="606"/>
      <c r="K4" s="586" t="s">
        <v>211</v>
      </c>
      <c r="L4" s="587"/>
      <c r="M4" s="587" t="s">
        <v>96</v>
      </c>
      <c r="N4" s="587"/>
    </row>
    <row r="5" spans="2:17" ht="28.5" customHeight="1">
      <c r="B5" s="603"/>
      <c r="C5" s="588" t="s">
        <v>97</v>
      </c>
      <c r="D5" s="589"/>
      <c r="E5" s="588" t="s">
        <v>1191</v>
      </c>
      <c r="F5" s="589"/>
      <c r="G5" s="590" t="s">
        <v>1192</v>
      </c>
      <c r="H5" s="591"/>
      <c r="I5" s="592" t="s">
        <v>216</v>
      </c>
      <c r="J5" s="593"/>
      <c r="K5" s="43" t="s">
        <v>103</v>
      </c>
      <c r="L5" s="44" t="s">
        <v>218</v>
      </c>
      <c r="M5" s="43" t="s">
        <v>103</v>
      </c>
      <c r="N5" s="44" t="s">
        <v>104</v>
      </c>
    </row>
    <row r="6" spans="2:17" ht="28.5" customHeight="1">
      <c r="B6" s="603"/>
      <c r="C6" s="588" t="s">
        <v>56</v>
      </c>
      <c r="D6" s="589"/>
      <c r="E6" s="580">
        <f>AVERAGE(D13:M13)</f>
        <v>156.92531317236919</v>
      </c>
      <c r="F6" s="581">
        <f>AVERAGE(D31:O31,D13:J13)</f>
        <v>164.48429346990406</v>
      </c>
      <c r="G6" s="582">
        <f>AVERAGE(D13:J13)</f>
        <v>164.48429346990406</v>
      </c>
      <c r="H6" s="583"/>
      <c r="I6" s="582">
        <f>AVERAGE(K13:M13)</f>
        <v>139.28769247812122</v>
      </c>
      <c r="J6" s="583"/>
      <c r="K6" s="584">
        <f>'0912 4度C'!Y2</f>
        <v>0</v>
      </c>
      <c r="L6" s="569">
        <f>'0912 4度C'!Z2</f>
        <v>0</v>
      </c>
      <c r="M6" s="585">
        <f>'0912 4度C'!AC2</f>
        <v>55</v>
      </c>
      <c r="N6" s="569">
        <f>'0912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150.53578434925291</v>
      </c>
      <c r="F7" s="573">
        <f>AVERAGE(D32:O32,D14:J14)</f>
        <v>158.07871991647548</v>
      </c>
      <c r="G7" s="574">
        <f>AVERAGE(D14:J14)</f>
        <v>158.07871991647548</v>
      </c>
      <c r="H7" s="575"/>
      <c r="I7" s="574">
        <f>AVERAGE(K14:M14)</f>
        <v>132.93560135906691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0.95840457512111621</v>
      </c>
      <c r="F8" s="577">
        <f>AVERAGE(D15:J15,D33:O33)</f>
        <v>0.96011834083102088</v>
      </c>
      <c r="G8" s="578">
        <f>AVERAGE(D15:J15)</f>
        <v>0.96011834083102088</v>
      </c>
      <c r="H8" s="579"/>
      <c r="I8" s="578">
        <f>AVERAGE(K15:M15)</f>
        <v>0.9544057884646725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1193</v>
      </c>
      <c r="N9" s="42"/>
      <c r="O9" s="42"/>
      <c r="P9" s="42"/>
      <c r="Q9" s="42"/>
    </row>
    <row r="10" spans="2:17" ht="30" customHeight="1">
      <c r="B10" s="552" t="s">
        <v>1194</v>
      </c>
      <c r="C10" s="553"/>
      <c r="D10" s="554" t="s">
        <v>1195</v>
      </c>
      <c r="E10" s="555"/>
      <c r="F10" s="555"/>
      <c r="G10" s="555"/>
      <c r="H10" s="555"/>
      <c r="I10" s="555"/>
      <c r="J10" s="556"/>
      <c r="K10" s="557" t="s">
        <v>1196</v>
      </c>
      <c r="L10" s="558"/>
      <c r="M10" s="559"/>
      <c r="P10" s="48"/>
      <c r="Q10" s="48"/>
    </row>
    <row r="11" spans="2:17" ht="17.25" customHeight="1">
      <c r="B11" s="560" t="s">
        <v>1197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1198</v>
      </c>
      <c r="C13" s="55" t="s">
        <v>111</v>
      </c>
      <c r="D13" s="56">
        <f>SUMIFS('0912 4度C'!$K:$K,'0912 4度C'!$A:$A,"新豐6線",'0912 4度C'!$B:$B,"平均")</f>
        <v>136.36363636363637</v>
      </c>
      <c r="E13" s="57">
        <f>SUMIFS('0912 4度C'!$K:$K,'0912 4度C'!$A:$A,"新豐2線",'0912 4度C'!$B:$B,"平均")</f>
        <v>81.818181818181827</v>
      </c>
      <c r="F13" s="58">
        <f>SUMIFS('0912 4度C'!$K:$K,'0912 4度C'!$A:$A,"新豐5線",'0912 4度C'!$B:$B,"平均")</f>
        <v>104.16666666666667</v>
      </c>
      <c r="G13" s="58">
        <f>SUMIFS('0912 4度C'!$K:$K,'0912 4度C'!$A:$A,"新豐7線",'0912 4度C'!$B:$B,"平均")</f>
        <v>126.31578947368421</v>
      </c>
      <c r="H13" s="58">
        <f>SUMIFS('0912 4度C'!$K:$K,'0912 4度C'!$A:$A,"新豐3線",'0912 4度C'!$B:$B,"平均")</f>
        <v>310.34482758620692</v>
      </c>
      <c r="I13" s="58">
        <f>SUMIFS('0912 4度C'!$K:$K,'0912 4度C'!$A:$A,"新豐1線",'0912 4度C'!$B:$B,"平均")</f>
        <v>106.66666666666667</v>
      </c>
      <c r="J13" s="59">
        <f>SUMIFS('0912 4度C'!$K:$K,'0912 4度C'!$A:$A,"新豐10線",'0912 4度C'!$B:$B,"平均")</f>
        <v>285.71428571428572</v>
      </c>
      <c r="K13" s="60">
        <f>SUMIFS('0912 4度C'!$K:$K,'0912 4度C'!$A:$A,"新豐8線",'0912 4度C'!$B:$B,"平均")</f>
        <v>142.37288135593221</v>
      </c>
      <c r="L13" s="61">
        <f>SUMIFS('0912 4度C'!$K:$K,'0912 4度C'!$A:$A,"新豐9線",'0912 4度C'!$B:$B,"平均")</f>
        <v>125.49019607843138</v>
      </c>
      <c r="M13" s="59">
        <f>SUMIFS('0912 4度C'!$K:$K,'0912 4度C'!$A:$A,"新豐4線",'0912 4度C'!$B:$B,"平均")</f>
        <v>150</v>
      </c>
    </row>
    <row r="14" spans="2:17" ht="39.6" customHeight="1">
      <c r="B14" s="565"/>
      <c r="C14" s="62" t="s">
        <v>1199</v>
      </c>
      <c r="D14" s="63">
        <f>SUMIFS('0912 4度C'!$N:$N,'0912 4度C'!$A:$A,"新豐6線",'0912 4度C'!$B:$B,"平均")</f>
        <v>130.59752939122336</v>
      </c>
      <c r="E14" s="64">
        <f>SUMIFS('0912 4度C'!$N:$N,'0912 4度C'!$A:$A,"新豐2線",'0912 4度C'!$B:$B,"平均")</f>
        <v>78.232038870961745</v>
      </c>
      <c r="F14" s="64">
        <f>SUMIFS('0912 4度C'!$N:$N,'0912 4度C'!$A:$A,"新豐5線",'0912 4度C'!$B:$B,"平均")</f>
        <v>99.941603560312871</v>
      </c>
      <c r="G14" s="64">
        <f>SUMIFS('0912 4度C'!$N:$N,'0912 4度C'!$A:$A,"新豐7線",'0912 4度C'!$B:$B,"平均")</f>
        <v>121.41675474439049</v>
      </c>
      <c r="H14" s="64">
        <f>SUMIFS('0912 4度C'!$N:$N,'0912 4度C'!$A:$A,"新豐3線",'0912 4度C'!$B:$B,"平均")</f>
        <v>299.76430129631558</v>
      </c>
      <c r="I14" s="64">
        <f>SUMIFS('0912 4度C'!$N:$N,'0912 4度C'!$A:$A,"新豐1線",'0912 4度C'!$B:$B,"平均")</f>
        <v>102.51666443676319</v>
      </c>
      <c r="J14" s="65">
        <f>SUMIFS('0912 4度C'!$N:$N,'0912 4度C'!$A:$A,"新豐10線",'0912 4度C'!$B:$B,"平均")</f>
        <v>274.08214711536124</v>
      </c>
      <c r="K14" s="66">
        <f>SUMIFS('0912 4度C'!$N:$N,'0912 4度C'!$A:$A,"新豐8線",'0912 4度C'!$B:$B,"平均")</f>
        <v>136.01195169674662</v>
      </c>
      <c r="L14" s="67">
        <f>SUMIFS('0912 4度C'!$N:$N,'0912 4度C'!$A:$A,"新豐9線",'0912 4度C'!$B:$B,"平均")</f>
        <v>119.75396442480177</v>
      </c>
      <c r="M14" s="65">
        <f>SUMIFS('0912 4度C'!$N:$N,'0912 4度C'!$A:$A,"新豐4線",'0912 4度C'!$B:$B,"平均")</f>
        <v>143.04088795565229</v>
      </c>
    </row>
    <row r="15" spans="2:17" ht="40.15" customHeight="1">
      <c r="B15" s="566"/>
      <c r="C15" s="68" t="s">
        <v>1200</v>
      </c>
      <c r="D15" s="69">
        <f t="shared" ref="D15:M15" si="0">D14/D13</f>
        <v>0.95771521553563788</v>
      </c>
      <c r="E15" s="70">
        <f t="shared" si="0"/>
        <v>0.95616936397842123</v>
      </c>
      <c r="F15" s="70">
        <f t="shared" si="0"/>
        <v>0.95943939417900348</v>
      </c>
      <c r="G15" s="70">
        <f t="shared" si="0"/>
        <v>0.96121597505975809</v>
      </c>
      <c r="H15" s="70">
        <f t="shared" si="0"/>
        <v>0.96590719306590567</v>
      </c>
      <c r="I15" s="70">
        <f t="shared" si="0"/>
        <v>0.96109372909465485</v>
      </c>
      <c r="J15" s="71">
        <f t="shared" si="0"/>
        <v>0.95928751490376429</v>
      </c>
      <c r="K15" s="69">
        <f t="shared" si="0"/>
        <v>0.95532204167952983</v>
      </c>
      <c r="L15" s="70">
        <f t="shared" si="0"/>
        <v>0.95428940401013895</v>
      </c>
      <c r="M15" s="71">
        <f t="shared" si="0"/>
        <v>0.9536059197043486</v>
      </c>
    </row>
    <row r="16" spans="2:17" ht="17.25" customHeight="1">
      <c r="B16" s="567" t="s">
        <v>1201</v>
      </c>
      <c r="C16" s="72" t="s">
        <v>1202</v>
      </c>
      <c r="D16" s="73">
        <f>VLOOKUP("新豐6線",'0912 4度C'!$A:$T,19,0)</f>
        <v>0.70833333333333337</v>
      </c>
      <c r="E16" s="74">
        <f>VLOOKUP("新豐2線",'0912 4度C'!$A:$T,19,0)</f>
        <v>8.3333333333333329E-2</v>
      </c>
      <c r="F16" s="74">
        <f>VLOOKUP("新豐5線",'0912 4度C'!$A:$T,19,0)</f>
        <v>0.20833333333333334</v>
      </c>
      <c r="G16" s="74">
        <f>VLOOKUP("新豐7線",'0912 4度C'!$A:$T,19,0)</f>
        <v>0.20833333333333334</v>
      </c>
      <c r="H16" s="74">
        <f>VLOOKUP("新豐3線",'0912 4度C'!$A:$T,19,0)</f>
        <v>0.20833333333333334</v>
      </c>
      <c r="I16" s="74">
        <f>VLOOKUP("新豐1線",'0912 4度C'!$A:$T,19,0)</f>
        <v>0.20833333333333334</v>
      </c>
      <c r="J16" s="75">
        <f>VLOOKUP("新豐10線",'0912 4度C'!$A:$T,19,0)</f>
        <v>0.20833333333333334</v>
      </c>
      <c r="K16" s="76">
        <f>VLOOKUP("新豐8線",'0912 4度C'!$A:$T,19,0)</f>
        <v>8.3333333333333329E-2</v>
      </c>
      <c r="L16" s="77">
        <f>VLOOKUP("新豐9線",'0912 4度C'!$A:$T,19,0)</f>
        <v>8.3333333333333329E-2</v>
      </c>
      <c r="M16" s="78">
        <f>VLOOKUP("新豐4線",'0912 4度C'!$A:$T,19,0)</f>
        <v>8.3333333333333329E-2</v>
      </c>
    </row>
    <row r="17" spans="2:13" ht="17.25" customHeight="1">
      <c r="B17" s="568"/>
      <c r="C17" s="72" t="s">
        <v>1203</v>
      </c>
      <c r="D17" s="76">
        <f>LOOKUP(2,1/(('0912 4度C'!$A:$A="新豐6線")*('0912 4度C'!$T:$T&lt;&gt;"")),'0912 4度C'!$T:$T)</f>
        <v>0.84166666666666667</v>
      </c>
      <c r="E17" s="74">
        <f>LOOKUP(2,1/(('0912 4度C'!$A:$A="新豐2線")*('0912 4度C'!$T:$T&lt;&gt;"")),'0912 4度C'!$T:$T)</f>
        <v>0.45972222222222225</v>
      </c>
      <c r="F17" s="74">
        <f>LOOKUP(2,1/(('0912 4度C'!$A:$A="新豐5線")*('0912 4度C'!$T:$T&lt;&gt;"")),'0912 4度C'!$T:$T)</f>
        <v>0.84861111111111109</v>
      </c>
      <c r="G17" s="74">
        <f>LOOKUP(2,1/(('0912 4度C'!$A:$A="新豐7線")*('0912 4度C'!$T:$T&lt;&gt;"")),'0912 4度C'!$T:$T)</f>
        <v>0.8388888888888888</v>
      </c>
      <c r="H17" s="74">
        <f>LOOKUP(2,1/(('0912 4度C'!$A:$A="新豐3線")*('0912 4度C'!$T:$T&lt;&gt;"")),'0912 4度C'!$T:$T)</f>
        <v>0.38888888888888884</v>
      </c>
      <c r="I17" s="74">
        <f>LOOKUP(2,1/(('0912 4度C'!$A:$A="新豐1線")*('0912 4度C'!$T:$T&lt;&gt;"")),'0912 4度C'!$T:$T)</f>
        <v>0.85833333333333328</v>
      </c>
      <c r="J17" s="75">
        <f>LOOKUP(2,1/(('0912 4度C'!$A:$A="新豐10線")*('0912 4度C'!$T:$T&lt;&gt;"")),'0912 4度C'!$T:$T)</f>
        <v>0.4055555555555555</v>
      </c>
      <c r="K17" s="73">
        <f>LOOKUP(2,1/(('0912 4度C'!$A:$A="新豐8線")*('0912 4度C'!$T:$T&lt;&gt;"")),'0912 4度C'!$T:$T)</f>
        <v>0.66736111111111107</v>
      </c>
      <c r="L17" s="74">
        <f>LOOKUP(2,1/(('0912 4度C'!$A:$A="新豐9線")*('0912 4度C'!$T:$T&lt;&gt;"")),'0912 4度C'!$T:$T)</f>
        <v>0.61597222222222214</v>
      </c>
      <c r="M17" s="75">
        <f>LOOKUP(2,1/(('0912 4度C'!$A:$A="新豐4線")*('0912 4度C'!$T:$T&lt;&gt;"")),'0912 4度C'!$T:$T)</f>
        <v>0.60277777777777763</v>
      </c>
    </row>
    <row r="18" spans="2:13" ht="17.25" customHeight="1">
      <c r="B18" s="546" t="s">
        <v>1204</v>
      </c>
      <c r="C18" s="79" t="s">
        <v>1205</v>
      </c>
      <c r="D18" s="80">
        <f>SUMIFS('0912 4度C'!$Y:$Y,'0912 4度C'!$A:$A,"新豐6線",'0912 4度C'!$B:$B,"平均")</f>
        <v>0</v>
      </c>
      <c r="E18" s="81">
        <f>SUMIFS('0912 4度C'!$Y:$Y,'0912 4度C'!$A:$A,"新豐2線",'0912 4度C'!$B:$B,"平均")</f>
        <v>0</v>
      </c>
      <c r="F18" s="81">
        <f>SUMIFS('0912 4度C'!$Y:$Y,'0912 4度C'!$A:$A,"新豐5線",'0912 4度C'!$B:$B,"平均")</f>
        <v>0</v>
      </c>
      <c r="G18" s="81">
        <f>SUMIFS('0912 4度C'!$Y:$Y,'0912 4度C'!$A:$A,"新豐7線",'0912 4度C'!$B:$B,"平均")</f>
        <v>0</v>
      </c>
      <c r="H18" s="81">
        <f>SUMIFS('0912 4度C'!$Y:$Y,'0912 4度C'!$A:$A,"新豐3線",'0912 4度C'!$B:$B,"平均")</f>
        <v>0</v>
      </c>
      <c r="I18" s="81">
        <f>SUMIFS('0912 4度C'!$Y:$Y,'0912 4度C'!$A:$A,"新豐1線",'0912 4度C'!$B:$B,"平均")</f>
        <v>0</v>
      </c>
      <c r="J18" s="82">
        <f>SUMIFS('0912 4度C'!$Y:$Y,'0912 4度C'!$A:$A,"新豐10線",'0912 4度C'!$B:$B,"平均")</f>
        <v>0</v>
      </c>
      <c r="K18" s="83">
        <f>SUMIFS('0912 4度C'!$Y:$Y,'0912 4度C'!$A:$A,"新豐8線",'0912 4度C'!$B:$B,"平均")</f>
        <v>0</v>
      </c>
      <c r="L18" s="81">
        <f>SUMIFS('0912 4度C'!$Y:$Y,'0912 4度C'!$A:$A,"新豐9線",'0912 4度C'!$B:$B,"平均")</f>
        <v>0</v>
      </c>
      <c r="M18" s="82">
        <f>SUMIFS('0912 4度C'!$Y:$Y,'0912 4度C'!$A:$A,"新豐4線",'0912 4度C'!$B:$B,"平均")</f>
        <v>0</v>
      </c>
    </row>
    <row r="19" spans="2:13" ht="17.25" customHeight="1">
      <c r="B19" s="547"/>
      <c r="C19" s="79" t="s">
        <v>78</v>
      </c>
      <c r="D19" s="80">
        <f>SUMIFS('0912 4度C'!$Z:$Z,'0912 4度C'!$A:$A,"新豐6線",'0912 4度C'!$B:$B,"平均")</f>
        <v>0</v>
      </c>
      <c r="E19" s="81">
        <f>SUMIFS('0912 4度C'!$Z:$Z,'0912 4度C'!$A:$A,"新豐2線",'0912 4度C'!$B:$B,"平均")</f>
        <v>0</v>
      </c>
      <c r="F19" s="81">
        <f>SUMIFS('0912 4度C'!$Z:$Z,'0912 4度C'!$A:$A,"新豐5線",'0912 4度C'!$B:$B,"平均")</f>
        <v>0</v>
      </c>
      <c r="G19" s="81">
        <f>SUMIFS('0912 4度C'!$Z:$Z,'0912 4度C'!$A:$A,"新豐7線",'0912 4度C'!$B:$B,"平均")</f>
        <v>0</v>
      </c>
      <c r="H19" s="81">
        <f>SUMIFS('0912 4度C'!$Z:$Z,'0912 4度C'!$A:$A,"新豐3線",'0912 4度C'!$B:$B,"平均")</f>
        <v>0</v>
      </c>
      <c r="I19" s="81">
        <f>SUMIFS('0912 4度C'!$Z:$Z,'0912 4度C'!$A:$A,"新豐1線",'0912 4度C'!$B:$B,"平均")</f>
        <v>0</v>
      </c>
      <c r="J19" s="82">
        <f>SUMIFS('0912 4度C'!$Z:$Z,'0912 4度C'!$A:$A,"新豐10線",'0912 4度C'!$B:$B,"平均")</f>
        <v>0</v>
      </c>
      <c r="K19" s="83">
        <f>SUMIFS('0912 4度C'!$Z:$Z,'0912 4度C'!$A:$A,"新豐8線",'0912 4度C'!$B:$B,"平均")</f>
        <v>0</v>
      </c>
      <c r="L19" s="81">
        <f>SUMIFS('0912 4度C'!$Z:$Z,'0912 4度C'!$A:$A,"新豐9線",'0912 4度C'!$B:$B,"平均")</f>
        <v>0</v>
      </c>
      <c r="M19" s="82">
        <f>SUMIFS('0912 4度C'!$Z:$Z,'0912 4度C'!$A:$A,"新豐4線",'0912 4度C'!$B:$B,"平均")</f>
        <v>0</v>
      </c>
    </row>
    <row r="20" spans="2:13" ht="17.25" customHeight="1">
      <c r="B20" s="546" t="s">
        <v>1206</v>
      </c>
      <c r="C20" s="79" t="s">
        <v>118</v>
      </c>
      <c r="D20" s="80">
        <f>SUMIFS('0912 4度C'!$AC:$AC,'0912 4度C'!$A:$A,"新豐6線",'0912 4度C'!$B:$B,"平均")</f>
        <v>3</v>
      </c>
      <c r="E20" s="81">
        <f>SUMIFS('0912 4度C'!$AC:$AC,'0912 4度C'!$A:$A,"新豐2線",'0912 4度C'!$B:$B,"平均")</f>
        <v>3</v>
      </c>
      <c r="F20" s="81">
        <f>SUMIFS('0912 4度C'!$AC:$AC,'0912 4度C'!$A:$A,"新豐5線",'0912 4度C'!$B:$B,"平均")</f>
        <v>7</v>
      </c>
      <c r="G20" s="81">
        <f>SUMIFS('0912 4度C'!$AC:$AC,'0912 4度C'!$A:$A,"新豐7線",'0912 4度C'!$B:$B,"平均")</f>
        <v>6</v>
      </c>
      <c r="H20" s="81">
        <f>SUMIFS('0912 4度C'!$AC:$AC,'0912 4度C'!$A:$A,"新豐3線",'0912 4度C'!$B:$B,"平均")</f>
        <v>3</v>
      </c>
      <c r="I20" s="81">
        <f>SUMIFS('0912 4度C'!$AC:$AC,'0912 4度C'!$A:$A,"新豐1線",'0912 4度C'!$B:$B,"平均")</f>
        <v>8</v>
      </c>
      <c r="J20" s="82">
        <f>SUMIFS('0912 4度C'!$AC:$AC,'0912 4度C'!$A:$A,"新豐10線",'0912 4度C'!$B:$B,"平均")</f>
        <v>4</v>
      </c>
      <c r="K20" s="83">
        <f>SUMIFS('0912 4度C'!$AC:$AC,'0912 4度C'!$A:$A,"新豐8線",'0912 4度C'!$B:$B,"平均")</f>
        <v>7</v>
      </c>
      <c r="L20" s="81">
        <f>SUMIFS('0912 4度C'!$AC:$AC,'0912 4度C'!$A:$A,"新豐9線",'0912 4度C'!$B:$B,"平均")</f>
        <v>6</v>
      </c>
      <c r="M20" s="82">
        <f>SUMIFS('0912 4度C'!$AC:$AC,'0912 4度C'!$A:$A,"新豐4線",'0912 4度C'!$B:$B,"平均")</f>
        <v>8</v>
      </c>
    </row>
    <row r="21" spans="2:13" ht="17.25" customHeight="1">
      <c r="B21" s="547"/>
      <c r="C21" s="79" t="s">
        <v>1207</v>
      </c>
      <c r="D21" s="80">
        <f>SUMIFS('0912 4度C'!$AD:$AD,'0912 4度C'!$A:$A,"新豐6線",'0912 4度C'!$B:$B,"平均")</f>
        <v>0</v>
      </c>
      <c r="E21" s="81">
        <f>SUMIFS('0912 4度C'!$AD:$AD,'0912 4度C'!$A:$A,"新豐2線",'0912 4度C'!$B:$B,"平均")</f>
        <v>0</v>
      </c>
      <c r="F21" s="81">
        <f>SUMIFS('0912 4度C'!$AD:$AD,'0912 4度C'!$A:$A,"新豐5線",'0912 4度C'!$B:$B,"平均")</f>
        <v>0</v>
      </c>
      <c r="G21" s="81">
        <f>SUMIFS('0912 4度C'!$AD:$AD,'0912 4度C'!$A:$A,"新豐7線",'0912 4度C'!$B:$B,"平均")</f>
        <v>0</v>
      </c>
      <c r="H21" s="81">
        <f>SUMIFS('0912 4度C'!$AD:$AD,'0912 4度C'!$A:$A,"新豐3線",'0912 4度C'!$B:$B,"平均")</f>
        <v>0</v>
      </c>
      <c r="I21" s="81">
        <f>SUMIFS('0912 4度C'!$AD:$AD,'0912 4度C'!$A:$A,"新豐1線",'0912 4度C'!$B:$B,"平均")</f>
        <v>0</v>
      </c>
      <c r="J21" s="82">
        <f>SUMIFS('0912 4度C'!$AD:$AD,'0912 4度C'!$A:$A,"新豐10線",'0912 4度C'!$B:$B,"平均")</f>
        <v>0</v>
      </c>
      <c r="K21" s="83">
        <f>SUMIFS('0912 4度C'!$AD:$AD,'0912 4度C'!$A:$A,"新豐8線",'0912 4度C'!$B:$B,"平均")</f>
        <v>0</v>
      </c>
      <c r="L21" s="81">
        <f>SUMIFS('0912 4度C'!$AD:$AD,'0912 4度C'!$A:$A,"新豐9線",'0912 4度C'!$B:$B,"平均")</f>
        <v>0</v>
      </c>
      <c r="M21" s="82">
        <f>SUMIFS('0912 4度C'!$AD:$AD,'0912 4度C'!$A:$A,"新豐4線",'0912 4度C'!$B:$B,"平均")</f>
        <v>0</v>
      </c>
    </row>
    <row r="22" spans="2:13" ht="17.25" customHeight="1">
      <c r="B22" s="548" t="s">
        <v>1208</v>
      </c>
      <c r="C22" s="549"/>
      <c r="D22" s="84">
        <f>SUMIFS('0912 4度C'!$I:$I,'0912 4度C'!$A:$A,"新豐6線",'0912 4度C'!$B:$B,"平均")</f>
        <v>14.666666666666666</v>
      </c>
      <c r="E22" s="85">
        <f>SUMIFS('0912 4度C'!$I:$I,'0912 4度C'!$A:$A,"新豐2線",'0912 4度C'!$B:$B,"平均")</f>
        <v>18.333333333333332</v>
      </c>
      <c r="F22" s="85">
        <f>SUMIFS('0912 4度C'!$I:$I,'0912 4度C'!$A:$A,"新豐5線",'0912 4度C'!$B:$B,"平均")</f>
        <v>17.142857142857142</v>
      </c>
      <c r="G22" s="85">
        <f>SUMIFS('0912 4度C'!$I:$I,'0912 4度C'!$A:$A,"新豐7線",'0912 4度C'!$B:$B,"平均")</f>
        <v>15.833333333333334</v>
      </c>
      <c r="H22" s="85">
        <f>SUMIFS('0912 4度C'!$I:$I,'0912 4度C'!$A:$A,"新豐3線",'0912 4度C'!$B:$B,"平均")</f>
        <v>9.6666666666666661</v>
      </c>
      <c r="I22" s="85">
        <f>SUMIFS('0912 4度C'!$I:$I,'0912 4度C'!$A:$A,"新豐1線",'0912 4度C'!$B:$B,"平均")</f>
        <v>18.75</v>
      </c>
      <c r="J22" s="86">
        <f>SUMIFS('0912 4度C'!$I:$I,'0912 4度C'!$A:$A,"新豐10線",'0912 4度C'!$B:$B,"平均")</f>
        <v>10.5</v>
      </c>
      <c r="K22" s="84">
        <f>SUMIFS('0912 4度C'!$I:$I,'0912 4度C'!$A:$A,"新豐8線",'0912 4度C'!$B:$B,"平均")</f>
        <v>16.857142857142858</v>
      </c>
      <c r="L22" s="85">
        <f>SUMIFS('0912 4度C'!$I:$I,'0912 4度C'!$A:$A,"新豐9線",'0912 4度C'!$B:$B,"平均")</f>
        <v>17</v>
      </c>
      <c r="M22" s="86">
        <f>SUMIFS('0912 4度C'!$I:$I,'0912 4度C'!$A:$A,"新豐4線",'0912 4度C'!$B:$B,"平均")</f>
        <v>16</v>
      </c>
    </row>
    <row r="23" spans="2:13" ht="17.25" customHeight="1">
      <c r="B23" s="548" t="s">
        <v>122</v>
      </c>
      <c r="C23" s="549"/>
      <c r="D23" s="87" t="s">
        <v>69</v>
      </c>
      <c r="E23" s="88" t="s">
        <v>70</v>
      </c>
      <c r="F23" s="88" t="s">
        <v>1209</v>
      </c>
      <c r="G23" s="88" t="s">
        <v>1209</v>
      </c>
      <c r="H23" s="88" t="s">
        <v>71</v>
      </c>
      <c r="I23" s="88" t="s">
        <v>69</v>
      </c>
      <c r="J23" s="89" t="s">
        <v>71</v>
      </c>
      <c r="K23" s="87" t="s">
        <v>1210</v>
      </c>
      <c r="L23" s="88" t="s">
        <v>1210</v>
      </c>
      <c r="M23" s="89" t="s">
        <v>124</v>
      </c>
    </row>
    <row r="24" spans="2:13" ht="17.25" customHeight="1">
      <c r="B24" s="548" t="s">
        <v>125</v>
      </c>
      <c r="C24" s="549"/>
      <c r="D24" s="87"/>
      <c r="E24" s="88"/>
      <c r="F24" s="88" t="s">
        <v>1211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1212</v>
      </c>
      <c r="C25" s="551"/>
      <c r="D25" s="90"/>
      <c r="E25" s="91" t="s">
        <v>1213</v>
      </c>
      <c r="F25" s="544" t="s">
        <v>129</v>
      </c>
      <c r="G25" s="545"/>
      <c r="H25" s="91" t="s">
        <v>131</v>
      </c>
      <c r="I25" s="91" t="s">
        <v>1214</v>
      </c>
      <c r="J25" s="92" t="s">
        <v>131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8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0"/>
  <sheetViews>
    <sheetView topLeftCell="L1" zoomScale="80" zoomScaleNormal="80" workbookViewId="0">
      <pane ySplit="4" topLeftCell="A56" activePane="bottomLeft" state="frozen"/>
      <selection activeCell="E6" sqref="E6:F6"/>
      <selection pane="bottomLeft" activeCell="T67" sqref="T6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SUM(F5:F69)</f>
        <v>151309</v>
      </c>
      <c r="E1" s="271" t="s">
        <v>134</v>
      </c>
      <c r="F1" s="1">
        <f>SUM(G5:G69)</f>
        <v>5191866.3099999996</v>
      </c>
      <c r="G1" s="1" t="s">
        <v>135</v>
      </c>
      <c r="H1" s="4">
        <f>L8+L12+L46+L55+L20+L60+L35+L42+L27+L69</f>
        <v>154.75</v>
      </c>
      <c r="I1" s="660" t="s">
        <v>136</v>
      </c>
      <c r="J1" s="660"/>
      <c r="K1" s="660"/>
      <c r="L1" s="660" t="s">
        <v>137</v>
      </c>
      <c r="M1" s="660"/>
      <c r="N1" s="660"/>
      <c r="O1" s="660" t="s">
        <v>138</v>
      </c>
      <c r="P1" s="660"/>
      <c r="Q1" s="660"/>
      <c r="R1" s="660"/>
      <c r="S1" s="660" t="s">
        <v>139</v>
      </c>
      <c r="T1" s="660"/>
      <c r="U1" s="660"/>
      <c r="V1" s="660"/>
      <c r="W1" s="660"/>
      <c r="X1" s="660"/>
      <c r="Y1" s="5" t="s">
        <v>140</v>
      </c>
      <c r="Z1" s="6" t="s">
        <v>141</v>
      </c>
      <c r="AA1" s="661" t="s">
        <v>1215</v>
      </c>
      <c r="AB1" s="661"/>
      <c r="AC1" s="7" t="s">
        <v>140</v>
      </c>
      <c r="AD1" s="6" t="s">
        <v>1216</v>
      </c>
      <c r="AE1" s="660" t="s">
        <v>145</v>
      </c>
      <c r="AF1" s="662"/>
      <c r="AG1" s="662"/>
    </row>
    <row r="2" spans="1:33" ht="26.25" customHeight="1">
      <c r="A2" s="27">
        <v>46277</v>
      </c>
      <c r="B2" s="28" t="s">
        <v>548</v>
      </c>
      <c r="C2" s="2" t="s">
        <v>110</v>
      </c>
      <c r="D2" s="9">
        <f>AVERAGE(N8,N12,N46,N55,N20,N60,N27,N35,N42,N69)</f>
        <v>150.53578434925291</v>
      </c>
      <c r="E2" s="10" t="s">
        <v>0</v>
      </c>
      <c r="F2" s="11">
        <f>F1/D1</f>
        <v>34.31300391913237</v>
      </c>
      <c r="G2" s="1" t="s">
        <v>148</v>
      </c>
      <c r="H2" s="277">
        <f>COUNT(H5:H69)</f>
        <v>4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SUM(Y8+Y12+Y20+Y27+Y35+Y42+Y46+Y55+Y60+Y69)</f>
        <v>0</v>
      </c>
      <c r="Z2" s="12">
        <f>SUM(Z8+Z12+Z20+Z27+Z35+Z42+Z46+Z55+Z60+Z69)</f>
        <v>0</v>
      </c>
      <c r="AA2" s="661"/>
      <c r="AB2" s="661"/>
      <c r="AC2" s="12">
        <f>SUM(AC8+AC12+AC20+AC27+AC35+AC42+AC46+AC55+AC60+AC69)</f>
        <v>55</v>
      </c>
      <c r="AD2" s="12">
        <f>SUM(AD8+AD12+AD20+AD27+AD35+AD42+AD46+AD55+AD60+AD69)</f>
        <v>0</v>
      </c>
      <c r="AE2" s="662"/>
      <c r="AF2" s="662"/>
      <c r="AG2" s="662"/>
    </row>
    <row r="3" spans="1:33" ht="40.5" customHeight="1">
      <c r="A3" s="610" t="s">
        <v>149</v>
      </c>
      <c r="B3" s="610" t="s">
        <v>150</v>
      </c>
      <c r="C3" s="610" t="s">
        <v>151</v>
      </c>
      <c r="D3" s="610"/>
      <c r="E3" s="658" t="s">
        <v>152</v>
      </c>
      <c r="F3" s="610" t="s">
        <v>153</v>
      </c>
      <c r="G3" s="658" t="s">
        <v>154</v>
      </c>
      <c r="H3" s="651" t="s">
        <v>155</v>
      </c>
      <c r="I3" s="649" t="s">
        <v>156</v>
      </c>
      <c r="J3" s="646" t="s">
        <v>157</v>
      </c>
      <c r="K3" s="656" t="s">
        <v>110</v>
      </c>
      <c r="L3" s="649" t="s">
        <v>156</v>
      </c>
      <c r="M3" s="646" t="s">
        <v>157</v>
      </c>
      <c r="N3" s="656" t="s">
        <v>110</v>
      </c>
      <c r="O3" s="649" t="s">
        <v>156</v>
      </c>
      <c r="P3" s="656" t="s">
        <v>110</v>
      </c>
      <c r="Q3" s="647" t="s">
        <v>161</v>
      </c>
      <c r="R3" s="623" t="s">
        <v>162</v>
      </c>
      <c r="S3" s="657" t="s">
        <v>1</v>
      </c>
      <c r="T3" s="657"/>
      <c r="U3" s="651" t="s">
        <v>2</v>
      </c>
      <c r="V3" s="651" t="s">
        <v>163</v>
      </c>
      <c r="W3" s="610" t="s">
        <v>164</v>
      </c>
      <c r="X3" s="610"/>
      <c r="Y3" s="652" t="s">
        <v>165</v>
      </c>
      <c r="Z3" s="609"/>
      <c r="AA3" s="653" t="s">
        <v>166</v>
      </c>
      <c r="AB3" s="654"/>
      <c r="AC3" s="652" t="s">
        <v>167</v>
      </c>
      <c r="AD3" s="609"/>
      <c r="AE3" s="646" t="s">
        <v>157</v>
      </c>
      <c r="AF3" s="647" t="s">
        <v>161</v>
      </c>
      <c r="AG3" s="623" t="s">
        <v>162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278" t="s">
        <v>3</v>
      </c>
      <c r="T4" s="278" t="s">
        <v>4</v>
      </c>
      <c r="U4" s="651"/>
      <c r="V4" s="651"/>
      <c r="W4" s="271" t="s">
        <v>171</v>
      </c>
      <c r="X4" s="271" t="s">
        <v>172</v>
      </c>
      <c r="Y4" s="267" t="s">
        <v>118</v>
      </c>
      <c r="Z4" s="267" t="s">
        <v>78</v>
      </c>
      <c r="AA4" s="655"/>
      <c r="AB4" s="654"/>
      <c r="AC4" s="267" t="s">
        <v>175</v>
      </c>
      <c r="AD4" s="267" t="s">
        <v>176</v>
      </c>
      <c r="AE4" s="646"/>
      <c r="AF4" s="647"/>
      <c r="AG4" s="623"/>
    </row>
    <row r="5" spans="1:33">
      <c r="A5" s="648" t="s">
        <v>177</v>
      </c>
      <c r="B5" s="33" t="s">
        <v>6</v>
      </c>
      <c r="C5" s="650" t="s">
        <v>7</v>
      </c>
      <c r="D5" s="650"/>
      <c r="E5" s="33">
        <v>50.92</v>
      </c>
      <c r="F5" s="278">
        <v>2116</v>
      </c>
      <c r="G5" s="271">
        <f t="shared" ref="G5:G7" si="0">E5*F5</f>
        <v>107746.72</v>
      </c>
      <c r="H5" s="29" t="s">
        <v>5</v>
      </c>
      <c r="I5" s="275">
        <v>15</v>
      </c>
      <c r="J5" s="30">
        <v>2000</v>
      </c>
      <c r="K5" s="13">
        <f t="shared" ref="K5:K68" si="1">J5/I5</f>
        <v>133.33333333333334</v>
      </c>
      <c r="L5" s="275">
        <v>15</v>
      </c>
      <c r="M5" s="14">
        <f t="shared" ref="M5:M7" si="2">F5/V5*60</f>
        <v>1923.6363636363658</v>
      </c>
      <c r="N5" s="13">
        <f t="shared" ref="N5:N68" si="3">M5/L5</f>
        <v>128.24242424242439</v>
      </c>
      <c r="O5" s="15">
        <f t="shared" ref="O5:O68" si="4">L5-I5</f>
        <v>0</v>
      </c>
      <c r="P5" s="16">
        <f t="shared" ref="P5:P68" si="5">N5-K5</f>
        <v>-5.0909090909089514</v>
      </c>
      <c r="Q5" s="270">
        <f t="shared" ref="Q5:Q68" si="6">N5/K5</f>
        <v>0.9618181818181829</v>
      </c>
      <c r="R5" s="619">
        <f>Q8</f>
        <v>0.95771521553563788</v>
      </c>
      <c r="S5" s="31">
        <v>0.70833333333333337</v>
      </c>
      <c r="T5" s="31">
        <v>0.75416666666666665</v>
      </c>
      <c r="U5" s="271"/>
      <c r="V5" s="276">
        <f t="shared" ref="V5:V7" si="7">(T5-S5)*24*60</f>
        <v>65.999999999999929</v>
      </c>
      <c r="W5" s="17"/>
      <c r="X5" s="17"/>
      <c r="Y5" s="18"/>
      <c r="Z5" s="18"/>
      <c r="AA5" s="610"/>
      <c r="AB5" s="610"/>
      <c r="AC5" s="19">
        <v>3</v>
      </c>
      <c r="AD5" s="19"/>
      <c r="AE5" s="15">
        <f t="shared" ref="AE5:AE54" si="8">M5-J5</f>
        <v>-76.363636363634214</v>
      </c>
      <c r="AF5" s="270">
        <f t="shared" ref="AF5:AF68" si="9">M5/J5</f>
        <v>0.9618181818181829</v>
      </c>
      <c r="AG5" s="619">
        <f>AF8</f>
        <v>0.95771521553563799</v>
      </c>
    </row>
    <row r="6" spans="1:33">
      <c r="A6" s="649" t="s">
        <v>177</v>
      </c>
      <c r="B6" s="33" t="s">
        <v>6</v>
      </c>
      <c r="C6" s="650" t="s">
        <v>8</v>
      </c>
      <c r="D6" s="650"/>
      <c r="E6" s="33">
        <v>50.98</v>
      </c>
      <c r="F6" s="278">
        <v>2271</v>
      </c>
      <c r="G6" s="271">
        <f t="shared" si="0"/>
        <v>115775.57999999999</v>
      </c>
      <c r="H6" s="29" t="s">
        <v>5</v>
      </c>
      <c r="I6" s="275">
        <v>16</v>
      </c>
      <c r="J6" s="30">
        <v>2000</v>
      </c>
      <c r="K6" s="13">
        <f t="shared" si="1"/>
        <v>125</v>
      </c>
      <c r="L6" s="275">
        <v>16</v>
      </c>
      <c r="M6" s="14">
        <f t="shared" si="2"/>
        <v>1919.154929577463</v>
      </c>
      <c r="N6" s="13">
        <f t="shared" si="3"/>
        <v>119.94718309859144</v>
      </c>
      <c r="O6" s="15">
        <f t="shared" si="4"/>
        <v>0</v>
      </c>
      <c r="P6" s="16">
        <f t="shared" si="5"/>
        <v>-5.052816901408562</v>
      </c>
      <c r="Q6" s="270">
        <f t="shared" si="6"/>
        <v>0.95957746478873152</v>
      </c>
      <c r="R6" s="619"/>
      <c r="S6" s="31">
        <v>0.75972222222222219</v>
      </c>
      <c r="T6" s="31">
        <v>0.80902777777777779</v>
      </c>
      <c r="U6" s="271">
        <f t="shared" ref="U6:U7" si="10">IF(S6=TIME(17,0,0),"",(S6-T5)*24*60)</f>
        <v>7.9999999999999716</v>
      </c>
      <c r="V6" s="276">
        <f t="shared" si="7"/>
        <v>71.000000000000071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-80.845070422536992</v>
      </c>
      <c r="AF6" s="270">
        <f t="shared" si="9"/>
        <v>0.95957746478873152</v>
      </c>
      <c r="AG6" s="619"/>
    </row>
    <row r="7" spans="1:33">
      <c r="A7" s="649" t="s">
        <v>177</v>
      </c>
      <c r="B7" s="33" t="s">
        <v>6</v>
      </c>
      <c r="C7" s="641" t="s">
        <v>25</v>
      </c>
      <c r="D7" s="642"/>
      <c r="E7" s="33">
        <v>56.43</v>
      </c>
      <c r="F7" s="278">
        <v>1269</v>
      </c>
      <c r="G7" s="271">
        <f t="shared" si="0"/>
        <v>71609.67</v>
      </c>
      <c r="H7" s="29" t="s">
        <v>5</v>
      </c>
      <c r="I7" s="275">
        <v>13</v>
      </c>
      <c r="J7" s="30">
        <v>2000</v>
      </c>
      <c r="K7" s="13">
        <f t="shared" si="1"/>
        <v>153.84615384615384</v>
      </c>
      <c r="L7" s="275">
        <v>13</v>
      </c>
      <c r="M7" s="14">
        <f t="shared" si="2"/>
        <v>1903.4999999999993</v>
      </c>
      <c r="N7" s="13">
        <f t="shared" si="3"/>
        <v>146.42307692307688</v>
      </c>
      <c r="O7" s="15">
        <f t="shared" si="4"/>
        <v>0</v>
      </c>
      <c r="P7" s="16">
        <f t="shared" si="5"/>
        <v>-7.4230769230769624</v>
      </c>
      <c r="Q7" s="270">
        <f t="shared" si="6"/>
        <v>0.95174999999999976</v>
      </c>
      <c r="R7" s="619"/>
      <c r="S7" s="31">
        <v>0.81388888888888888</v>
      </c>
      <c r="T7" s="31">
        <v>0.84166666666666667</v>
      </c>
      <c r="U7" s="271">
        <f t="shared" si="10"/>
        <v>6.9999999999999751</v>
      </c>
      <c r="V7" s="276">
        <f t="shared" si="7"/>
        <v>40.000000000000014</v>
      </c>
      <c r="W7" s="17"/>
      <c r="X7" s="17"/>
      <c r="Y7" s="20"/>
      <c r="Z7" s="20"/>
      <c r="AA7" s="614"/>
      <c r="AB7" s="615"/>
      <c r="AC7" s="21"/>
      <c r="AD7" s="21"/>
      <c r="AE7" s="15">
        <f t="shared" si="8"/>
        <v>-96.500000000000682</v>
      </c>
      <c r="AF7" s="270">
        <f t="shared" si="9"/>
        <v>0.95174999999999965</v>
      </c>
      <c r="AG7" s="619"/>
    </row>
    <row r="8" spans="1:33">
      <c r="A8" s="649" t="s">
        <v>177</v>
      </c>
      <c r="B8" s="33" t="s">
        <v>80</v>
      </c>
      <c r="C8" s="620"/>
      <c r="D8" s="620"/>
      <c r="E8" s="274"/>
      <c r="F8" s="34"/>
      <c r="G8" s="13"/>
      <c r="H8" s="278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1915.430431071276</v>
      </c>
      <c r="N8" s="13">
        <f t="shared" si="3"/>
        <v>130.59752939122336</v>
      </c>
      <c r="O8" s="15">
        <f t="shared" si="4"/>
        <v>0</v>
      </c>
      <c r="P8" s="16">
        <f t="shared" si="5"/>
        <v>-5.766106972413013</v>
      </c>
      <c r="Q8" s="270">
        <f t="shared" si="6"/>
        <v>0.95771521553563788</v>
      </c>
      <c r="R8" s="619"/>
      <c r="S8" s="31"/>
      <c r="T8" s="31"/>
      <c r="U8" s="271"/>
      <c r="V8" s="276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-84.569568928724038</v>
      </c>
      <c r="AF8" s="270">
        <f t="shared" si="9"/>
        <v>0.95771521553563799</v>
      </c>
      <c r="AG8" s="619"/>
    </row>
    <row r="9" spans="1:33" ht="15.75" customHeight="1">
      <c r="A9" s="645" t="s">
        <v>181</v>
      </c>
      <c r="B9" s="33" t="s">
        <v>10</v>
      </c>
      <c r="C9" s="641" t="s">
        <v>14</v>
      </c>
      <c r="D9" s="642"/>
      <c r="E9" s="33">
        <v>39.619999999999997</v>
      </c>
      <c r="F9" s="278">
        <v>4090</v>
      </c>
      <c r="G9" s="271">
        <f t="shared" ref="G9:G11" si="11">E9*F9</f>
        <v>162045.79999999999</v>
      </c>
      <c r="H9" s="29" t="s">
        <v>5</v>
      </c>
      <c r="I9" s="275">
        <v>19</v>
      </c>
      <c r="J9" s="30">
        <v>1500</v>
      </c>
      <c r="K9" s="13">
        <f t="shared" si="1"/>
        <v>78.94736842105263</v>
      </c>
      <c r="L9" s="275">
        <v>19</v>
      </c>
      <c r="M9" s="14">
        <f t="shared" ref="M9:M11" si="12">F9/V9*60</f>
        <v>1435.0877192982457</v>
      </c>
      <c r="N9" s="13">
        <f t="shared" si="3"/>
        <v>75.530932594644511</v>
      </c>
      <c r="O9" s="15">
        <f t="shared" si="4"/>
        <v>0</v>
      </c>
      <c r="P9" s="16">
        <f t="shared" si="5"/>
        <v>-3.4164358264081187</v>
      </c>
      <c r="Q9" s="270">
        <f t="shared" si="6"/>
        <v>0.95672514619883053</v>
      </c>
      <c r="R9" s="619">
        <f>Q12</f>
        <v>0.95616936397842123</v>
      </c>
      <c r="S9" s="31">
        <v>8.3333333333333329E-2</v>
      </c>
      <c r="T9" s="31">
        <v>0.20208333333333334</v>
      </c>
      <c r="U9" s="271"/>
      <c r="V9" s="276">
        <f t="shared" ref="V9:V11" si="13">(T9-S9)*24*60</f>
        <v>171</v>
      </c>
      <c r="W9" s="17">
        <f>T9</f>
        <v>0.20208333333333334</v>
      </c>
      <c r="X9" s="17">
        <f>S10</f>
        <v>0.22222222222222224</v>
      </c>
      <c r="Y9" s="17"/>
      <c r="Z9" s="17"/>
      <c r="AA9" s="610"/>
      <c r="AB9" s="610"/>
      <c r="AC9" s="19">
        <v>3</v>
      </c>
      <c r="AD9" s="19"/>
      <c r="AE9" s="15">
        <f t="shared" si="8"/>
        <v>-64.912280701754298</v>
      </c>
      <c r="AF9" s="270">
        <f t="shared" si="9"/>
        <v>0.95672514619883042</v>
      </c>
      <c r="AG9" s="619">
        <f>AF12</f>
        <v>0.95616936397842134</v>
      </c>
    </row>
    <row r="10" spans="1:33" ht="15.75" customHeight="1">
      <c r="A10" s="645" t="s">
        <v>181</v>
      </c>
      <c r="B10" s="33" t="s">
        <v>10</v>
      </c>
      <c r="C10" s="641" t="s">
        <v>11</v>
      </c>
      <c r="D10" s="642"/>
      <c r="E10" s="33">
        <v>39.799999999999997</v>
      </c>
      <c r="F10" s="278">
        <v>6139</v>
      </c>
      <c r="G10" s="271">
        <f t="shared" si="11"/>
        <v>244332.19999999998</v>
      </c>
      <c r="H10" s="29" t="s">
        <v>5</v>
      </c>
      <c r="I10" s="275">
        <v>17</v>
      </c>
      <c r="J10" s="30">
        <v>1500</v>
      </c>
      <c r="K10" s="13">
        <f t="shared" si="1"/>
        <v>88.235294117647058</v>
      </c>
      <c r="L10" s="275">
        <v>17</v>
      </c>
      <c r="M10" s="14">
        <f t="shared" si="12"/>
        <v>1427.6744186046512</v>
      </c>
      <c r="N10" s="13">
        <f t="shared" si="3"/>
        <v>83.980848153214779</v>
      </c>
      <c r="O10" s="15">
        <f t="shared" si="4"/>
        <v>0</v>
      </c>
      <c r="P10" s="16">
        <f t="shared" si="5"/>
        <v>-4.2544459644322785</v>
      </c>
      <c r="Q10" s="270">
        <f t="shared" si="6"/>
        <v>0.95178294573643418</v>
      </c>
      <c r="R10" s="619"/>
      <c r="S10" s="31">
        <v>0.22222222222222224</v>
      </c>
      <c r="T10" s="31">
        <v>0.40138888888888891</v>
      </c>
      <c r="U10" s="271">
        <f t="shared" ref="U10:U11" si="14">IF(S10=TIME(17,0,0),"",(S10-T9)*24*60)</f>
        <v>29.000000000000018</v>
      </c>
      <c r="V10" s="276">
        <f t="shared" si="13"/>
        <v>258</v>
      </c>
      <c r="W10" s="17"/>
      <c r="X10" s="17"/>
      <c r="Y10" s="17"/>
      <c r="Z10" s="17"/>
      <c r="AA10" s="610"/>
      <c r="AB10" s="610"/>
      <c r="AC10" s="19"/>
      <c r="AD10" s="19"/>
      <c r="AE10" s="15">
        <f t="shared" si="8"/>
        <v>-72.325581395348763</v>
      </c>
      <c r="AF10" s="270">
        <f t="shared" si="9"/>
        <v>0.95178294573643418</v>
      </c>
      <c r="AG10" s="619"/>
    </row>
    <row r="11" spans="1:33" ht="15.75" customHeight="1">
      <c r="A11" s="645" t="s">
        <v>181</v>
      </c>
      <c r="B11" s="33" t="s">
        <v>10</v>
      </c>
      <c r="C11" s="641" t="s">
        <v>13</v>
      </c>
      <c r="D11" s="642"/>
      <c r="E11" s="33">
        <v>39.520000000000003</v>
      </c>
      <c r="F11" s="278">
        <v>1848</v>
      </c>
      <c r="G11" s="271">
        <f t="shared" si="11"/>
        <v>73032.960000000006</v>
      </c>
      <c r="H11" s="29" t="s">
        <v>5</v>
      </c>
      <c r="I11" s="275">
        <v>19</v>
      </c>
      <c r="J11" s="30">
        <v>1500</v>
      </c>
      <c r="K11" s="13">
        <f t="shared" si="1"/>
        <v>78.94736842105263</v>
      </c>
      <c r="L11" s="275">
        <v>19</v>
      </c>
      <c r="M11" s="14">
        <f t="shared" si="12"/>
        <v>1439.9999999999991</v>
      </c>
      <c r="N11" s="13">
        <f t="shared" si="3"/>
        <v>75.789473684210478</v>
      </c>
      <c r="O11" s="15">
        <f t="shared" si="4"/>
        <v>0</v>
      </c>
      <c r="P11" s="16">
        <f t="shared" si="5"/>
        <v>-3.1578947368421524</v>
      </c>
      <c r="Q11" s="270">
        <f t="shared" si="6"/>
        <v>0.95999999999999941</v>
      </c>
      <c r="R11" s="619"/>
      <c r="S11" s="31">
        <v>0.40625</v>
      </c>
      <c r="T11" s="31">
        <v>0.45972222222222225</v>
      </c>
      <c r="U11" s="271">
        <f t="shared" si="14"/>
        <v>6.9999999999999751</v>
      </c>
      <c r="V11" s="276">
        <f t="shared" si="13"/>
        <v>77.000000000000043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-60.000000000000909</v>
      </c>
      <c r="AF11" s="270">
        <f t="shared" si="9"/>
        <v>0.95999999999999941</v>
      </c>
      <c r="AG11" s="619"/>
    </row>
    <row r="12" spans="1:33" ht="16.5" customHeight="1">
      <c r="A12" s="645" t="s">
        <v>181</v>
      </c>
      <c r="B12" s="33" t="s">
        <v>80</v>
      </c>
      <c r="C12" s="620"/>
      <c r="D12" s="620"/>
      <c r="E12" s="274"/>
      <c r="F12" s="30"/>
      <c r="G12" s="14"/>
      <c r="H12" s="278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1434.254045967632</v>
      </c>
      <c r="N12" s="13">
        <f t="shared" si="3"/>
        <v>78.232038870961745</v>
      </c>
      <c r="O12" s="15">
        <f t="shared" si="4"/>
        <v>0</v>
      </c>
      <c r="P12" s="16">
        <f t="shared" si="5"/>
        <v>-3.5861429472200825</v>
      </c>
      <c r="Q12" s="270">
        <f t="shared" si="6"/>
        <v>0.95616936397842123</v>
      </c>
      <c r="R12" s="619"/>
      <c r="S12" s="31"/>
      <c r="T12" s="31"/>
      <c r="U12" s="13"/>
      <c r="V12" s="276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-65.74595403236799</v>
      </c>
      <c r="AF12" s="270">
        <f t="shared" si="9"/>
        <v>0.95616936397842134</v>
      </c>
      <c r="AG12" s="619"/>
    </row>
    <row r="13" spans="1:33" ht="16.5" customHeight="1">
      <c r="A13" s="643" t="s">
        <v>185</v>
      </c>
      <c r="B13" s="278" t="s">
        <v>15</v>
      </c>
      <c r="C13" s="635" t="s">
        <v>16</v>
      </c>
      <c r="D13" s="635"/>
      <c r="E13" s="33">
        <v>31.11</v>
      </c>
      <c r="F13" s="278">
        <v>2078</v>
      </c>
      <c r="G13" s="271">
        <f t="shared" ref="G13:G19" si="15">E13*F13</f>
        <v>64646.58</v>
      </c>
      <c r="H13" s="29" t="s">
        <v>5</v>
      </c>
      <c r="I13" s="275">
        <v>14</v>
      </c>
      <c r="J13" s="30">
        <v>2000</v>
      </c>
      <c r="K13" s="13">
        <f t="shared" si="1"/>
        <v>142.85714285714286</v>
      </c>
      <c r="L13" s="275">
        <v>14</v>
      </c>
      <c r="M13" s="14">
        <f t="shared" ref="M13:M19" si="16">F13/V13*60</f>
        <v>1918.1538461538471</v>
      </c>
      <c r="N13" s="13">
        <f t="shared" si="3"/>
        <v>137.01098901098908</v>
      </c>
      <c r="O13" s="15">
        <f t="shared" si="4"/>
        <v>0</v>
      </c>
      <c r="P13" s="16">
        <f t="shared" si="5"/>
        <v>-5.8461538461537828</v>
      </c>
      <c r="Q13" s="270">
        <f t="shared" si="6"/>
        <v>0.95907692307692349</v>
      </c>
      <c r="R13" s="619">
        <f>Q20</f>
        <v>0.95943939417900348</v>
      </c>
      <c r="S13" s="31">
        <v>0.20833333333333334</v>
      </c>
      <c r="T13" s="31">
        <v>0.25347222222222221</v>
      </c>
      <c r="U13" s="271"/>
      <c r="V13" s="276">
        <f t="shared" ref="V13:V19" si="17">(T13-S13)*24*60</f>
        <v>64.999999999999972</v>
      </c>
      <c r="W13" s="17"/>
      <c r="X13" s="17"/>
      <c r="Y13" s="22"/>
      <c r="Z13" s="22"/>
      <c r="AA13" s="610"/>
      <c r="AB13" s="610"/>
      <c r="AC13" s="19">
        <v>7</v>
      </c>
      <c r="AD13" s="19"/>
      <c r="AE13" s="15">
        <f t="shared" si="8"/>
        <v>-81.846153846152902</v>
      </c>
      <c r="AF13" s="270">
        <f t="shared" si="9"/>
        <v>0.9590769230769236</v>
      </c>
      <c r="AG13" s="619">
        <f>AF20</f>
        <v>0.95943939417900348</v>
      </c>
    </row>
    <row r="14" spans="1:33" ht="16.5" customHeight="1">
      <c r="A14" s="644" t="s">
        <v>1217</v>
      </c>
      <c r="B14" s="278" t="s">
        <v>17</v>
      </c>
      <c r="C14" s="635" t="s">
        <v>18</v>
      </c>
      <c r="D14" s="635"/>
      <c r="E14" s="33">
        <v>41</v>
      </c>
      <c r="F14" s="278">
        <v>1400</v>
      </c>
      <c r="G14" s="271">
        <f t="shared" si="15"/>
        <v>57400</v>
      </c>
      <c r="H14" s="29" t="s">
        <v>5</v>
      </c>
      <c r="I14" s="275">
        <v>26</v>
      </c>
      <c r="J14" s="30">
        <v>1500</v>
      </c>
      <c r="K14" s="13">
        <f t="shared" si="1"/>
        <v>57.692307692307693</v>
      </c>
      <c r="L14" s="275">
        <v>26</v>
      </c>
      <c r="M14" s="14">
        <f t="shared" si="16"/>
        <v>1448.2758620689647</v>
      </c>
      <c r="N14" s="13">
        <f t="shared" si="3"/>
        <v>55.702917771883257</v>
      </c>
      <c r="O14" s="15">
        <f t="shared" si="4"/>
        <v>0</v>
      </c>
      <c r="P14" s="16">
        <f t="shared" si="5"/>
        <v>-1.9893899204244363</v>
      </c>
      <c r="Q14" s="270">
        <f t="shared" si="6"/>
        <v>0.96551724137930972</v>
      </c>
      <c r="R14" s="619"/>
      <c r="S14" s="31">
        <v>0.25902777777777775</v>
      </c>
      <c r="T14" s="31">
        <v>0.29930555555555555</v>
      </c>
      <c r="U14" s="271">
        <f t="shared" ref="U14:U19" si="18">IF(S14=TIME(17,0,0),"",(S14-T13)*24*60)</f>
        <v>7.9999999999999716</v>
      </c>
      <c r="V14" s="276">
        <f t="shared" si="17"/>
        <v>58.000000000000036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-51.72413793103533</v>
      </c>
      <c r="AF14" s="270">
        <f t="shared" si="9"/>
        <v>0.96551724137930983</v>
      </c>
      <c r="AG14" s="619"/>
    </row>
    <row r="15" spans="1:33" ht="16.5" customHeight="1">
      <c r="A15" s="644" t="s">
        <v>185</v>
      </c>
      <c r="B15" s="278" t="s">
        <v>15</v>
      </c>
      <c r="C15" s="635" t="s">
        <v>76</v>
      </c>
      <c r="D15" s="635"/>
      <c r="E15" s="33">
        <v>68.88</v>
      </c>
      <c r="F15" s="278">
        <v>1090</v>
      </c>
      <c r="G15" s="271">
        <f t="shared" si="15"/>
        <v>75079.199999999997</v>
      </c>
      <c r="H15" s="29" t="s">
        <v>5</v>
      </c>
      <c r="I15" s="275">
        <v>16</v>
      </c>
      <c r="J15" s="30">
        <v>2000</v>
      </c>
      <c r="K15" s="13">
        <f t="shared" si="1"/>
        <v>125</v>
      </c>
      <c r="L15" s="275">
        <v>16</v>
      </c>
      <c r="M15" s="14">
        <f t="shared" si="16"/>
        <v>1923.5294117647081</v>
      </c>
      <c r="N15" s="13">
        <f t="shared" si="3"/>
        <v>120.22058823529426</v>
      </c>
      <c r="O15" s="15">
        <f t="shared" si="4"/>
        <v>0</v>
      </c>
      <c r="P15" s="16">
        <f t="shared" si="5"/>
        <v>-4.7794117647057419</v>
      </c>
      <c r="Q15" s="270">
        <f t="shared" si="6"/>
        <v>0.96176470588235408</v>
      </c>
      <c r="R15" s="619"/>
      <c r="S15" s="31">
        <v>0.3034722222222222</v>
      </c>
      <c r="T15" s="31">
        <v>0.32708333333333328</v>
      </c>
      <c r="U15" s="271">
        <f t="shared" si="18"/>
        <v>5.9999999999999787</v>
      </c>
      <c r="V15" s="276">
        <f t="shared" si="17"/>
        <v>33.999999999999957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-76.470588235291871</v>
      </c>
      <c r="AF15" s="270">
        <f t="shared" si="9"/>
        <v>0.96176470588235408</v>
      </c>
      <c r="AG15" s="619"/>
    </row>
    <row r="16" spans="1:33" ht="16.5" customHeight="1">
      <c r="A16" s="644" t="s">
        <v>185</v>
      </c>
      <c r="B16" s="278" t="s">
        <v>10</v>
      </c>
      <c r="C16" s="635" t="s">
        <v>12</v>
      </c>
      <c r="D16" s="635"/>
      <c r="E16" s="33">
        <v>39.46</v>
      </c>
      <c r="F16" s="278">
        <v>1869</v>
      </c>
      <c r="G16" s="271">
        <f t="shared" si="15"/>
        <v>73750.740000000005</v>
      </c>
      <c r="H16" s="29" t="s">
        <v>5</v>
      </c>
      <c r="I16" s="275">
        <v>15</v>
      </c>
      <c r="J16" s="30">
        <v>1500</v>
      </c>
      <c r="K16" s="13">
        <f t="shared" si="1"/>
        <v>100</v>
      </c>
      <c r="L16" s="275">
        <v>15</v>
      </c>
      <c r="M16" s="14">
        <f t="shared" si="16"/>
        <v>1437.6923076923069</v>
      </c>
      <c r="N16" s="13">
        <f t="shared" si="3"/>
        <v>95.846153846153797</v>
      </c>
      <c r="O16" s="15">
        <f t="shared" si="4"/>
        <v>0</v>
      </c>
      <c r="P16" s="16">
        <f t="shared" si="5"/>
        <v>-4.153846153846203</v>
      </c>
      <c r="Q16" s="270">
        <f t="shared" si="6"/>
        <v>0.95846153846153792</v>
      </c>
      <c r="R16" s="619"/>
      <c r="S16" s="31">
        <v>0.33263888888888882</v>
      </c>
      <c r="T16" s="31">
        <v>0.38680555555555551</v>
      </c>
      <c r="U16" s="271">
        <f t="shared" si="18"/>
        <v>7.9999999999999716</v>
      </c>
      <c r="V16" s="276">
        <f t="shared" si="17"/>
        <v>78.000000000000043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-62.30769230769306</v>
      </c>
      <c r="AF16" s="270">
        <f t="shared" si="9"/>
        <v>0.95846153846153792</v>
      </c>
      <c r="AG16" s="619"/>
    </row>
    <row r="17" spans="1:33" ht="16.5" customHeight="1">
      <c r="A17" s="644" t="s">
        <v>185</v>
      </c>
      <c r="B17" s="278" t="s">
        <v>6</v>
      </c>
      <c r="C17" s="635" t="s">
        <v>20</v>
      </c>
      <c r="D17" s="635"/>
      <c r="E17" s="33">
        <v>54.5</v>
      </c>
      <c r="F17" s="278">
        <v>1006</v>
      </c>
      <c r="G17" s="271">
        <f t="shared" si="15"/>
        <v>54827</v>
      </c>
      <c r="H17" s="29" t="s">
        <v>5</v>
      </c>
      <c r="I17" s="275">
        <v>19</v>
      </c>
      <c r="J17" s="30">
        <v>1500</v>
      </c>
      <c r="K17" s="13">
        <f t="shared" si="1"/>
        <v>78.94736842105263</v>
      </c>
      <c r="L17" s="275">
        <v>19</v>
      </c>
      <c r="M17" s="14">
        <f t="shared" si="16"/>
        <v>1437.1428571428567</v>
      </c>
      <c r="N17" s="13">
        <f t="shared" si="3"/>
        <v>75.639097744360882</v>
      </c>
      <c r="O17" s="15">
        <f t="shared" si="4"/>
        <v>0</v>
      </c>
      <c r="P17" s="16">
        <f t="shared" si="5"/>
        <v>-3.3082706766917482</v>
      </c>
      <c r="Q17" s="270">
        <f t="shared" si="6"/>
        <v>0.95809523809523789</v>
      </c>
      <c r="R17" s="619"/>
      <c r="S17" s="31">
        <v>0.70833333333333337</v>
      </c>
      <c r="T17" s="31">
        <v>0.73750000000000004</v>
      </c>
      <c r="U17" s="271" t="str">
        <f t="shared" si="18"/>
        <v/>
      </c>
      <c r="V17" s="276">
        <f t="shared" si="17"/>
        <v>42.000000000000014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-62.857142857143344</v>
      </c>
      <c r="AF17" s="270">
        <f t="shared" si="9"/>
        <v>0.95809523809523778</v>
      </c>
      <c r="AG17" s="619"/>
    </row>
    <row r="18" spans="1:33" ht="16.5" customHeight="1">
      <c r="A18" s="644" t="s">
        <v>185</v>
      </c>
      <c r="B18" s="278" t="s">
        <v>6</v>
      </c>
      <c r="C18" s="279" t="s">
        <v>19</v>
      </c>
      <c r="D18" s="280"/>
      <c r="E18" s="33">
        <v>50.67</v>
      </c>
      <c r="F18" s="278">
        <v>1637</v>
      </c>
      <c r="G18" s="271">
        <f t="shared" si="15"/>
        <v>82946.790000000008</v>
      </c>
      <c r="H18" s="29" t="s">
        <v>5</v>
      </c>
      <c r="I18" s="275">
        <v>17</v>
      </c>
      <c r="J18" s="30">
        <v>2000</v>
      </c>
      <c r="K18" s="13">
        <f t="shared" si="1"/>
        <v>117.64705882352941</v>
      </c>
      <c r="L18" s="275">
        <v>17</v>
      </c>
      <c r="M18" s="14">
        <f t="shared" si="16"/>
        <v>1925.882352941177</v>
      </c>
      <c r="N18" s="13">
        <f t="shared" si="3"/>
        <v>113.28719723183394</v>
      </c>
      <c r="O18" s="15">
        <f t="shared" si="4"/>
        <v>0</v>
      </c>
      <c r="P18" s="16">
        <f t="shared" si="5"/>
        <v>-4.3598615916954628</v>
      </c>
      <c r="Q18" s="270">
        <f t="shared" si="6"/>
        <v>0.96294117647058852</v>
      </c>
      <c r="R18" s="619"/>
      <c r="S18" s="31">
        <v>0.7416666666666667</v>
      </c>
      <c r="T18" s="31">
        <v>0.77708333333333335</v>
      </c>
      <c r="U18" s="271">
        <f t="shared" si="18"/>
        <v>5.9999999999999787</v>
      </c>
      <c r="V18" s="276">
        <f t="shared" si="17"/>
        <v>50.999999999999979</v>
      </c>
      <c r="W18" s="17"/>
      <c r="X18" s="17"/>
      <c r="Y18" s="20"/>
      <c r="Z18" s="20"/>
      <c r="AA18" s="268"/>
      <c r="AB18" s="269"/>
      <c r="AC18" s="19"/>
      <c r="AD18" s="19"/>
      <c r="AE18" s="15">
        <f t="shared" si="8"/>
        <v>-74.117647058822968</v>
      </c>
      <c r="AF18" s="270">
        <f t="shared" si="9"/>
        <v>0.96294117647058852</v>
      </c>
      <c r="AG18" s="619"/>
    </row>
    <row r="19" spans="1:33" ht="16.5" customHeight="1">
      <c r="A19" s="644" t="s">
        <v>185</v>
      </c>
      <c r="B19" s="278" t="s">
        <v>6</v>
      </c>
      <c r="C19" s="279" t="s">
        <v>45</v>
      </c>
      <c r="D19" s="280"/>
      <c r="E19" s="33">
        <v>51.06</v>
      </c>
      <c r="F19" s="278">
        <v>3012</v>
      </c>
      <c r="G19" s="271">
        <f t="shared" si="15"/>
        <v>153792.72</v>
      </c>
      <c r="H19" s="29" t="s">
        <v>5</v>
      </c>
      <c r="I19" s="275">
        <v>13</v>
      </c>
      <c r="J19" s="30">
        <v>2000</v>
      </c>
      <c r="K19" s="13">
        <f t="shared" si="1"/>
        <v>153.84615384615384</v>
      </c>
      <c r="L19" s="275">
        <v>13</v>
      </c>
      <c r="M19" s="14">
        <f t="shared" si="16"/>
        <v>1902.3157894736844</v>
      </c>
      <c r="N19" s="13">
        <f t="shared" si="3"/>
        <v>146.33198380566802</v>
      </c>
      <c r="O19" s="15">
        <f t="shared" si="4"/>
        <v>0</v>
      </c>
      <c r="P19" s="16">
        <f t="shared" si="5"/>
        <v>-7.5141700404858227</v>
      </c>
      <c r="Q19" s="270">
        <f t="shared" si="6"/>
        <v>0.9511578947368422</v>
      </c>
      <c r="R19" s="619"/>
      <c r="S19" s="31">
        <v>0.78263888888888888</v>
      </c>
      <c r="T19" s="31">
        <v>0.84861111111111109</v>
      </c>
      <c r="U19" s="271">
        <f t="shared" si="18"/>
        <v>7.9999999999999716</v>
      </c>
      <c r="V19" s="276">
        <f t="shared" si="17"/>
        <v>94.999999999999986</v>
      </c>
      <c r="W19" s="17"/>
      <c r="X19" s="17"/>
      <c r="Y19" s="20"/>
      <c r="Z19" s="20"/>
      <c r="AA19" s="268"/>
      <c r="AB19" s="269"/>
      <c r="AC19" s="19"/>
      <c r="AD19" s="19"/>
      <c r="AE19" s="15">
        <f t="shared" si="8"/>
        <v>-97.68421052631561</v>
      </c>
      <c r="AF19" s="270">
        <f t="shared" si="9"/>
        <v>0.9511578947368422</v>
      </c>
      <c r="AG19" s="619"/>
    </row>
    <row r="20" spans="1:33" ht="16.5" customHeight="1">
      <c r="A20" s="644" t="s">
        <v>185</v>
      </c>
      <c r="B20" s="33" t="s">
        <v>80</v>
      </c>
      <c r="C20" s="620"/>
      <c r="D20" s="620"/>
      <c r="E20" s="274"/>
      <c r="F20" s="34"/>
      <c r="G20" s="13"/>
      <c r="H20" s="278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1713.2846324625064</v>
      </c>
      <c r="N20" s="13">
        <f t="shared" si="3"/>
        <v>99.941603560312871</v>
      </c>
      <c r="O20" s="15">
        <f t="shared" si="4"/>
        <v>0</v>
      </c>
      <c r="P20" s="16">
        <f t="shared" si="5"/>
        <v>-4.2250631063538009</v>
      </c>
      <c r="Q20" s="270">
        <f t="shared" si="6"/>
        <v>0.95943939417900348</v>
      </c>
      <c r="R20" s="619"/>
      <c r="S20" s="31"/>
      <c r="T20" s="31"/>
      <c r="U20" s="271"/>
      <c r="V20" s="276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-72.429653251779428</v>
      </c>
      <c r="AF20" s="270">
        <f t="shared" si="9"/>
        <v>0.95943939417900348</v>
      </c>
      <c r="AG20" s="619"/>
    </row>
    <row r="21" spans="1:33" ht="15.75" customHeight="1">
      <c r="A21" s="637" t="s">
        <v>189</v>
      </c>
      <c r="B21" s="33" t="s">
        <v>6</v>
      </c>
      <c r="C21" s="635" t="s">
        <v>22</v>
      </c>
      <c r="D21" s="635"/>
      <c r="E21" s="33">
        <v>50.67</v>
      </c>
      <c r="F21" s="278">
        <v>1317</v>
      </c>
      <c r="G21" s="271">
        <f t="shared" ref="G21:G26" si="19">E21*F21</f>
        <v>66732.39</v>
      </c>
      <c r="H21" s="29" t="s">
        <v>5</v>
      </c>
      <c r="I21" s="275">
        <v>17</v>
      </c>
      <c r="J21" s="30">
        <v>2000</v>
      </c>
      <c r="K21" s="13">
        <f t="shared" si="1"/>
        <v>117.64705882352941</v>
      </c>
      <c r="L21" s="275">
        <v>17</v>
      </c>
      <c r="M21" s="14">
        <f t="shared" ref="M21:M26" si="20">F21/V21*60</f>
        <v>1927.317073170731</v>
      </c>
      <c r="N21" s="13">
        <f t="shared" si="3"/>
        <v>113.37159253945477</v>
      </c>
      <c r="O21" s="15">
        <f t="shared" si="4"/>
        <v>0</v>
      </c>
      <c r="P21" s="16">
        <f t="shared" si="5"/>
        <v>-4.2754662840746391</v>
      </c>
      <c r="Q21" s="270">
        <f t="shared" si="6"/>
        <v>0.9636585365853656</v>
      </c>
      <c r="R21" s="619">
        <f>Q27</f>
        <v>0.96121597505975809</v>
      </c>
      <c r="S21" s="31">
        <v>0.20833333333333334</v>
      </c>
      <c r="T21" s="31">
        <v>0.23680555555555557</v>
      </c>
      <c r="U21" s="271"/>
      <c r="V21" s="276">
        <f t="shared" ref="V21:V26" si="21">(T21-S21)*24*60</f>
        <v>41.000000000000014</v>
      </c>
      <c r="W21" s="17"/>
      <c r="X21" s="17"/>
      <c r="Y21" s="22"/>
      <c r="Z21" s="22"/>
      <c r="AA21" s="610"/>
      <c r="AB21" s="610"/>
      <c r="AC21" s="19">
        <v>6</v>
      </c>
      <c r="AD21" s="19"/>
      <c r="AE21" s="15">
        <f t="shared" si="8"/>
        <v>-72.682926829269036</v>
      </c>
      <c r="AF21" s="270">
        <f t="shared" si="9"/>
        <v>0.96365853658536549</v>
      </c>
      <c r="AG21" s="619">
        <f>AF27</f>
        <v>0.96121597505975809</v>
      </c>
    </row>
    <row r="22" spans="1:33" ht="15.75" customHeight="1">
      <c r="A22" s="638" t="s">
        <v>189</v>
      </c>
      <c r="B22" s="33" t="s">
        <v>6</v>
      </c>
      <c r="C22" s="635" t="s">
        <v>23</v>
      </c>
      <c r="D22" s="635"/>
      <c r="E22" s="33">
        <v>57.73</v>
      </c>
      <c r="F22" s="278">
        <v>2503</v>
      </c>
      <c r="G22" s="271">
        <f t="shared" si="19"/>
        <v>144498.19</v>
      </c>
      <c r="H22" s="29" t="s">
        <v>5</v>
      </c>
      <c r="I22" s="275">
        <v>14</v>
      </c>
      <c r="J22" s="30">
        <v>2000</v>
      </c>
      <c r="K22" s="13">
        <f t="shared" si="1"/>
        <v>142.85714285714286</v>
      </c>
      <c r="L22" s="275">
        <v>14</v>
      </c>
      <c r="M22" s="14">
        <f t="shared" si="20"/>
        <v>1925.3846153846141</v>
      </c>
      <c r="N22" s="13">
        <f t="shared" si="3"/>
        <v>137.52747252747244</v>
      </c>
      <c r="O22" s="15">
        <f t="shared" si="4"/>
        <v>0</v>
      </c>
      <c r="P22" s="16">
        <f t="shared" si="5"/>
        <v>-5.3296703296704209</v>
      </c>
      <c r="Q22" s="270">
        <f t="shared" si="6"/>
        <v>0.96269230769230707</v>
      </c>
      <c r="R22" s="619"/>
      <c r="S22" s="31">
        <v>0.2416666666666667</v>
      </c>
      <c r="T22" s="31">
        <v>0.29583333333333339</v>
      </c>
      <c r="U22" s="271">
        <f t="shared" ref="U22:U26" si="22">IF(S22=TIME(17,0,0),"",(S22-T21)*24*60)</f>
        <v>7.0000000000000151</v>
      </c>
      <c r="V22" s="276">
        <f t="shared" si="21"/>
        <v>78.000000000000043</v>
      </c>
      <c r="W22" s="17"/>
      <c r="X22" s="271"/>
      <c r="Y22" s="271"/>
      <c r="Z22" s="271"/>
      <c r="AA22" s="610"/>
      <c r="AB22" s="610"/>
      <c r="AC22" s="19"/>
      <c r="AD22" s="19"/>
      <c r="AE22" s="15">
        <f t="shared" si="8"/>
        <v>-74.615384615385892</v>
      </c>
      <c r="AF22" s="270">
        <f t="shared" si="9"/>
        <v>0.96269230769230707</v>
      </c>
      <c r="AG22" s="619"/>
    </row>
    <row r="23" spans="1:33" ht="15.75" customHeight="1">
      <c r="A23" s="638" t="s">
        <v>1218</v>
      </c>
      <c r="B23" s="33" t="s">
        <v>6</v>
      </c>
      <c r="C23" s="635" t="s">
        <v>24</v>
      </c>
      <c r="D23" s="635"/>
      <c r="E23" s="33">
        <v>53.27</v>
      </c>
      <c r="F23" s="278">
        <v>1252</v>
      </c>
      <c r="G23" s="271">
        <f t="shared" si="19"/>
        <v>66694.040000000008</v>
      </c>
      <c r="H23" s="29" t="s">
        <v>5</v>
      </c>
      <c r="I23" s="275">
        <v>16</v>
      </c>
      <c r="J23" s="30">
        <v>2000</v>
      </c>
      <c r="K23" s="13">
        <f t="shared" si="1"/>
        <v>125</v>
      </c>
      <c r="L23" s="275">
        <v>16</v>
      </c>
      <c r="M23" s="14">
        <f t="shared" si="20"/>
        <v>1926.1538461538453</v>
      </c>
      <c r="N23" s="13">
        <f t="shared" si="3"/>
        <v>120.38461538461533</v>
      </c>
      <c r="O23" s="15">
        <f t="shared" si="4"/>
        <v>0</v>
      </c>
      <c r="P23" s="16">
        <f t="shared" si="5"/>
        <v>-4.61538461538467</v>
      </c>
      <c r="Q23" s="270">
        <f t="shared" si="6"/>
        <v>0.96307692307692261</v>
      </c>
      <c r="R23" s="619"/>
      <c r="S23" s="31">
        <v>0.30000000000000004</v>
      </c>
      <c r="T23" s="31">
        <v>0.32708333333333339</v>
      </c>
      <c r="U23" s="271">
        <f t="shared" si="22"/>
        <v>5.9999999999999787</v>
      </c>
      <c r="V23" s="276">
        <f t="shared" si="21"/>
        <v>39.000000000000021</v>
      </c>
      <c r="W23" s="17"/>
      <c r="X23" s="271"/>
      <c r="Y23" s="271"/>
      <c r="Z23" s="271"/>
      <c r="AA23" s="610"/>
      <c r="AB23" s="610"/>
      <c r="AC23" s="19"/>
      <c r="AD23" s="19"/>
      <c r="AE23" s="15">
        <f t="shared" si="8"/>
        <v>-73.846153846154721</v>
      </c>
      <c r="AF23" s="270">
        <f t="shared" si="9"/>
        <v>0.96307692307692261</v>
      </c>
      <c r="AG23" s="619"/>
    </row>
    <row r="24" spans="1:33" ht="15.75" customHeight="1">
      <c r="A24" s="638" t="s">
        <v>189</v>
      </c>
      <c r="B24" s="33" t="s">
        <v>6</v>
      </c>
      <c r="C24" s="635" t="s">
        <v>21</v>
      </c>
      <c r="D24" s="635"/>
      <c r="E24" s="33">
        <v>50.49</v>
      </c>
      <c r="F24" s="278">
        <v>2110</v>
      </c>
      <c r="G24" s="271">
        <f t="shared" si="19"/>
        <v>106533.90000000001</v>
      </c>
      <c r="H24" s="29" t="s">
        <v>5</v>
      </c>
      <c r="I24" s="275">
        <v>15</v>
      </c>
      <c r="J24" s="30">
        <v>2000</v>
      </c>
      <c r="K24" s="13">
        <f t="shared" si="1"/>
        <v>133.33333333333334</v>
      </c>
      <c r="L24" s="275">
        <v>15</v>
      </c>
      <c r="M24" s="14">
        <f t="shared" si="20"/>
        <v>1918.1818181818203</v>
      </c>
      <c r="N24" s="13">
        <f t="shared" si="3"/>
        <v>127.87878787878802</v>
      </c>
      <c r="O24" s="15">
        <f t="shared" si="4"/>
        <v>0</v>
      </c>
      <c r="P24" s="16">
        <f t="shared" si="5"/>
        <v>-5.4545454545453254</v>
      </c>
      <c r="Q24" s="270">
        <f t="shared" si="6"/>
        <v>0.9590909090909101</v>
      </c>
      <c r="R24" s="619"/>
      <c r="S24" s="31">
        <v>0.70833333333333337</v>
      </c>
      <c r="T24" s="31">
        <v>0.75416666666666665</v>
      </c>
      <c r="U24" s="271" t="str">
        <f t="shared" si="22"/>
        <v/>
      </c>
      <c r="V24" s="276">
        <f t="shared" si="21"/>
        <v>65.999999999999929</v>
      </c>
      <c r="W24" s="17"/>
      <c r="X24" s="271"/>
      <c r="Y24" s="271"/>
      <c r="Z24" s="271"/>
      <c r="AA24" s="610"/>
      <c r="AB24" s="610"/>
      <c r="AC24" s="19"/>
      <c r="AD24" s="19"/>
      <c r="AE24" s="15">
        <f t="shared" si="8"/>
        <v>-81.81818181817971</v>
      </c>
      <c r="AF24" s="270">
        <f t="shared" si="9"/>
        <v>0.9590909090909101</v>
      </c>
      <c r="AG24" s="619"/>
    </row>
    <row r="25" spans="1:33" ht="15.75" customHeight="1">
      <c r="A25" s="638" t="s">
        <v>189</v>
      </c>
      <c r="B25" s="33" t="s">
        <v>6</v>
      </c>
      <c r="C25" s="635" t="s">
        <v>26</v>
      </c>
      <c r="D25" s="635"/>
      <c r="E25" s="33">
        <v>54.09</v>
      </c>
      <c r="F25" s="278">
        <v>2044</v>
      </c>
      <c r="G25" s="271">
        <f t="shared" si="19"/>
        <v>110559.96</v>
      </c>
      <c r="H25" s="29" t="s">
        <v>5</v>
      </c>
      <c r="I25" s="275">
        <v>18</v>
      </c>
      <c r="J25" s="30">
        <v>2000</v>
      </c>
      <c r="K25" s="13">
        <f t="shared" si="1"/>
        <v>111.11111111111111</v>
      </c>
      <c r="L25" s="275">
        <v>18</v>
      </c>
      <c r="M25" s="14">
        <f t="shared" si="20"/>
        <v>1916.250000000002</v>
      </c>
      <c r="N25" s="13">
        <f t="shared" si="3"/>
        <v>106.45833333333344</v>
      </c>
      <c r="O25" s="15">
        <f t="shared" si="4"/>
        <v>0</v>
      </c>
      <c r="P25" s="16">
        <f t="shared" si="5"/>
        <v>-4.652777777777672</v>
      </c>
      <c r="Q25" s="270">
        <f t="shared" si="6"/>
        <v>0.958125000000001</v>
      </c>
      <c r="R25" s="619"/>
      <c r="S25" s="31">
        <v>0.75763888888888886</v>
      </c>
      <c r="T25" s="31">
        <v>0.80208333333333326</v>
      </c>
      <c r="U25" s="271">
        <f t="shared" si="22"/>
        <v>4.9999999999999822</v>
      </c>
      <c r="V25" s="276">
        <f t="shared" si="21"/>
        <v>63.999999999999929</v>
      </c>
      <c r="W25" s="17"/>
      <c r="X25" s="17"/>
      <c r="Y25" s="271"/>
      <c r="Z25" s="271"/>
      <c r="AA25" s="610"/>
      <c r="AB25" s="610"/>
      <c r="AC25" s="19"/>
      <c r="AD25" s="19"/>
      <c r="AE25" s="15">
        <f t="shared" si="8"/>
        <v>-83.749999999997954</v>
      </c>
      <c r="AF25" s="270">
        <f t="shared" si="9"/>
        <v>0.958125000000001</v>
      </c>
      <c r="AG25" s="619"/>
    </row>
    <row r="26" spans="1:33" ht="15.75" customHeight="1">
      <c r="A26" s="638" t="s">
        <v>189</v>
      </c>
      <c r="B26" s="33" t="s">
        <v>6</v>
      </c>
      <c r="C26" s="635" t="s">
        <v>9</v>
      </c>
      <c r="D26" s="635"/>
      <c r="E26" s="33">
        <v>50.67</v>
      </c>
      <c r="F26" s="278">
        <v>1473</v>
      </c>
      <c r="G26" s="271">
        <f t="shared" si="19"/>
        <v>74636.91</v>
      </c>
      <c r="H26" s="29" t="s">
        <v>5</v>
      </c>
      <c r="I26" s="275">
        <v>15</v>
      </c>
      <c r="J26" s="30">
        <v>2000</v>
      </c>
      <c r="K26" s="13">
        <f t="shared" si="1"/>
        <v>133.33333333333334</v>
      </c>
      <c r="L26" s="275">
        <v>15</v>
      </c>
      <c r="M26" s="14">
        <f t="shared" si="20"/>
        <v>1921.304347826087</v>
      </c>
      <c r="N26" s="13">
        <f t="shared" si="3"/>
        <v>128.08695652173913</v>
      </c>
      <c r="O26" s="15">
        <f t="shared" si="4"/>
        <v>0</v>
      </c>
      <c r="P26" s="16">
        <f t="shared" si="5"/>
        <v>-5.2463768115942173</v>
      </c>
      <c r="Q26" s="270">
        <f t="shared" si="6"/>
        <v>0.96065217391304336</v>
      </c>
      <c r="R26" s="619"/>
      <c r="S26" s="31">
        <v>0.80694444444444435</v>
      </c>
      <c r="T26" s="31">
        <v>0.8388888888888888</v>
      </c>
      <c r="U26" s="271">
        <f t="shared" si="22"/>
        <v>6.9999999999999751</v>
      </c>
      <c r="V26" s="276">
        <f t="shared" si="21"/>
        <v>46</v>
      </c>
      <c r="W26" s="17"/>
      <c r="X26" s="22"/>
      <c r="Y26" s="22"/>
      <c r="Z26" s="22"/>
      <c r="AA26" s="610"/>
      <c r="AB26" s="610"/>
      <c r="AC26" s="19"/>
      <c r="AD26" s="19"/>
      <c r="AE26" s="15">
        <f t="shared" si="8"/>
        <v>-78.695652173913004</v>
      </c>
      <c r="AF26" s="270">
        <f t="shared" si="9"/>
        <v>0.96065217391304347</v>
      </c>
      <c r="AG26" s="619"/>
    </row>
    <row r="27" spans="1:33" ht="15.75" customHeight="1">
      <c r="A27" s="638" t="s">
        <v>189</v>
      </c>
      <c r="B27" s="33" t="s">
        <v>80</v>
      </c>
      <c r="C27" s="620"/>
      <c r="D27" s="620"/>
      <c r="E27" s="274"/>
      <c r="F27" s="278"/>
      <c r="G27" s="271"/>
      <c r="H27" s="278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1922.4319501195162</v>
      </c>
      <c r="N27" s="13">
        <f t="shared" si="3"/>
        <v>121.41675474439049</v>
      </c>
      <c r="O27" s="15">
        <f t="shared" si="4"/>
        <v>0</v>
      </c>
      <c r="P27" s="16">
        <f t="shared" si="5"/>
        <v>-4.8990347292937173</v>
      </c>
      <c r="Q27" s="270">
        <f t="shared" si="6"/>
        <v>0.96121597505975809</v>
      </c>
      <c r="R27" s="619"/>
      <c r="S27" s="31"/>
      <c r="T27" s="31"/>
      <c r="U27" s="13"/>
      <c r="V27" s="276"/>
      <c r="W27" s="13"/>
      <c r="X27" s="13"/>
      <c r="Y27" s="24">
        <f>SUM(Y21:Y26)</f>
        <v>0</v>
      </c>
      <c r="Z27" s="24">
        <f>SUM(Z21:Z26)</f>
        <v>0</v>
      </c>
      <c r="AA27" s="609"/>
      <c r="AB27" s="609"/>
      <c r="AC27" s="24">
        <v>6</v>
      </c>
      <c r="AD27" s="24">
        <f>SUM(AD21:AD26)</f>
        <v>0</v>
      </c>
      <c r="AE27" s="15">
        <f t="shared" si="8"/>
        <v>-77.568049880483841</v>
      </c>
      <c r="AF27" s="270">
        <f t="shared" si="9"/>
        <v>0.96121597505975809</v>
      </c>
      <c r="AG27" s="619"/>
    </row>
    <row r="28" spans="1:33" ht="15.75" customHeight="1">
      <c r="A28" s="636" t="s">
        <v>192</v>
      </c>
      <c r="B28" s="33" t="s">
        <v>27</v>
      </c>
      <c r="C28" s="635" t="s">
        <v>28</v>
      </c>
      <c r="D28" s="635"/>
      <c r="E28" s="33">
        <v>31.29</v>
      </c>
      <c r="F28" s="278">
        <v>5000</v>
      </c>
      <c r="G28" s="271">
        <f t="shared" ref="G28:G34" si="23">E28*F28</f>
        <v>156450</v>
      </c>
      <c r="H28" s="29">
        <v>2</v>
      </c>
      <c r="I28" s="275">
        <v>18</v>
      </c>
      <c r="J28" s="30">
        <v>2400</v>
      </c>
      <c r="K28" s="13">
        <f t="shared" si="1"/>
        <v>133.33333333333334</v>
      </c>
      <c r="L28" s="275">
        <v>18</v>
      </c>
      <c r="M28" s="14">
        <f t="shared" ref="M28:M34" si="24">F28/V28*60</f>
        <v>2290.0763358778627</v>
      </c>
      <c r="N28" s="13">
        <f t="shared" si="3"/>
        <v>127.2264631043257</v>
      </c>
      <c r="O28" s="15">
        <f t="shared" si="4"/>
        <v>0</v>
      </c>
      <c r="P28" s="16">
        <f t="shared" si="5"/>
        <v>-6.1068702290076402</v>
      </c>
      <c r="Q28" s="270">
        <f t="shared" si="6"/>
        <v>0.95419847328244267</v>
      </c>
      <c r="R28" s="619">
        <f>Q35</f>
        <v>0.95532204167952983</v>
      </c>
      <c r="S28" s="31">
        <v>8.3333333333333329E-2</v>
      </c>
      <c r="T28" s="31">
        <v>0.17430555555555555</v>
      </c>
      <c r="U28" s="271"/>
      <c r="V28" s="276">
        <f t="shared" ref="V28:V34" si="25">(T28-S28)*24*60</f>
        <v>131</v>
      </c>
      <c r="W28" s="17">
        <f>T28</f>
        <v>0.17430555555555555</v>
      </c>
      <c r="X28" s="17">
        <f>S29</f>
        <v>0.19444444444444445</v>
      </c>
      <c r="Y28" s="17"/>
      <c r="Z28" s="17"/>
      <c r="AA28" s="610"/>
      <c r="AB28" s="610"/>
      <c r="AC28" s="19">
        <v>7</v>
      </c>
      <c r="AD28" s="19"/>
      <c r="AE28" s="15">
        <f t="shared" si="8"/>
        <v>-109.92366412213732</v>
      </c>
      <c r="AF28" s="270">
        <f t="shared" si="9"/>
        <v>0.95419847328244278</v>
      </c>
      <c r="AG28" s="619">
        <f>AF35</f>
        <v>0.95532204167952994</v>
      </c>
    </row>
    <row r="29" spans="1:33" ht="15.75" customHeight="1">
      <c r="A29" s="636" t="s">
        <v>1219</v>
      </c>
      <c r="B29" s="33" t="s">
        <v>27</v>
      </c>
      <c r="C29" s="635" t="s">
        <v>29</v>
      </c>
      <c r="D29" s="635"/>
      <c r="E29" s="33">
        <v>26.37</v>
      </c>
      <c r="F29" s="278">
        <v>5522</v>
      </c>
      <c r="G29" s="271">
        <f t="shared" si="23"/>
        <v>145615.14000000001</v>
      </c>
      <c r="H29" s="29" t="s">
        <v>5</v>
      </c>
      <c r="I29" s="275">
        <v>18</v>
      </c>
      <c r="J29" s="30">
        <v>2400</v>
      </c>
      <c r="K29" s="13">
        <f t="shared" si="1"/>
        <v>133.33333333333334</v>
      </c>
      <c r="L29" s="275">
        <v>18</v>
      </c>
      <c r="M29" s="14">
        <f t="shared" si="24"/>
        <v>2284.9655172413786</v>
      </c>
      <c r="N29" s="13">
        <f t="shared" si="3"/>
        <v>126.94252873563215</v>
      </c>
      <c r="O29" s="15">
        <f t="shared" si="4"/>
        <v>0</v>
      </c>
      <c r="P29" s="16">
        <f t="shared" si="5"/>
        <v>-6.3908045977011909</v>
      </c>
      <c r="Q29" s="270">
        <f t="shared" si="6"/>
        <v>0.95206896551724107</v>
      </c>
      <c r="R29" s="619"/>
      <c r="S29" s="31">
        <v>0.19444444444444445</v>
      </c>
      <c r="T29" s="31">
        <v>0.2951388888888889</v>
      </c>
      <c r="U29" s="271">
        <f t="shared" ref="U29:U34" si="26">(S29-T28)*24*60</f>
        <v>29.000000000000018</v>
      </c>
      <c r="V29" s="276">
        <f t="shared" si="25"/>
        <v>145.00000000000003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-115.03448275862138</v>
      </c>
      <c r="AF29" s="270">
        <f t="shared" si="9"/>
        <v>0.95206896551724107</v>
      </c>
      <c r="AG29" s="619"/>
    </row>
    <row r="30" spans="1:33" ht="15.75" customHeight="1">
      <c r="A30" s="636" t="s">
        <v>192</v>
      </c>
      <c r="B30" s="33" t="s">
        <v>27</v>
      </c>
      <c r="C30" s="635" t="s">
        <v>34</v>
      </c>
      <c r="D30" s="635"/>
      <c r="E30" s="33">
        <v>24.43</v>
      </c>
      <c r="F30" s="278">
        <v>3800</v>
      </c>
      <c r="G30" s="271">
        <f t="shared" si="23"/>
        <v>92834</v>
      </c>
      <c r="H30" s="29">
        <v>2</v>
      </c>
      <c r="I30" s="275">
        <v>14</v>
      </c>
      <c r="J30" s="30">
        <v>2400</v>
      </c>
      <c r="K30" s="13">
        <f t="shared" si="1"/>
        <v>171.42857142857142</v>
      </c>
      <c r="L30" s="275">
        <v>14</v>
      </c>
      <c r="M30" s="14">
        <f t="shared" si="24"/>
        <v>2303.0303030303039</v>
      </c>
      <c r="N30" s="13">
        <f t="shared" si="3"/>
        <v>164.50216450216456</v>
      </c>
      <c r="O30" s="15">
        <f t="shared" si="4"/>
        <v>0</v>
      </c>
      <c r="P30" s="16">
        <f t="shared" si="5"/>
        <v>-6.9264069264068553</v>
      </c>
      <c r="Q30" s="270">
        <f t="shared" si="6"/>
        <v>0.95959595959596</v>
      </c>
      <c r="R30" s="619"/>
      <c r="S30" s="31">
        <v>0.30069444444444443</v>
      </c>
      <c r="T30" s="31">
        <v>0.36944444444444441</v>
      </c>
      <c r="U30" s="271">
        <f t="shared" si="26"/>
        <v>7.9999999999999716</v>
      </c>
      <c r="V30" s="276">
        <f t="shared" si="25"/>
        <v>98.999999999999972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-96.969696969696088</v>
      </c>
      <c r="AF30" s="270">
        <f t="shared" si="9"/>
        <v>0.95959595959596</v>
      </c>
      <c r="AG30" s="619"/>
    </row>
    <row r="31" spans="1:33" ht="15.75" customHeight="1">
      <c r="A31" s="636" t="s">
        <v>192</v>
      </c>
      <c r="B31" s="33" t="s">
        <v>27</v>
      </c>
      <c r="C31" s="635" t="s">
        <v>75</v>
      </c>
      <c r="D31" s="635"/>
      <c r="E31" s="33">
        <v>25.98</v>
      </c>
      <c r="F31" s="278">
        <v>3557</v>
      </c>
      <c r="G31" s="271">
        <f t="shared" si="23"/>
        <v>92410.86</v>
      </c>
      <c r="H31" s="29" t="s">
        <v>5</v>
      </c>
      <c r="I31" s="275">
        <v>19</v>
      </c>
      <c r="J31" s="30">
        <v>2400</v>
      </c>
      <c r="K31" s="13">
        <f t="shared" si="1"/>
        <v>126.31578947368421</v>
      </c>
      <c r="L31" s="275">
        <v>19</v>
      </c>
      <c r="M31" s="14">
        <f t="shared" si="24"/>
        <v>2294.8387096774195</v>
      </c>
      <c r="N31" s="13">
        <f t="shared" si="3"/>
        <v>120.78098471986418</v>
      </c>
      <c r="O31" s="15">
        <f t="shared" si="4"/>
        <v>0</v>
      </c>
      <c r="P31" s="16">
        <f t="shared" si="5"/>
        <v>-5.5348047538200262</v>
      </c>
      <c r="Q31" s="270">
        <f t="shared" si="6"/>
        <v>0.95618279569892484</v>
      </c>
      <c r="R31" s="619"/>
      <c r="S31" s="31">
        <v>0.37499999999999994</v>
      </c>
      <c r="T31" s="31">
        <v>0.43958333333333327</v>
      </c>
      <c r="U31" s="271">
        <f t="shared" si="26"/>
        <v>7.9999999999999716</v>
      </c>
      <c r="V31" s="276">
        <f t="shared" si="25"/>
        <v>92.999999999999986</v>
      </c>
      <c r="W31" s="17"/>
      <c r="X31" s="17"/>
      <c r="Y31" s="17"/>
      <c r="Z31" s="17"/>
      <c r="AA31" s="610"/>
      <c r="AB31" s="610"/>
      <c r="AC31" s="19"/>
      <c r="AD31" s="19"/>
      <c r="AE31" s="15">
        <f t="shared" si="8"/>
        <v>-105.1612903225805</v>
      </c>
      <c r="AF31" s="270">
        <f t="shared" si="9"/>
        <v>0.95618279569892484</v>
      </c>
      <c r="AG31" s="619"/>
    </row>
    <row r="32" spans="1:33" ht="15.75" customHeight="1">
      <c r="A32" s="636" t="s">
        <v>192</v>
      </c>
      <c r="B32" s="33" t="s">
        <v>27</v>
      </c>
      <c r="C32" s="635" t="s">
        <v>197</v>
      </c>
      <c r="D32" s="635"/>
      <c r="E32" s="33">
        <v>23.89</v>
      </c>
      <c r="F32" s="278">
        <v>3667</v>
      </c>
      <c r="G32" s="271">
        <f t="shared" si="23"/>
        <v>87604.63</v>
      </c>
      <c r="H32" s="29" t="s">
        <v>5</v>
      </c>
      <c r="I32" s="275">
        <v>17</v>
      </c>
      <c r="J32" s="30">
        <v>2400</v>
      </c>
      <c r="K32" s="13">
        <f t="shared" si="1"/>
        <v>141.1764705882353</v>
      </c>
      <c r="L32" s="275">
        <v>17</v>
      </c>
      <c r="M32" s="14">
        <f t="shared" si="24"/>
        <v>2291.8749999999986</v>
      </c>
      <c r="N32" s="13">
        <f t="shared" si="3"/>
        <v>134.81617647058815</v>
      </c>
      <c r="O32" s="15">
        <f t="shared" si="4"/>
        <v>0</v>
      </c>
      <c r="P32" s="16">
        <f t="shared" si="5"/>
        <v>-6.3602941176471575</v>
      </c>
      <c r="Q32" s="270">
        <f t="shared" si="6"/>
        <v>0.95494791666666601</v>
      </c>
      <c r="R32" s="619"/>
      <c r="S32" s="31">
        <v>0.44374999999999992</v>
      </c>
      <c r="T32" s="31">
        <v>0.51041666666666663</v>
      </c>
      <c r="U32" s="271">
        <f t="shared" si="26"/>
        <v>5.9999999999999787</v>
      </c>
      <c r="V32" s="276">
        <f t="shared" si="25"/>
        <v>96.000000000000057</v>
      </c>
      <c r="W32" s="17">
        <f>T32</f>
        <v>0.51041666666666663</v>
      </c>
      <c r="X32" s="17">
        <f>S33</f>
        <v>0.55069444444444438</v>
      </c>
      <c r="Y32" s="17"/>
      <c r="Z32" s="17"/>
      <c r="AA32" s="610"/>
      <c r="AB32" s="610"/>
      <c r="AC32" s="19"/>
      <c r="AD32" s="19"/>
      <c r="AE32" s="15">
        <f t="shared" si="8"/>
        <v>-108.12500000000136</v>
      </c>
      <c r="AF32" s="270">
        <f t="shared" si="9"/>
        <v>0.95494791666666612</v>
      </c>
      <c r="AG32" s="619"/>
    </row>
    <row r="33" spans="1:33" ht="15.75" customHeight="1">
      <c r="A33" s="636" t="s">
        <v>192</v>
      </c>
      <c r="B33" s="33" t="s">
        <v>27</v>
      </c>
      <c r="C33" s="635" t="s">
        <v>34</v>
      </c>
      <c r="D33" s="635"/>
      <c r="E33" s="33">
        <v>24.43</v>
      </c>
      <c r="F33" s="278">
        <v>2985</v>
      </c>
      <c r="G33" s="271">
        <f t="shared" si="23"/>
        <v>72923.55</v>
      </c>
      <c r="H33" s="29" t="s">
        <v>5</v>
      </c>
      <c r="I33" s="275">
        <v>14</v>
      </c>
      <c r="J33" s="30">
        <v>2400</v>
      </c>
      <c r="K33" s="13">
        <f t="shared" si="1"/>
        <v>171.42857142857142</v>
      </c>
      <c r="L33" s="275">
        <v>14</v>
      </c>
      <c r="M33" s="14">
        <f t="shared" si="24"/>
        <v>2296.1538461538448</v>
      </c>
      <c r="N33" s="13">
        <f t="shared" si="3"/>
        <v>164.01098901098891</v>
      </c>
      <c r="O33" s="15">
        <f t="shared" si="4"/>
        <v>0</v>
      </c>
      <c r="P33" s="16">
        <f t="shared" si="5"/>
        <v>-7.4175824175825085</v>
      </c>
      <c r="Q33" s="270">
        <f t="shared" si="6"/>
        <v>0.95673076923076872</v>
      </c>
      <c r="R33" s="619"/>
      <c r="S33" s="31">
        <v>0.55069444444444438</v>
      </c>
      <c r="T33" s="31">
        <v>0.60486111111111107</v>
      </c>
      <c r="U33" s="271">
        <f t="shared" si="26"/>
        <v>57.999999999999957</v>
      </c>
      <c r="V33" s="276">
        <f t="shared" si="25"/>
        <v>78.000000000000043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-103.84615384615518</v>
      </c>
      <c r="AF33" s="270">
        <f t="shared" si="9"/>
        <v>0.95673076923076872</v>
      </c>
      <c r="AG33" s="619"/>
    </row>
    <row r="34" spans="1:33" ht="15.75" customHeight="1">
      <c r="A34" s="636" t="s">
        <v>192</v>
      </c>
      <c r="B34" s="33" t="s">
        <v>27</v>
      </c>
      <c r="C34" s="635" t="s">
        <v>28</v>
      </c>
      <c r="D34" s="635"/>
      <c r="E34" s="33">
        <v>31.29</v>
      </c>
      <c r="F34" s="278">
        <v>3242</v>
      </c>
      <c r="G34" s="271">
        <f t="shared" si="23"/>
        <v>101442.18</v>
      </c>
      <c r="H34" s="29" t="s">
        <v>5</v>
      </c>
      <c r="I34" s="275">
        <v>18</v>
      </c>
      <c r="J34" s="30">
        <v>2400</v>
      </c>
      <c r="K34" s="13">
        <f t="shared" si="1"/>
        <v>133.33333333333334</v>
      </c>
      <c r="L34" s="275">
        <v>18</v>
      </c>
      <c r="M34" s="14">
        <f t="shared" si="24"/>
        <v>2288.4705882352937</v>
      </c>
      <c r="N34" s="13">
        <f t="shared" si="3"/>
        <v>127.13725490196076</v>
      </c>
      <c r="O34" s="15">
        <f t="shared" si="4"/>
        <v>0</v>
      </c>
      <c r="P34" s="16">
        <f t="shared" si="5"/>
        <v>-6.1960784313725839</v>
      </c>
      <c r="Q34" s="270">
        <f t="shared" si="6"/>
        <v>0.95352941176470563</v>
      </c>
      <c r="R34" s="619"/>
      <c r="S34" s="31">
        <v>0.60833333333333328</v>
      </c>
      <c r="T34" s="31">
        <v>0.66736111111111107</v>
      </c>
      <c r="U34" s="271">
        <f t="shared" si="26"/>
        <v>4.9999999999999822</v>
      </c>
      <c r="V34" s="276">
        <f t="shared" si="25"/>
        <v>85.000000000000014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-111.52941176470631</v>
      </c>
      <c r="AF34" s="270">
        <f t="shared" si="9"/>
        <v>0.95352941176470574</v>
      </c>
      <c r="AG34" s="619"/>
    </row>
    <row r="35" spans="1:33" ht="15.75" customHeight="1">
      <c r="A35" s="636" t="s">
        <v>1219</v>
      </c>
      <c r="B35" s="33" t="s">
        <v>80</v>
      </c>
      <c r="C35" s="620"/>
      <c r="D35" s="620"/>
      <c r="E35" s="274"/>
      <c r="F35" s="278"/>
      <c r="G35" s="271"/>
      <c r="H35" s="278"/>
      <c r="I35" s="23">
        <v>16.857142857142858</v>
      </c>
      <c r="J35" s="30">
        <v>2400</v>
      </c>
      <c r="K35" s="13">
        <f t="shared" si="1"/>
        <v>142.37288135593221</v>
      </c>
      <c r="L35" s="23">
        <v>16.857142857142858</v>
      </c>
      <c r="M35" s="14">
        <f>AVERAGE(M28:M34)</f>
        <v>2292.7729000308718</v>
      </c>
      <c r="N35" s="13">
        <f t="shared" si="3"/>
        <v>136.01195169674662</v>
      </c>
      <c r="O35" s="15">
        <f t="shared" si="4"/>
        <v>0</v>
      </c>
      <c r="P35" s="16">
        <f t="shared" si="5"/>
        <v>-6.3609296591855866</v>
      </c>
      <c r="Q35" s="270">
        <f t="shared" si="6"/>
        <v>0.95532204167952983</v>
      </c>
      <c r="R35" s="619"/>
      <c r="S35" s="31"/>
      <c r="T35" s="31"/>
      <c r="U35" s="271"/>
      <c r="V35" s="276"/>
      <c r="W35" s="271"/>
      <c r="X35" s="271"/>
      <c r="Y35" s="24">
        <f>SUM(Y28:Y34)</f>
        <v>0</v>
      </c>
      <c r="Z35" s="24">
        <f>SUM(Z28:Z34)</f>
        <v>0</v>
      </c>
      <c r="AA35" s="609"/>
      <c r="AB35" s="609"/>
      <c r="AC35" s="24">
        <v>7</v>
      </c>
      <c r="AD35" s="24">
        <f>SUM(AD28:AD34)</f>
        <v>0</v>
      </c>
      <c r="AE35" s="15">
        <f t="shared" si="8"/>
        <v>-107.22709996912818</v>
      </c>
      <c r="AF35" s="270">
        <f t="shared" si="9"/>
        <v>0.95532204167952994</v>
      </c>
      <c r="AG35" s="619"/>
    </row>
    <row r="36" spans="1:33" ht="15.75" customHeight="1">
      <c r="A36" s="633" t="s">
        <v>83</v>
      </c>
      <c r="B36" s="33" t="s">
        <v>27</v>
      </c>
      <c r="C36" s="611" t="s">
        <v>33</v>
      </c>
      <c r="D36" s="611"/>
      <c r="E36" s="33">
        <v>26.18</v>
      </c>
      <c r="F36" s="278">
        <v>5155</v>
      </c>
      <c r="G36" s="271">
        <f t="shared" ref="G36:G41" si="27">E36*F36</f>
        <v>134957.9</v>
      </c>
      <c r="H36" s="29" t="s">
        <v>5</v>
      </c>
      <c r="I36" s="275">
        <v>20</v>
      </c>
      <c r="J36" s="30">
        <v>2400</v>
      </c>
      <c r="K36" s="13">
        <f t="shared" si="1"/>
        <v>120</v>
      </c>
      <c r="L36" s="275">
        <v>20</v>
      </c>
      <c r="M36" s="14">
        <f t="shared" ref="M36:M41" si="28">F36/V36*60</f>
        <v>2291.1111111111113</v>
      </c>
      <c r="N36" s="13">
        <f t="shared" si="3"/>
        <v>114.55555555555557</v>
      </c>
      <c r="O36" s="15">
        <f t="shared" si="4"/>
        <v>0</v>
      </c>
      <c r="P36" s="16">
        <f t="shared" si="5"/>
        <v>-5.4444444444444287</v>
      </c>
      <c r="Q36" s="270">
        <f t="shared" si="6"/>
        <v>0.95462962962962972</v>
      </c>
      <c r="R36" s="619">
        <f>Q42</f>
        <v>0.95428940401013895</v>
      </c>
      <c r="S36" s="31">
        <v>8.3333333333333329E-2</v>
      </c>
      <c r="T36" s="31">
        <v>0.17708333333333331</v>
      </c>
      <c r="U36" s="271"/>
      <c r="V36" s="276">
        <f t="shared" ref="V36:V41" si="29">(T36-S36)*24*60</f>
        <v>134.99999999999997</v>
      </c>
      <c r="W36" s="22">
        <f>T36</f>
        <v>0.17708333333333331</v>
      </c>
      <c r="X36" s="22">
        <f>S37</f>
        <v>0.19652777777777777</v>
      </c>
      <c r="Y36" s="22"/>
      <c r="Z36" s="22"/>
      <c r="AA36" s="610"/>
      <c r="AB36" s="610"/>
      <c r="AC36" s="19">
        <v>6</v>
      </c>
      <c r="AD36" s="19"/>
      <c r="AE36" s="15">
        <f t="shared" si="8"/>
        <v>-108.88888888888869</v>
      </c>
      <c r="AF36" s="270">
        <f t="shared" si="9"/>
        <v>0.95462962962962972</v>
      </c>
      <c r="AG36" s="619">
        <f>AF42</f>
        <v>0.95428940401013895</v>
      </c>
    </row>
    <row r="37" spans="1:33" ht="15.75" customHeight="1">
      <c r="A37" s="633" t="s">
        <v>1220</v>
      </c>
      <c r="B37" s="33" t="s">
        <v>27</v>
      </c>
      <c r="C37" s="611" t="s">
        <v>30</v>
      </c>
      <c r="D37" s="611"/>
      <c r="E37" s="33">
        <v>26.18</v>
      </c>
      <c r="F37" s="278">
        <v>7057</v>
      </c>
      <c r="G37" s="271">
        <f t="shared" si="27"/>
        <v>184752.26</v>
      </c>
      <c r="H37" s="29" t="s">
        <v>5</v>
      </c>
      <c r="I37" s="275">
        <v>18</v>
      </c>
      <c r="J37" s="30">
        <v>2400</v>
      </c>
      <c r="K37" s="13">
        <f t="shared" si="1"/>
        <v>133.33333333333334</v>
      </c>
      <c r="L37" s="275">
        <v>18</v>
      </c>
      <c r="M37" s="14">
        <f t="shared" si="28"/>
        <v>2288.7567567567562</v>
      </c>
      <c r="N37" s="13">
        <f t="shared" si="3"/>
        <v>127.15315315315313</v>
      </c>
      <c r="O37" s="15">
        <f t="shared" si="4"/>
        <v>0</v>
      </c>
      <c r="P37" s="16">
        <f t="shared" si="5"/>
        <v>-6.1801801801802156</v>
      </c>
      <c r="Q37" s="270">
        <f t="shared" si="6"/>
        <v>0.9536486486486484</v>
      </c>
      <c r="R37" s="619"/>
      <c r="S37" s="31">
        <v>0.19652777777777777</v>
      </c>
      <c r="T37" s="31">
        <v>0.32500000000000001</v>
      </c>
      <c r="U37" s="271">
        <f t="shared" ref="U37:U41" si="30">(S37-T36)*24*60</f>
        <v>28.000000000000021</v>
      </c>
      <c r="V37" s="276">
        <f t="shared" si="29"/>
        <v>185.00000000000003</v>
      </c>
      <c r="W37" s="271"/>
      <c r="X37" s="271"/>
      <c r="Y37" s="271"/>
      <c r="Z37" s="271"/>
      <c r="AA37" s="610"/>
      <c r="AB37" s="610"/>
      <c r="AC37" s="19"/>
      <c r="AD37" s="19"/>
      <c r="AE37" s="15">
        <f t="shared" si="8"/>
        <v>-111.2432432432438</v>
      </c>
      <c r="AF37" s="270">
        <f t="shared" si="9"/>
        <v>0.9536486486486484</v>
      </c>
      <c r="AG37" s="619"/>
    </row>
    <row r="38" spans="1:33">
      <c r="A38" s="634" t="s">
        <v>83</v>
      </c>
      <c r="B38" s="33" t="s">
        <v>27</v>
      </c>
      <c r="C38" s="611" t="s">
        <v>35</v>
      </c>
      <c r="D38" s="611"/>
      <c r="E38" s="33">
        <v>34.1</v>
      </c>
      <c r="F38" s="278">
        <v>2800</v>
      </c>
      <c r="G38" s="271">
        <f t="shared" si="27"/>
        <v>95480</v>
      </c>
      <c r="H38" s="29">
        <v>2</v>
      </c>
      <c r="I38" s="275">
        <v>17</v>
      </c>
      <c r="J38" s="30">
        <v>1600</v>
      </c>
      <c r="K38" s="13">
        <f t="shared" si="1"/>
        <v>94.117647058823536</v>
      </c>
      <c r="L38" s="275">
        <v>17</v>
      </c>
      <c r="M38" s="14">
        <f t="shared" si="28"/>
        <v>1527.272727272727</v>
      </c>
      <c r="N38" s="13">
        <f t="shared" si="3"/>
        <v>89.839572192513359</v>
      </c>
      <c r="O38" s="15">
        <f t="shared" si="4"/>
        <v>0</v>
      </c>
      <c r="P38" s="16">
        <f t="shared" si="5"/>
        <v>-4.2780748663101775</v>
      </c>
      <c r="Q38" s="270">
        <f t="shared" si="6"/>
        <v>0.95454545454545436</v>
      </c>
      <c r="R38" s="619"/>
      <c r="S38" s="31">
        <v>0.33055555555555555</v>
      </c>
      <c r="T38" s="31">
        <v>0.40694444444444444</v>
      </c>
      <c r="U38" s="271">
        <f t="shared" si="30"/>
        <v>7.9999999999999716</v>
      </c>
      <c r="V38" s="276">
        <f t="shared" si="29"/>
        <v>110.00000000000001</v>
      </c>
      <c r="W38" s="271"/>
      <c r="X38" s="271"/>
      <c r="Y38" s="271"/>
      <c r="Z38" s="271"/>
      <c r="AA38" s="610"/>
      <c r="AB38" s="610"/>
      <c r="AC38" s="19"/>
      <c r="AD38" s="19"/>
      <c r="AE38" s="15">
        <f t="shared" si="8"/>
        <v>-72.727272727272975</v>
      </c>
      <c r="AF38" s="270">
        <f t="shared" si="9"/>
        <v>0.95454545454545436</v>
      </c>
      <c r="AG38" s="619"/>
    </row>
    <row r="39" spans="1:33">
      <c r="A39" s="634" t="s">
        <v>1220</v>
      </c>
      <c r="B39" s="33" t="s">
        <v>27</v>
      </c>
      <c r="C39" s="611" t="s">
        <v>54</v>
      </c>
      <c r="D39" s="611"/>
      <c r="E39" s="33">
        <v>24.25</v>
      </c>
      <c r="F39" s="278">
        <v>1445</v>
      </c>
      <c r="G39" s="271">
        <f t="shared" si="27"/>
        <v>35041.25</v>
      </c>
      <c r="H39" s="29" t="s">
        <v>5</v>
      </c>
      <c r="I39" s="275">
        <v>16</v>
      </c>
      <c r="J39" s="30">
        <v>2400</v>
      </c>
      <c r="K39" s="13">
        <f t="shared" si="1"/>
        <v>150</v>
      </c>
      <c r="L39" s="275">
        <v>16</v>
      </c>
      <c r="M39" s="14">
        <f t="shared" si="28"/>
        <v>2281.5789473684194</v>
      </c>
      <c r="N39" s="13">
        <f t="shared" si="3"/>
        <v>142.59868421052622</v>
      </c>
      <c r="O39" s="15">
        <f t="shared" si="4"/>
        <v>0</v>
      </c>
      <c r="P39" s="16">
        <f t="shared" si="5"/>
        <v>-7.4013157894737844</v>
      </c>
      <c r="Q39" s="270">
        <f t="shared" si="6"/>
        <v>0.95065789473684148</v>
      </c>
      <c r="R39" s="619"/>
      <c r="S39" s="31">
        <v>0.41041666666666665</v>
      </c>
      <c r="T39" s="31">
        <v>0.43680555555555556</v>
      </c>
      <c r="U39" s="271">
        <f t="shared" si="30"/>
        <v>4.9999999999999822</v>
      </c>
      <c r="V39" s="276">
        <f t="shared" si="29"/>
        <v>38.000000000000028</v>
      </c>
      <c r="W39" s="17"/>
      <c r="X39" s="17"/>
      <c r="Y39" s="17"/>
      <c r="Z39" s="17"/>
      <c r="AA39" s="610"/>
      <c r="AB39" s="610"/>
      <c r="AC39" s="19"/>
      <c r="AD39" s="19"/>
      <c r="AE39" s="15">
        <f t="shared" si="8"/>
        <v>-118.42105263158055</v>
      </c>
      <c r="AF39" s="270">
        <f t="shared" si="9"/>
        <v>0.95065789473684148</v>
      </c>
      <c r="AG39" s="619"/>
    </row>
    <row r="40" spans="1:33">
      <c r="A40" s="634" t="s">
        <v>83</v>
      </c>
      <c r="B40" s="33" t="s">
        <v>27</v>
      </c>
      <c r="C40" s="611" t="s">
        <v>32</v>
      </c>
      <c r="D40" s="611"/>
      <c r="E40" s="33">
        <v>25.99</v>
      </c>
      <c r="F40" s="278">
        <v>3140</v>
      </c>
      <c r="G40" s="271">
        <f t="shared" si="27"/>
        <v>81608.599999999991</v>
      </c>
      <c r="H40" s="29" t="s">
        <v>5</v>
      </c>
      <c r="I40" s="275">
        <v>14</v>
      </c>
      <c r="J40" s="30">
        <v>2400</v>
      </c>
      <c r="K40" s="13">
        <f t="shared" si="1"/>
        <v>171.42857142857142</v>
      </c>
      <c r="L40" s="275">
        <v>14</v>
      </c>
      <c r="M40" s="14">
        <f t="shared" si="28"/>
        <v>2297.5609756097556</v>
      </c>
      <c r="N40" s="13">
        <f t="shared" si="3"/>
        <v>164.11149825783968</v>
      </c>
      <c r="O40" s="15">
        <f t="shared" si="4"/>
        <v>0</v>
      </c>
      <c r="P40" s="16">
        <f t="shared" si="5"/>
        <v>-7.3170731707317316</v>
      </c>
      <c r="Q40" s="270">
        <f t="shared" si="6"/>
        <v>0.95731707317073156</v>
      </c>
      <c r="R40" s="619"/>
      <c r="S40" s="31">
        <v>0.44097222222222221</v>
      </c>
      <c r="T40" s="31">
        <v>0.49791666666666667</v>
      </c>
      <c r="U40" s="271">
        <f t="shared" si="30"/>
        <v>5.9999999999999787</v>
      </c>
      <c r="V40" s="276">
        <f t="shared" si="29"/>
        <v>82.000000000000028</v>
      </c>
      <c r="W40" s="17">
        <f>T40</f>
        <v>0.49791666666666667</v>
      </c>
      <c r="X40" s="17">
        <f>S41</f>
        <v>0.54027777777777775</v>
      </c>
      <c r="Y40" s="17"/>
      <c r="Z40" s="17"/>
      <c r="AA40" s="610"/>
      <c r="AB40" s="610"/>
      <c r="AC40" s="19"/>
      <c r="AD40" s="19"/>
      <c r="AE40" s="15">
        <f t="shared" si="8"/>
        <v>-102.43902439024441</v>
      </c>
      <c r="AF40" s="270">
        <f t="shared" si="9"/>
        <v>0.95731707317073145</v>
      </c>
      <c r="AG40" s="619"/>
    </row>
    <row r="41" spans="1:33">
      <c r="A41" s="634" t="s">
        <v>83</v>
      </c>
      <c r="B41" s="33" t="s">
        <v>27</v>
      </c>
      <c r="C41" s="611" t="s">
        <v>35</v>
      </c>
      <c r="D41" s="611"/>
      <c r="E41" s="33">
        <v>34.1</v>
      </c>
      <c r="F41" s="278">
        <v>2777</v>
      </c>
      <c r="G41" s="271">
        <f t="shared" si="27"/>
        <v>94695.7</v>
      </c>
      <c r="H41" s="29" t="s">
        <v>5</v>
      </c>
      <c r="I41" s="275">
        <v>17</v>
      </c>
      <c r="J41" s="30">
        <v>1600</v>
      </c>
      <c r="K41" s="13">
        <f t="shared" si="1"/>
        <v>94.117647058823536</v>
      </c>
      <c r="L41" s="275">
        <v>17</v>
      </c>
      <c r="M41" s="14">
        <f t="shared" si="28"/>
        <v>1528.6238532110103</v>
      </c>
      <c r="N41" s="13">
        <f t="shared" si="3"/>
        <v>89.919050188882963</v>
      </c>
      <c r="O41" s="15">
        <f t="shared" si="4"/>
        <v>0</v>
      </c>
      <c r="P41" s="16">
        <f t="shared" si="5"/>
        <v>-4.1985968699405731</v>
      </c>
      <c r="Q41" s="270">
        <f t="shared" si="6"/>
        <v>0.95538990825688141</v>
      </c>
      <c r="R41" s="619"/>
      <c r="S41" s="31">
        <v>0.54027777777777775</v>
      </c>
      <c r="T41" s="31">
        <v>0.61597222222222214</v>
      </c>
      <c r="U41" s="271">
        <f t="shared" si="30"/>
        <v>60.999999999999943</v>
      </c>
      <c r="V41" s="276">
        <f t="shared" si="29"/>
        <v>108.99999999999993</v>
      </c>
      <c r="W41" s="17"/>
      <c r="X41" s="17"/>
      <c r="Y41" s="17"/>
      <c r="Z41" s="17"/>
      <c r="AA41" s="610"/>
      <c r="AB41" s="610"/>
      <c r="AC41" s="19"/>
      <c r="AD41" s="19"/>
      <c r="AE41" s="15">
        <f t="shared" si="8"/>
        <v>-71.376146788989672</v>
      </c>
      <c r="AF41" s="270">
        <f t="shared" si="9"/>
        <v>0.95538990825688141</v>
      </c>
      <c r="AG41" s="619"/>
    </row>
    <row r="42" spans="1:33">
      <c r="A42" s="634" t="s">
        <v>1220</v>
      </c>
      <c r="B42" s="34" t="s">
        <v>80</v>
      </c>
      <c r="C42" s="620"/>
      <c r="D42" s="620"/>
      <c r="E42" s="274"/>
      <c r="F42" s="34"/>
      <c r="G42" s="13"/>
      <c r="H42" s="278"/>
      <c r="I42" s="23">
        <v>17</v>
      </c>
      <c r="J42" s="30">
        <v>2133.3333333333335</v>
      </c>
      <c r="K42" s="13">
        <f t="shared" si="1"/>
        <v>125.49019607843138</v>
      </c>
      <c r="L42" s="23">
        <v>17</v>
      </c>
      <c r="M42" s="14">
        <f>AVERAGE(M36:M41)</f>
        <v>2035.81739522163</v>
      </c>
      <c r="N42" s="13">
        <f t="shared" si="3"/>
        <v>119.75396442480177</v>
      </c>
      <c r="O42" s="15">
        <f t="shared" si="4"/>
        <v>0</v>
      </c>
      <c r="P42" s="16">
        <f t="shared" si="5"/>
        <v>-5.7362316536296163</v>
      </c>
      <c r="Q42" s="270">
        <f t="shared" si="6"/>
        <v>0.95428940401013895</v>
      </c>
      <c r="R42" s="619"/>
      <c r="S42" s="31"/>
      <c r="T42" s="31"/>
      <c r="U42" s="13"/>
      <c r="V42" s="276"/>
      <c r="W42" s="13"/>
      <c r="X42" s="13"/>
      <c r="Y42" s="24">
        <f>SUM(Y36:Y41)</f>
        <v>0</v>
      </c>
      <c r="Z42" s="24">
        <f>SUM(Z36:Z41)</f>
        <v>0</v>
      </c>
      <c r="AA42" s="609"/>
      <c r="AB42" s="609"/>
      <c r="AC42" s="24">
        <v>6</v>
      </c>
      <c r="AD42" s="24">
        <f>SUM(AD36:AD41)</f>
        <v>0</v>
      </c>
      <c r="AE42" s="15">
        <f t="shared" si="8"/>
        <v>-97.515938111703463</v>
      </c>
      <c r="AF42" s="270">
        <f t="shared" si="9"/>
        <v>0.95428940401013895</v>
      </c>
      <c r="AG42" s="619"/>
    </row>
    <row r="43" spans="1:33" ht="15.75" customHeight="1">
      <c r="A43" s="630" t="s">
        <v>1221</v>
      </c>
      <c r="B43" s="33" t="s">
        <v>36</v>
      </c>
      <c r="C43" s="612" t="s">
        <v>37</v>
      </c>
      <c r="D43" s="613"/>
      <c r="E43" s="33">
        <v>21.13</v>
      </c>
      <c r="F43" s="278">
        <v>5059</v>
      </c>
      <c r="G43" s="271">
        <f t="shared" ref="G43:G45" si="31">E43*F43</f>
        <v>106896.67</v>
      </c>
      <c r="H43" s="29" t="s">
        <v>5</v>
      </c>
      <c r="I43" s="275">
        <v>10</v>
      </c>
      <c r="J43" s="30">
        <v>3000</v>
      </c>
      <c r="K43" s="13">
        <f t="shared" si="1"/>
        <v>300</v>
      </c>
      <c r="L43" s="275">
        <v>10</v>
      </c>
      <c r="M43" s="14">
        <f t="shared" ref="M43:M45" si="32">F43/V43*60</f>
        <v>2863.5849056603779</v>
      </c>
      <c r="N43" s="14">
        <f t="shared" si="3"/>
        <v>286.3584905660378</v>
      </c>
      <c r="O43" s="15">
        <f t="shared" si="4"/>
        <v>0</v>
      </c>
      <c r="P43" s="16">
        <f t="shared" si="5"/>
        <v>-13.641509433962199</v>
      </c>
      <c r="Q43" s="270">
        <f t="shared" si="6"/>
        <v>0.95452830188679272</v>
      </c>
      <c r="R43" s="625">
        <f>Q46</f>
        <v>0.96590719306590567</v>
      </c>
      <c r="S43" s="31">
        <v>0.20833333333333334</v>
      </c>
      <c r="T43" s="31">
        <v>0.28194444444444444</v>
      </c>
      <c r="U43" s="22"/>
      <c r="V43" s="276">
        <f t="shared" ref="V43:V45" si="33">(T43-S43)*24*60</f>
        <v>105.99999999999999</v>
      </c>
      <c r="W43" s="17"/>
      <c r="X43" s="17"/>
      <c r="Y43" s="20"/>
      <c r="Z43" s="20"/>
      <c r="AA43" s="614"/>
      <c r="AB43" s="615"/>
      <c r="AC43" s="19">
        <v>3</v>
      </c>
      <c r="AD43" s="19"/>
      <c r="AE43" s="15">
        <f t="shared" si="8"/>
        <v>-136.4150943396221</v>
      </c>
      <c r="AF43" s="270">
        <f t="shared" si="9"/>
        <v>0.95452830188679261</v>
      </c>
      <c r="AG43" s="625">
        <f>AF46</f>
        <v>0.96590719306590578</v>
      </c>
    </row>
    <row r="44" spans="1:33" ht="15.75" customHeight="1">
      <c r="A44" s="631" t="s">
        <v>198</v>
      </c>
      <c r="B44" s="33" t="s">
        <v>36</v>
      </c>
      <c r="C44" s="612" t="s">
        <v>38</v>
      </c>
      <c r="D44" s="613"/>
      <c r="E44" s="33">
        <v>27.17</v>
      </c>
      <c r="F44" s="278">
        <v>5697</v>
      </c>
      <c r="G44" s="271">
        <f t="shared" si="31"/>
        <v>154787.49000000002</v>
      </c>
      <c r="H44" s="29" t="s">
        <v>5</v>
      </c>
      <c r="I44" s="275">
        <v>10</v>
      </c>
      <c r="J44" s="30">
        <v>3000</v>
      </c>
      <c r="K44" s="13">
        <f t="shared" si="1"/>
        <v>300</v>
      </c>
      <c r="L44" s="275">
        <v>10</v>
      </c>
      <c r="M44" s="14">
        <f t="shared" si="32"/>
        <v>2872.4369747899168</v>
      </c>
      <c r="N44" s="14">
        <f t="shared" si="3"/>
        <v>287.24369747899169</v>
      </c>
      <c r="O44" s="15">
        <f t="shared" si="4"/>
        <v>0</v>
      </c>
      <c r="P44" s="16">
        <f t="shared" si="5"/>
        <v>-12.756302521008308</v>
      </c>
      <c r="Q44" s="270">
        <f t="shared" si="6"/>
        <v>0.95747899159663896</v>
      </c>
      <c r="R44" s="626"/>
      <c r="S44" s="31">
        <v>0.28749999999999998</v>
      </c>
      <c r="T44" s="31">
        <v>0.37013888888888885</v>
      </c>
      <c r="U44" s="271">
        <f t="shared" ref="U44:U45" si="34">(S44-T43)*24*60</f>
        <v>7.9999999999999716</v>
      </c>
      <c r="V44" s="276">
        <f t="shared" si="33"/>
        <v>118.99999999999997</v>
      </c>
      <c r="W44" s="17"/>
      <c r="X44" s="17"/>
      <c r="Y44" s="20"/>
      <c r="Z44" s="20"/>
      <c r="AA44" s="614"/>
      <c r="AB44" s="615"/>
      <c r="AC44" s="19"/>
      <c r="AD44" s="19"/>
      <c r="AE44" s="15">
        <f t="shared" si="8"/>
        <v>-127.5630252100832</v>
      </c>
      <c r="AF44" s="270">
        <f t="shared" si="9"/>
        <v>0.95747899159663896</v>
      </c>
      <c r="AG44" s="626"/>
    </row>
    <row r="45" spans="1:33" ht="15.75" customHeight="1">
      <c r="A45" s="631" t="s">
        <v>198</v>
      </c>
      <c r="B45" s="33" t="s">
        <v>36</v>
      </c>
      <c r="C45" s="612" t="s">
        <v>39</v>
      </c>
      <c r="D45" s="613"/>
      <c r="E45" s="33">
        <v>35.869999999999997</v>
      </c>
      <c r="F45" s="278">
        <v>1035</v>
      </c>
      <c r="G45" s="271">
        <f t="shared" si="31"/>
        <v>37125.449999999997</v>
      </c>
      <c r="H45" s="29" t="s">
        <v>5</v>
      </c>
      <c r="I45" s="275">
        <v>9</v>
      </c>
      <c r="J45" s="30">
        <v>3000</v>
      </c>
      <c r="K45" s="13">
        <f t="shared" si="1"/>
        <v>333.33333333333331</v>
      </c>
      <c r="L45" s="275">
        <v>9</v>
      </c>
      <c r="M45" s="14">
        <f t="shared" si="32"/>
        <v>2957.1428571428564</v>
      </c>
      <c r="N45" s="14">
        <f t="shared" si="3"/>
        <v>328.5714285714285</v>
      </c>
      <c r="O45" s="15">
        <f t="shared" si="4"/>
        <v>0</v>
      </c>
      <c r="P45" s="16">
        <f t="shared" si="5"/>
        <v>-4.761904761904816</v>
      </c>
      <c r="Q45" s="270">
        <f t="shared" si="6"/>
        <v>0.98571428571428554</v>
      </c>
      <c r="R45" s="626"/>
      <c r="S45" s="31">
        <v>0.3743055555555555</v>
      </c>
      <c r="T45" s="31">
        <v>0.38888888888888884</v>
      </c>
      <c r="U45" s="271">
        <f t="shared" si="34"/>
        <v>5.9999999999999787</v>
      </c>
      <c r="V45" s="276">
        <f t="shared" si="33"/>
        <v>21.000000000000007</v>
      </c>
      <c r="W45" s="17"/>
      <c r="X45" s="17"/>
      <c r="Y45" s="20"/>
      <c r="Z45" s="20"/>
      <c r="AA45" s="614"/>
      <c r="AB45" s="615"/>
      <c r="AC45" s="19"/>
      <c r="AD45" s="19"/>
      <c r="AE45" s="15">
        <f t="shared" si="8"/>
        <v>-42.857142857143572</v>
      </c>
      <c r="AF45" s="270">
        <f t="shared" si="9"/>
        <v>0.98571428571428543</v>
      </c>
      <c r="AG45" s="626"/>
    </row>
    <row r="46" spans="1:33" ht="15.75" customHeight="1">
      <c r="A46" s="632" t="s">
        <v>198</v>
      </c>
      <c r="B46" s="33" t="s">
        <v>80</v>
      </c>
      <c r="C46" s="607"/>
      <c r="D46" s="608"/>
      <c r="E46" s="266"/>
      <c r="F46" s="278"/>
      <c r="G46" s="271"/>
      <c r="H46" s="278"/>
      <c r="I46" s="23">
        <v>9.6666666666666661</v>
      </c>
      <c r="J46" s="30">
        <v>3000</v>
      </c>
      <c r="K46" s="13">
        <f t="shared" si="1"/>
        <v>310.34482758620692</v>
      </c>
      <c r="L46" s="23">
        <v>9.6666666666666661</v>
      </c>
      <c r="M46" s="14">
        <f>AVERAGE(M43:M45)</f>
        <v>2897.7215791977173</v>
      </c>
      <c r="N46" s="13">
        <f t="shared" si="3"/>
        <v>299.76430129631558</v>
      </c>
      <c r="O46" s="15">
        <f t="shared" si="4"/>
        <v>0</v>
      </c>
      <c r="P46" s="16">
        <f t="shared" si="5"/>
        <v>-10.580526289891338</v>
      </c>
      <c r="Q46" s="270">
        <f t="shared" si="6"/>
        <v>0.96590719306590567</v>
      </c>
      <c r="R46" s="627"/>
      <c r="S46" s="31"/>
      <c r="T46" s="31"/>
      <c r="U46" s="271"/>
      <c r="V46" s="276"/>
      <c r="W46" s="17"/>
      <c r="X46" s="17"/>
      <c r="Y46" s="24">
        <f>SUM(Y43:Y45)</f>
        <v>0</v>
      </c>
      <c r="Z46" s="24">
        <f>SUM(Z43:Z45)</f>
        <v>0</v>
      </c>
      <c r="AA46" s="628"/>
      <c r="AB46" s="629"/>
      <c r="AC46" s="24">
        <v>3</v>
      </c>
      <c r="AD46" s="24">
        <f>SUM(AD43:AD45)</f>
        <v>0</v>
      </c>
      <c r="AE46" s="15">
        <f t="shared" si="8"/>
        <v>-102.27842080228265</v>
      </c>
      <c r="AF46" s="270">
        <f t="shared" si="9"/>
        <v>0.96590719306590578</v>
      </c>
      <c r="AG46" s="627"/>
    </row>
    <row r="47" spans="1:33" ht="15.75" customHeight="1">
      <c r="A47" s="623" t="s">
        <v>1222</v>
      </c>
      <c r="B47" s="33" t="s">
        <v>6</v>
      </c>
      <c r="C47" s="611" t="s">
        <v>41</v>
      </c>
      <c r="D47" s="611"/>
      <c r="E47" s="33">
        <v>51.44</v>
      </c>
      <c r="F47" s="35">
        <v>1107</v>
      </c>
      <c r="G47" s="271">
        <f t="shared" ref="G47:G54" si="35">E47*F47</f>
        <v>56944.079999999994</v>
      </c>
      <c r="H47" s="29" t="s">
        <v>5</v>
      </c>
      <c r="I47" s="275">
        <v>25</v>
      </c>
      <c r="J47" s="30">
        <v>2000</v>
      </c>
      <c r="K47" s="13">
        <f t="shared" si="1"/>
        <v>80</v>
      </c>
      <c r="L47" s="275">
        <v>25</v>
      </c>
      <c r="M47" s="14">
        <f t="shared" ref="M47" si="36">F47/V47*60</f>
        <v>1953.5294117647061</v>
      </c>
      <c r="N47" s="14">
        <f t="shared" si="3"/>
        <v>78.141176470588249</v>
      </c>
      <c r="O47" s="15">
        <f t="shared" si="4"/>
        <v>0</v>
      </c>
      <c r="P47" s="16">
        <f t="shared" si="5"/>
        <v>-1.858823529411751</v>
      </c>
      <c r="Q47" s="270">
        <f t="shared" si="6"/>
        <v>0.97676470588235309</v>
      </c>
      <c r="R47" s="619">
        <f>Q55</f>
        <v>0.96109372909465485</v>
      </c>
      <c r="S47" s="31">
        <v>0.20833333333333334</v>
      </c>
      <c r="T47" s="31">
        <v>0.23194444444444445</v>
      </c>
      <c r="U47" s="22"/>
      <c r="V47" s="276">
        <f t="shared" ref="V47:V54" si="37">(T47-S47)*24*60</f>
        <v>34</v>
      </c>
      <c r="W47" s="17"/>
      <c r="X47" s="17"/>
      <c r="Y47" s="22"/>
      <c r="Z47" s="22"/>
      <c r="AA47" s="610"/>
      <c r="AB47" s="610"/>
      <c r="AC47" s="19">
        <v>8</v>
      </c>
      <c r="AD47" s="19"/>
      <c r="AE47" s="15">
        <f t="shared" si="8"/>
        <v>-46.470588235293917</v>
      </c>
      <c r="AF47" s="270">
        <f t="shared" si="9"/>
        <v>0.97676470588235309</v>
      </c>
      <c r="AG47" s="619">
        <f>AF55</f>
        <v>0.96109372909465496</v>
      </c>
    </row>
    <row r="48" spans="1:33" ht="15.75" customHeight="1">
      <c r="A48" s="623" t="s">
        <v>297</v>
      </c>
      <c r="B48" s="33" t="s">
        <v>6</v>
      </c>
      <c r="C48" s="611" t="s">
        <v>77</v>
      </c>
      <c r="D48" s="611"/>
      <c r="E48" s="33">
        <v>56.43</v>
      </c>
      <c r="F48" s="35">
        <v>1356</v>
      </c>
      <c r="G48" s="271">
        <f t="shared" si="35"/>
        <v>76519.08</v>
      </c>
      <c r="H48" s="29" t="s">
        <v>5</v>
      </c>
      <c r="I48" s="275">
        <v>23</v>
      </c>
      <c r="J48" s="30">
        <v>2000</v>
      </c>
      <c r="K48" s="13">
        <f t="shared" si="1"/>
        <v>86.956521739130437</v>
      </c>
      <c r="L48" s="275">
        <v>23</v>
      </c>
      <c r="M48" s="14">
        <f>F48/V48*60</f>
        <v>1937.1428571428582</v>
      </c>
      <c r="N48" s="14">
        <f t="shared" si="3"/>
        <v>84.223602484472096</v>
      </c>
      <c r="O48" s="15">
        <f t="shared" si="4"/>
        <v>0</v>
      </c>
      <c r="P48" s="16">
        <f t="shared" si="5"/>
        <v>-2.7329192546583414</v>
      </c>
      <c r="Q48" s="270">
        <f t="shared" si="6"/>
        <v>0.96857142857142908</v>
      </c>
      <c r="R48" s="619"/>
      <c r="S48" s="31">
        <v>0.23611111111111113</v>
      </c>
      <c r="T48" s="31">
        <v>0.26527777777777778</v>
      </c>
      <c r="U48" s="271">
        <f t="shared" ref="U48:U54" si="38">IF(S48=TIME(17,0,0),"",(S48-T47)*24*60)</f>
        <v>6.0000000000000187</v>
      </c>
      <c r="V48" s="276">
        <f t="shared" si="37"/>
        <v>41.999999999999972</v>
      </c>
      <c r="W48" s="17"/>
      <c r="X48" s="17"/>
      <c r="Y48" s="17"/>
      <c r="Z48" s="17"/>
      <c r="AA48" s="610"/>
      <c r="AB48" s="610"/>
      <c r="AC48" s="19"/>
      <c r="AD48" s="19"/>
      <c r="AE48" s="15">
        <f t="shared" si="8"/>
        <v>-62.857142857141753</v>
      </c>
      <c r="AF48" s="270">
        <f t="shared" si="9"/>
        <v>0.96857142857142908</v>
      </c>
      <c r="AG48" s="619"/>
    </row>
    <row r="49" spans="1:33" ht="15.75" customHeight="1">
      <c r="A49" s="623" t="s">
        <v>297</v>
      </c>
      <c r="B49" s="33" t="s">
        <v>6</v>
      </c>
      <c r="C49" s="612" t="s">
        <v>73</v>
      </c>
      <c r="D49" s="613"/>
      <c r="E49" s="33">
        <v>56.43</v>
      </c>
      <c r="F49" s="35">
        <v>1119</v>
      </c>
      <c r="G49" s="271">
        <f t="shared" si="35"/>
        <v>63145.17</v>
      </c>
      <c r="H49" s="29" t="s">
        <v>5</v>
      </c>
      <c r="I49" s="275">
        <v>25</v>
      </c>
      <c r="J49" s="30">
        <v>2000</v>
      </c>
      <c r="K49" s="13">
        <f t="shared" si="1"/>
        <v>80</v>
      </c>
      <c r="L49" s="275">
        <v>25</v>
      </c>
      <c r="M49" s="14">
        <f t="shared" ref="M49:M54" si="39">F49/V49*60</f>
        <v>1918.2857142857124</v>
      </c>
      <c r="N49" s="14">
        <f t="shared" si="3"/>
        <v>76.731428571428495</v>
      </c>
      <c r="O49" s="15">
        <f t="shared" si="4"/>
        <v>0</v>
      </c>
      <c r="P49" s="16">
        <f t="shared" si="5"/>
        <v>-3.2685714285715051</v>
      </c>
      <c r="Q49" s="270">
        <f t="shared" si="6"/>
        <v>0.95914285714285619</v>
      </c>
      <c r="R49" s="619"/>
      <c r="S49" s="31">
        <v>0.27083333333333331</v>
      </c>
      <c r="T49" s="31">
        <v>0.2951388888888889</v>
      </c>
      <c r="U49" s="271">
        <f t="shared" si="38"/>
        <v>7.9999999999999716</v>
      </c>
      <c r="V49" s="276">
        <f t="shared" si="37"/>
        <v>35.000000000000036</v>
      </c>
      <c r="W49" s="17"/>
      <c r="X49" s="17"/>
      <c r="Y49" s="20"/>
      <c r="Z49" s="20"/>
      <c r="AA49" s="610"/>
      <c r="AB49" s="610"/>
      <c r="AC49" s="19"/>
      <c r="AD49" s="19"/>
      <c r="AE49" s="15">
        <f t="shared" si="8"/>
        <v>-81.714285714287598</v>
      </c>
      <c r="AF49" s="270">
        <f t="shared" si="9"/>
        <v>0.95914285714285619</v>
      </c>
      <c r="AG49" s="619"/>
    </row>
    <row r="50" spans="1:33" ht="15.75" customHeight="1">
      <c r="A50" s="623" t="s">
        <v>297</v>
      </c>
      <c r="B50" s="33" t="s">
        <v>10</v>
      </c>
      <c r="C50" s="272" t="s">
        <v>42</v>
      </c>
      <c r="D50" s="273"/>
      <c r="E50" s="33">
        <v>46</v>
      </c>
      <c r="F50" s="35">
        <v>922</v>
      </c>
      <c r="G50" s="271">
        <f t="shared" si="35"/>
        <v>42412</v>
      </c>
      <c r="H50" s="29" t="s">
        <v>5</v>
      </c>
      <c r="I50" s="275">
        <v>16</v>
      </c>
      <c r="J50" s="30">
        <v>2000</v>
      </c>
      <c r="K50" s="13">
        <f t="shared" si="1"/>
        <v>125</v>
      </c>
      <c r="L50" s="275">
        <v>16</v>
      </c>
      <c r="M50" s="14">
        <f t="shared" si="39"/>
        <v>1907.5862068965532</v>
      </c>
      <c r="N50" s="14">
        <f t="shared" si="3"/>
        <v>119.22413793103458</v>
      </c>
      <c r="O50" s="15">
        <f t="shared" si="4"/>
        <v>0</v>
      </c>
      <c r="P50" s="16">
        <f t="shared" si="5"/>
        <v>-5.7758620689654236</v>
      </c>
      <c r="Q50" s="270">
        <f t="shared" si="6"/>
        <v>0.95379310344827661</v>
      </c>
      <c r="R50" s="619"/>
      <c r="S50" s="31">
        <v>0.29930555555555555</v>
      </c>
      <c r="T50" s="31">
        <v>0.31944444444444442</v>
      </c>
      <c r="U50" s="271">
        <f t="shared" si="38"/>
        <v>5.9999999999999787</v>
      </c>
      <c r="V50" s="276">
        <f t="shared" si="37"/>
        <v>28.999999999999979</v>
      </c>
      <c r="W50" s="17"/>
      <c r="X50" s="17"/>
      <c r="Y50" s="20"/>
      <c r="Z50" s="20"/>
      <c r="AA50" s="610"/>
      <c r="AB50" s="610"/>
      <c r="AC50" s="19"/>
      <c r="AD50" s="19"/>
      <c r="AE50" s="15">
        <f t="shared" si="8"/>
        <v>-92.413793103446778</v>
      </c>
      <c r="AF50" s="270">
        <f t="shared" si="9"/>
        <v>0.95379310344827661</v>
      </c>
      <c r="AG50" s="619"/>
    </row>
    <row r="51" spans="1:33" ht="15.75" customHeight="1">
      <c r="A51" s="623" t="s">
        <v>297</v>
      </c>
      <c r="B51" s="33" t="s">
        <v>10</v>
      </c>
      <c r="C51" s="272" t="s">
        <v>43</v>
      </c>
      <c r="D51" s="273"/>
      <c r="E51" s="33">
        <v>46</v>
      </c>
      <c r="F51" s="35">
        <v>1084</v>
      </c>
      <c r="G51" s="271">
        <f t="shared" si="35"/>
        <v>49864</v>
      </c>
      <c r="H51" s="29" t="s">
        <v>5</v>
      </c>
      <c r="I51" s="275">
        <v>17</v>
      </c>
      <c r="J51" s="30">
        <v>2000</v>
      </c>
      <c r="K51" s="13">
        <f t="shared" si="1"/>
        <v>117.64705882352941</v>
      </c>
      <c r="L51" s="275">
        <v>17</v>
      </c>
      <c r="M51" s="14">
        <f t="shared" si="39"/>
        <v>1912.941176470586</v>
      </c>
      <c r="N51" s="14">
        <f t="shared" si="3"/>
        <v>112.52595155709329</v>
      </c>
      <c r="O51" s="15">
        <f t="shared" si="4"/>
        <v>0</v>
      </c>
      <c r="P51" s="16">
        <f t="shared" si="5"/>
        <v>-5.1211072664361126</v>
      </c>
      <c r="Q51" s="270">
        <f t="shared" si="6"/>
        <v>0.95647058823529307</v>
      </c>
      <c r="R51" s="619"/>
      <c r="S51" s="31">
        <v>0.32499999999999996</v>
      </c>
      <c r="T51" s="31">
        <v>0.34861111111111109</v>
      </c>
      <c r="U51" s="271">
        <f t="shared" si="38"/>
        <v>7.9999999999999716</v>
      </c>
      <c r="V51" s="276">
        <f t="shared" si="37"/>
        <v>34.000000000000043</v>
      </c>
      <c r="W51" s="17"/>
      <c r="X51" s="17"/>
      <c r="Y51" s="20"/>
      <c r="Z51" s="20"/>
      <c r="AA51" s="610"/>
      <c r="AB51" s="610"/>
      <c r="AC51" s="19"/>
      <c r="AD51" s="19"/>
      <c r="AE51" s="15">
        <f t="shared" si="8"/>
        <v>-87.058823529413985</v>
      </c>
      <c r="AF51" s="270">
        <f t="shared" si="9"/>
        <v>0.95647058823529296</v>
      </c>
      <c r="AG51" s="619"/>
    </row>
    <row r="52" spans="1:33" ht="15.75" customHeight="1">
      <c r="A52" s="623" t="s">
        <v>297</v>
      </c>
      <c r="B52" s="33" t="s">
        <v>6</v>
      </c>
      <c r="C52" s="612" t="s">
        <v>44</v>
      </c>
      <c r="D52" s="613"/>
      <c r="E52" s="33">
        <v>55.56</v>
      </c>
      <c r="F52" s="35">
        <v>2650</v>
      </c>
      <c r="G52" s="271">
        <f t="shared" si="35"/>
        <v>147234</v>
      </c>
      <c r="H52" s="29" t="s">
        <v>5</v>
      </c>
      <c r="I52" s="275">
        <v>17</v>
      </c>
      <c r="J52" s="30">
        <v>2000</v>
      </c>
      <c r="K52" s="13">
        <f t="shared" si="1"/>
        <v>117.64705882352941</v>
      </c>
      <c r="L52" s="275">
        <v>17</v>
      </c>
      <c r="M52" s="14">
        <f t="shared" si="39"/>
        <v>1915.662650602409</v>
      </c>
      <c r="N52" s="14">
        <f t="shared" si="3"/>
        <v>112.68603827072994</v>
      </c>
      <c r="O52" s="15">
        <f t="shared" si="4"/>
        <v>0</v>
      </c>
      <c r="P52" s="16">
        <f t="shared" si="5"/>
        <v>-4.961020552799468</v>
      </c>
      <c r="Q52" s="270">
        <f t="shared" si="6"/>
        <v>0.95783132530120452</v>
      </c>
      <c r="R52" s="619"/>
      <c r="S52" s="31">
        <v>0.70833333333333337</v>
      </c>
      <c r="T52" s="31">
        <v>0.76597222222222228</v>
      </c>
      <c r="U52" s="271" t="str">
        <f t="shared" si="38"/>
        <v/>
      </c>
      <c r="V52" s="276">
        <f t="shared" si="37"/>
        <v>83.000000000000028</v>
      </c>
      <c r="W52" s="17"/>
      <c r="X52" s="17"/>
      <c r="Y52" s="20"/>
      <c r="Z52" s="20"/>
      <c r="AA52" s="614"/>
      <c r="AB52" s="615"/>
      <c r="AC52" s="19"/>
      <c r="AD52" s="19"/>
      <c r="AE52" s="15">
        <f t="shared" si="8"/>
        <v>-84.33734939759097</v>
      </c>
      <c r="AF52" s="270">
        <f t="shared" si="9"/>
        <v>0.95783132530120452</v>
      </c>
      <c r="AG52" s="619"/>
    </row>
    <row r="53" spans="1:33" ht="15.75" customHeight="1">
      <c r="A53" s="623" t="s">
        <v>297</v>
      </c>
      <c r="B53" s="33" t="s">
        <v>6</v>
      </c>
      <c r="C53" s="612" t="s">
        <v>72</v>
      </c>
      <c r="D53" s="613"/>
      <c r="E53" s="33">
        <v>58.17</v>
      </c>
      <c r="F53" s="35">
        <v>2081</v>
      </c>
      <c r="G53" s="271">
        <f t="shared" si="35"/>
        <v>121051.77</v>
      </c>
      <c r="H53" s="29" t="s">
        <v>5</v>
      </c>
      <c r="I53" s="275">
        <v>13</v>
      </c>
      <c r="J53" s="30">
        <v>2000</v>
      </c>
      <c r="K53" s="13">
        <f t="shared" si="1"/>
        <v>153.84615384615384</v>
      </c>
      <c r="L53" s="275">
        <v>13</v>
      </c>
      <c r="M53" s="14">
        <f t="shared" si="39"/>
        <v>1920.923076923079</v>
      </c>
      <c r="N53" s="14">
        <f t="shared" si="3"/>
        <v>147.76331360946762</v>
      </c>
      <c r="O53" s="15">
        <f t="shared" si="4"/>
        <v>0</v>
      </c>
      <c r="P53" s="16">
        <f t="shared" si="5"/>
        <v>-6.0828402366862235</v>
      </c>
      <c r="Q53" s="270">
        <f t="shared" si="6"/>
        <v>0.96046153846153959</v>
      </c>
      <c r="R53" s="619"/>
      <c r="S53" s="31">
        <v>0.76944444444444449</v>
      </c>
      <c r="T53" s="31">
        <v>0.81458333333333333</v>
      </c>
      <c r="U53" s="271">
        <f t="shared" si="38"/>
        <v>4.9999999999999822</v>
      </c>
      <c r="V53" s="276">
        <f t="shared" si="37"/>
        <v>64.999999999999929</v>
      </c>
      <c r="W53" s="17"/>
      <c r="X53" s="17"/>
      <c r="Y53" s="20"/>
      <c r="Z53" s="20"/>
      <c r="AA53" s="614"/>
      <c r="AB53" s="615"/>
      <c r="AC53" s="19"/>
      <c r="AD53" s="19"/>
      <c r="AE53" s="15">
        <f t="shared" si="8"/>
        <v>-79.076923076921048</v>
      </c>
      <c r="AF53" s="270">
        <f t="shared" si="9"/>
        <v>0.96046153846153948</v>
      </c>
      <c r="AG53" s="619"/>
    </row>
    <row r="54" spans="1:33" ht="15.75" customHeight="1">
      <c r="A54" s="623" t="s">
        <v>297</v>
      </c>
      <c r="B54" s="33" t="s">
        <v>6</v>
      </c>
      <c r="C54" s="612" t="s">
        <v>82</v>
      </c>
      <c r="D54" s="613"/>
      <c r="E54" s="33">
        <v>54.09</v>
      </c>
      <c r="F54" s="35">
        <v>1784</v>
      </c>
      <c r="G54" s="271">
        <f t="shared" si="35"/>
        <v>96496.560000000012</v>
      </c>
      <c r="H54" s="29" t="s">
        <v>5</v>
      </c>
      <c r="I54" s="275">
        <v>14</v>
      </c>
      <c r="J54" s="30">
        <v>2000</v>
      </c>
      <c r="K54" s="13">
        <f t="shared" si="1"/>
        <v>142.85714285714286</v>
      </c>
      <c r="L54" s="275">
        <v>14</v>
      </c>
      <c r="M54" s="14">
        <f t="shared" si="39"/>
        <v>1911.4285714285729</v>
      </c>
      <c r="N54" s="14">
        <f t="shared" si="3"/>
        <v>136.53061224489807</v>
      </c>
      <c r="O54" s="15">
        <f t="shared" si="4"/>
        <v>0</v>
      </c>
      <c r="P54" s="16">
        <f t="shared" si="5"/>
        <v>-6.3265306122447953</v>
      </c>
      <c r="Q54" s="270">
        <f t="shared" si="6"/>
        <v>0.9557142857142864</v>
      </c>
      <c r="R54" s="619"/>
      <c r="S54" s="31">
        <v>0.81944444444444442</v>
      </c>
      <c r="T54" s="31">
        <v>0.85833333333333328</v>
      </c>
      <c r="U54" s="271">
        <f t="shared" si="38"/>
        <v>6.9999999999999751</v>
      </c>
      <c r="V54" s="276">
        <f t="shared" si="37"/>
        <v>55.999999999999957</v>
      </c>
      <c r="W54" s="17"/>
      <c r="X54" s="17"/>
      <c r="Y54" s="20"/>
      <c r="Z54" s="20"/>
      <c r="AA54" s="614"/>
      <c r="AB54" s="615"/>
      <c r="AC54" s="19"/>
      <c r="AD54" s="19"/>
      <c r="AE54" s="15">
        <f t="shared" si="8"/>
        <v>-88.571428571427077</v>
      </c>
      <c r="AF54" s="270">
        <f t="shared" si="9"/>
        <v>0.95571428571428652</v>
      </c>
      <c r="AG54" s="619"/>
    </row>
    <row r="55" spans="1:33">
      <c r="A55" s="624" t="s">
        <v>297</v>
      </c>
      <c r="B55" s="33" t="s">
        <v>80</v>
      </c>
      <c r="C55" s="620"/>
      <c r="D55" s="620"/>
      <c r="E55" s="274"/>
      <c r="F55" s="34"/>
      <c r="G55" s="13"/>
      <c r="H55" s="278"/>
      <c r="I55" s="23">
        <v>18.75</v>
      </c>
      <c r="J55" s="30">
        <v>2000</v>
      </c>
      <c r="K55" s="13">
        <f t="shared" si="1"/>
        <v>106.66666666666667</v>
      </c>
      <c r="L55" s="23">
        <v>18.75</v>
      </c>
      <c r="M55" s="14">
        <f>AVERAGE(M47:M54)</f>
        <v>1922.1874581893098</v>
      </c>
      <c r="N55" s="13">
        <f t="shared" si="3"/>
        <v>102.51666443676319</v>
      </c>
      <c r="O55" s="15">
        <f t="shared" si="4"/>
        <v>0</v>
      </c>
      <c r="P55" s="16">
        <f t="shared" si="5"/>
        <v>-4.1500022299034782</v>
      </c>
      <c r="Q55" s="270">
        <f t="shared" si="6"/>
        <v>0.96109372909465485</v>
      </c>
      <c r="R55" s="619"/>
      <c r="S55" s="31"/>
      <c r="T55" s="31"/>
      <c r="U55" s="271"/>
      <c r="V55" s="276"/>
      <c r="W55" s="13"/>
      <c r="X55" s="13"/>
      <c r="Y55" s="24">
        <f>SUM(Y47:Y54)</f>
        <v>0</v>
      </c>
      <c r="Z55" s="24">
        <f>SUM(Z47:Z54)</f>
        <v>0</v>
      </c>
      <c r="AA55" s="609"/>
      <c r="AB55" s="609"/>
      <c r="AC55" s="24">
        <v>8</v>
      </c>
      <c r="AD55" s="24">
        <f>SUM(AD47:AD54)</f>
        <v>0</v>
      </c>
      <c r="AE55" s="15">
        <f>M55-J55</f>
        <v>-77.812541810690163</v>
      </c>
      <c r="AF55" s="270">
        <f t="shared" si="9"/>
        <v>0.96109372909465496</v>
      </c>
      <c r="AG55" s="619"/>
    </row>
    <row r="56" spans="1:33" ht="15.75" customHeight="1">
      <c r="A56" s="621" t="s">
        <v>199</v>
      </c>
      <c r="B56" s="278" t="s">
        <v>36</v>
      </c>
      <c r="C56" s="611" t="s">
        <v>46</v>
      </c>
      <c r="D56" s="611"/>
      <c r="E56" s="33">
        <v>35.119999999999997</v>
      </c>
      <c r="F56" s="35">
        <v>4908</v>
      </c>
      <c r="G56" s="271">
        <f t="shared" ref="G56:G59" si="40">E56*F56</f>
        <v>172368.96</v>
      </c>
      <c r="H56" s="29" t="s">
        <v>5</v>
      </c>
      <c r="I56" s="275">
        <v>10</v>
      </c>
      <c r="J56" s="30">
        <v>3000</v>
      </c>
      <c r="K56" s="13">
        <f t="shared" si="1"/>
        <v>300</v>
      </c>
      <c r="L56" s="275">
        <v>10</v>
      </c>
      <c r="M56" s="14">
        <f t="shared" ref="M56:M59" si="41">F56/V56*60</f>
        <v>2859.0291262135925</v>
      </c>
      <c r="N56" s="13">
        <f t="shared" si="3"/>
        <v>285.90291262135923</v>
      </c>
      <c r="O56" s="15">
        <f t="shared" si="4"/>
        <v>0</v>
      </c>
      <c r="P56" s="16">
        <f t="shared" si="5"/>
        <v>-14.097087378640765</v>
      </c>
      <c r="Q56" s="270">
        <f t="shared" si="6"/>
        <v>0.95300970873786417</v>
      </c>
      <c r="R56" s="619">
        <f>Q60</f>
        <v>0.95928751490376429</v>
      </c>
      <c r="S56" s="31">
        <v>0.20833333333333334</v>
      </c>
      <c r="T56" s="31">
        <v>0.27986111111111112</v>
      </c>
      <c r="U56" s="271"/>
      <c r="V56" s="276">
        <f t="shared" ref="V56:V59" si="42">(T56-S56)*24*60</f>
        <v>103</v>
      </c>
      <c r="W56" s="17"/>
      <c r="X56" s="17"/>
      <c r="Y56" s="22"/>
      <c r="Z56" s="22"/>
      <c r="AA56" s="610"/>
      <c r="AB56" s="610"/>
      <c r="AC56" s="19">
        <v>4</v>
      </c>
      <c r="AD56" s="19"/>
      <c r="AE56" s="15">
        <f t="shared" ref="AE56:AE69" si="43">M56-J56</f>
        <v>-140.97087378640754</v>
      </c>
      <c r="AF56" s="270">
        <f t="shared" si="9"/>
        <v>0.95300970873786417</v>
      </c>
      <c r="AG56" s="619">
        <f>AF60</f>
        <v>0.9592875149037644</v>
      </c>
    </row>
    <row r="57" spans="1:33" ht="15.75" customHeight="1">
      <c r="A57" s="621" t="s">
        <v>199</v>
      </c>
      <c r="B57" s="278" t="s">
        <v>36</v>
      </c>
      <c r="C57" s="611" t="s">
        <v>47</v>
      </c>
      <c r="D57" s="611"/>
      <c r="E57" s="33">
        <v>26.78</v>
      </c>
      <c r="F57" s="35">
        <v>2163</v>
      </c>
      <c r="G57" s="271">
        <f t="shared" si="40"/>
        <v>57925.14</v>
      </c>
      <c r="H57" s="29" t="s">
        <v>5</v>
      </c>
      <c r="I57" s="275">
        <v>10</v>
      </c>
      <c r="J57" s="30">
        <v>3000</v>
      </c>
      <c r="K57" s="13">
        <f t="shared" si="1"/>
        <v>300</v>
      </c>
      <c r="L57" s="275">
        <v>10</v>
      </c>
      <c r="M57" s="14">
        <f t="shared" si="41"/>
        <v>2884</v>
      </c>
      <c r="N57" s="13">
        <f t="shared" si="3"/>
        <v>288.39999999999998</v>
      </c>
      <c r="O57" s="15">
        <f t="shared" si="4"/>
        <v>0</v>
      </c>
      <c r="P57" s="16">
        <f t="shared" si="5"/>
        <v>-11.600000000000023</v>
      </c>
      <c r="Q57" s="270">
        <f t="shared" si="6"/>
        <v>0.96133333333333326</v>
      </c>
      <c r="R57" s="619"/>
      <c r="S57" s="31">
        <v>0.28472222222222221</v>
      </c>
      <c r="T57" s="31">
        <v>0.31597222222222221</v>
      </c>
      <c r="U57" s="271">
        <f t="shared" ref="U57:U59" si="44">(S57-T56)*24*60</f>
        <v>6.9999999999999751</v>
      </c>
      <c r="V57" s="276">
        <f t="shared" si="42"/>
        <v>45</v>
      </c>
      <c r="W57" s="271"/>
      <c r="X57" s="271"/>
      <c r="Y57" s="271"/>
      <c r="Z57" s="271"/>
      <c r="AA57" s="610"/>
      <c r="AB57" s="610"/>
      <c r="AC57" s="19"/>
      <c r="AD57" s="19"/>
      <c r="AE57" s="15">
        <f t="shared" si="43"/>
        <v>-116</v>
      </c>
      <c r="AF57" s="270">
        <f t="shared" si="9"/>
        <v>0.96133333333333337</v>
      </c>
      <c r="AG57" s="619"/>
    </row>
    <row r="58" spans="1:33" ht="15.75" customHeight="1">
      <c r="A58" s="621" t="s">
        <v>199</v>
      </c>
      <c r="B58" s="278" t="s">
        <v>36</v>
      </c>
      <c r="C58" s="611" t="s">
        <v>49</v>
      </c>
      <c r="D58" s="611"/>
      <c r="E58" s="33">
        <v>35.869999999999997</v>
      </c>
      <c r="F58" s="35">
        <v>2744</v>
      </c>
      <c r="G58" s="271">
        <f t="shared" si="40"/>
        <v>98427.28</v>
      </c>
      <c r="H58" s="29" t="s">
        <v>5</v>
      </c>
      <c r="I58" s="275">
        <v>10</v>
      </c>
      <c r="J58" s="30">
        <v>3000</v>
      </c>
      <c r="K58" s="13">
        <f t="shared" si="1"/>
        <v>300</v>
      </c>
      <c r="L58" s="275">
        <v>10</v>
      </c>
      <c r="M58" s="14">
        <f t="shared" si="41"/>
        <v>2888.4210526315815</v>
      </c>
      <c r="N58" s="13">
        <f t="shared" si="3"/>
        <v>288.84210526315815</v>
      </c>
      <c r="O58" s="15">
        <f t="shared" si="4"/>
        <v>0</v>
      </c>
      <c r="P58" s="16">
        <f t="shared" si="5"/>
        <v>-11.157894736841854</v>
      </c>
      <c r="Q58" s="270">
        <f t="shared" si="6"/>
        <v>0.96280701754386044</v>
      </c>
      <c r="R58" s="619"/>
      <c r="S58" s="31">
        <v>0.32013888888888886</v>
      </c>
      <c r="T58" s="31">
        <v>0.35972222222222217</v>
      </c>
      <c r="U58" s="271">
        <f t="shared" si="44"/>
        <v>5.9999999999999787</v>
      </c>
      <c r="V58" s="276">
        <f t="shared" si="42"/>
        <v>56.999999999999957</v>
      </c>
      <c r="W58" s="271"/>
      <c r="X58" s="271"/>
      <c r="Y58" s="271"/>
      <c r="Z58" s="271"/>
      <c r="AA58" s="610"/>
      <c r="AB58" s="610"/>
      <c r="AC58" s="19"/>
      <c r="AD58" s="19"/>
      <c r="AE58" s="15">
        <f t="shared" si="43"/>
        <v>-111.57894736841854</v>
      </c>
      <c r="AF58" s="270">
        <f t="shared" si="9"/>
        <v>0.96280701754386044</v>
      </c>
      <c r="AG58" s="619"/>
    </row>
    <row r="59" spans="1:33" ht="15.75" customHeight="1">
      <c r="A59" s="621" t="s">
        <v>199</v>
      </c>
      <c r="B59" s="278" t="s">
        <v>36</v>
      </c>
      <c r="C59" s="611" t="s">
        <v>74</v>
      </c>
      <c r="D59" s="611"/>
      <c r="E59" s="33">
        <v>33.770000000000003</v>
      </c>
      <c r="F59" s="35">
        <v>2880</v>
      </c>
      <c r="G59" s="271">
        <f t="shared" si="40"/>
        <v>97257.600000000006</v>
      </c>
      <c r="H59" s="29" t="s">
        <v>5</v>
      </c>
      <c r="I59" s="275">
        <v>12</v>
      </c>
      <c r="J59" s="30">
        <v>3000</v>
      </c>
      <c r="K59" s="13">
        <f t="shared" si="1"/>
        <v>250</v>
      </c>
      <c r="L59" s="275">
        <v>12</v>
      </c>
      <c r="M59" s="14">
        <f t="shared" si="41"/>
        <v>2879.9999999999986</v>
      </c>
      <c r="N59" s="13">
        <f t="shared" si="3"/>
        <v>239.99999999999989</v>
      </c>
      <c r="O59" s="15">
        <f t="shared" si="4"/>
        <v>0</v>
      </c>
      <c r="P59" s="16">
        <f t="shared" si="5"/>
        <v>-10.000000000000114</v>
      </c>
      <c r="Q59" s="270">
        <f t="shared" si="6"/>
        <v>0.95999999999999952</v>
      </c>
      <c r="R59" s="619"/>
      <c r="S59" s="31">
        <v>0.36388888888888882</v>
      </c>
      <c r="T59" s="31">
        <v>0.4055555555555555</v>
      </c>
      <c r="U59" s="271">
        <f t="shared" si="44"/>
        <v>5.9999999999999787</v>
      </c>
      <c r="V59" s="276">
        <f t="shared" si="42"/>
        <v>60.000000000000028</v>
      </c>
      <c r="W59" s="271"/>
      <c r="X59" s="271"/>
      <c r="Y59" s="271"/>
      <c r="Z59" s="271"/>
      <c r="AA59" s="610"/>
      <c r="AB59" s="610"/>
      <c r="AC59" s="19"/>
      <c r="AD59" s="19"/>
      <c r="AE59" s="15">
        <f t="shared" si="43"/>
        <v>-120.00000000000136</v>
      </c>
      <c r="AF59" s="270">
        <f t="shared" si="9"/>
        <v>0.95999999999999952</v>
      </c>
      <c r="AG59" s="619"/>
    </row>
    <row r="60" spans="1:33">
      <c r="A60" s="622" t="s">
        <v>199</v>
      </c>
      <c r="B60" s="33" t="s">
        <v>80</v>
      </c>
      <c r="C60" s="620"/>
      <c r="D60" s="620"/>
      <c r="E60" s="274"/>
      <c r="F60" s="34"/>
      <c r="G60" s="13"/>
      <c r="H60" s="278"/>
      <c r="I60" s="23">
        <v>10.5</v>
      </c>
      <c r="J60" s="30">
        <v>3000</v>
      </c>
      <c r="K60" s="13">
        <f t="shared" si="1"/>
        <v>285.71428571428572</v>
      </c>
      <c r="L60" s="23">
        <v>10.5</v>
      </c>
      <c r="M60" s="14">
        <f>AVERAGE(M56:M59)</f>
        <v>2877.8625447112931</v>
      </c>
      <c r="N60" s="13">
        <f t="shared" si="3"/>
        <v>274.08214711536124</v>
      </c>
      <c r="O60" s="15">
        <f t="shared" si="4"/>
        <v>0</v>
      </c>
      <c r="P60" s="16">
        <f t="shared" si="5"/>
        <v>-11.632138598924485</v>
      </c>
      <c r="Q60" s="270">
        <f t="shared" si="6"/>
        <v>0.95928751490376429</v>
      </c>
      <c r="R60" s="619"/>
      <c r="S60" s="31"/>
      <c r="T60" s="31"/>
      <c r="U60" s="13"/>
      <c r="V60" s="276"/>
      <c r="W60" s="13"/>
      <c r="X60" s="13"/>
      <c r="Y60" s="24">
        <f>SUM(Y56:Y59)</f>
        <v>0</v>
      </c>
      <c r="Z60" s="24">
        <f>SUM(Z56:Z59)</f>
        <v>0</v>
      </c>
      <c r="AA60" s="609"/>
      <c r="AB60" s="609"/>
      <c r="AC60" s="24">
        <v>4</v>
      </c>
      <c r="AD60" s="24">
        <f>SUM(AD56:AD59)</f>
        <v>0</v>
      </c>
      <c r="AE60" s="15">
        <f t="shared" si="43"/>
        <v>-122.13745528870686</v>
      </c>
      <c r="AF60" s="270">
        <f t="shared" si="9"/>
        <v>0.9592875149037644</v>
      </c>
      <c r="AG60" s="619"/>
    </row>
    <row r="61" spans="1:33" ht="15.75" customHeight="1">
      <c r="A61" s="616" t="s">
        <v>200</v>
      </c>
      <c r="B61" s="278" t="s">
        <v>27</v>
      </c>
      <c r="C61" s="611" t="s">
        <v>50</v>
      </c>
      <c r="D61" s="611"/>
      <c r="E61" s="33">
        <v>19.02</v>
      </c>
      <c r="F61" s="278">
        <v>5500</v>
      </c>
      <c r="G61" s="271">
        <f t="shared" ref="G61:G68" si="45">E61*F61</f>
        <v>104610</v>
      </c>
      <c r="H61" s="29">
        <v>2</v>
      </c>
      <c r="I61" s="275">
        <v>14</v>
      </c>
      <c r="J61" s="30">
        <v>2400</v>
      </c>
      <c r="K61" s="13">
        <f t="shared" si="1"/>
        <v>171.42857142857142</v>
      </c>
      <c r="L61" s="275">
        <v>14</v>
      </c>
      <c r="M61" s="14">
        <f t="shared" ref="M61:M68" si="46">F61/V61*60</f>
        <v>2291.6666666666665</v>
      </c>
      <c r="N61" s="13">
        <f t="shared" si="3"/>
        <v>163.69047619047618</v>
      </c>
      <c r="O61" s="15">
        <f t="shared" si="4"/>
        <v>0</v>
      </c>
      <c r="P61" s="16">
        <f t="shared" si="5"/>
        <v>-7.7380952380952408</v>
      </c>
      <c r="Q61" s="270">
        <f t="shared" si="6"/>
        <v>0.95486111111111105</v>
      </c>
      <c r="R61" s="619">
        <f>Q69</f>
        <v>0.9536059197043486</v>
      </c>
      <c r="S61" s="31">
        <v>8.3333333333333329E-2</v>
      </c>
      <c r="T61" s="31">
        <v>0.18333333333333332</v>
      </c>
      <c r="U61" s="22"/>
      <c r="V61" s="276">
        <f t="shared" ref="V61:V68" si="47">(T61-S61)*24*60</f>
        <v>144</v>
      </c>
      <c r="W61" s="17">
        <f>T61</f>
        <v>0.18333333333333332</v>
      </c>
      <c r="X61" s="17">
        <f>S62</f>
        <v>0.20208333333333334</v>
      </c>
      <c r="Y61" s="17"/>
      <c r="Z61" s="17"/>
      <c r="AA61" s="610"/>
      <c r="AB61" s="610"/>
      <c r="AC61" s="19">
        <v>8</v>
      </c>
      <c r="AD61" s="19"/>
      <c r="AE61" s="15">
        <f t="shared" si="43"/>
        <v>-108.33333333333348</v>
      </c>
      <c r="AF61" s="270">
        <f t="shared" si="9"/>
        <v>0.95486111111111105</v>
      </c>
      <c r="AG61" s="619">
        <f>AF69</f>
        <v>0.9536059197043486</v>
      </c>
    </row>
    <row r="62" spans="1:33" ht="15.75" customHeight="1">
      <c r="A62" s="617" t="s">
        <v>200</v>
      </c>
      <c r="B62" s="278" t="s">
        <v>27</v>
      </c>
      <c r="C62" s="611" t="s">
        <v>51</v>
      </c>
      <c r="D62" s="611"/>
      <c r="E62" s="33">
        <v>20.36</v>
      </c>
      <c r="F62" s="278">
        <v>3290</v>
      </c>
      <c r="G62" s="271">
        <f t="shared" si="45"/>
        <v>66984.399999999994</v>
      </c>
      <c r="H62" s="29" t="s">
        <v>5</v>
      </c>
      <c r="I62" s="275">
        <v>17</v>
      </c>
      <c r="J62" s="30">
        <v>2400</v>
      </c>
      <c r="K62" s="13">
        <f t="shared" si="1"/>
        <v>141.1764705882353</v>
      </c>
      <c r="L62" s="275">
        <v>17</v>
      </c>
      <c r="M62" s="14">
        <f t="shared" si="46"/>
        <v>2295.348837209302</v>
      </c>
      <c r="N62" s="13">
        <f t="shared" si="3"/>
        <v>135.0205198358413</v>
      </c>
      <c r="O62" s="15">
        <f t="shared" si="4"/>
        <v>0</v>
      </c>
      <c r="P62" s="16">
        <f t="shared" si="5"/>
        <v>-6.1559507523940056</v>
      </c>
      <c r="Q62" s="270">
        <f t="shared" si="6"/>
        <v>0.95639534883720911</v>
      </c>
      <c r="R62" s="619"/>
      <c r="S62" s="31">
        <v>0.20208333333333334</v>
      </c>
      <c r="T62" s="31">
        <v>0.26180555555555557</v>
      </c>
      <c r="U62" s="271">
        <f t="shared" ref="U62:U68" si="48">(S62-T61)*24*60</f>
        <v>27.000000000000025</v>
      </c>
      <c r="V62" s="276">
        <f t="shared" si="47"/>
        <v>86.000000000000014</v>
      </c>
      <c r="W62" s="17"/>
      <c r="X62" s="17"/>
      <c r="Y62" s="17"/>
      <c r="Z62" s="17"/>
      <c r="AA62" s="610"/>
      <c r="AB62" s="610"/>
      <c r="AC62" s="19"/>
      <c r="AD62" s="19"/>
      <c r="AE62" s="15">
        <f t="shared" si="43"/>
        <v>-104.65116279069798</v>
      </c>
      <c r="AF62" s="270">
        <f t="shared" si="9"/>
        <v>0.95639534883720922</v>
      </c>
      <c r="AG62" s="619"/>
    </row>
    <row r="63" spans="1:33" ht="15.75" customHeight="1">
      <c r="A63" s="617" t="s">
        <v>200</v>
      </c>
      <c r="B63" s="278" t="s">
        <v>27</v>
      </c>
      <c r="C63" s="611" t="s">
        <v>876</v>
      </c>
      <c r="D63" s="611"/>
      <c r="E63" s="33">
        <v>23.8</v>
      </c>
      <c r="F63" s="278">
        <v>5968</v>
      </c>
      <c r="G63" s="271">
        <f t="shared" si="45"/>
        <v>142038.39999999999</v>
      </c>
      <c r="H63" s="29" t="s">
        <v>5</v>
      </c>
      <c r="I63" s="275">
        <v>16</v>
      </c>
      <c r="J63" s="30">
        <v>2400</v>
      </c>
      <c r="K63" s="13">
        <f t="shared" si="1"/>
        <v>150</v>
      </c>
      <c r="L63" s="275">
        <v>16</v>
      </c>
      <c r="M63" s="14">
        <f t="shared" si="46"/>
        <v>2280.7643312101914</v>
      </c>
      <c r="N63" s="13">
        <f t="shared" si="3"/>
        <v>142.54777070063696</v>
      </c>
      <c r="O63" s="15">
        <f t="shared" si="4"/>
        <v>0</v>
      </c>
      <c r="P63" s="16">
        <f t="shared" si="5"/>
        <v>-7.4522292993630401</v>
      </c>
      <c r="Q63" s="270">
        <f t="shared" si="6"/>
        <v>0.95031847133757974</v>
      </c>
      <c r="R63" s="619"/>
      <c r="S63" s="31">
        <v>0.26666666666666666</v>
      </c>
      <c r="T63" s="31">
        <v>0.37569444444444444</v>
      </c>
      <c r="U63" s="271">
        <f t="shared" si="48"/>
        <v>6.9999999999999751</v>
      </c>
      <c r="V63" s="276">
        <f t="shared" si="47"/>
        <v>157</v>
      </c>
      <c r="W63" s="17"/>
      <c r="X63" s="17"/>
      <c r="Y63" s="17"/>
      <c r="Z63" s="17"/>
      <c r="AA63" s="610"/>
      <c r="AB63" s="610"/>
      <c r="AC63" s="19"/>
      <c r="AD63" s="19"/>
      <c r="AE63" s="15">
        <f t="shared" si="43"/>
        <v>-119.23566878980864</v>
      </c>
      <c r="AF63" s="270">
        <f t="shared" si="9"/>
        <v>0.95031847133757974</v>
      </c>
      <c r="AG63" s="619"/>
    </row>
    <row r="64" spans="1:33" ht="15.75" customHeight="1">
      <c r="A64" s="617" t="s">
        <v>200</v>
      </c>
      <c r="B64" s="278" t="s">
        <v>27</v>
      </c>
      <c r="C64" s="611" t="s">
        <v>31</v>
      </c>
      <c r="D64" s="611"/>
      <c r="E64" s="33">
        <v>25.99</v>
      </c>
      <c r="F64" s="278">
        <v>928</v>
      </c>
      <c r="G64" s="271">
        <f t="shared" si="45"/>
        <v>24118.719999999998</v>
      </c>
      <c r="H64" s="29" t="s">
        <v>5</v>
      </c>
      <c r="I64" s="275">
        <v>18</v>
      </c>
      <c r="J64" s="30">
        <v>2400</v>
      </c>
      <c r="K64" s="13">
        <f t="shared" si="1"/>
        <v>133.33333333333334</v>
      </c>
      <c r="L64" s="275">
        <v>18</v>
      </c>
      <c r="M64" s="14">
        <f t="shared" si="46"/>
        <v>2320.0000000000009</v>
      </c>
      <c r="N64" s="13">
        <f t="shared" si="3"/>
        <v>128.88888888888894</v>
      </c>
      <c r="O64" s="15">
        <f t="shared" si="4"/>
        <v>0</v>
      </c>
      <c r="P64" s="16">
        <f t="shared" si="5"/>
        <v>-4.4444444444444002</v>
      </c>
      <c r="Q64" s="270">
        <f t="shared" si="6"/>
        <v>0.96666666666666701</v>
      </c>
      <c r="R64" s="619"/>
      <c r="S64" s="31">
        <v>0.38055555555555554</v>
      </c>
      <c r="T64" s="31">
        <v>0.3972222222222222</v>
      </c>
      <c r="U64" s="271">
        <f t="shared" si="48"/>
        <v>6.9999999999999751</v>
      </c>
      <c r="V64" s="276">
        <f t="shared" si="47"/>
        <v>23.999999999999993</v>
      </c>
      <c r="W64" s="17"/>
      <c r="X64" s="17"/>
      <c r="Y64" s="17"/>
      <c r="Z64" s="17"/>
      <c r="AA64" s="610"/>
      <c r="AB64" s="610"/>
      <c r="AC64" s="19"/>
      <c r="AD64" s="19"/>
      <c r="AE64" s="15">
        <f t="shared" si="43"/>
        <v>-79.999999999999091</v>
      </c>
      <c r="AF64" s="270">
        <f t="shared" si="9"/>
        <v>0.96666666666666701</v>
      </c>
      <c r="AG64" s="619"/>
    </row>
    <row r="65" spans="1:33" ht="15.75" customHeight="1">
      <c r="A65" s="617" t="s">
        <v>200</v>
      </c>
      <c r="B65" s="278" t="s">
        <v>27</v>
      </c>
      <c r="C65" s="611" t="s">
        <v>53</v>
      </c>
      <c r="D65" s="611"/>
      <c r="E65" s="33">
        <v>28.29</v>
      </c>
      <c r="F65" s="278">
        <v>2302</v>
      </c>
      <c r="G65" s="271">
        <f t="shared" si="45"/>
        <v>65123.579999999994</v>
      </c>
      <c r="H65" s="29" t="s">
        <v>5</v>
      </c>
      <c r="I65" s="275">
        <v>19</v>
      </c>
      <c r="J65" s="30">
        <v>2400</v>
      </c>
      <c r="K65" s="13">
        <f t="shared" si="1"/>
        <v>126.31578947368421</v>
      </c>
      <c r="L65" s="275">
        <v>19</v>
      </c>
      <c r="M65" s="14">
        <f t="shared" si="46"/>
        <v>2301.9999999999986</v>
      </c>
      <c r="N65" s="13">
        <f t="shared" si="3"/>
        <v>121.15789473684204</v>
      </c>
      <c r="O65" s="15">
        <f t="shared" si="4"/>
        <v>0</v>
      </c>
      <c r="P65" s="16">
        <f t="shared" si="5"/>
        <v>-5.1578947368421666</v>
      </c>
      <c r="Q65" s="270">
        <f t="shared" si="6"/>
        <v>0.95916666666666617</v>
      </c>
      <c r="R65" s="619"/>
      <c r="S65" s="31">
        <v>0.40069444444444441</v>
      </c>
      <c r="T65" s="31">
        <v>0.44236111111111109</v>
      </c>
      <c r="U65" s="271">
        <f t="shared" si="48"/>
        <v>4.9999999999999822</v>
      </c>
      <c r="V65" s="276">
        <f t="shared" si="47"/>
        <v>60.000000000000028</v>
      </c>
      <c r="W65" s="17"/>
      <c r="X65" s="17"/>
      <c r="Y65" s="17"/>
      <c r="Z65" s="17"/>
      <c r="AA65" s="610"/>
      <c r="AB65" s="610"/>
      <c r="AC65" s="19"/>
      <c r="AD65" s="19"/>
      <c r="AE65" s="15">
        <f t="shared" si="43"/>
        <v>-98.000000000001364</v>
      </c>
      <c r="AF65" s="270">
        <f t="shared" si="9"/>
        <v>0.95916666666666606</v>
      </c>
      <c r="AG65" s="619"/>
    </row>
    <row r="66" spans="1:33" ht="15.75" customHeight="1">
      <c r="A66" s="617" t="s">
        <v>200</v>
      </c>
      <c r="B66" s="278" t="s">
        <v>27</v>
      </c>
      <c r="C66" s="611" t="s">
        <v>55</v>
      </c>
      <c r="D66" s="611"/>
      <c r="E66" s="33">
        <v>23.89</v>
      </c>
      <c r="F66" s="278">
        <v>560</v>
      </c>
      <c r="G66" s="271">
        <f t="shared" si="45"/>
        <v>13378.4</v>
      </c>
      <c r="H66" s="29" t="s">
        <v>5</v>
      </c>
      <c r="I66" s="275">
        <v>13</v>
      </c>
      <c r="J66" s="30">
        <v>2400</v>
      </c>
      <c r="K66" s="13">
        <f t="shared" si="1"/>
        <v>184.61538461538461</v>
      </c>
      <c r="L66" s="275">
        <v>13</v>
      </c>
      <c r="M66" s="14">
        <f t="shared" si="46"/>
        <v>2239.9999999999959</v>
      </c>
      <c r="N66" s="13">
        <f t="shared" si="3"/>
        <v>172.30769230769198</v>
      </c>
      <c r="O66" s="15">
        <f t="shared" si="4"/>
        <v>0</v>
      </c>
      <c r="P66" s="16">
        <f t="shared" si="5"/>
        <v>-12.307692307692633</v>
      </c>
      <c r="Q66" s="270">
        <f t="shared" si="6"/>
        <v>0.93333333333333157</v>
      </c>
      <c r="R66" s="619"/>
      <c r="S66" s="31">
        <v>0.44791666666666663</v>
      </c>
      <c r="T66" s="31">
        <v>0.45833333333333331</v>
      </c>
      <c r="U66" s="271">
        <f t="shared" si="48"/>
        <v>7.9999999999999716</v>
      </c>
      <c r="V66" s="276">
        <f t="shared" si="47"/>
        <v>15.000000000000027</v>
      </c>
      <c r="W66" s="17"/>
      <c r="X66" s="17"/>
      <c r="Y66" s="17"/>
      <c r="Z66" s="17"/>
      <c r="AA66" s="610"/>
      <c r="AB66" s="610"/>
      <c r="AC66" s="19"/>
      <c r="AD66" s="19"/>
      <c r="AE66" s="15">
        <f t="shared" si="43"/>
        <v>-160.00000000000409</v>
      </c>
      <c r="AF66" s="270">
        <f t="shared" si="9"/>
        <v>0.93333333333333168</v>
      </c>
      <c r="AG66" s="619"/>
    </row>
    <row r="67" spans="1:33" ht="15.75" customHeight="1">
      <c r="A67" s="617" t="s">
        <v>200</v>
      </c>
      <c r="B67" s="278" t="s">
        <v>27</v>
      </c>
      <c r="C67" s="612" t="s">
        <v>52</v>
      </c>
      <c r="D67" s="613"/>
      <c r="E67" s="33">
        <v>25.98</v>
      </c>
      <c r="F67" s="278">
        <v>1447</v>
      </c>
      <c r="G67" s="271">
        <f t="shared" si="45"/>
        <v>37593.06</v>
      </c>
      <c r="H67" s="29" t="s">
        <v>5</v>
      </c>
      <c r="I67" s="275">
        <v>17</v>
      </c>
      <c r="J67" s="30">
        <v>2400</v>
      </c>
      <c r="K67" s="13">
        <f t="shared" si="1"/>
        <v>141.1764705882353</v>
      </c>
      <c r="L67" s="275">
        <v>17</v>
      </c>
      <c r="M67" s="14">
        <f t="shared" si="46"/>
        <v>2284.7368421052615</v>
      </c>
      <c r="N67" s="13">
        <f t="shared" si="3"/>
        <v>134.39628482972125</v>
      </c>
      <c r="O67" s="15">
        <f t="shared" si="4"/>
        <v>0</v>
      </c>
      <c r="P67" s="16">
        <f t="shared" si="5"/>
        <v>-6.780185758514051</v>
      </c>
      <c r="Q67" s="270">
        <f t="shared" si="6"/>
        <v>0.95197368421052553</v>
      </c>
      <c r="R67" s="619"/>
      <c r="S67" s="31">
        <v>0.46249999999999997</v>
      </c>
      <c r="T67" s="31">
        <v>0.48888888888888887</v>
      </c>
      <c r="U67" s="271">
        <f t="shared" si="48"/>
        <v>5.9999999999999787</v>
      </c>
      <c r="V67" s="276">
        <f t="shared" si="47"/>
        <v>38.000000000000028</v>
      </c>
      <c r="W67" s="17">
        <f>T67</f>
        <v>0.48888888888888887</v>
      </c>
      <c r="X67" s="17">
        <f>S68</f>
        <v>0.52916666666666656</v>
      </c>
      <c r="Y67" s="20"/>
      <c r="Z67" s="20"/>
      <c r="AA67" s="614"/>
      <c r="AB67" s="615"/>
      <c r="AC67" s="19"/>
      <c r="AD67" s="19"/>
      <c r="AE67" s="15">
        <f t="shared" si="43"/>
        <v>-115.26315789473847</v>
      </c>
      <c r="AF67" s="270">
        <f t="shared" si="9"/>
        <v>0.95197368421052564</v>
      </c>
      <c r="AG67" s="619"/>
    </row>
    <row r="68" spans="1:33" ht="15.75" customHeight="1">
      <c r="A68" s="617" t="s">
        <v>200</v>
      </c>
      <c r="B68" s="278" t="s">
        <v>27</v>
      </c>
      <c r="C68" s="612" t="s">
        <v>50</v>
      </c>
      <c r="D68" s="613"/>
      <c r="E68" s="33">
        <v>19.02</v>
      </c>
      <c r="F68" s="278">
        <v>4054</v>
      </c>
      <c r="G68" s="271">
        <f t="shared" si="45"/>
        <v>77107.08</v>
      </c>
      <c r="H68" s="29" t="s">
        <v>5</v>
      </c>
      <c r="I68" s="275">
        <v>14</v>
      </c>
      <c r="J68" s="30">
        <v>2400</v>
      </c>
      <c r="K68" s="13">
        <f t="shared" si="1"/>
        <v>171.42857142857142</v>
      </c>
      <c r="L68" s="275">
        <v>14</v>
      </c>
      <c r="M68" s="14">
        <f t="shared" si="46"/>
        <v>2294.7169811320769</v>
      </c>
      <c r="N68" s="13">
        <f t="shared" si="3"/>
        <v>163.90835579514834</v>
      </c>
      <c r="O68" s="15">
        <f t="shared" si="4"/>
        <v>0</v>
      </c>
      <c r="P68" s="16">
        <f t="shared" si="5"/>
        <v>-7.5202156334230779</v>
      </c>
      <c r="Q68" s="270">
        <f t="shared" si="6"/>
        <v>0.95613207547169876</v>
      </c>
      <c r="R68" s="619"/>
      <c r="S68" s="31">
        <v>0.52916666666666656</v>
      </c>
      <c r="T68" s="31">
        <v>0.60277777777777763</v>
      </c>
      <c r="U68" s="271">
        <f t="shared" si="48"/>
        <v>57.999999999999872</v>
      </c>
      <c r="V68" s="276">
        <f t="shared" si="47"/>
        <v>105.99999999999994</v>
      </c>
      <c r="W68" s="17"/>
      <c r="X68" s="17"/>
      <c r="Y68" s="20"/>
      <c r="Z68" s="20"/>
      <c r="AA68" s="614"/>
      <c r="AB68" s="615"/>
      <c r="AC68" s="19"/>
      <c r="AD68" s="19"/>
      <c r="AE68" s="15">
        <f t="shared" si="43"/>
        <v>-105.28301886792315</v>
      </c>
      <c r="AF68" s="270">
        <f t="shared" si="9"/>
        <v>0.95613207547169865</v>
      </c>
      <c r="AG68" s="619"/>
    </row>
    <row r="69" spans="1:33" ht="16.5" customHeight="1">
      <c r="A69" s="618" t="s">
        <v>200</v>
      </c>
      <c r="B69" s="33" t="s">
        <v>80</v>
      </c>
      <c r="C69" s="607"/>
      <c r="D69" s="608"/>
      <c r="E69" s="274"/>
      <c r="F69" s="34"/>
      <c r="G69" s="13"/>
      <c r="H69" s="278"/>
      <c r="I69" s="23">
        <v>16</v>
      </c>
      <c r="J69" s="30">
        <v>2400</v>
      </c>
      <c r="K69" s="13">
        <f t="shared" ref="K69" si="49">J69/I69</f>
        <v>150</v>
      </c>
      <c r="L69" s="23">
        <v>16</v>
      </c>
      <c r="M69" s="14">
        <f>AVERAGE(M61:M68)</f>
        <v>2288.6542072904367</v>
      </c>
      <c r="N69" s="13">
        <f t="shared" ref="N69" si="50">M69/L69</f>
        <v>143.04088795565229</v>
      </c>
      <c r="O69" s="15">
        <f t="shared" ref="O69" si="51">L69-I69</f>
        <v>0</v>
      </c>
      <c r="P69" s="16">
        <f t="shared" ref="P69" si="52">N69-K69</f>
        <v>-6.9591120443477053</v>
      </c>
      <c r="Q69" s="270">
        <f t="shared" ref="Q69" si="53">N69/K69</f>
        <v>0.9536059197043486</v>
      </c>
      <c r="R69" s="619"/>
      <c r="S69" s="31"/>
      <c r="T69" s="31"/>
      <c r="U69" s="13"/>
      <c r="V69" s="276"/>
      <c r="W69" s="13"/>
      <c r="X69" s="13"/>
      <c r="Y69" s="24">
        <f>SUM(Y61:Y68)</f>
        <v>0</v>
      </c>
      <c r="Z69" s="24">
        <f>SUM(Z61:Z68)</f>
        <v>0</v>
      </c>
      <c r="AA69" s="609"/>
      <c r="AB69" s="609"/>
      <c r="AC69" s="24">
        <v>8</v>
      </c>
      <c r="AD69" s="24">
        <f>SUM(AD61:AD68)</f>
        <v>0</v>
      </c>
      <c r="AE69" s="15">
        <f t="shared" si="43"/>
        <v>-111.34579270956328</v>
      </c>
      <c r="AF69" s="270">
        <f t="shared" ref="AF69" si="54">M69/J69</f>
        <v>0.9536059197043486</v>
      </c>
      <c r="AG69" s="619"/>
    </row>
    <row r="70" spans="1:33">
      <c r="D70" s="25"/>
      <c r="E70" s="25"/>
    </row>
  </sheetData>
  <mergeCells count="187">
    <mergeCell ref="A61:A69"/>
    <mergeCell ref="C61:D61"/>
    <mergeCell ref="R61:R69"/>
    <mergeCell ref="AA61:AB61"/>
    <mergeCell ref="AG61:AG69"/>
    <mergeCell ref="C62:D62"/>
    <mergeCell ref="AA62:AB62"/>
    <mergeCell ref="C63:D63"/>
    <mergeCell ref="AA63:AB63"/>
    <mergeCell ref="C64:D64"/>
    <mergeCell ref="C68:D68"/>
    <mergeCell ref="AA68:AB68"/>
    <mergeCell ref="C69:D69"/>
    <mergeCell ref="AA69:AB69"/>
    <mergeCell ref="AA64:AB64"/>
    <mergeCell ref="C65:D65"/>
    <mergeCell ref="AA65:AB65"/>
    <mergeCell ref="C66:D66"/>
    <mergeCell ref="AA66:AB66"/>
    <mergeCell ref="C67:D67"/>
    <mergeCell ref="AA67:AB67"/>
    <mergeCell ref="AG56:AG60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A56:A60"/>
    <mergeCell ref="C56:D56"/>
    <mergeCell ref="R56:R60"/>
    <mergeCell ref="AA56:AB56"/>
    <mergeCell ref="AA51:AB51"/>
    <mergeCell ref="C52:D52"/>
    <mergeCell ref="AA52:AB52"/>
    <mergeCell ref="C53:D53"/>
    <mergeCell ref="AA53:AB53"/>
    <mergeCell ref="C54:D54"/>
    <mergeCell ref="AA54:AB54"/>
    <mergeCell ref="A47:A55"/>
    <mergeCell ref="C47:D47"/>
    <mergeCell ref="R47:R55"/>
    <mergeCell ref="AA47:AB47"/>
    <mergeCell ref="AG47:AG55"/>
    <mergeCell ref="C48:D48"/>
    <mergeCell ref="AA48:AB48"/>
    <mergeCell ref="C49:D49"/>
    <mergeCell ref="AA49:AB49"/>
    <mergeCell ref="AA50:AB50"/>
    <mergeCell ref="AG43:AG46"/>
    <mergeCell ref="C44:D44"/>
    <mergeCell ref="AA44:AB44"/>
    <mergeCell ref="C45:D45"/>
    <mergeCell ref="AA45:AB45"/>
    <mergeCell ref="C46:D46"/>
    <mergeCell ref="AA46:AB46"/>
    <mergeCell ref="C55:D55"/>
    <mergeCell ref="AA55:AB55"/>
    <mergeCell ref="AA32:AB32"/>
    <mergeCell ref="C33:D33"/>
    <mergeCell ref="A43:A46"/>
    <mergeCell ref="C43:D43"/>
    <mergeCell ref="R43:R46"/>
    <mergeCell ref="AA43:AB43"/>
    <mergeCell ref="C39:D39"/>
    <mergeCell ref="AA39:AB39"/>
    <mergeCell ref="C40:D40"/>
    <mergeCell ref="AA40:AB40"/>
    <mergeCell ref="C41:D41"/>
    <mergeCell ref="AA41:AB41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C42:D42"/>
    <mergeCell ref="AA42:AB42"/>
    <mergeCell ref="A28:A35"/>
    <mergeCell ref="C28:D28"/>
    <mergeCell ref="R28:R35"/>
    <mergeCell ref="AA28:AB28"/>
    <mergeCell ref="AA33:AB33"/>
    <mergeCell ref="C34:D34"/>
    <mergeCell ref="AA34:AB34"/>
    <mergeCell ref="C35:D35"/>
    <mergeCell ref="AA35:AB35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9:O66 O55:O56 O69 O5:O9 O12:O14 O20:O52">
    <cfRule type="cellIs" dxfId="985" priority="61" operator="greaterThan">
      <formula>0</formula>
    </cfRule>
  </conditionalFormatting>
  <conditionalFormatting sqref="P5:P7 P59 AE59 P61:P66 P28:P34 P56 P9 P12:P14 P21:P26 P47:P52 P36:P45 AE5:AE56 AE61:AE69">
    <cfRule type="cellIs" dxfId="984" priority="65" operator="lessThan">
      <formula>0</formula>
    </cfRule>
  </conditionalFormatting>
  <conditionalFormatting sqref="AF59 Q59:Q66 Q55:Q56 Q69 Q5:Q9 Q12:Q14 Q20:Q52 AF5:AF56 AF61:AF69">
    <cfRule type="cellIs" dxfId="983" priority="62" operator="greaterThan">
      <formula>1</formula>
    </cfRule>
    <cfRule type="cellIs" dxfId="982" priority="63" operator="lessThan">
      <formula>0.8</formula>
    </cfRule>
  </conditionalFormatting>
  <conditionalFormatting sqref="AG13:AG14 R13:R14 AG59 R59:R66 AG55:AG56 R55:R56 R69 AG5:AG9 R5:R9 AG20:AG52 R20:R52">
    <cfRule type="cellIs" dxfId="981" priority="67" operator="lessThan">
      <formula>0.8</formula>
    </cfRule>
  </conditionalFormatting>
  <conditionalFormatting sqref="AG43">
    <cfRule type="cellIs" dxfId="980" priority="69" operator="lessThan">
      <formula>0.8</formula>
    </cfRule>
  </conditionalFormatting>
  <conditionalFormatting sqref="AG21:AG26">
    <cfRule type="cellIs" dxfId="979" priority="66" operator="lessThan">
      <formula>0.8</formula>
    </cfRule>
  </conditionalFormatting>
  <conditionalFormatting sqref="AG28">
    <cfRule type="cellIs" dxfId="978" priority="68" operator="lessThan">
      <formula>0.8</formula>
    </cfRule>
  </conditionalFormatting>
  <conditionalFormatting sqref="AG36:AG41">
    <cfRule type="cellIs" dxfId="977" priority="64" operator="lessThan">
      <formula>0.8</formula>
    </cfRule>
  </conditionalFormatting>
  <conditionalFormatting sqref="AE60">
    <cfRule type="cellIs" dxfId="976" priority="60" operator="lessThan">
      <formula>0</formula>
    </cfRule>
  </conditionalFormatting>
  <conditionalFormatting sqref="AF60">
    <cfRule type="cellIs" dxfId="975" priority="58" operator="greaterThan">
      <formula>1</formula>
    </cfRule>
    <cfRule type="cellIs" dxfId="974" priority="59" operator="lessThan">
      <formula>0.8</formula>
    </cfRule>
  </conditionalFormatting>
  <conditionalFormatting sqref="O15:O16">
    <cfRule type="cellIs" dxfId="973" priority="53" operator="greaterThan">
      <formula>0</formula>
    </cfRule>
  </conditionalFormatting>
  <conditionalFormatting sqref="P15:P16">
    <cfRule type="cellIs" dxfId="972" priority="56" operator="lessThan">
      <formula>0</formula>
    </cfRule>
  </conditionalFormatting>
  <conditionalFormatting sqref="Q15:Q16">
    <cfRule type="cellIs" dxfId="971" priority="54" operator="greaterThan">
      <formula>1</formula>
    </cfRule>
    <cfRule type="cellIs" dxfId="970" priority="55" operator="lessThan">
      <formula>0.8</formula>
    </cfRule>
  </conditionalFormatting>
  <conditionalFormatting sqref="R15:R16 AG15:AG16">
    <cfRule type="cellIs" dxfId="969" priority="57" operator="lessThan">
      <formula>0.8</formula>
    </cfRule>
  </conditionalFormatting>
  <conditionalFormatting sqref="O10:O11">
    <cfRule type="cellIs" dxfId="968" priority="49" operator="greaterThan">
      <formula>0</formula>
    </cfRule>
  </conditionalFormatting>
  <conditionalFormatting sqref="P10:P11">
    <cfRule type="cellIs" dxfId="967" priority="52" operator="lessThan">
      <formula>0</formula>
    </cfRule>
  </conditionalFormatting>
  <conditionalFormatting sqref="Q10:Q11">
    <cfRule type="cellIs" dxfId="966" priority="50" operator="greaterThan">
      <formula>1</formula>
    </cfRule>
    <cfRule type="cellIs" dxfId="965" priority="51" operator="lessThan">
      <formula>0.8</formula>
    </cfRule>
  </conditionalFormatting>
  <conditionalFormatting sqref="O53">
    <cfRule type="cellIs" dxfId="964" priority="44" operator="greaterThan">
      <formula>0</formula>
    </cfRule>
  </conditionalFormatting>
  <conditionalFormatting sqref="P53">
    <cfRule type="cellIs" dxfId="963" priority="47" operator="lessThan">
      <formula>0</formula>
    </cfRule>
  </conditionalFormatting>
  <conditionalFormatting sqref="Q53">
    <cfRule type="cellIs" dxfId="962" priority="45" operator="greaterThan">
      <formula>1</formula>
    </cfRule>
    <cfRule type="cellIs" dxfId="961" priority="46" operator="lessThan">
      <formula>0.8</formula>
    </cfRule>
  </conditionalFormatting>
  <conditionalFormatting sqref="R53 AG53">
    <cfRule type="cellIs" dxfId="960" priority="48" operator="lessThan">
      <formula>0.8</formula>
    </cfRule>
  </conditionalFormatting>
  <conditionalFormatting sqref="O58">
    <cfRule type="cellIs" dxfId="959" priority="39" operator="greaterThan">
      <formula>0</formula>
    </cfRule>
  </conditionalFormatting>
  <conditionalFormatting sqref="P58 AE58">
    <cfRule type="cellIs" dxfId="958" priority="42" operator="lessThan">
      <formula>0</formula>
    </cfRule>
  </conditionalFormatting>
  <conditionalFormatting sqref="Q58 AF58">
    <cfRule type="cellIs" dxfId="957" priority="40" operator="greaterThan">
      <formula>1</formula>
    </cfRule>
    <cfRule type="cellIs" dxfId="956" priority="41" operator="lessThan">
      <formula>0.8</formula>
    </cfRule>
  </conditionalFormatting>
  <conditionalFormatting sqref="R58 AG58">
    <cfRule type="cellIs" dxfId="955" priority="43" operator="lessThan">
      <formula>0.8</formula>
    </cfRule>
  </conditionalFormatting>
  <conditionalFormatting sqref="O67">
    <cfRule type="cellIs" dxfId="954" priority="34" operator="greaterThan">
      <formula>0</formula>
    </cfRule>
  </conditionalFormatting>
  <conditionalFormatting sqref="P67">
    <cfRule type="cellIs" dxfId="953" priority="37" operator="lessThan">
      <formula>0</formula>
    </cfRule>
  </conditionalFormatting>
  <conditionalFormatting sqref="Q67">
    <cfRule type="cellIs" dxfId="952" priority="35" operator="greaterThan">
      <formula>1</formula>
    </cfRule>
    <cfRule type="cellIs" dxfId="951" priority="36" operator="lessThan">
      <formula>0.8</formula>
    </cfRule>
  </conditionalFormatting>
  <conditionalFormatting sqref="R67">
    <cfRule type="cellIs" dxfId="950" priority="38" operator="lessThan">
      <formula>0.8</formula>
    </cfRule>
  </conditionalFormatting>
  <conditionalFormatting sqref="O17:O18">
    <cfRule type="cellIs" dxfId="949" priority="29" operator="greaterThan">
      <formula>0</formula>
    </cfRule>
  </conditionalFormatting>
  <conditionalFormatting sqref="P17:P18">
    <cfRule type="cellIs" dxfId="948" priority="32" operator="lessThan">
      <formula>0</formula>
    </cfRule>
  </conditionalFormatting>
  <conditionalFormatting sqref="Q17:Q18">
    <cfRule type="cellIs" dxfId="947" priority="30" operator="greaterThan">
      <formula>1</formula>
    </cfRule>
    <cfRule type="cellIs" dxfId="946" priority="31" operator="lessThan">
      <formula>0.8</formula>
    </cfRule>
  </conditionalFormatting>
  <conditionalFormatting sqref="R17:R18 AG17:AG18">
    <cfRule type="cellIs" dxfId="945" priority="33" operator="lessThan">
      <formula>0.8</formula>
    </cfRule>
  </conditionalFormatting>
  <conditionalFormatting sqref="O54">
    <cfRule type="cellIs" dxfId="944" priority="24" operator="greaterThan">
      <formula>0</formula>
    </cfRule>
  </conditionalFormatting>
  <conditionalFormatting sqref="P54">
    <cfRule type="cellIs" dxfId="943" priority="27" operator="lessThan">
      <formula>0</formula>
    </cfRule>
  </conditionalFormatting>
  <conditionalFormatting sqref="Q54">
    <cfRule type="cellIs" dxfId="942" priority="25" operator="greaterThan">
      <formula>1</formula>
    </cfRule>
    <cfRule type="cellIs" dxfId="941" priority="26" operator="lessThan">
      <formula>0.8</formula>
    </cfRule>
  </conditionalFormatting>
  <conditionalFormatting sqref="AG54 R54">
    <cfRule type="cellIs" dxfId="940" priority="28" operator="lessThan">
      <formula>0.8</formula>
    </cfRule>
  </conditionalFormatting>
  <conditionalFormatting sqref="O57">
    <cfRule type="cellIs" dxfId="939" priority="19" operator="greaterThan">
      <formula>0</formula>
    </cfRule>
  </conditionalFormatting>
  <conditionalFormatting sqref="P57 AE57">
    <cfRule type="cellIs" dxfId="938" priority="22" operator="lessThan">
      <formula>0</formula>
    </cfRule>
  </conditionalFormatting>
  <conditionalFormatting sqref="Q57 AF57">
    <cfRule type="cellIs" dxfId="937" priority="20" operator="greaterThan">
      <formula>1</formula>
    </cfRule>
    <cfRule type="cellIs" dxfId="936" priority="21" operator="lessThan">
      <formula>0.8</formula>
    </cfRule>
  </conditionalFormatting>
  <conditionalFormatting sqref="R57 AG57">
    <cfRule type="cellIs" dxfId="935" priority="23" operator="lessThan">
      <formula>0.8</formula>
    </cfRule>
  </conditionalFormatting>
  <conditionalFormatting sqref="O19">
    <cfRule type="cellIs" dxfId="934" priority="14" operator="greaterThan">
      <formula>0</formula>
    </cfRule>
  </conditionalFormatting>
  <conditionalFormatting sqref="P19">
    <cfRule type="cellIs" dxfId="933" priority="17" operator="lessThan">
      <formula>0</formula>
    </cfRule>
  </conditionalFormatting>
  <conditionalFormatting sqref="Q19">
    <cfRule type="cellIs" dxfId="932" priority="15" operator="greaterThan">
      <formula>1</formula>
    </cfRule>
    <cfRule type="cellIs" dxfId="931" priority="16" operator="lessThan">
      <formula>0.8</formula>
    </cfRule>
  </conditionalFormatting>
  <conditionalFormatting sqref="AG19 R19">
    <cfRule type="cellIs" dxfId="930" priority="18" operator="lessThan">
      <formula>0.8</formula>
    </cfRule>
  </conditionalFormatting>
  <conditionalFormatting sqref="P8">
    <cfRule type="cellIs" dxfId="929" priority="13" operator="lessThan">
      <formula>0</formula>
    </cfRule>
  </conditionalFormatting>
  <conditionalFormatting sqref="P20">
    <cfRule type="cellIs" dxfId="928" priority="12" operator="lessThan">
      <formula>0</formula>
    </cfRule>
  </conditionalFormatting>
  <conditionalFormatting sqref="P27">
    <cfRule type="cellIs" dxfId="927" priority="11" operator="lessThan">
      <formula>0</formula>
    </cfRule>
  </conditionalFormatting>
  <conditionalFormatting sqref="P35">
    <cfRule type="cellIs" dxfId="926" priority="10" operator="lessThan">
      <formula>0</formula>
    </cfRule>
  </conditionalFormatting>
  <conditionalFormatting sqref="P46">
    <cfRule type="cellIs" dxfId="925" priority="9" operator="lessThan">
      <formula>0</formula>
    </cfRule>
  </conditionalFormatting>
  <conditionalFormatting sqref="P55">
    <cfRule type="cellIs" dxfId="924" priority="8" operator="lessThan">
      <formula>0</formula>
    </cfRule>
  </conditionalFormatting>
  <conditionalFormatting sqref="P60">
    <cfRule type="cellIs" dxfId="923" priority="7" operator="lessThan">
      <formula>0</formula>
    </cfRule>
  </conditionalFormatting>
  <conditionalFormatting sqref="P69">
    <cfRule type="cellIs" dxfId="922" priority="6" operator="lessThan">
      <formula>0</formula>
    </cfRule>
  </conditionalFormatting>
  <conditionalFormatting sqref="O68">
    <cfRule type="cellIs" dxfId="921" priority="1" operator="greaterThan">
      <formula>0</formula>
    </cfRule>
  </conditionalFormatting>
  <conditionalFormatting sqref="P68">
    <cfRule type="cellIs" dxfId="920" priority="4" operator="lessThan">
      <formula>0</formula>
    </cfRule>
  </conditionalFormatting>
  <conditionalFormatting sqref="Q68">
    <cfRule type="cellIs" dxfId="919" priority="2" operator="greaterThan">
      <formula>1</formula>
    </cfRule>
    <cfRule type="cellIs" dxfId="918" priority="3" operator="lessThan">
      <formula>0.8</formula>
    </cfRule>
  </conditionalFormatting>
  <conditionalFormatting sqref="R68">
    <cfRule type="cellIs" dxfId="917" priority="5" operator="lessThan">
      <formula>0.8</formula>
    </cfRule>
  </conditionalFormatting>
  <dataValidations count="1">
    <dataValidation type="list" allowBlank="1" showInputMessage="1" showErrorMessage="1" sqref="AB8 AA5:AB7 AA8:AA59 AB10:AB56 AA60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H9" sqref="H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1097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1098</v>
      </c>
      <c r="C3" s="596" t="str">
        <f>TEXT('0911 4度C'!A2,"yyyy.mm.ddaaaa")</f>
        <v>2026.09.11星期五</v>
      </c>
      <c r="D3" s="597"/>
      <c r="E3" s="39" t="s">
        <v>1099</v>
      </c>
      <c r="F3" s="598">
        <f>'0911 4度C'!D1</f>
        <v>131851</v>
      </c>
      <c r="G3" s="599"/>
      <c r="H3" s="39" t="s">
        <v>1100</v>
      </c>
      <c r="I3" s="600">
        <f>'0911 4度C'!F1</f>
        <v>4476377.9399999995</v>
      </c>
      <c r="J3" s="601"/>
      <c r="K3" s="40"/>
      <c r="L3" s="41"/>
      <c r="M3" s="42"/>
      <c r="N3" s="42"/>
    </row>
    <row r="4" spans="2:17" ht="28.5" customHeight="1">
      <c r="B4" s="602" t="s">
        <v>1101</v>
      </c>
      <c r="C4" s="588" t="s">
        <v>1102</v>
      </c>
      <c r="D4" s="589"/>
      <c r="E4" s="605" t="s">
        <v>1103</v>
      </c>
      <c r="F4" s="606"/>
      <c r="G4" s="605" t="s">
        <v>1104</v>
      </c>
      <c r="H4" s="606"/>
      <c r="I4" s="605" t="s">
        <v>1105</v>
      </c>
      <c r="J4" s="606"/>
      <c r="K4" s="586" t="s">
        <v>1106</v>
      </c>
      <c r="L4" s="587"/>
      <c r="M4" s="587" t="s">
        <v>1107</v>
      </c>
      <c r="N4" s="587"/>
    </row>
    <row r="5" spans="2:17" ht="28.5" customHeight="1">
      <c r="B5" s="603"/>
      <c r="C5" s="588" t="s">
        <v>1108</v>
      </c>
      <c r="D5" s="589"/>
      <c r="E5" s="588" t="s">
        <v>1109</v>
      </c>
      <c r="F5" s="589"/>
      <c r="G5" s="590" t="s">
        <v>1110</v>
      </c>
      <c r="H5" s="591"/>
      <c r="I5" s="592" t="s">
        <v>1111</v>
      </c>
      <c r="J5" s="593"/>
      <c r="K5" s="43" t="s">
        <v>1112</v>
      </c>
      <c r="L5" s="44" t="s">
        <v>1113</v>
      </c>
      <c r="M5" s="43" t="s">
        <v>1112</v>
      </c>
      <c r="N5" s="44" t="s">
        <v>1114</v>
      </c>
    </row>
    <row r="6" spans="2:17" ht="28.5" customHeight="1">
      <c r="B6" s="603"/>
      <c r="C6" s="588" t="s">
        <v>56</v>
      </c>
      <c r="D6" s="589"/>
      <c r="E6" s="580">
        <f>AVERAGE(D13:M13)</f>
        <v>156.82486714203915</v>
      </c>
      <c r="F6" s="581">
        <f>AVERAGE(D31:O31,D13:J13)</f>
        <v>164.48429346990406</v>
      </c>
      <c r="G6" s="582">
        <f>AVERAGE(D13:J13)</f>
        <v>164.48429346990406</v>
      </c>
      <c r="H6" s="583"/>
      <c r="I6" s="582">
        <f>AVERAGE(K13:M13)</f>
        <v>138.95287237702098</v>
      </c>
      <c r="J6" s="583"/>
      <c r="K6" s="584">
        <f>'0911 4度C'!Y2</f>
        <v>0</v>
      </c>
      <c r="L6" s="569">
        <f>'0911 4度C'!Z2</f>
        <v>0</v>
      </c>
      <c r="M6" s="585">
        <f>'0911 4度C'!AC2</f>
        <v>53</v>
      </c>
      <c r="N6" s="569">
        <f>'0911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150.48042003050381</v>
      </c>
      <c r="F7" s="573">
        <f>AVERAGE(D32:O32,D14:J14)</f>
        <v>157.80607355898812</v>
      </c>
      <c r="G7" s="574">
        <f>AVERAGE(D14:J14)</f>
        <v>157.80607355898812</v>
      </c>
      <c r="H7" s="575"/>
      <c r="I7" s="574">
        <f>AVERAGE(K14:M14)</f>
        <v>133.38722846404045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0.96027416656944864</v>
      </c>
      <c r="F8" s="577">
        <f>AVERAGE(D15:J15,D33:O33)</f>
        <v>0.9605162420136486</v>
      </c>
      <c r="G8" s="578">
        <f>AVERAGE(D15:J15)</f>
        <v>0.9605162420136486</v>
      </c>
      <c r="H8" s="579"/>
      <c r="I8" s="578">
        <f>AVERAGE(K15:M15)</f>
        <v>0.95970932386631558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1115</v>
      </c>
      <c r="N9" s="42"/>
      <c r="O9" s="42"/>
      <c r="P9" s="42"/>
      <c r="Q9" s="42"/>
    </row>
    <row r="10" spans="2:17" ht="30" customHeight="1">
      <c r="B10" s="552" t="s">
        <v>1116</v>
      </c>
      <c r="C10" s="553"/>
      <c r="D10" s="554" t="s">
        <v>1117</v>
      </c>
      <c r="E10" s="555"/>
      <c r="F10" s="555"/>
      <c r="G10" s="555"/>
      <c r="H10" s="555"/>
      <c r="I10" s="555"/>
      <c r="J10" s="556"/>
      <c r="K10" s="557" t="s">
        <v>1118</v>
      </c>
      <c r="L10" s="558"/>
      <c r="M10" s="559"/>
      <c r="P10" s="48"/>
      <c r="Q10" s="48"/>
    </row>
    <row r="11" spans="2:17" ht="17.25" customHeight="1">
      <c r="B11" s="560" t="s">
        <v>1119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1120</v>
      </c>
      <c r="C13" s="55" t="s">
        <v>1121</v>
      </c>
      <c r="D13" s="56">
        <f>SUMIFS('0911 4度C'!$K:$K,'0911 4度C'!$A:$A,"新豐6線",'0911 4度C'!$B:$B,"平均")</f>
        <v>136.36363636363637</v>
      </c>
      <c r="E13" s="57">
        <f>SUMIFS('0911 4度C'!$K:$K,'0911 4度C'!$A:$A,"新豐2線",'0911 4度C'!$B:$B,"平均")</f>
        <v>81.818181818181827</v>
      </c>
      <c r="F13" s="58">
        <f>SUMIFS('0911 4度C'!$K:$K,'0911 4度C'!$A:$A,"新豐5線",'0911 4度C'!$B:$B,"平均")</f>
        <v>104.16666666666667</v>
      </c>
      <c r="G13" s="58">
        <f>SUMIFS('0911 4度C'!$K:$K,'0911 4度C'!$A:$A,"新豐7線",'0911 4度C'!$B:$B,"平均")</f>
        <v>126.31578947368421</v>
      </c>
      <c r="H13" s="58">
        <f>SUMIFS('0911 4度C'!$K:$K,'0911 4度C'!$A:$A,"新豐3線",'0911 4度C'!$B:$B,"平均")</f>
        <v>310.34482758620692</v>
      </c>
      <c r="I13" s="58">
        <f>SUMIFS('0911 4度C'!$K:$K,'0911 4度C'!$A:$A,"新豐1線",'0911 4度C'!$B:$B,"平均")</f>
        <v>106.66666666666667</v>
      </c>
      <c r="J13" s="59">
        <f>SUMIFS('0911 4度C'!$K:$K,'0911 4度C'!$A:$A,"新豐10線",'0911 4度C'!$B:$B,"平均")</f>
        <v>285.71428571428572</v>
      </c>
      <c r="K13" s="60">
        <f>SUMIFS('0911 4度C'!$K:$K,'0911 4度C'!$A:$A,"新豐8線",'0911 4度C'!$B:$B,"平均")</f>
        <v>144</v>
      </c>
      <c r="L13" s="61">
        <f>SUMIFS('0911 4度C'!$K:$K,'0911 4度C'!$A:$A,"新豐9線",'0911 4度C'!$B:$B,"平均")</f>
        <v>125.49019607843138</v>
      </c>
      <c r="M13" s="59">
        <f>SUMIFS('0911 4度C'!$K:$K,'0911 4度C'!$A:$A,"新豐4線",'0911 4度C'!$B:$B,"平均")</f>
        <v>147.36842105263159</v>
      </c>
    </row>
    <row r="14" spans="2:17" ht="39.6" customHeight="1">
      <c r="B14" s="565"/>
      <c r="C14" s="62" t="s">
        <v>1122</v>
      </c>
      <c r="D14" s="63">
        <f>SUMIFS('0911 4度C'!$N:$N,'0911 4度C'!$A:$A,"新豐6線",'0911 4度C'!$B:$B,"平均")</f>
        <v>131.38133093321767</v>
      </c>
      <c r="E14" s="64">
        <f>SUMIFS('0911 4度C'!$N:$N,'0911 4度C'!$A:$A,"新豐2線",'0911 4度C'!$B:$B,"平均")</f>
        <v>78.134649490294663</v>
      </c>
      <c r="F14" s="64">
        <f>SUMIFS('0911 4度C'!$N:$N,'0911 4度C'!$A:$A,"新豐5線",'0911 4度C'!$B:$B,"平均")</f>
        <v>100.26246145509305</v>
      </c>
      <c r="G14" s="64">
        <f>SUMIFS('0911 4度C'!$N:$N,'0911 4度C'!$A:$A,"新豐7線",'0911 4度C'!$B:$B,"平均")</f>
        <v>122.090676920809</v>
      </c>
      <c r="H14" s="64">
        <f>SUMIFS('0911 4度C'!$N:$N,'0911 4度C'!$A:$A,"新豐3線",'0911 4度C'!$B:$B,"平均")</f>
        <v>296.29985492690543</v>
      </c>
      <c r="I14" s="64">
        <f>SUMIFS('0911 4度C'!$N:$N,'0911 4度C'!$A:$A,"新豐1線",'0911 4度C'!$B:$B,"平均")</f>
        <v>102.7573375082621</v>
      </c>
      <c r="J14" s="65">
        <f>SUMIFS('0911 4度C'!$N:$N,'0911 4度C'!$A:$A,"新豐10線",'0911 4度C'!$B:$B,"平均")</f>
        <v>273.71620367833481</v>
      </c>
      <c r="K14" s="66">
        <f>SUMIFS('0911 4度C'!$N:$N,'0911 4度C'!$A:$A,"新豐8線",'0911 4度C'!$B:$B,"平均")</f>
        <v>137.89760282302967</v>
      </c>
      <c r="L14" s="67">
        <f>SUMIFS('0911 4度C'!$N:$N,'0911 4度C'!$A:$A,"新豐9線",'0911 4度C'!$B:$B,"平均")</f>
        <v>119.90897344900915</v>
      </c>
      <c r="M14" s="65">
        <f>SUMIFS('0911 4度C'!$N:$N,'0911 4度C'!$A:$A,"新豐4線",'0911 4度C'!$B:$B,"平均")</f>
        <v>142.35510912008255</v>
      </c>
    </row>
    <row r="15" spans="2:17" ht="40.15" customHeight="1">
      <c r="B15" s="566"/>
      <c r="C15" s="68" t="s">
        <v>1123</v>
      </c>
      <c r="D15" s="69">
        <f t="shared" ref="D15:M15" si="0">D14/D13</f>
        <v>0.96346309351026282</v>
      </c>
      <c r="E15" s="70">
        <f t="shared" si="0"/>
        <v>0.95497904932582356</v>
      </c>
      <c r="F15" s="70">
        <f t="shared" si="0"/>
        <v>0.96251962996889318</v>
      </c>
      <c r="G15" s="70">
        <f t="shared" si="0"/>
        <v>0.96655119228973796</v>
      </c>
      <c r="H15" s="70">
        <f t="shared" si="0"/>
        <v>0.95474397698669522</v>
      </c>
      <c r="I15" s="70">
        <f t="shared" si="0"/>
        <v>0.96335003913995709</v>
      </c>
      <c r="J15" s="71">
        <f t="shared" si="0"/>
        <v>0.95800671287417183</v>
      </c>
      <c r="K15" s="69">
        <f t="shared" si="0"/>
        <v>0.95762224182659494</v>
      </c>
      <c r="L15" s="70">
        <f t="shared" si="0"/>
        <v>0.95552463217179162</v>
      </c>
      <c r="M15" s="71">
        <f t="shared" si="0"/>
        <v>0.96598109760056006</v>
      </c>
    </row>
    <row r="16" spans="2:17" ht="17.25" customHeight="1">
      <c r="B16" s="567" t="s">
        <v>1124</v>
      </c>
      <c r="C16" s="72" t="s">
        <v>1125</v>
      </c>
      <c r="D16" s="73">
        <f>VLOOKUP("新豐6線",'0911 4度C'!$A:$T,19,0)</f>
        <v>0.70833333333333337</v>
      </c>
      <c r="E16" s="74">
        <f>VLOOKUP("新豐2線",'0911 4度C'!$A:$T,19,0)</f>
        <v>8.3333333333333329E-2</v>
      </c>
      <c r="F16" s="74">
        <f>VLOOKUP("新豐5線",'0911 4度C'!$A:$T,19,0)</f>
        <v>0.20833333333333334</v>
      </c>
      <c r="G16" s="74">
        <f>VLOOKUP("新豐7線",'0911 4度C'!$A:$T,19,0)</f>
        <v>0.20833333333333334</v>
      </c>
      <c r="H16" s="74">
        <f>VLOOKUP("新豐3線",'0911 4度C'!$A:$T,19,0)</f>
        <v>0.20833333333333334</v>
      </c>
      <c r="I16" s="74">
        <f>VLOOKUP("新豐1線",'0911 4度C'!$A:$T,19,0)</f>
        <v>0.20833333333333334</v>
      </c>
      <c r="J16" s="75">
        <f>VLOOKUP("新豐10線",'0911 4度C'!$A:$T,19,0)</f>
        <v>0.20833333333333334</v>
      </c>
      <c r="K16" s="76">
        <f>VLOOKUP("新豐8線",'0911 4度C'!$A:$T,19,0)</f>
        <v>8.3333333333333329E-2</v>
      </c>
      <c r="L16" s="77">
        <f>VLOOKUP("新豐9線",'0911 4度C'!$A:$T,19,0)</f>
        <v>8.3333333333333329E-2</v>
      </c>
      <c r="M16" s="78">
        <f>VLOOKUP("新豐4線",'0911 4度C'!$A:$T,19,0)</f>
        <v>8.3333333333333329E-2</v>
      </c>
    </row>
    <row r="17" spans="2:13" ht="17.25" customHeight="1">
      <c r="B17" s="568"/>
      <c r="C17" s="72" t="s">
        <v>1126</v>
      </c>
      <c r="D17" s="76">
        <f>LOOKUP(2,1/(('0911 4度C'!$A:$A="新豐6線")*('0911 4度C'!$T:$T&lt;&gt;"")),'0911 4度C'!$T:$T)</f>
        <v>0.81041666666666667</v>
      </c>
      <c r="E17" s="74">
        <f>LOOKUP(2,1/(('0911 4度C'!$A:$A="新豐2線")*('0911 4度C'!$T:$T&lt;&gt;"")),'0911 4度C'!$T:$T)</f>
        <v>0.42152777777777778</v>
      </c>
      <c r="F17" s="74">
        <f>LOOKUP(2,1/(('0911 4度C'!$A:$A="新豐5線")*('0911 4度C'!$T:$T&lt;&gt;"")),'0911 4度C'!$T:$T)</f>
        <v>0.80902777777777779</v>
      </c>
      <c r="G17" s="74">
        <f>LOOKUP(2,1/(('0911 4度C'!$A:$A="新豐7線")*('0911 4度C'!$T:$T&lt;&gt;"")),'0911 4度C'!$T:$T)</f>
        <v>0.80486111111111114</v>
      </c>
      <c r="H17" s="74">
        <f>LOOKUP(2,1/(('0911 4度C'!$A:$A="新豐3線")*('0911 4度C'!$T:$T&lt;&gt;"")),'0911 4度C'!$T:$T)</f>
        <v>0.36458333333333331</v>
      </c>
      <c r="I17" s="74">
        <f>LOOKUP(2,1/(('0911 4度C'!$A:$A="新豐1線")*('0911 4度C'!$T:$T&lt;&gt;"")),'0911 4度C'!$T:$T)</f>
        <v>0.82847222222222217</v>
      </c>
      <c r="J17" s="75">
        <f>LOOKUP(2,1/(('0911 4度C'!$A:$A="新豐10線")*('0911 4度C'!$T:$T&lt;&gt;"")),'0911 4度C'!$T:$T)</f>
        <v>0.38263888888888881</v>
      </c>
      <c r="K17" s="73">
        <f>LOOKUP(2,1/(('0911 4度C'!$A:$A="新豐8線")*('0911 4度C'!$T:$T&lt;&gt;"")),'0911 4度C'!$T:$T)</f>
        <v>0.60624999999999996</v>
      </c>
      <c r="L17" s="74">
        <f>LOOKUP(2,1/(('0911 4度C'!$A:$A="新豐9線")*('0911 4度C'!$T:$T&lt;&gt;"")),'0911 4度C'!$T:$T)</f>
        <v>0.57013888888888886</v>
      </c>
      <c r="M17" s="75">
        <f>LOOKUP(2,1/(('0911 4度C'!$A:$A="新豐4線")*('0911 4度C'!$T:$T&lt;&gt;"")),'0911 4度C'!$T:$T)</f>
        <v>0.51041666666666663</v>
      </c>
    </row>
    <row r="18" spans="2:13" ht="17.25" customHeight="1">
      <c r="B18" s="546" t="s">
        <v>1127</v>
      </c>
      <c r="C18" s="79" t="s">
        <v>1128</v>
      </c>
      <c r="D18" s="80">
        <f>SUMIFS('0911 4度C'!$Y:$Y,'0911 4度C'!$A:$A,"新豐6線",'0911 4度C'!$B:$B,"平均")</f>
        <v>0</v>
      </c>
      <c r="E18" s="81">
        <f>SUMIFS('0911 4度C'!$Y:$Y,'0911 4度C'!$A:$A,"新豐2線",'0911 4度C'!$B:$B,"平均")</f>
        <v>0</v>
      </c>
      <c r="F18" s="81">
        <f>SUMIFS('0911 4度C'!$Y:$Y,'0911 4度C'!$A:$A,"新豐5線",'0911 4度C'!$B:$B,"平均")</f>
        <v>0</v>
      </c>
      <c r="G18" s="81">
        <f>SUMIFS('0911 4度C'!$Y:$Y,'0911 4度C'!$A:$A,"新豐7線",'0911 4度C'!$B:$B,"平均")</f>
        <v>0</v>
      </c>
      <c r="H18" s="81">
        <f>SUMIFS('0911 4度C'!$Y:$Y,'0911 4度C'!$A:$A,"新豐3線",'0911 4度C'!$B:$B,"平均")</f>
        <v>0</v>
      </c>
      <c r="I18" s="81">
        <f>SUMIFS('0911 4度C'!$Y:$Y,'0911 4度C'!$A:$A,"新豐1線",'0911 4度C'!$B:$B,"平均")</f>
        <v>0</v>
      </c>
      <c r="J18" s="82">
        <f>SUMIFS('0911 4度C'!$Y:$Y,'0911 4度C'!$A:$A,"新豐10線",'0911 4度C'!$B:$B,"平均")</f>
        <v>0</v>
      </c>
      <c r="K18" s="83">
        <f>SUMIFS('0911 4度C'!$Y:$Y,'0911 4度C'!$A:$A,"新豐8線",'0911 4度C'!$B:$B,"平均")</f>
        <v>0</v>
      </c>
      <c r="L18" s="81">
        <f>SUMIFS('0911 4度C'!$Y:$Y,'0911 4度C'!$A:$A,"新豐9線",'0911 4度C'!$B:$B,"平均")</f>
        <v>0</v>
      </c>
      <c r="M18" s="82">
        <f>SUMIFS('0911 4度C'!$Y:$Y,'0911 4度C'!$A:$A,"新豐4線",'0911 4度C'!$B:$B,"平均")</f>
        <v>0</v>
      </c>
    </row>
    <row r="19" spans="2:13" ht="17.25" customHeight="1">
      <c r="B19" s="547"/>
      <c r="C19" s="79" t="s">
        <v>1129</v>
      </c>
      <c r="D19" s="80">
        <f>SUMIFS('0911 4度C'!$Z:$Z,'0911 4度C'!$A:$A,"新豐6線",'0911 4度C'!$B:$B,"平均")</f>
        <v>0</v>
      </c>
      <c r="E19" s="81">
        <f>SUMIFS('0911 4度C'!$Z:$Z,'0911 4度C'!$A:$A,"新豐2線",'0911 4度C'!$B:$B,"平均")</f>
        <v>0</v>
      </c>
      <c r="F19" s="81">
        <f>SUMIFS('0911 4度C'!$Z:$Z,'0911 4度C'!$A:$A,"新豐5線",'0911 4度C'!$B:$B,"平均")</f>
        <v>0</v>
      </c>
      <c r="G19" s="81">
        <f>SUMIFS('0911 4度C'!$Z:$Z,'0911 4度C'!$A:$A,"新豐7線",'0911 4度C'!$B:$B,"平均")</f>
        <v>0</v>
      </c>
      <c r="H19" s="81">
        <f>SUMIFS('0911 4度C'!$Z:$Z,'0911 4度C'!$A:$A,"新豐3線",'0911 4度C'!$B:$B,"平均")</f>
        <v>0</v>
      </c>
      <c r="I19" s="81">
        <f>SUMIFS('0911 4度C'!$Z:$Z,'0911 4度C'!$A:$A,"新豐1線",'0911 4度C'!$B:$B,"平均")</f>
        <v>0</v>
      </c>
      <c r="J19" s="82">
        <f>SUMIFS('0911 4度C'!$Z:$Z,'0911 4度C'!$A:$A,"新豐10線",'0911 4度C'!$B:$B,"平均")</f>
        <v>0</v>
      </c>
      <c r="K19" s="83">
        <f>SUMIFS('0911 4度C'!$Z:$Z,'0911 4度C'!$A:$A,"新豐8線",'0911 4度C'!$B:$B,"平均")</f>
        <v>0</v>
      </c>
      <c r="L19" s="81">
        <f>SUMIFS('0911 4度C'!$Z:$Z,'0911 4度C'!$A:$A,"新豐9線",'0911 4度C'!$B:$B,"平均")</f>
        <v>0</v>
      </c>
      <c r="M19" s="82">
        <f>SUMIFS('0911 4度C'!$Z:$Z,'0911 4度C'!$A:$A,"新豐4線",'0911 4度C'!$B:$B,"平均")</f>
        <v>0</v>
      </c>
    </row>
    <row r="20" spans="2:13" ht="17.25" customHeight="1">
      <c r="B20" s="546" t="s">
        <v>1130</v>
      </c>
      <c r="C20" s="79" t="s">
        <v>1128</v>
      </c>
      <c r="D20" s="80">
        <f>SUMIFS('0911 4度C'!$AC:$AC,'0911 4度C'!$A:$A,"新豐6線",'0911 4度C'!$B:$B,"平均")</f>
        <v>3</v>
      </c>
      <c r="E20" s="81">
        <f>SUMIFS('0911 4度C'!$AC:$AC,'0911 4度C'!$A:$A,"新豐2線",'0911 4度C'!$B:$B,"平均")</f>
        <v>3</v>
      </c>
      <c r="F20" s="81">
        <f>SUMIFS('0911 4度C'!$AC:$AC,'0911 4度C'!$A:$A,"新豐5線",'0911 4度C'!$B:$B,"平均")</f>
        <v>7</v>
      </c>
      <c r="G20" s="81">
        <f>SUMIFS('0911 4度C'!$AC:$AC,'0911 4度C'!$A:$A,"新豐7線",'0911 4度C'!$B:$B,"平均")</f>
        <v>6</v>
      </c>
      <c r="H20" s="81">
        <f>SUMIFS('0911 4度C'!$AC:$AC,'0911 4度C'!$A:$A,"新豐3線",'0911 4度C'!$B:$B,"平均")</f>
        <v>3</v>
      </c>
      <c r="I20" s="81">
        <f>SUMIFS('0911 4度C'!$AC:$AC,'0911 4度C'!$A:$A,"新豐1線",'0911 4度C'!$B:$B,"平均")</f>
        <v>8</v>
      </c>
      <c r="J20" s="82">
        <f>SUMIFS('0911 4度C'!$AC:$AC,'0911 4度C'!$A:$A,"新豐10線",'0911 4度C'!$B:$B,"平均")</f>
        <v>4</v>
      </c>
      <c r="K20" s="83">
        <f>SUMIFS('0911 4度C'!$AC:$AC,'0911 4度C'!$A:$A,"新豐8線",'0911 4度C'!$B:$B,"平均")</f>
        <v>6</v>
      </c>
      <c r="L20" s="81">
        <f>SUMIFS('0911 4度C'!$AC:$AC,'0911 4度C'!$A:$A,"新豐9線",'0911 4度C'!$B:$B,"平均")</f>
        <v>6</v>
      </c>
      <c r="M20" s="82">
        <f>SUMIFS('0911 4度C'!$AC:$AC,'0911 4度C'!$A:$A,"新豐4線",'0911 4度C'!$B:$B,"平均")</f>
        <v>7</v>
      </c>
    </row>
    <row r="21" spans="2:13" ht="17.25" customHeight="1">
      <c r="B21" s="547"/>
      <c r="C21" s="79" t="s">
        <v>1131</v>
      </c>
      <c r="D21" s="80">
        <f>SUMIFS('0911 4度C'!$AD:$AD,'0911 4度C'!$A:$A,"新豐6線",'0911 4度C'!$B:$B,"平均")</f>
        <v>0</v>
      </c>
      <c r="E21" s="81">
        <f>SUMIFS('0911 4度C'!$AD:$AD,'0911 4度C'!$A:$A,"新豐2線",'0911 4度C'!$B:$B,"平均")</f>
        <v>0</v>
      </c>
      <c r="F21" s="81">
        <f>SUMIFS('0911 4度C'!$AD:$AD,'0911 4度C'!$A:$A,"新豐5線",'0911 4度C'!$B:$B,"平均")</f>
        <v>0</v>
      </c>
      <c r="G21" s="81">
        <f>SUMIFS('0911 4度C'!$AD:$AD,'0911 4度C'!$A:$A,"新豐7線",'0911 4度C'!$B:$B,"平均")</f>
        <v>0</v>
      </c>
      <c r="H21" s="81">
        <f>SUMIFS('0911 4度C'!$AD:$AD,'0911 4度C'!$A:$A,"新豐3線",'0911 4度C'!$B:$B,"平均")</f>
        <v>0</v>
      </c>
      <c r="I21" s="81">
        <f>SUMIFS('0911 4度C'!$AD:$AD,'0911 4度C'!$A:$A,"新豐1線",'0911 4度C'!$B:$B,"平均")</f>
        <v>0</v>
      </c>
      <c r="J21" s="82">
        <f>SUMIFS('0911 4度C'!$AD:$AD,'0911 4度C'!$A:$A,"新豐10線",'0911 4度C'!$B:$B,"平均")</f>
        <v>0</v>
      </c>
      <c r="K21" s="83">
        <f>SUMIFS('0911 4度C'!$AD:$AD,'0911 4度C'!$A:$A,"新豐8線",'0911 4度C'!$B:$B,"平均")</f>
        <v>0</v>
      </c>
      <c r="L21" s="81">
        <f>SUMIFS('0911 4度C'!$AD:$AD,'0911 4度C'!$A:$A,"新豐9線",'0911 4度C'!$B:$B,"平均")</f>
        <v>0</v>
      </c>
      <c r="M21" s="82">
        <f>SUMIFS('0911 4度C'!$AD:$AD,'0911 4度C'!$A:$A,"新豐4線",'0911 4度C'!$B:$B,"平均")</f>
        <v>0</v>
      </c>
    </row>
    <row r="22" spans="2:13" ht="17.25" customHeight="1">
      <c r="B22" s="548" t="s">
        <v>1132</v>
      </c>
      <c r="C22" s="549"/>
      <c r="D22" s="84">
        <f>SUMIFS('0911 4度C'!$I:$I,'0911 4度C'!$A:$A,"新豐6線",'0911 4度C'!$B:$B,"平均")</f>
        <v>14.666666666666666</v>
      </c>
      <c r="E22" s="85">
        <f>SUMIFS('0911 4度C'!$I:$I,'0911 4度C'!$A:$A,"新豐2線",'0911 4度C'!$B:$B,"平均")</f>
        <v>18.333333333333332</v>
      </c>
      <c r="F22" s="85">
        <f>SUMIFS('0911 4度C'!$I:$I,'0911 4度C'!$A:$A,"新豐5線",'0911 4度C'!$B:$B,"平均")</f>
        <v>17.142857142857142</v>
      </c>
      <c r="G22" s="85">
        <f>SUMIFS('0911 4度C'!$I:$I,'0911 4度C'!$A:$A,"新豐7線",'0911 4度C'!$B:$B,"平均")</f>
        <v>15.833333333333334</v>
      </c>
      <c r="H22" s="85">
        <f>SUMIFS('0911 4度C'!$I:$I,'0911 4度C'!$A:$A,"新豐3線",'0911 4度C'!$B:$B,"平均")</f>
        <v>9.6666666666666661</v>
      </c>
      <c r="I22" s="85">
        <f>SUMIFS('0911 4度C'!$I:$I,'0911 4度C'!$A:$A,"新豐1線",'0911 4度C'!$B:$B,"平均")</f>
        <v>18.75</v>
      </c>
      <c r="J22" s="86">
        <f>SUMIFS('0911 4度C'!$I:$I,'0911 4度C'!$A:$A,"新豐10線",'0911 4度C'!$B:$B,"平均")</f>
        <v>10.5</v>
      </c>
      <c r="K22" s="84">
        <f>SUMIFS('0911 4度C'!$I:$I,'0911 4度C'!$A:$A,"新豐8線",'0911 4度C'!$B:$B,"平均")</f>
        <v>16.666666666666668</v>
      </c>
      <c r="L22" s="85">
        <f>SUMIFS('0911 4度C'!$I:$I,'0911 4度C'!$A:$A,"新豐9線",'0911 4度C'!$B:$B,"平均")</f>
        <v>17</v>
      </c>
      <c r="M22" s="86">
        <f>SUMIFS('0911 4度C'!$I:$I,'0911 4度C'!$A:$A,"新豐4線",'0911 4度C'!$B:$B,"平均")</f>
        <v>16.285714285714285</v>
      </c>
    </row>
    <row r="23" spans="2:13" ht="17.25" customHeight="1">
      <c r="B23" s="548" t="s">
        <v>1133</v>
      </c>
      <c r="C23" s="549"/>
      <c r="D23" s="87" t="s">
        <v>69</v>
      </c>
      <c r="E23" s="88" t="s">
        <v>70</v>
      </c>
      <c r="F23" s="88" t="s">
        <v>1134</v>
      </c>
      <c r="G23" s="88" t="s">
        <v>1134</v>
      </c>
      <c r="H23" s="88" t="s">
        <v>71</v>
      </c>
      <c r="I23" s="88" t="s">
        <v>69</v>
      </c>
      <c r="J23" s="89" t="s">
        <v>71</v>
      </c>
      <c r="K23" s="87" t="s">
        <v>1135</v>
      </c>
      <c r="L23" s="88" t="s">
        <v>1136</v>
      </c>
      <c r="M23" s="89" t="s">
        <v>1136</v>
      </c>
    </row>
    <row r="24" spans="2:13" ht="17.25" customHeight="1">
      <c r="B24" s="548" t="s">
        <v>1137</v>
      </c>
      <c r="C24" s="549"/>
      <c r="D24" s="87"/>
      <c r="E24" s="88"/>
      <c r="F24" s="88" t="s">
        <v>1138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1139</v>
      </c>
      <c r="C25" s="551"/>
      <c r="D25" s="90"/>
      <c r="E25" s="91" t="s">
        <v>1140</v>
      </c>
      <c r="F25" s="544" t="s">
        <v>1141</v>
      </c>
      <c r="G25" s="545"/>
      <c r="H25" s="91" t="s">
        <v>1142</v>
      </c>
      <c r="I25" s="91" t="s">
        <v>1143</v>
      </c>
      <c r="J25" s="92" t="s">
        <v>1144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91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5" activePane="bottomLeft" state="frozen"/>
      <selection activeCell="H9" sqref="H9"/>
      <selection pane="bottomLeft" activeCell="H9" sqref="H9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1145</v>
      </c>
      <c r="B1" s="1"/>
      <c r="C1" s="2" t="s">
        <v>1146</v>
      </c>
      <c r="D1" s="3">
        <f>SUM(F5:F67)</f>
        <v>131851</v>
      </c>
      <c r="E1" s="252" t="s">
        <v>134</v>
      </c>
      <c r="F1" s="1">
        <f>SUM(G5:G67)</f>
        <v>4476377.9399999995</v>
      </c>
      <c r="G1" s="1" t="s">
        <v>135</v>
      </c>
      <c r="H1" s="4">
        <f>L8+L12+L45+L54+L20+L59+L34+L41+L27+L67</f>
        <v>154.8452380952381</v>
      </c>
      <c r="I1" s="660" t="s">
        <v>136</v>
      </c>
      <c r="J1" s="660"/>
      <c r="K1" s="660"/>
      <c r="L1" s="660" t="s">
        <v>1147</v>
      </c>
      <c r="M1" s="660"/>
      <c r="N1" s="660"/>
      <c r="O1" s="660" t="s">
        <v>1148</v>
      </c>
      <c r="P1" s="660"/>
      <c r="Q1" s="660"/>
      <c r="R1" s="660"/>
      <c r="S1" s="660" t="s">
        <v>1149</v>
      </c>
      <c r="T1" s="660"/>
      <c r="U1" s="660"/>
      <c r="V1" s="660"/>
      <c r="W1" s="660"/>
      <c r="X1" s="660"/>
      <c r="Y1" s="5" t="s">
        <v>1150</v>
      </c>
      <c r="Z1" s="6" t="s">
        <v>1151</v>
      </c>
      <c r="AA1" s="661" t="s">
        <v>142</v>
      </c>
      <c r="AB1" s="661"/>
      <c r="AC1" s="171" t="s">
        <v>1150</v>
      </c>
      <c r="AD1" s="6" t="s">
        <v>1152</v>
      </c>
      <c r="AE1" s="660" t="s">
        <v>1153</v>
      </c>
      <c r="AF1" s="662"/>
      <c r="AG1" s="662"/>
    </row>
    <row r="2" spans="1:33" ht="26.25" customHeight="1">
      <c r="A2" s="27">
        <v>46276</v>
      </c>
      <c r="B2" s="28" t="s">
        <v>474</v>
      </c>
      <c r="C2" s="2" t="s">
        <v>1154</v>
      </c>
      <c r="D2" s="9">
        <f>AVERAGE(N8,N12,N45,N54,N20,N59,N27,N34,N41,N67)</f>
        <v>150.48042003050381</v>
      </c>
      <c r="E2" s="10" t="s">
        <v>0</v>
      </c>
      <c r="F2" s="11">
        <f>F1/D1</f>
        <v>33.950276751787996</v>
      </c>
      <c r="G2" s="1" t="s">
        <v>1155</v>
      </c>
      <c r="H2" s="251">
        <f>COUNT(H5:H67)</f>
        <v>2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SUM(Y8+Y12+Y20+Y27+Y34+Y41+Y45+Y54+Y59+Y67)</f>
        <v>0</v>
      </c>
      <c r="Z2" s="12">
        <f>SUM(Z8+Z12+Z20+Z27+Z34+Z41+Z45+Z54+Z59+Z67)</f>
        <v>0</v>
      </c>
      <c r="AA2" s="661"/>
      <c r="AB2" s="661"/>
      <c r="AC2" s="172">
        <v>53</v>
      </c>
      <c r="AD2" s="12">
        <f>SUM(AD8+AD12+AD20+AD27+AD34+AD41+AD45+AD54+AD59+AD67)</f>
        <v>0</v>
      </c>
      <c r="AE2" s="662"/>
      <c r="AF2" s="662"/>
      <c r="AG2" s="662"/>
    </row>
    <row r="3" spans="1:33" ht="40.5" customHeight="1">
      <c r="A3" s="610" t="s">
        <v>1156</v>
      </c>
      <c r="B3" s="610" t="s">
        <v>1157</v>
      </c>
      <c r="C3" s="610" t="s">
        <v>1158</v>
      </c>
      <c r="D3" s="610"/>
      <c r="E3" s="658" t="s">
        <v>1159</v>
      </c>
      <c r="F3" s="610" t="s">
        <v>1160</v>
      </c>
      <c r="G3" s="658" t="s">
        <v>1161</v>
      </c>
      <c r="H3" s="651" t="s">
        <v>1162</v>
      </c>
      <c r="I3" s="649" t="s">
        <v>1163</v>
      </c>
      <c r="J3" s="646" t="s">
        <v>1164</v>
      </c>
      <c r="K3" s="656" t="s">
        <v>1154</v>
      </c>
      <c r="L3" s="649" t="s">
        <v>1163</v>
      </c>
      <c r="M3" s="646" t="s">
        <v>1164</v>
      </c>
      <c r="N3" s="656" t="s">
        <v>1154</v>
      </c>
      <c r="O3" s="649" t="s">
        <v>1163</v>
      </c>
      <c r="P3" s="656" t="s">
        <v>1120</v>
      </c>
      <c r="Q3" s="647" t="s">
        <v>1165</v>
      </c>
      <c r="R3" s="623" t="s">
        <v>1166</v>
      </c>
      <c r="S3" s="657" t="s">
        <v>1</v>
      </c>
      <c r="T3" s="657"/>
      <c r="U3" s="651" t="s">
        <v>2</v>
      </c>
      <c r="V3" s="651" t="s">
        <v>1167</v>
      </c>
      <c r="W3" s="610" t="s">
        <v>1168</v>
      </c>
      <c r="X3" s="610"/>
      <c r="Y3" s="652" t="s">
        <v>1169</v>
      </c>
      <c r="Z3" s="609"/>
      <c r="AA3" s="653" t="s">
        <v>1170</v>
      </c>
      <c r="AB3" s="654"/>
      <c r="AC3" s="652" t="s">
        <v>1171</v>
      </c>
      <c r="AD3" s="609"/>
      <c r="AE3" s="646" t="s">
        <v>1172</v>
      </c>
      <c r="AF3" s="647" t="s">
        <v>1173</v>
      </c>
      <c r="AG3" s="623" t="s">
        <v>1174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255" t="s">
        <v>3</v>
      </c>
      <c r="T4" s="255" t="s">
        <v>4</v>
      </c>
      <c r="U4" s="651"/>
      <c r="V4" s="651"/>
      <c r="W4" s="252" t="s">
        <v>1175</v>
      </c>
      <c r="X4" s="252" t="s">
        <v>1176</v>
      </c>
      <c r="Y4" s="258" t="s">
        <v>1128</v>
      </c>
      <c r="Z4" s="258" t="s">
        <v>1177</v>
      </c>
      <c r="AA4" s="655"/>
      <c r="AB4" s="654"/>
      <c r="AC4" s="258" t="s">
        <v>1178</v>
      </c>
      <c r="AD4" s="258" t="s">
        <v>1179</v>
      </c>
      <c r="AE4" s="646"/>
      <c r="AF4" s="647"/>
      <c r="AG4" s="623"/>
    </row>
    <row r="5" spans="1:33">
      <c r="A5" s="648" t="s">
        <v>1180</v>
      </c>
      <c r="B5" s="33" t="s">
        <v>6</v>
      </c>
      <c r="C5" s="650" t="s">
        <v>7</v>
      </c>
      <c r="D5" s="650"/>
      <c r="E5" s="33">
        <v>50.92</v>
      </c>
      <c r="F5" s="255">
        <v>1675</v>
      </c>
      <c r="G5" s="252">
        <f t="shared" ref="G5:G7" si="0">E5*F5</f>
        <v>85291</v>
      </c>
      <c r="H5" s="29" t="s">
        <v>5</v>
      </c>
      <c r="I5" s="254">
        <v>15</v>
      </c>
      <c r="J5" s="30">
        <v>2000</v>
      </c>
      <c r="K5" s="13">
        <f t="shared" ref="K5:K67" si="1">J5/I5</f>
        <v>133.33333333333334</v>
      </c>
      <c r="L5" s="254">
        <v>15</v>
      </c>
      <c r="M5" s="14">
        <f t="shared" ref="M5:M7" si="2">F5/V5*60</f>
        <v>1932.692307692309</v>
      </c>
      <c r="N5" s="13">
        <f t="shared" ref="N5:N67" si="3">M5/L5</f>
        <v>128.84615384615392</v>
      </c>
      <c r="O5" s="15">
        <f t="shared" ref="O5:O67" si="4">L5-I5</f>
        <v>0</v>
      </c>
      <c r="P5" s="16">
        <f t="shared" ref="P5:P67" si="5">N5-K5</f>
        <v>-4.4871794871794179</v>
      </c>
      <c r="Q5" s="256">
        <f t="shared" ref="Q5:Q67" si="6">N5/K5</f>
        <v>0.96634615384615441</v>
      </c>
      <c r="R5" s="619">
        <f>Q8</f>
        <v>0.96346309351026282</v>
      </c>
      <c r="S5" s="31">
        <v>0.70833333333333337</v>
      </c>
      <c r="T5" s="31">
        <v>0.74444444444444446</v>
      </c>
      <c r="U5" s="252"/>
      <c r="V5" s="253">
        <f t="shared" ref="V5:V7" si="7">(T5-S5)*24*60</f>
        <v>51.999999999999972</v>
      </c>
      <c r="W5" s="17"/>
      <c r="X5" s="17"/>
      <c r="Y5" s="18"/>
      <c r="Z5" s="18"/>
      <c r="AA5" s="610"/>
      <c r="AB5" s="610"/>
      <c r="AC5" s="155">
        <v>3</v>
      </c>
      <c r="AD5" s="19"/>
      <c r="AE5" s="15">
        <f t="shared" ref="AE5:AE53" si="8">M5-J5</f>
        <v>-67.307692307691013</v>
      </c>
      <c r="AF5" s="256">
        <f t="shared" ref="AF5:AF67" si="9">M5/J5</f>
        <v>0.96634615384615452</v>
      </c>
      <c r="AG5" s="619">
        <f>AF8</f>
        <v>0.96346309351026282</v>
      </c>
    </row>
    <row r="6" spans="1:33">
      <c r="A6" s="649" t="s">
        <v>177</v>
      </c>
      <c r="B6" s="33" t="s">
        <v>6</v>
      </c>
      <c r="C6" s="650" t="s">
        <v>8</v>
      </c>
      <c r="D6" s="650"/>
      <c r="E6" s="33">
        <v>50.98</v>
      </c>
      <c r="F6" s="255">
        <v>1688</v>
      </c>
      <c r="G6" s="252">
        <f t="shared" si="0"/>
        <v>86054.239999999991</v>
      </c>
      <c r="H6" s="29" t="s">
        <v>5</v>
      </c>
      <c r="I6" s="254">
        <v>16</v>
      </c>
      <c r="J6" s="30">
        <v>2000</v>
      </c>
      <c r="K6" s="13">
        <f t="shared" si="1"/>
        <v>125</v>
      </c>
      <c r="L6" s="254">
        <v>16</v>
      </c>
      <c r="M6" s="14">
        <f t="shared" si="2"/>
        <v>1910.9433962264161</v>
      </c>
      <c r="N6" s="13">
        <f t="shared" si="3"/>
        <v>119.43396226415101</v>
      </c>
      <c r="O6" s="15">
        <f t="shared" si="4"/>
        <v>0</v>
      </c>
      <c r="P6" s="16">
        <f t="shared" si="5"/>
        <v>-5.5660377358489939</v>
      </c>
      <c r="Q6" s="256">
        <f t="shared" si="6"/>
        <v>0.95547169811320809</v>
      </c>
      <c r="R6" s="619"/>
      <c r="S6" s="31">
        <v>0.74930555555555556</v>
      </c>
      <c r="T6" s="31">
        <v>0.78611111111111109</v>
      </c>
      <c r="U6" s="252">
        <f t="shared" ref="U6:U7" si="10">IF(S6=TIME(17,0,0),"",(S6-T5)*24*60)</f>
        <v>6.9999999999999751</v>
      </c>
      <c r="V6" s="253">
        <f t="shared" si="7"/>
        <v>52.999999999999972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-89.056603773583902</v>
      </c>
      <c r="AF6" s="256">
        <f t="shared" si="9"/>
        <v>0.95547169811320809</v>
      </c>
      <c r="AG6" s="619"/>
    </row>
    <row r="7" spans="1:33">
      <c r="A7" s="649" t="s">
        <v>177</v>
      </c>
      <c r="B7" s="33" t="s">
        <v>6</v>
      </c>
      <c r="C7" s="641" t="s">
        <v>25</v>
      </c>
      <c r="D7" s="642"/>
      <c r="E7" s="33">
        <v>56.43</v>
      </c>
      <c r="F7" s="255">
        <v>904</v>
      </c>
      <c r="G7" s="252">
        <f t="shared" si="0"/>
        <v>51012.72</v>
      </c>
      <c r="H7" s="29" t="s">
        <v>5</v>
      </c>
      <c r="I7" s="254">
        <v>13</v>
      </c>
      <c r="J7" s="30">
        <v>2000</v>
      </c>
      <c r="K7" s="13">
        <f t="shared" si="1"/>
        <v>153.84615384615384</v>
      </c>
      <c r="L7" s="254">
        <v>13</v>
      </c>
      <c r="M7" s="14">
        <f t="shared" si="2"/>
        <v>1937.1428571428528</v>
      </c>
      <c r="N7" s="13">
        <f t="shared" si="3"/>
        <v>149.01098901098868</v>
      </c>
      <c r="O7" s="15">
        <f t="shared" si="4"/>
        <v>0</v>
      </c>
      <c r="P7" s="16">
        <f t="shared" si="5"/>
        <v>-4.835164835165159</v>
      </c>
      <c r="Q7" s="256">
        <f t="shared" si="6"/>
        <v>0.96857142857142642</v>
      </c>
      <c r="R7" s="619"/>
      <c r="S7" s="31">
        <v>0.79097222222222219</v>
      </c>
      <c r="T7" s="31">
        <v>0.81041666666666667</v>
      </c>
      <c r="U7" s="252">
        <f t="shared" si="10"/>
        <v>6.9999999999999751</v>
      </c>
      <c r="V7" s="253">
        <f t="shared" si="7"/>
        <v>28.00000000000006</v>
      </c>
      <c r="W7" s="17"/>
      <c r="X7" s="17"/>
      <c r="Y7" s="20"/>
      <c r="Z7" s="20"/>
      <c r="AA7" s="614"/>
      <c r="AB7" s="615"/>
      <c r="AC7" s="155"/>
      <c r="AD7" s="21"/>
      <c r="AE7" s="15">
        <f t="shared" si="8"/>
        <v>-62.85714285714721</v>
      </c>
      <c r="AF7" s="256">
        <f t="shared" si="9"/>
        <v>0.96857142857142642</v>
      </c>
      <c r="AG7" s="619"/>
    </row>
    <row r="8" spans="1:33">
      <c r="A8" s="649" t="s">
        <v>177</v>
      </c>
      <c r="B8" s="33" t="s">
        <v>180</v>
      </c>
      <c r="C8" s="620"/>
      <c r="D8" s="620"/>
      <c r="E8" s="257"/>
      <c r="F8" s="34"/>
      <c r="G8" s="13"/>
      <c r="H8" s="255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1926.9261870205257</v>
      </c>
      <c r="N8" s="13">
        <f t="shared" si="3"/>
        <v>131.38133093321767</v>
      </c>
      <c r="O8" s="15">
        <f t="shared" si="4"/>
        <v>0</v>
      </c>
      <c r="P8" s="16">
        <f t="shared" si="5"/>
        <v>-4.9823054304187053</v>
      </c>
      <c r="Q8" s="256">
        <f t="shared" si="6"/>
        <v>0.96346309351026282</v>
      </c>
      <c r="R8" s="619"/>
      <c r="S8" s="31"/>
      <c r="T8" s="31"/>
      <c r="U8" s="252"/>
      <c r="V8" s="253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-73.073812979474269</v>
      </c>
      <c r="AF8" s="256">
        <f t="shared" si="9"/>
        <v>0.96346309351026282</v>
      </c>
      <c r="AG8" s="619"/>
    </row>
    <row r="9" spans="1:33" ht="15.75" customHeight="1">
      <c r="A9" s="645" t="s">
        <v>81</v>
      </c>
      <c r="B9" s="33" t="s">
        <v>10</v>
      </c>
      <c r="C9" s="641" t="s">
        <v>14</v>
      </c>
      <c r="D9" s="642"/>
      <c r="E9" s="33">
        <v>39.619999999999997</v>
      </c>
      <c r="F9" s="255">
        <v>3694</v>
      </c>
      <c r="G9" s="252">
        <f t="shared" ref="G9:G11" si="11">E9*F9</f>
        <v>146356.28</v>
      </c>
      <c r="H9" s="29" t="s">
        <v>5</v>
      </c>
      <c r="I9" s="254">
        <v>19</v>
      </c>
      <c r="J9" s="30">
        <v>1500</v>
      </c>
      <c r="K9" s="13">
        <f t="shared" si="1"/>
        <v>78.94736842105263</v>
      </c>
      <c r="L9" s="254">
        <v>19</v>
      </c>
      <c r="M9" s="14">
        <f t="shared" ref="M9:M11" si="12">F9/V9*60</f>
        <v>1429.935483870968</v>
      </c>
      <c r="N9" s="13">
        <f t="shared" si="3"/>
        <v>75.259762308998319</v>
      </c>
      <c r="O9" s="15">
        <f t="shared" si="4"/>
        <v>0</v>
      </c>
      <c r="P9" s="16">
        <f t="shared" si="5"/>
        <v>-3.6876061120543113</v>
      </c>
      <c r="Q9" s="256">
        <f t="shared" si="6"/>
        <v>0.95329032258064539</v>
      </c>
      <c r="R9" s="619">
        <f>Q12</f>
        <v>0.95497904932582356</v>
      </c>
      <c r="S9" s="31">
        <v>8.3333333333333329E-2</v>
      </c>
      <c r="T9" s="31">
        <v>0.19097222222222221</v>
      </c>
      <c r="U9" s="252"/>
      <c r="V9" s="253">
        <f t="shared" ref="V9:V11" si="13">(T9-S9)*24*60</f>
        <v>154.99999999999997</v>
      </c>
      <c r="W9" s="17">
        <f>T9</f>
        <v>0.19097222222222221</v>
      </c>
      <c r="X9" s="17">
        <f>S10</f>
        <v>0.21180555555555555</v>
      </c>
      <c r="Y9" s="17"/>
      <c r="Z9" s="17"/>
      <c r="AA9" s="610"/>
      <c r="AB9" s="610"/>
      <c r="AC9" s="155">
        <v>3</v>
      </c>
      <c r="AD9" s="19"/>
      <c r="AE9" s="15">
        <f t="shared" si="8"/>
        <v>-70.064516129031972</v>
      </c>
      <c r="AF9" s="256">
        <f t="shared" si="9"/>
        <v>0.95329032258064539</v>
      </c>
      <c r="AG9" s="619">
        <f>AF12</f>
        <v>0.95497904932582367</v>
      </c>
    </row>
    <row r="10" spans="1:33" ht="15.75" customHeight="1">
      <c r="A10" s="645" t="s">
        <v>81</v>
      </c>
      <c r="B10" s="33" t="s">
        <v>10</v>
      </c>
      <c r="C10" s="641" t="s">
        <v>11</v>
      </c>
      <c r="D10" s="642"/>
      <c r="E10" s="33">
        <v>39.799999999999997</v>
      </c>
      <c r="F10" s="255">
        <v>5351</v>
      </c>
      <c r="G10" s="252">
        <f t="shared" si="11"/>
        <v>212969.8</v>
      </c>
      <c r="H10" s="29" t="s">
        <v>5</v>
      </c>
      <c r="I10" s="254">
        <v>17</v>
      </c>
      <c r="J10" s="30">
        <v>1500</v>
      </c>
      <c r="K10" s="13">
        <f t="shared" si="1"/>
        <v>88.235294117647058</v>
      </c>
      <c r="L10" s="254">
        <v>17</v>
      </c>
      <c r="M10" s="14">
        <f t="shared" si="12"/>
        <v>1433.3035714285711</v>
      </c>
      <c r="N10" s="13">
        <f t="shared" si="3"/>
        <v>84.311974789915951</v>
      </c>
      <c r="O10" s="15">
        <f t="shared" si="4"/>
        <v>0</v>
      </c>
      <c r="P10" s="16">
        <f t="shared" si="5"/>
        <v>-3.9233193277311074</v>
      </c>
      <c r="Q10" s="256">
        <f t="shared" si="6"/>
        <v>0.95553571428571416</v>
      </c>
      <c r="R10" s="619"/>
      <c r="S10" s="31">
        <v>0.21180555555555555</v>
      </c>
      <c r="T10" s="31">
        <v>0.36736111111111114</v>
      </c>
      <c r="U10" s="252">
        <f t="shared" ref="U10:U11" si="14">IF(S10=TIME(17,0,0),"",(S10-T9)*24*60)</f>
        <v>30.000000000000014</v>
      </c>
      <c r="V10" s="253">
        <f t="shared" si="13"/>
        <v>224.00000000000006</v>
      </c>
      <c r="W10" s="17"/>
      <c r="X10" s="17"/>
      <c r="Y10" s="17"/>
      <c r="Z10" s="17"/>
      <c r="AA10" s="610"/>
      <c r="AB10" s="610"/>
      <c r="AC10" s="155"/>
      <c r="AD10" s="19"/>
      <c r="AE10" s="15">
        <f t="shared" si="8"/>
        <v>-66.696428571428896</v>
      </c>
      <c r="AF10" s="256">
        <f t="shared" si="9"/>
        <v>0.95553571428571404</v>
      </c>
      <c r="AG10" s="619"/>
    </row>
    <row r="11" spans="1:33" ht="15.75" customHeight="1">
      <c r="A11" s="645" t="s">
        <v>81</v>
      </c>
      <c r="B11" s="33" t="s">
        <v>10</v>
      </c>
      <c r="C11" s="641" t="s">
        <v>13</v>
      </c>
      <c r="D11" s="642"/>
      <c r="E11" s="33">
        <v>39.520000000000003</v>
      </c>
      <c r="F11" s="255">
        <v>1721</v>
      </c>
      <c r="G11" s="252">
        <f t="shared" si="11"/>
        <v>68013.919999999998</v>
      </c>
      <c r="H11" s="29" t="s">
        <v>5</v>
      </c>
      <c r="I11" s="254">
        <v>19</v>
      </c>
      <c r="J11" s="30">
        <v>1500</v>
      </c>
      <c r="K11" s="13">
        <f t="shared" si="1"/>
        <v>78.94736842105263</v>
      </c>
      <c r="L11" s="254">
        <v>19</v>
      </c>
      <c r="M11" s="14">
        <f t="shared" si="12"/>
        <v>1434.166666666667</v>
      </c>
      <c r="N11" s="13">
        <f t="shared" si="3"/>
        <v>75.482456140350891</v>
      </c>
      <c r="O11" s="15">
        <f t="shared" si="4"/>
        <v>0</v>
      </c>
      <c r="P11" s="16">
        <f t="shared" si="5"/>
        <v>-3.4649122807017392</v>
      </c>
      <c r="Q11" s="256">
        <f t="shared" si="6"/>
        <v>0.95611111111111136</v>
      </c>
      <c r="R11" s="619"/>
      <c r="S11" s="31">
        <v>0.37152777777777779</v>
      </c>
      <c r="T11" s="31">
        <v>0.42152777777777778</v>
      </c>
      <c r="U11" s="252">
        <f t="shared" si="14"/>
        <v>5.9999999999999787</v>
      </c>
      <c r="V11" s="253">
        <f t="shared" si="13"/>
        <v>71.999999999999986</v>
      </c>
      <c r="W11" s="17"/>
      <c r="X11" s="17"/>
      <c r="Y11" s="17"/>
      <c r="Z11" s="17"/>
      <c r="AA11" s="610"/>
      <c r="AB11" s="610"/>
      <c r="AC11" s="155"/>
      <c r="AD11" s="19"/>
      <c r="AE11" s="15">
        <f t="shared" si="8"/>
        <v>-65.83333333333303</v>
      </c>
      <c r="AF11" s="256">
        <f t="shared" si="9"/>
        <v>0.95611111111111136</v>
      </c>
      <c r="AG11" s="619"/>
    </row>
    <row r="12" spans="1:33" ht="16.5" customHeight="1">
      <c r="A12" s="645" t="s">
        <v>81</v>
      </c>
      <c r="B12" s="33" t="s">
        <v>180</v>
      </c>
      <c r="C12" s="620"/>
      <c r="D12" s="620"/>
      <c r="E12" s="257"/>
      <c r="F12" s="30"/>
      <c r="G12" s="14"/>
      <c r="H12" s="255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1432.4685739887354</v>
      </c>
      <c r="N12" s="13">
        <f t="shared" si="3"/>
        <v>78.134649490294663</v>
      </c>
      <c r="O12" s="15">
        <f t="shared" si="4"/>
        <v>0</v>
      </c>
      <c r="P12" s="16">
        <f t="shared" si="5"/>
        <v>-3.6835323278871641</v>
      </c>
      <c r="Q12" s="256">
        <f t="shared" si="6"/>
        <v>0.95497904932582356</v>
      </c>
      <c r="R12" s="619"/>
      <c r="S12" s="31"/>
      <c r="T12" s="31"/>
      <c r="U12" s="13"/>
      <c r="V12" s="253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-67.531426011264557</v>
      </c>
      <c r="AF12" s="256">
        <f t="shared" si="9"/>
        <v>0.95497904932582367</v>
      </c>
      <c r="AG12" s="619"/>
    </row>
    <row r="13" spans="1:33" ht="16.5" customHeight="1">
      <c r="A13" s="643" t="s">
        <v>185</v>
      </c>
      <c r="B13" s="255" t="s">
        <v>15</v>
      </c>
      <c r="C13" s="635" t="s">
        <v>16</v>
      </c>
      <c r="D13" s="635"/>
      <c r="E13" s="33">
        <v>31.11</v>
      </c>
      <c r="F13" s="255">
        <v>1932</v>
      </c>
      <c r="G13" s="252">
        <f t="shared" ref="G13:G19" si="15">E13*F13</f>
        <v>60104.52</v>
      </c>
      <c r="H13" s="29" t="s">
        <v>5</v>
      </c>
      <c r="I13" s="254">
        <v>14</v>
      </c>
      <c r="J13" s="30">
        <v>2000</v>
      </c>
      <c r="K13" s="13">
        <f t="shared" si="1"/>
        <v>142.85714285714286</v>
      </c>
      <c r="L13" s="254">
        <v>14</v>
      </c>
      <c r="M13" s="14">
        <f t="shared" ref="M13:M19" si="16">F13/V13*60</f>
        <v>1932.0000000000007</v>
      </c>
      <c r="N13" s="13">
        <f t="shared" si="3"/>
        <v>138.00000000000006</v>
      </c>
      <c r="O13" s="15">
        <f t="shared" si="4"/>
        <v>0</v>
      </c>
      <c r="P13" s="16">
        <f t="shared" si="5"/>
        <v>-4.8571428571428044</v>
      </c>
      <c r="Q13" s="256">
        <f t="shared" si="6"/>
        <v>0.96600000000000041</v>
      </c>
      <c r="R13" s="619">
        <f>Q20</f>
        <v>0.96251962996889318</v>
      </c>
      <c r="S13" s="31">
        <v>0.20833333333333334</v>
      </c>
      <c r="T13" s="31">
        <v>0.25</v>
      </c>
      <c r="U13" s="252"/>
      <c r="V13" s="253">
        <f t="shared" ref="V13:V19" si="17">(T13-S13)*24*60</f>
        <v>59.999999999999986</v>
      </c>
      <c r="W13" s="17"/>
      <c r="X13" s="17"/>
      <c r="Y13" s="22"/>
      <c r="Z13" s="22"/>
      <c r="AA13" s="610"/>
      <c r="AB13" s="610"/>
      <c r="AC13" s="155">
        <v>7</v>
      </c>
      <c r="AD13" s="19"/>
      <c r="AE13" s="15">
        <f t="shared" si="8"/>
        <v>-67.999999999999318</v>
      </c>
      <c r="AF13" s="256">
        <f t="shared" si="9"/>
        <v>0.9660000000000003</v>
      </c>
      <c r="AG13" s="619">
        <f>AF20</f>
        <v>0.96251962996889318</v>
      </c>
    </row>
    <row r="14" spans="1:33" ht="16.5" customHeight="1">
      <c r="A14" s="644" t="s">
        <v>185</v>
      </c>
      <c r="B14" s="255" t="s">
        <v>17</v>
      </c>
      <c r="C14" s="635" t="s">
        <v>18</v>
      </c>
      <c r="D14" s="635"/>
      <c r="E14" s="33">
        <v>41</v>
      </c>
      <c r="F14" s="255">
        <v>1356</v>
      </c>
      <c r="G14" s="252">
        <f t="shared" si="15"/>
        <v>55596</v>
      </c>
      <c r="H14" s="29" t="s">
        <v>5</v>
      </c>
      <c r="I14" s="254">
        <v>26</v>
      </c>
      <c r="J14" s="30">
        <v>1500</v>
      </c>
      <c r="K14" s="13">
        <f t="shared" si="1"/>
        <v>57.692307692307693</v>
      </c>
      <c r="L14" s="254">
        <v>26</v>
      </c>
      <c r="M14" s="14">
        <f t="shared" si="16"/>
        <v>1452.857142857144</v>
      </c>
      <c r="N14" s="13">
        <f t="shared" si="3"/>
        <v>55.879120879120926</v>
      </c>
      <c r="O14" s="15">
        <f t="shared" si="4"/>
        <v>0</v>
      </c>
      <c r="P14" s="16">
        <f t="shared" si="5"/>
        <v>-1.8131868131867677</v>
      </c>
      <c r="Q14" s="256">
        <f t="shared" si="6"/>
        <v>0.96857142857142942</v>
      </c>
      <c r="R14" s="619"/>
      <c r="S14" s="31">
        <v>0.25416666666666665</v>
      </c>
      <c r="T14" s="31">
        <v>0.29305555555555551</v>
      </c>
      <c r="U14" s="252">
        <f t="shared" ref="U14:U19" si="18">IF(S14=TIME(17,0,0),"",(S14-T13)*24*60)</f>
        <v>5.9999999999999787</v>
      </c>
      <c r="V14" s="253">
        <f t="shared" si="17"/>
        <v>55.999999999999957</v>
      </c>
      <c r="W14" s="17"/>
      <c r="X14" s="17"/>
      <c r="Y14" s="17"/>
      <c r="Z14" s="17"/>
      <c r="AA14" s="610"/>
      <c r="AB14" s="610"/>
      <c r="AC14" s="155"/>
      <c r="AD14" s="19"/>
      <c r="AE14" s="15">
        <f t="shared" si="8"/>
        <v>-47.142857142855974</v>
      </c>
      <c r="AF14" s="256">
        <f t="shared" si="9"/>
        <v>0.9685714285714293</v>
      </c>
      <c r="AG14" s="619"/>
    </row>
    <row r="15" spans="1:33" ht="16.5" customHeight="1">
      <c r="A15" s="644" t="s">
        <v>185</v>
      </c>
      <c r="B15" s="255" t="s">
        <v>15</v>
      </c>
      <c r="C15" s="635" t="s">
        <v>76</v>
      </c>
      <c r="D15" s="635"/>
      <c r="E15" s="33">
        <v>68.88</v>
      </c>
      <c r="F15" s="255">
        <v>1190</v>
      </c>
      <c r="G15" s="252">
        <f t="shared" si="15"/>
        <v>81967.199999999997</v>
      </c>
      <c r="H15" s="29" t="s">
        <v>5</v>
      </c>
      <c r="I15" s="254">
        <v>16</v>
      </c>
      <c r="J15" s="30">
        <v>2000</v>
      </c>
      <c r="K15" s="13">
        <f t="shared" si="1"/>
        <v>125</v>
      </c>
      <c r="L15" s="254">
        <v>16</v>
      </c>
      <c r="M15" s="14">
        <f t="shared" si="16"/>
        <v>1929.7297297297284</v>
      </c>
      <c r="N15" s="13">
        <f t="shared" si="3"/>
        <v>120.60810810810803</v>
      </c>
      <c r="O15" s="15">
        <f t="shared" si="4"/>
        <v>0</v>
      </c>
      <c r="P15" s="16">
        <f t="shared" si="5"/>
        <v>-4.3918918918919729</v>
      </c>
      <c r="Q15" s="256">
        <f t="shared" si="6"/>
        <v>0.96486486486486422</v>
      </c>
      <c r="R15" s="619"/>
      <c r="S15" s="31">
        <v>0.29791666666666661</v>
      </c>
      <c r="T15" s="31">
        <v>0.32361111111111107</v>
      </c>
      <c r="U15" s="252">
        <f t="shared" si="18"/>
        <v>6.9999999999999751</v>
      </c>
      <c r="V15" s="253">
        <f t="shared" si="17"/>
        <v>37.000000000000028</v>
      </c>
      <c r="W15" s="17"/>
      <c r="X15" s="17"/>
      <c r="Y15" s="17"/>
      <c r="Z15" s="17"/>
      <c r="AA15" s="610"/>
      <c r="AB15" s="610"/>
      <c r="AC15" s="155"/>
      <c r="AD15" s="19"/>
      <c r="AE15" s="15">
        <f t="shared" si="8"/>
        <v>-70.270270270271567</v>
      </c>
      <c r="AF15" s="256">
        <f t="shared" si="9"/>
        <v>0.96486486486486422</v>
      </c>
      <c r="AG15" s="619"/>
    </row>
    <row r="16" spans="1:33" ht="16.5" customHeight="1">
      <c r="A16" s="644" t="s">
        <v>185</v>
      </c>
      <c r="B16" s="255" t="s">
        <v>10</v>
      </c>
      <c r="C16" s="635" t="s">
        <v>12</v>
      </c>
      <c r="D16" s="635"/>
      <c r="E16" s="33">
        <v>39.46</v>
      </c>
      <c r="F16" s="255">
        <v>1784</v>
      </c>
      <c r="G16" s="252">
        <f t="shared" si="15"/>
        <v>70396.639999999999</v>
      </c>
      <c r="H16" s="29" t="s">
        <v>5</v>
      </c>
      <c r="I16" s="254">
        <v>15</v>
      </c>
      <c r="J16" s="30">
        <v>1500</v>
      </c>
      <c r="K16" s="13">
        <f t="shared" si="1"/>
        <v>100</v>
      </c>
      <c r="L16" s="254">
        <v>15</v>
      </c>
      <c r="M16" s="14">
        <f t="shared" si="16"/>
        <v>1427.2000000000005</v>
      </c>
      <c r="N16" s="13">
        <f t="shared" si="3"/>
        <v>95.146666666666704</v>
      </c>
      <c r="O16" s="15">
        <f t="shared" si="4"/>
        <v>0</v>
      </c>
      <c r="P16" s="16">
        <f t="shared" si="5"/>
        <v>-4.8533333333332962</v>
      </c>
      <c r="Q16" s="256">
        <f t="shared" si="6"/>
        <v>0.95146666666666702</v>
      </c>
      <c r="R16" s="619"/>
      <c r="S16" s="31">
        <v>0.32708333333333328</v>
      </c>
      <c r="T16" s="31">
        <v>0.3791666666666666</v>
      </c>
      <c r="U16" s="252">
        <f t="shared" si="18"/>
        <v>4.9999999999999822</v>
      </c>
      <c r="V16" s="253">
        <f t="shared" si="17"/>
        <v>74.999999999999972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-72.7999999999995</v>
      </c>
      <c r="AF16" s="256">
        <f t="shared" si="9"/>
        <v>0.95146666666666702</v>
      </c>
      <c r="AG16" s="619"/>
    </row>
    <row r="17" spans="1:33" ht="16.5" customHeight="1">
      <c r="A17" s="644" t="s">
        <v>185</v>
      </c>
      <c r="B17" s="255" t="s">
        <v>6</v>
      </c>
      <c r="C17" s="635" t="s">
        <v>20</v>
      </c>
      <c r="D17" s="635"/>
      <c r="E17" s="33">
        <v>54.5</v>
      </c>
      <c r="F17" s="255">
        <v>719</v>
      </c>
      <c r="G17" s="252">
        <f t="shared" si="15"/>
        <v>39185.5</v>
      </c>
      <c r="H17" s="29" t="s">
        <v>5</v>
      </c>
      <c r="I17" s="254">
        <v>19</v>
      </c>
      <c r="J17" s="30">
        <v>1500</v>
      </c>
      <c r="K17" s="13">
        <f t="shared" si="1"/>
        <v>78.94736842105263</v>
      </c>
      <c r="L17" s="254">
        <v>19</v>
      </c>
      <c r="M17" s="14">
        <f t="shared" si="16"/>
        <v>1437.9999999999973</v>
      </c>
      <c r="N17" s="13">
        <f t="shared" si="3"/>
        <v>75.684210526315653</v>
      </c>
      <c r="O17" s="15">
        <f t="shared" si="4"/>
        <v>0</v>
      </c>
      <c r="P17" s="16">
        <f t="shared" si="5"/>
        <v>-3.2631578947369775</v>
      </c>
      <c r="Q17" s="256">
        <f t="shared" si="6"/>
        <v>0.958666666666665</v>
      </c>
      <c r="R17" s="619"/>
      <c r="S17" s="31">
        <v>0.70833333333333337</v>
      </c>
      <c r="T17" s="31">
        <v>0.72916666666666674</v>
      </c>
      <c r="U17" s="252" t="str">
        <f t="shared" si="18"/>
        <v/>
      </c>
      <c r="V17" s="253">
        <f t="shared" si="17"/>
        <v>30.000000000000053</v>
      </c>
      <c r="W17" s="17"/>
      <c r="X17" s="17"/>
      <c r="Y17" s="17"/>
      <c r="Z17" s="17"/>
      <c r="AA17" s="610"/>
      <c r="AB17" s="610"/>
      <c r="AC17" s="155"/>
      <c r="AD17" s="19"/>
      <c r="AE17" s="15">
        <f t="shared" si="8"/>
        <v>-62.000000000002728</v>
      </c>
      <c r="AF17" s="256">
        <f t="shared" si="9"/>
        <v>0.95866666666666489</v>
      </c>
      <c r="AG17" s="619"/>
    </row>
    <row r="18" spans="1:33" ht="16.5" customHeight="1">
      <c r="A18" s="644" t="s">
        <v>185</v>
      </c>
      <c r="B18" s="255" t="s">
        <v>6</v>
      </c>
      <c r="C18" s="264" t="s">
        <v>19</v>
      </c>
      <c r="D18" s="265"/>
      <c r="E18" s="33">
        <v>50.67</v>
      </c>
      <c r="F18" s="255">
        <v>1224</v>
      </c>
      <c r="G18" s="252">
        <f t="shared" si="15"/>
        <v>62020.08</v>
      </c>
      <c r="H18" s="29" t="s">
        <v>5</v>
      </c>
      <c r="I18" s="254">
        <v>17</v>
      </c>
      <c r="J18" s="30">
        <v>2000</v>
      </c>
      <c r="K18" s="13">
        <f t="shared" si="1"/>
        <v>117.64705882352941</v>
      </c>
      <c r="L18" s="254">
        <v>17</v>
      </c>
      <c r="M18" s="14">
        <f t="shared" si="16"/>
        <v>1932.631578947367</v>
      </c>
      <c r="N18" s="13">
        <f t="shared" si="3"/>
        <v>113.68421052631571</v>
      </c>
      <c r="O18" s="15">
        <f t="shared" si="4"/>
        <v>0</v>
      </c>
      <c r="P18" s="16">
        <f t="shared" si="5"/>
        <v>-3.9628482972136965</v>
      </c>
      <c r="Q18" s="256">
        <f t="shared" si="6"/>
        <v>0.96631578947368357</v>
      </c>
      <c r="R18" s="619"/>
      <c r="S18" s="31">
        <v>0.73263888888888895</v>
      </c>
      <c r="T18" s="31">
        <v>0.75902777777777786</v>
      </c>
      <c r="U18" s="252">
        <f t="shared" si="18"/>
        <v>4.9999999999999822</v>
      </c>
      <c r="V18" s="253">
        <f t="shared" si="17"/>
        <v>38.000000000000028</v>
      </c>
      <c r="W18" s="17"/>
      <c r="X18" s="17"/>
      <c r="Y18" s="20"/>
      <c r="Z18" s="20"/>
      <c r="AA18" s="259"/>
      <c r="AB18" s="260"/>
      <c r="AC18" s="155"/>
      <c r="AD18" s="19"/>
      <c r="AE18" s="15">
        <f t="shared" si="8"/>
        <v>-67.368421052633039</v>
      </c>
      <c r="AF18" s="256">
        <f t="shared" si="9"/>
        <v>0.96631578947368346</v>
      </c>
      <c r="AG18" s="619"/>
    </row>
    <row r="19" spans="1:33" ht="16.5" customHeight="1">
      <c r="A19" s="644" t="s">
        <v>185</v>
      </c>
      <c r="B19" s="255" t="s">
        <v>6</v>
      </c>
      <c r="C19" s="264" t="s">
        <v>45</v>
      </c>
      <c r="D19" s="265"/>
      <c r="E19" s="33">
        <v>51.06</v>
      </c>
      <c r="F19" s="255">
        <v>2079</v>
      </c>
      <c r="G19" s="252">
        <f t="shared" si="15"/>
        <v>106153.74</v>
      </c>
      <c r="H19" s="29" t="s">
        <v>5</v>
      </c>
      <c r="I19" s="254">
        <v>13</v>
      </c>
      <c r="J19" s="30">
        <v>2000</v>
      </c>
      <c r="K19" s="13">
        <f t="shared" si="1"/>
        <v>153.84615384615384</v>
      </c>
      <c r="L19" s="254">
        <v>13</v>
      </c>
      <c r="M19" s="14">
        <f t="shared" si="16"/>
        <v>1919.0769230769251</v>
      </c>
      <c r="N19" s="13">
        <f t="shared" si="3"/>
        <v>147.62130177514808</v>
      </c>
      <c r="O19" s="15">
        <f t="shared" si="4"/>
        <v>0</v>
      </c>
      <c r="P19" s="16">
        <f t="shared" si="5"/>
        <v>-6.2248520710057562</v>
      </c>
      <c r="Q19" s="256">
        <f t="shared" si="6"/>
        <v>0.95953846153846256</v>
      </c>
      <c r="R19" s="619"/>
      <c r="S19" s="31">
        <v>0.76388888888888895</v>
      </c>
      <c r="T19" s="31">
        <v>0.80902777777777779</v>
      </c>
      <c r="U19" s="252">
        <f t="shared" si="18"/>
        <v>6.9999999999999751</v>
      </c>
      <c r="V19" s="253">
        <f t="shared" si="17"/>
        <v>64.999999999999929</v>
      </c>
      <c r="W19" s="17"/>
      <c r="X19" s="17"/>
      <c r="Y19" s="20"/>
      <c r="Z19" s="20"/>
      <c r="AA19" s="259"/>
      <c r="AB19" s="260"/>
      <c r="AC19" s="155"/>
      <c r="AD19" s="19"/>
      <c r="AE19" s="15">
        <f t="shared" si="8"/>
        <v>-80.923076923074859</v>
      </c>
      <c r="AF19" s="256">
        <f t="shared" si="9"/>
        <v>0.95953846153846256</v>
      </c>
      <c r="AG19" s="619"/>
    </row>
    <row r="20" spans="1:33" ht="16.5" customHeight="1">
      <c r="A20" s="644" t="s">
        <v>185</v>
      </c>
      <c r="B20" s="33" t="s">
        <v>180</v>
      </c>
      <c r="C20" s="620"/>
      <c r="D20" s="620"/>
      <c r="E20" s="257"/>
      <c r="F20" s="34"/>
      <c r="G20" s="13"/>
      <c r="H20" s="255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1718.7850535158807</v>
      </c>
      <c r="N20" s="13">
        <f t="shared" si="3"/>
        <v>100.26246145509305</v>
      </c>
      <c r="O20" s="15">
        <f t="shared" si="4"/>
        <v>0</v>
      </c>
      <c r="P20" s="16">
        <f t="shared" si="5"/>
        <v>-3.9042052115736254</v>
      </c>
      <c r="Q20" s="256">
        <f t="shared" si="6"/>
        <v>0.96251962996889318</v>
      </c>
      <c r="R20" s="619"/>
      <c r="S20" s="31"/>
      <c r="T20" s="31"/>
      <c r="U20" s="252"/>
      <c r="V20" s="253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-66.929232198405089</v>
      </c>
      <c r="AF20" s="256">
        <f t="shared" si="9"/>
        <v>0.96251962996889318</v>
      </c>
      <c r="AG20" s="619"/>
    </row>
    <row r="21" spans="1:33" ht="15.75" customHeight="1">
      <c r="A21" s="637" t="s">
        <v>189</v>
      </c>
      <c r="B21" s="33" t="s">
        <v>6</v>
      </c>
      <c r="C21" s="635" t="s">
        <v>22</v>
      </c>
      <c r="D21" s="635"/>
      <c r="E21" s="33">
        <v>50.67</v>
      </c>
      <c r="F21" s="255">
        <v>1277</v>
      </c>
      <c r="G21" s="252">
        <f t="shared" ref="G21:G26" si="19">E21*F21</f>
        <v>64705.590000000004</v>
      </c>
      <c r="H21" s="29" t="s">
        <v>5</v>
      </c>
      <c r="I21" s="254">
        <v>17</v>
      </c>
      <c r="J21" s="30">
        <v>2000</v>
      </c>
      <c r="K21" s="13">
        <f t="shared" si="1"/>
        <v>117.64705882352941</v>
      </c>
      <c r="L21" s="254">
        <v>17</v>
      </c>
      <c r="M21" s="14">
        <f t="shared" ref="M21:M26" si="20">F21/V21*60</f>
        <v>1915.5000000000011</v>
      </c>
      <c r="N21" s="13">
        <f t="shared" si="3"/>
        <v>112.67647058823536</v>
      </c>
      <c r="O21" s="15">
        <f t="shared" si="4"/>
        <v>0</v>
      </c>
      <c r="P21" s="16">
        <f t="shared" si="5"/>
        <v>-4.9705882352940449</v>
      </c>
      <c r="Q21" s="256">
        <f t="shared" si="6"/>
        <v>0.95775000000000066</v>
      </c>
      <c r="R21" s="619">
        <f>Q27</f>
        <v>0.96655119228973796</v>
      </c>
      <c r="S21" s="31">
        <v>0.20833333333333334</v>
      </c>
      <c r="T21" s="31">
        <v>0.2361111111111111</v>
      </c>
      <c r="U21" s="252"/>
      <c r="V21" s="253">
        <f t="shared" ref="V21:V26" si="21">(T21-S21)*24*60</f>
        <v>39.999999999999979</v>
      </c>
      <c r="W21" s="17"/>
      <c r="X21" s="17"/>
      <c r="Y21" s="22"/>
      <c r="Z21" s="22"/>
      <c r="AA21" s="610"/>
      <c r="AB21" s="610"/>
      <c r="AC21" s="155">
        <v>6</v>
      </c>
      <c r="AD21" s="19"/>
      <c r="AE21" s="15">
        <f t="shared" si="8"/>
        <v>-84.499999999998863</v>
      </c>
      <c r="AF21" s="256">
        <f t="shared" si="9"/>
        <v>0.95775000000000055</v>
      </c>
      <c r="AG21" s="619">
        <f>AF27</f>
        <v>0.96655119228973796</v>
      </c>
    </row>
    <row r="22" spans="1:33" ht="15.75" customHeight="1">
      <c r="A22" s="638" t="s">
        <v>189</v>
      </c>
      <c r="B22" s="33" t="s">
        <v>6</v>
      </c>
      <c r="C22" s="635" t="s">
        <v>23</v>
      </c>
      <c r="D22" s="635"/>
      <c r="E22" s="33">
        <v>57.73</v>
      </c>
      <c r="F22" s="255">
        <v>1899</v>
      </c>
      <c r="G22" s="252">
        <f t="shared" si="19"/>
        <v>109629.26999999999</v>
      </c>
      <c r="H22" s="29" t="s">
        <v>5</v>
      </c>
      <c r="I22" s="254">
        <v>14</v>
      </c>
      <c r="J22" s="30">
        <v>2000</v>
      </c>
      <c r="K22" s="13">
        <f t="shared" si="1"/>
        <v>142.85714285714286</v>
      </c>
      <c r="L22" s="254">
        <v>14</v>
      </c>
      <c r="M22" s="14">
        <f t="shared" si="20"/>
        <v>1931.1864406779662</v>
      </c>
      <c r="N22" s="13">
        <f t="shared" si="3"/>
        <v>137.94188861985472</v>
      </c>
      <c r="O22" s="15">
        <f t="shared" si="4"/>
        <v>0</v>
      </c>
      <c r="P22" s="16">
        <f t="shared" si="5"/>
        <v>-4.9152542372881385</v>
      </c>
      <c r="Q22" s="256">
        <f t="shared" si="6"/>
        <v>0.96559322033898298</v>
      </c>
      <c r="R22" s="619"/>
      <c r="S22" s="31">
        <v>0.24166666666666667</v>
      </c>
      <c r="T22" s="31">
        <v>0.28263888888888888</v>
      </c>
      <c r="U22" s="252">
        <f t="shared" ref="U22:U26" si="22">IF(S22=TIME(17,0,0),"",(S22-T21)*24*60)</f>
        <v>8.0000000000000107</v>
      </c>
      <c r="V22" s="253">
        <f t="shared" si="21"/>
        <v>58.999999999999993</v>
      </c>
      <c r="W22" s="17"/>
      <c r="X22" s="252"/>
      <c r="Y22" s="252"/>
      <c r="Z22" s="252"/>
      <c r="AA22" s="610"/>
      <c r="AB22" s="610"/>
      <c r="AC22" s="155"/>
      <c r="AD22" s="19"/>
      <c r="AE22" s="15">
        <f t="shared" si="8"/>
        <v>-68.813559322033825</v>
      </c>
      <c r="AF22" s="256">
        <f t="shared" si="9"/>
        <v>0.96559322033898309</v>
      </c>
      <c r="AG22" s="619"/>
    </row>
    <row r="23" spans="1:33" ht="15.75" customHeight="1">
      <c r="A23" s="638" t="s">
        <v>189</v>
      </c>
      <c r="B23" s="33" t="s">
        <v>6</v>
      </c>
      <c r="C23" s="635" t="s">
        <v>24</v>
      </c>
      <c r="D23" s="635"/>
      <c r="E23" s="33">
        <v>53.27</v>
      </c>
      <c r="F23" s="255">
        <v>1101</v>
      </c>
      <c r="G23" s="252">
        <f t="shared" si="19"/>
        <v>58650.270000000004</v>
      </c>
      <c r="H23" s="29" t="s">
        <v>5</v>
      </c>
      <c r="I23" s="254">
        <v>16</v>
      </c>
      <c r="J23" s="30">
        <v>2000</v>
      </c>
      <c r="K23" s="13">
        <f t="shared" si="1"/>
        <v>125</v>
      </c>
      <c r="L23" s="254">
        <v>16</v>
      </c>
      <c r="M23" s="14">
        <f t="shared" si="20"/>
        <v>1942.9411764705858</v>
      </c>
      <c r="N23" s="13">
        <f t="shared" si="3"/>
        <v>121.43382352941161</v>
      </c>
      <c r="O23" s="15">
        <f t="shared" si="4"/>
        <v>0</v>
      </c>
      <c r="P23" s="16">
        <f t="shared" si="5"/>
        <v>-3.5661764705883883</v>
      </c>
      <c r="Q23" s="256">
        <f t="shared" si="6"/>
        <v>0.97147058823529286</v>
      </c>
      <c r="R23" s="619"/>
      <c r="S23" s="31">
        <v>0.28819444444444442</v>
      </c>
      <c r="T23" s="31">
        <v>0.31180555555555556</v>
      </c>
      <c r="U23" s="252">
        <f t="shared" si="22"/>
        <v>7.9999999999999716</v>
      </c>
      <c r="V23" s="253">
        <f t="shared" si="21"/>
        <v>34.000000000000043</v>
      </c>
      <c r="W23" s="17"/>
      <c r="X23" s="252"/>
      <c r="Y23" s="252"/>
      <c r="Z23" s="252"/>
      <c r="AA23" s="610"/>
      <c r="AB23" s="610"/>
      <c r="AC23" s="155"/>
      <c r="AD23" s="19"/>
      <c r="AE23" s="15">
        <f t="shared" si="8"/>
        <v>-57.058823529414212</v>
      </c>
      <c r="AF23" s="256">
        <f t="shared" si="9"/>
        <v>0.97147058823529286</v>
      </c>
      <c r="AG23" s="619"/>
    </row>
    <row r="24" spans="1:33" ht="15.75" customHeight="1">
      <c r="A24" s="638" t="s">
        <v>189</v>
      </c>
      <c r="B24" s="33" t="s">
        <v>6</v>
      </c>
      <c r="C24" s="635" t="s">
        <v>21</v>
      </c>
      <c r="D24" s="635"/>
      <c r="E24" s="33">
        <v>50.49</v>
      </c>
      <c r="F24" s="255">
        <v>1491</v>
      </c>
      <c r="G24" s="252">
        <f t="shared" si="19"/>
        <v>75280.59</v>
      </c>
      <c r="H24" s="29" t="s">
        <v>5</v>
      </c>
      <c r="I24" s="254">
        <v>15</v>
      </c>
      <c r="J24" s="30">
        <v>2000</v>
      </c>
      <c r="K24" s="13">
        <f t="shared" si="1"/>
        <v>133.33333333333334</v>
      </c>
      <c r="L24" s="254">
        <v>15</v>
      </c>
      <c r="M24" s="14">
        <f t="shared" si="20"/>
        <v>1944.782608695652</v>
      </c>
      <c r="N24" s="13">
        <f t="shared" si="3"/>
        <v>129.65217391304347</v>
      </c>
      <c r="O24" s="15">
        <f t="shared" si="4"/>
        <v>0</v>
      </c>
      <c r="P24" s="16">
        <f t="shared" si="5"/>
        <v>-3.6811594202898732</v>
      </c>
      <c r="Q24" s="256">
        <f t="shared" si="6"/>
        <v>0.97239130434782595</v>
      </c>
      <c r="R24" s="619"/>
      <c r="S24" s="31">
        <v>0.70833333333333337</v>
      </c>
      <c r="T24" s="31">
        <v>0.74027777777777781</v>
      </c>
      <c r="U24" s="252" t="str">
        <f t="shared" si="22"/>
        <v/>
      </c>
      <c r="V24" s="253">
        <f t="shared" si="21"/>
        <v>46</v>
      </c>
      <c r="W24" s="17"/>
      <c r="X24" s="252"/>
      <c r="Y24" s="252"/>
      <c r="Z24" s="252"/>
      <c r="AA24" s="610"/>
      <c r="AB24" s="610"/>
      <c r="AC24" s="155"/>
      <c r="AD24" s="19"/>
      <c r="AE24" s="15">
        <f t="shared" si="8"/>
        <v>-55.217391304347984</v>
      </c>
      <c r="AF24" s="256">
        <f t="shared" si="9"/>
        <v>0.97239130434782606</v>
      </c>
      <c r="AG24" s="619"/>
    </row>
    <row r="25" spans="1:33" ht="15.75" customHeight="1">
      <c r="A25" s="638" t="s">
        <v>189</v>
      </c>
      <c r="B25" s="33" t="s">
        <v>6</v>
      </c>
      <c r="C25" s="635" t="s">
        <v>26</v>
      </c>
      <c r="D25" s="635"/>
      <c r="E25" s="33">
        <v>54.09</v>
      </c>
      <c r="F25" s="255">
        <v>1560</v>
      </c>
      <c r="G25" s="252">
        <f t="shared" si="19"/>
        <v>84380.400000000009</v>
      </c>
      <c r="H25" s="29" t="s">
        <v>5</v>
      </c>
      <c r="I25" s="254">
        <v>18</v>
      </c>
      <c r="J25" s="30">
        <v>2000</v>
      </c>
      <c r="K25" s="13">
        <f t="shared" si="1"/>
        <v>111.11111111111111</v>
      </c>
      <c r="L25" s="254">
        <v>18</v>
      </c>
      <c r="M25" s="14">
        <f t="shared" si="20"/>
        <v>1910.2040816326535</v>
      </c>
      <c r="N25" s="13">
        <f t="shared" si="3"/>
        <v>106.12244897959187</v>
      </c>
      <c r="O25" s="15">
        <f t="shared" si="4"/>
        <v>0</v>
      </c>
      <c r="P25" s="16">
        <f t="shared" si="5"/>
        <v>-4.9886621315192485</v>
      </c>
      <c r="Q25" s="256">
        <f t="shared" si="6"/>
        <v>0.95510204081632677</v>
      </c>
      <c r="R25" s="619"/>
      <c r="S25" s="31">
        <v>0.74513888888888891</v>
      </c>
      <c r="T25" s="31">
        <v>0.77916666666666667</v>
      </c>
      <c r="U25" s="252">
        <f t="shared" si="22"/>
        <v>6.9999999999999751</v>
      </c>
      <c r="V25" s="253">
        <f t="shared" si="21"/>
        <v>48.999999999999986</v>
      </c>
      <c r="W25" s="17"/>
      <c r="X25" s="17"/>
      <c r="Y25" s="252"/>
      <c r="Z25" s="252"/>
      <c r="AA25" s="610"/>
      <c r="AB25" s="610"/>
      <c r="AC25" s="155"/>
      <c r="AD25" s="19"/>
      <c r="AE25" s="15">
        <f t="shared" si="8"/>
        <v>-89.79591836734653</v>
      </c>
      <c r="AF25" s="256">
        <f t="shared" si="9"/>
        <v>0.95510204081632677</v>
      </c>
      <c r="AG25" s="619"/>
    </row>
    <row r="26" spans="1:33" ht="15.75" customHeight="1">
      <c r="A26" s="638" t="s">
        <v>189</v>
      </c>
      <c r="B26" s="33" t="s">
        <v>6</v>
      </c>
      <c r="C26" s="635" t="s">
        <v>9</v>
      </c>
      <c r="D26" s="635"/>
      <c r="E26" s="33">
        <v>50.67</v>
      </c>
      <c r="F26" s="255">
        <v>977</v>
      </c>
      <c r="G26" s="252">
        <f t="shared" si="19"/>
        <v>49504.590000000004</v>
      </c>
      <c r="H26" s="29" t="s">
        <v>5</v>
      </c>
      <c r="I26" s="254">
        <v>15</v>
      </c>
      <c r="J26" s="30">
        <v>2000</v>
      </c>
      <c r="K26" s="13">
        <f t="shared" si="1"/>
        <v>133.33333333333334</v>
      </c>
      <c r="L26" s="254">
        <v>15</v>
      </c>
      <c r="M26" s="14">
        <f t="shared" si="20"/>
        <v>1953.9999999999964</v>
      </c>
      <c r="N26" s="13">
        <f t="shared" si="3"/>
        <v>130.26666666666642</v>
      </c>
      <c r="O26" s="15">
        <f t="shared" si="4"/>
        <v>0</v>
      </c>
      <c r="P26" s="16">
        <f t="shared" si="5"/>
        <v>-3.0666666666669187</v>
      </c>
      <c r="Q26" s="256">
        <f t="shared" si="6"/>
        <v>0.97699999999999809</v>
      </c>
      <c r="R26" s="619"/>
      <c r="S26" s="31">
        <v>0.78402777777777777</v>
      </c>
      <c r="T26" s="31">
        <v>0.80486111111111114</v>
      </c>
      <c r="U26" s="252">
        <f t="shared" si="22"/>
        <v>6.9999999999999751</v>
      </c>
      <c r="V26" s="253">
        <f t="shared" si="21"/>
        <v>30.000000000000053</v>
      </c>
      <c r="W26" s="17"/>
      <c r="X26" s="22"/>
      <c r="Y26" s="22"/>
      <c r="Z26" s="22"/>
      <c r="AA26" s="610"/>
      <c r="AB26" s="610"/>
      <c r="AC26" s="155"/>
      <c r="AD26" s="19"/>
      <c r="AE26" s="15">
        <f t="shared" si="8"/>
        <v>-46.000000000003638</v>
      </c>
      <c r="AF26" s="256">
        <f t="shared" si="9"/>
        <v>0.9769999999999982</v>
      </c>
      <c r="AG26" s="619"/>
    </row>
    <row r="27" spans="1:33" ht="15.75" customHeight="1">
      <c r="A27" s="638" t="s">
        <v>189</v>
      </c>
      <c r="B27" s="33" t="s">
        <v>180</v>
      </c>
      <c r="C27" s="620"/>
      <c r="D27" s="620"/>
      <c r="E27" s="257"/>
      <c r="F27" s="255"/>
      <c r="G27" s="252"/>
      <c r="H27" s="255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1933.1023845794759</v>
      </c>
      <c r="N27" s="13">
        <f t="shared" si="3"/>
        <v>122.090676920809</v>
      </c>
      <c r="O27" s="15">
        <f t="shared" si="4"/>
        <v>0</v>
      </c>
      <c r="P27" s="16">
        <f t="shared" si="5"/>
        <v>-4.2251125528752027</v>
      </c>
      <c r="Q27" s="256">
        <f t="shared" si="6"/>
        <v>0.96655119228973796</v>
      </c>
      <c r="R27" s="619"/>
      <c r="S27" s="31"/>
      <c r="T27" s="31"/>
      <c r="U27" s="13"/>
      <c r="V27" s="253"/>
      <c r="W27" s="13"/>
      <c r="X27" s="13"/>
      <c r="Y27" s="24">
        <f>SUM(Y21:Y26)</f>
        <v>0</v>
      </c>
      <c r="Z27" s="24">
        <f>SUM(Z21:Z26)</f>
        <v>0</v>
      </c>
      <c r="AA27" s="609"/>
      <c r="AB27" s="609"/>
      <c r="AC27" s="24">
        <v>6</v>
      </c>
      <c r="AD27" s="24">
        <f>SUM(AD21:AD26)</f>
        <v>0</v>
      </c>
      <c r="AE27" s="15">
        <f t="shared" si="8"/>
        <v>-66.897615420524062</v>
      </c>
      <c r="AF27" s="256">
        <f t="shared" si="9"/>
        <v>0.96655119228973796</v>
      </c>
      <c r="AG27" s="619"/>
    </row>
    <row r="28" spans="1:33" ht="15.75" customHeight="1">
      <c r="A28" s="636" t="s">
        <v>192</v>
      </c>
      <c r="B28" s="33" t="s">
        <v>27</v>
      </c>
      <c r="C28" s="635" t="s">
        <v>28</v>
      </c>
      <c r="D28" s="635"/>
      <c r="E28" s="33">
        <v>31.29</v>
      </c>
      <c r="F28" s="255">
        <v>6897</v>
      </c>
      <c r="G28" s="252">
        <f t="shared" ref="G28:G33" si="23">E28*F28</f>
        <v>215807.13</v>
      </c>
      <c r="H28" s="29" t="s">
        <v>5</v>
      </c>
      <c r="I28" s="254">
        <v>18</v>
      </c>
      <c r="J28" s="30">
        <v>2400</v>
      </c>
      <c r="K28" s="13">
        <f t="shared" si="1"/>
        <v>133.33333333333334</v>
      </c>
      <c r="L28" s="254">
        <v>18</v>
      </c>
      <c r="M28" s="14">
        <f t="shared" ref="M28:M33" si="24">F28/V28*60</f>
        <v>2286.2983425414363</v>
      </c>
      <c r="N28" s="13">
        <f t="shared" si="3"/>
        <v>127.01657458563535</v>
      </c>
      <c r="O28" s="15">
        <f t="shared" si="4"/>
        <v>0</v>
      </c>
      <c r="P28" s="16">
        <f t="shared" si="5"/>
        <v>-6.316758747697989</v>
      </c>
      <c r="Q28" s="256">
        <f t="shared" si="6"/>
        <v>0.95262430939226506</v>
      </c>
      <c r="R28" s="619">
        <f>Q34</f>
        <v>0.95762224182659494</v>
      </c>
      <c r="S28" s="31">
        <v>8.3333333333333329E-2</v>
      </c>
      <c r="T28" s="31">
        <v>0.20902777777777776</v>
      </c>
      <c r="U28" s="252"/>
      <c r="V28" s="253">
        <f t="shared" ref="V28:V33" si="25">(T28-S28)*24*60</f>
        <v>181</v>
      </c>
      <c r="W28" s="17">
        <f>T28</f>
        <v>0.20902777777777776</v>
      </c>
      <c r="X28" s="17">
        <f>S29</f>
        <v>0.2298611111111111</v>
      </c>
      <c r="Y28" s="17"/>
      <c r="Z28" s="17"/>
      <c r="AA28" s="610"/>
      <c r="AB28" s="610"/>
      <c r="AC28" s="155">
        <v>6</v>
      </c>
      <c r="AD28" s="19"/>
      <c r="AE28" s="15">
        <f t="shared" si="8"/>
        <v>-113.70165745856366</v>
      </c>
      <c r="AF28" s="256">
        <f t="shared" si="9"/>
        <v>0.95262430939226517</v>
      </c>
      <c r="AG28" s="619">
        <f>AF34</f>
        <v>0.95762224182659506</v>
      </c>
    </row>
    <row r="29" spans="1:33" ht="15.75" customHeight="1">
      <c r="A29" s="636" t="s">
        <v>192</v>
      </c>
      <c r="B29" s="33" t="s">
        <v>27</v>
      </c>
      <c r="C29" s="635" t="s">
        <v>29</v>
      </c>
      <c r="D29" s="635"/>
      <c r="E29" s="33">
        <v>26.37</v>
      </c>
      <c r="F29" s="255">
        <v>5092</v>
      </c>
      <c r="G29" s="252">
        <f t="shared" si="23"/>
        <v>134276.04</v>
      </c>
      <c r="H29" s="29" t="s">
        <v>5</v>
      </c>
      <c r="I29" s="254">
        <v>18</v>
      </c>
      <c r="J29" s="30">
        <v>2400</v>
      </c>
      <c r="K29" s="13">
        <f t="shared" si="1"/>
        <v>133.33333333333334</v>
      </c>
      <c r="L29" s="254">
        <v>18</v>
      </c>
      <c r="M29" s="14">
        <f t="shared" si="24"/>
        <v>2297.1428571428578</v>
      </c>
      <c r="N29" s="13">
        <f t="shared" si="3"/>
        <v>127.61904761904765</v>
      </c>
      <c r="O29" s="15">
        <f t="shared" si="4"/>
        <v>0</v>
      </c>
      <c r="P29" s="16">
        <f t="shared" si="5"/>
        <v>-5.714285714285694</v>
      </c>
      <c r="Q29" s="256">
        <f t="shared" si="6"/>
        <v>0.9571428571428573</v>
      </c>
      <c r="R29" s="619"/>
      <c r="S29" s="31">
        <v>0.2298611111111111</v>
      </c>
      <c r="T29" s="31">
        <v>0.32222222222222219</v>
      </c>
      <c r="U29" s="252">
        <f t="shared" ref="U29:U33" si="26">(S29-T28)*24*60</f>
        <v>30.000000000000014</v>
      </c>
      <c r="V29" s="253">
        <f t="shared" si="25"/>
        <v>132.99999999999994</v>
      </c>
      <c r="W29" s="17"/>
      <c r="X29" s="17"/>
      <c r="Y29" s="17"/>
      <c r="Z29" s="17"/>
      <c r="AA29" s="610"/>
      <c r="AB29" s="610"/>
      <c r="AC29" s="155"/>
      <c r="AD29" s="19"/>
      <c r="AE29" s="15">
        <f t="shared" si="8"/>
        <v>-102.85714285714221</v>
      </c>
      <c r="AF29" s="256">
        <f t="shared" si="9"/>
        <v>0.95714285714285741</v>
      </c>
      <c r="AG29" s="619"/>
    </row>
    <row r="30" spans="1:33" ht="15.75" customHeight="1">
      <c r="A30" s="636" t="s">
        <v>192</v>
      </c>
      <c r="B30" s="33" t="s">
        <v>27</v>
      </c>
      <c r="C30" s="635" t="s">
        <v>34</v>
      </c>
      <c r="D30" s="635"/>
      <c r="E30" s="33">
        <v>24.43</v>
      </c>
      <c r="F30" s="255">
        <v>3400</v>
      </c>
      <c r="G30" s="252">
        <f t="shared" si="23"/>
        <v>83062</v>
      </c>
      <c r="H30" s="29">
        <v>2</v>
      </c>
      <c r="I30" s="254">
        <v>14</v>
      </c>
      <c r="J30" s="30">
        <v>2400</v>
      </c>
      <c r="K30" s="13">
        <f t="shared" si="1"/>
        <v>171.42857142857142</v>
      </c>
      <c r="L30" s="254">
        <v>14</v>
      </c>
      <c r="M30" s="14">
        <f t="shared" si="24"/>
        <v>2292.1348314606744</v>
      </c>
      <c r="N30" s="13">
        <f t="shared" si="3"/>
        <v>163.72391653290532</v>
      </c>
      <c r="O30" s="15">
        <f t="shared" si="4"/>
        <v>0</v>
      </c>
      <c r="P30" s="16">
        <f t="shared" si="5"/>
        <v>-7.7046548956660956</v>
      </c>
      <c r="Q30" s="256">
        <f t="shared" si="6"/>
        <v>0.95505617977528112</v>
      </c>
      <c r="R30" s="619"/>
      <c r="S30" s="31">
        <v>0.32708333333333328</v>
      </c>
      <c r="T30" s="31">
        <v>0.38888888888888884</v>
      </c>
      <c r="U30" s="252">
        <f t="shared" si="26"/>
        <v>6.9999999999999751</v>
      </c>
      <c r="V30" s="253">
        <f t="shared" si="25"/>
        <v>89</v>
      </c>
      <c r="W30" s="17"/>
      <c r="X30" s="17"/>
      <c r="Y30" s="17"/>
      <c r="Z30" s="17"/>
      <c r="AA30" s="610"/>
      <c r="AB30" s="610"/>
      <c r="AC30" s="155"/>
      <c r="AD30" s="19"/>
      <c r="AE30" s="15">
        <f t="shared" si="8"/>
        <v>-107.86516853932562</v>
      </c>
      <c r="AF30" s="256">
        <f t="shared" si="9"/>
        <v>0.95505617977528101</v>
      </c>
      <c r="AG30" s="619"/>
    </row>
    <row r="31" spans="1:33" ht="15.75" customHeight="1">
      <c r="A31" s="636" t="s">
        <v>192</v>
      </c>
      <c r="B31" s="33" t="s">
        <v>27</v>
      </c>
      <c r="C31" s="635" t="s">
        <v>75</v>
      </c>
      <c r="D31" s="635"/>
      <c r="E31" s="33">
        <v>25.98</v>
      </c>
      <c r="F31" s="255">
        <v>3340</v>
      </c>
      <c r="G31" s="252">
        <f t="shared" si="23"/>
        <v>86773.2</v>
      </c>
      <c r="H31" s="29" t="s">
        <v>5</v>
      </c>
      <c r="I31" s="254">
        <v>19</v>
      </c>
      <c r="J31" s="30">
        <v>2400</v>
      </c>
      <c r="K31" s="13">
        <f t="shared" si="1"/>
        <v>126.31578947368421</v>
      </c>
      <c r="L31" s="254">
        <v>19</v>
      </c>
      <c r="M31" s="14">
        <f t="shared" si="24"/>
        <v>2303.4482758620684</v>
      </c>
      <c r="N31" s="13">
        <f t="shared" si="3"/>
        <v>121.23411978221412</v>
      </c>
      <c r="O31" s="15">
        <f t="shared" si="4"/>
        <v>0</v>
      </c>
      <c r="P31" s="16">
        <f t="shared" si="5"/>
        <v>-5.0816696914700827</v>
      </c>
      <c r="Q31" s="256">
        <f t="shared" si="6"/>
        <v>0.95977011494252851</v>
      </c>
      <c r="R31" s="619"/>
      <c r="S31" s="31">
        <v>0.39305555555555549</v>
      </c>
      <c r="T31" s="31">
        <v>0.45347222222222217</v>
      </c>
      <c r="U31" s="252">
        <f t="shared" si="26"/>
        <v>5.9999999999999787</v>
      </c>
      <c r="V31" s="253">
        <f t="shared" si="25"/>
        <v>87.000000000000014</v>
      </c>
      <c r="W31" s="17"/>
      <c r="X31" s="17"/>
      <c r="Y31" s="17"/>
      <c r="Z31" s="17"/>
      <c r="AA31" s="610"/>
      <c r="AB31" s="610"/>
      <c r="AC31" s="155"/>
      <c r="AD31" s="19"/>
      <c r="AE31" s="15">
        <f t="shared" si="8"/>
        <v>-96.551724137931615</v>
      </c>
      <c r="AF31" s="256">
        <f t="shared" si="9"/>
        <v>0.95977011494252851</v>
      </c>
      <c r="AG31" s="619"/>
    </row>
    <row r="32" spans="1:33" ht="15.75" customHeight="1">
      <c r="A32" s="636" t="s">
        <v>192</v>
      </c>
      <c r="B32" s="33" t="s">
        <v>27</v>
      </c>
      <c r="C32" s="635" t="s">
        <v>197</v>
      </c>
      <c r="D32" s="635"/>
      <c r="E32" s="33">
        <v>23.89</v>
      </c>
      <c r="F32" s="255">
        <v>3351</v>
      </c>
      <c r="G32" s="252">
        <f t="shared" si="23"/>
        <v>80055.39</v>
      </c>
      <c r="H32" s="29" t="s">
        <v>5</v>
      </c>
      <c r="I32" s="254">
        <v>17</v>
      </c>
      <c r="J32" s="30">
        <v>2400</v>
      </c>
      <c r="K32" s="13">
        <f t="shared" si="1"/>
        <v>141.1764705882353</v>
      </c>
      <c r="L32" s="254">
        <v>17</v>
      </c>
      <c r="M32" s="14">
        <f t="shared" si="24"/>
        <v>2311.0344827586205</v>
      </c>
      <c r="N32" s="13">
        <f t="shared" si="3"/>
        <v>135.94320486815414</v>
      </c>
      <c r="O32" s="15">
        <f t="shared" si="4"/>
        <v>0</v>
      </c>
      <c r="P32" s="16">
        <f t="shared" si="5"/>
        <v>-5.2332657200811639</v>
      </c>
      <c r="Q32" s="256">
        <f t="shared" si="6"/>
        <v>0.96293103448275841</v>
      </c>
      <c r="R32" s="619"/>
      <c r="S32" s="31">
        <v>0.45833333333333326</v>
      </c>
      <c r="T32" s="31">
        <v>0.51874999999999993</v>
      </c>
      <c r="U32" s="252">
        <f t="shared" si="26"/>
        <v>6.9999999999999751</v>
      </c>
      <c r="V32" s="253">
        <f t="shared" si="25"/>
        <v>87.000000000000014</v>
      </c>
      <c r="W32" s="17">
        <f>T32</f>
        <v>0.51874999999999993</v>
      </c>
      <c r="X32" s="17">
        <f>S33</f>
        <v>0.55972222222222212</v>
      </c>
      <c r="Y32" s="17"/>
      <c r="Z32" s="17"/>
      <c r="AA32" s="610"/>
      <c r="AB32" s="610"/>
      <c r="AC32" s="155"/>
      <c r="AD32" s="19"/>
      <c r="AE32" s="15">
        <f t="shared" si="8"/>
        <v>-88.96551724137953</v>
      </c>
      <c r="AF32" s="256">
        <f t="shared" si="9"/>
        <v>0.96293103448275852</v>
      </c>
      <c r="AG32" s="619"/>
    </row>
    <row r="33" spans="1:33" ht="15.75" customHeight="1">
      <c r="A33" s="636" t="s">
        <v>192</v>
      </c>
      <c r="B33" s="33" t="s">
        <v>27</v>
      </c>
      <c r="C33" s="635" t="s">
        <v>34</v>
      </c>
      <c r="D33" s="635"/>
      <c r="E33" s="33">
        <v>24.43</v>
      </c>
      <c r="F33" s="255">
        <v>2568</v>
      </c>
      <c r="G33" s="252">
        <f t="shared" si="23"/>
        <v>62736.24</v>
      </c>
      <c r="H33" s="29" t="s">
        <v>5</v>
      </c>
      <c r="I33" s="254">
        <v>14</v>
      </c>
      <c r="J33" s="30">
        <v>2400</v>
      </c>
      <c r="K33" s="13">
        <f t="shared" si="1"/>
        <v>171.42857142857142</v>
      </c>
      <c r="L33" s="254">
        <v>14</v>
      </c>
      <c r="M33" s="14">
        <f t="shared" si="24"/>
        <v>2299.7014925373105</v>
      </c>
      <c r="N33" s="13">
        <f t="shared" si="3"/>
        <v>164.26439232409362</v>
      </c>
      <c r="O33" s="15">
        <f t="shared" si="4"/>
        <v>0</v>
      </c>
      <c r="P33" s="16">
        <f t="shared" si="5"/>
        <v>-7.164179104477796</v>
      </c>
      <c r="Q33" s="256">
        <f t="shared" si="6"/>
        <v>0.9582089552238795</v>
      </c>
      <c r="R33" s="619"/>
      <c r="S33" s="31">
        <v>0.55972222222222212</v>
      </c>
      <c r="T33" s="31">
        <v>0.60624999999999996</v>
      </c>
      <c r="U33" s="252">
        <f t="shared" si="26"/>
        <v>58.99999999999995</v>
      </c>
      <c r="V33" s="253">
        <f t="shared" si="25"/>
        <v>67.000000000000085</v>
      </c>
      <c r="W33" s="17"/>
      <c r="X33" s="17"/>
      <c r="Y33" s="17"/>
      <c r="Z33" s="17"/>
      <c r="AA33" s="610"/>
      <c r="AB33" s="610"/>
      <c r="AC33" s="155"/>
      <c r="AD33" s="19"/>
      <c r="AE33" s="15">
        <f t="shared" si="8"/>
        <v>-100.29850746268949</v>
      </c>
      <c r="AF33" s="256">
        <f t="shared" si="9"/>
        <v>0.95820895522387939</v>
      </c>
      <c r="AG33" s="619"/>
    </row>
    <row r="34" spans="1:33" ht="15.75" customHeight="1">
      <c r="A34" s="636" t="s">
        <v>192</v>
      </c>
      <c r="B34" s="33" t="s">
        <v>180</v>
      </c>
      <c r="C34" s="620"/>
      <c r="D34" s="620"/>
      <c r="E34" s="257"/>
      <c r="F34" s="255"/>
      <c r="G34" s="252"/>
      <c r="H34" s="255"/>
      <c r="I34" s="23">
        <v>16.666666666666668</v>
      </c>
      <c r="J34" s="30">
        <v>2400</v>
      </c>
      <c r="K34" s="13">
        <f t="shared" si="1"/>
        <v>144</v>
      </c>
      <c r="L34" s="23">
        <v>16.666666666666668</v>
      </c>
      <c r="M34" s="14">
        <f>AVERAGE(M28:M33)</f>
        <v>2298.2933803838282</v>
      </c>
      <c r="N34" s="13">
        <f t="shared" si="3"/>
        <v>137.89760282302967</v>
      </c>
      <c r="O34" s="15">
        <f t="shared" si="4"/>
        <v>0</v>
      </c>
      <c r="P34" s="16">
        <f t="shared" si="5"/>
        <v>-6.102397176970328</v>
      </c>
      <c r="Q34" s="256">
        <f t="shared" si="6"/>
        <v>0.95762224182659494</v>
      </c>
      <c r="R34" s="619"/>
      <c r="S34" s="31"/>
      <c r="T34" s="31"/>
      <c r="U34" s="252"/>
      <c r="V34" s="253"/>
      <c r="W34" s="252"/>
      <c r="X34" s="252"/>
      <c r="Y34" s="24">
        <f>SUM(Y28:Y33)</f>
        <v>0</v>
      </c>
      <c r="Z34" s="24">
        <f>SUM(Z28:Z33)</f>
        <v>0</v>
      </c>
      <c r="AA34" s="609"/>
      <c r="AB34" s="609"/>
      <c r="AC34" s="24">
        <v>6</v>
      </c>
      <c r="AD34" s="24">
        <f>SUM(AD28:AD33)</f>
        <v>0</v>
      </c>
      <c r="AE34" s="15">
        <f t="shared" si="8"/>
        <v>-101.70661961617179</v>
      </c>
      <c r="AF34" s="256">
        <f t="shared" si="9"/>
        <v>0.95762224182659506</v>
      </c>
      <c r="AG34" s="619"/>
    </row>
    <row r="35" spans="1:33" ht="15.75" customHeight="1">
      <c r="A35" s="633" t="s">
        <v>195</v>
      </c>
      <c r="B35" s="33" t="s">
        <v>27</v>
      </c>
      <c r="C35" s="611" t="s">
        <v>33</v>
      </c>
      <c r="D35" s="611"/>
      <c r="E35" s="33">
        <v>26.18</v>
      </c>
      <c r="F35" s="255">
        <v>4791</v>
      </c>
      <c r="G35" s="252">
        <f t="shared" ref="G35:G40" si="27">E35*F35</f>
        <v>125428.38</v>
      </c>
      <c r="H35" s="29" t="s">
        <v>5</v>
      </c>
      <c r="I35" s="254">
        <v>20</v>
      </c>
      <c r="J35" s="30">
        <v>2400</v>
      </c>
      <c r="K35" s="13">
        <f t="shared" si="1"/>
        <v>120</v>
      </c>
      <c r="L35" s="254">
        <v>20</v>
      </c>
      <c r="M35" s="14">
        <f t="shared" ref="M35:M40" si="28">F35/V35*60</f>
        <v>2299.6799999999998</v>
      </c>
      <c r="N35" s="13">
        <f t="shared" si="3"/>
        <v>114.98399999999999</v>
      </c>
      <c r="O35" s="15">
        <f t="shared" si="4"/>
        <v>0</v>
      </c>
      <c r="P35" s="16">
        <f t="shared" si="5"/>
        <v>-5.0160000000000053</v>
      </c>
      <c r="Q35" s="256">
        <f t="shared" si="6"/>
        <v>0.95819999999999994</v>
      </c>
      <c r="R35" s="619">
        <f>Q41</f>
        <v>0.95552463217179162</v>
      </c>
      <c r="S35" s="31">
        <v>8.3333333333333329E-2</v>
      </c>
      <c r="T35" s="31">
        <v>0.1701388888888889</v>
      </c>
      <c r="U35" s="252"/>
      <c r="V35" s="253">
        <f t="shared" ref="V35:V40" si="29">(T35-S35)*24*60</f>
        <v>125.00000000000001</v>
      </c>
      <c r="W35" s="22">
        <f>T35</f>
        <v>0.1701388888888889</v>
      </c>
      <c r="X35" s="22">
        <f>S36</f>
        <v>0.18888888888888891</v>
      </c>
      <c r="Y35" s="22"/>
      <c r="Z35" s="22"/>
      <c r="AA35" s="610"/>
      <c r="AB35" s="610"/>
      <c r="AC35" s="155">
        <v>6</v>
      </c>
      <c r="AD35" s="19"/>
      <c r="AE35" s="15">
        <f t="shared" si="8"/>
        <v>-100.32000000000016</v>
      </c>
      <c r="AF35" s="256">
        <f t="shared" si="9"/>
        <v>0.95819999999999994</v>
      </c>
      <c r="AG35" s="619">
        <f>AF41</f>
        <v>0.95552463217179162</v>
      </c>
    </row>
    <row r="36" spans="1:33" ht="15.75" customHeight="1">
      <c r="A36" s="633" t="s">
        <v>195</v>
      </c>
      <c r="B36" s="33" t="s">
        <v>27</v>
      </c>
      <c r="C36" s="611" t="s">
        <v>30</v>
      </c>
      <c r="D36" s="611"/>
      <c r="E36" s="33">
        <v>26.18</v>
      </c>
      <c r="F36" s="255">
        <v>6235</v>
      </c>
      <c r="G36" s="252">
        <f t="shared" si="27"/>
        <v>163232.29999999999</v>
      </c>
      <c r="H36" s="29" t="s">
        <v>5</v>
      </c>
      <c r="I36" s="254">
        <v>18</v>
      </c>
      <c r="J36" s="30">
        <v>2400</v>
      </c>
      <c r="K36" s="13">
        <f t="shared" si="1"/>
        <v>133.33333333333334</v>
      </c>
      <c r="L36" s="254">
        <v>18</v>
      </c>
      <c r="M36" s="14">
        <f t="shared" si="28"/>
        <v>2295.0920245398775</v>
      </c>
      <c r="N36" s="13">
        <f t="shared" si="3"/>
        <v>127.50511247443764</v>
      </c>
      <c r="O36" s="15">
        <f t="shared" si="4"/>
        <v>0</v>
      </c>
      <c r="P36" s="16">
        <f t="shared" si="5"/>
        <v>-5.8282208588957047</v>
      </c>
      <c r="Q36" s="256">
        <f t="shared" si="6"/>
        <v>0.95628834355828218</v>
      </c>
      <c r="R36" s="619"/>
      <c r="S36" s="31">
        <v>0.18888888888888891</v>
      </c>
      <c r="T36" s="31">
        <v>0.30208333333333337</v>
      </c>
      <c r="U36" s="252">
        <f t="shared" ref="U36:U40" si="30">(S36-T35)*24*60</f>
        <v>27.000000000000025</v>
      </c>
      <c r="V36" s="253">
        <f t="shared" si="29"/>
        <v>163</v>
      </c>
      <c r="W36" s="252"/>
      <c r="X36" s="252"/>
      <c r="Y36" s="252"/>
      <c r="Z36" s="252"/>
      <c r="AA36" s="610"/>
      <c r="AB36" s="610"/>
      <c r="AC36" s="155"/>
      <c r="AD36" s="19"/>
      <c r="AE36" s="15">
        <f t="shared" si="8"/>
        <v>-104.90797546012254</v>
      </c>
      <c r="AF36" s="256">
        <f t="shared" si="9"/>
        <v>0.95628834355828229</v>
      </c>
      <c r="AG36" s="619"/>
    </row>
    <row r="37" spans="1:33">
      <c r="A37" s="634" t="s">
        <v>195</v>
      </c>
      <c r="B37" s="33" t="s">
        <v>27</v>
      </c>
      <c r="C37" s="611" t="s">
        <v>35</v>
      </c>
      <c r="D37" s="611"/>
      <c r="E37" s="33">
        <v>34.1</v>
      </c>
      <c r="F37" s="255">
        <v>2800</v>
      </c>
      <c r="G37" s="252">
        <f t="shared" si="27"/>
        <v>95480</v>
      </c>
      <c r="H37" s="29">
        <v>2</v>
      </c>
      <c r="I37" s="254">
        <v>17</v>
      </c>
      <c r="J37" s="30">
        <v>1600</v>
      </c>
      <c r="K37" s="13">
        <f t="shared" si="1"/>
        <v>94.117647058823536</v>
      </c>
      <c r="L37" s="254">
        <v>17</v>
      </c>
      <c r="M37" s="14">
        <f t="shared" si="28"/>
        <v>1527.272727272727</v>
      </c>
      <c r="N37" s="13">
        <f t="shared" si="3"/>
        <v>89.839572192513359</v>
      </c>
      <c r="O37" s="15">
        <f t="shared" si="4"/>
        <v>0</v>
      </c>
      <c r="P37" s="16">
        <f t="shared" si="5"/>
        <v>-4.2780748663101775</v>
      </c>
      <c r="Q37" s="256">
        <f t="shared" si="6"/>
        <v>0.95454545454545436</v>
      </c>
      <c r="R37" s="619"/>
      <c r="S37" s="31">
        <v>0.30694444444444446</v>
      </c>
      <c r="T37" s="31">
        <v>0.38333333333333336</v>
      </c>
      <c r="U37" s="252">
        <f t="shared" si="30"/>
        <v>6.9999999999999751</v>
      </c>
      <c r="V37" s="253">
        <f t="shared" si="29"/>
        <v>110.00000000000001</v>
      </c>
      <c r="W37" s="252"/>
      <c r="X37" s="252"/>
      <c r="Y37" s="252"/>
      <c r="Z37" s="252"/>
      <c r="AA37" s="610"/>
      <c r="AB37" s="610"/>
      <c r="AC37" s="155"/>
      <c r="AD37" s="19"/>
      <c r="AE37" s="15">
        <f t="shared" si="8"/>
        <v>-72.727272727272975</v>
      </c>
      <c r="AF37" s="256">
        <f t="shared" si="9"/>
        <v>0.95454545454545436</v>
      </c>
      <c r="AG37" s="619"/>
    </row>
    <row r="38" spans="1:33">
      <c r="A38" s="634" t="s">
        <v>195</v>
      </c>
      <c r="B38" s="33" t="s">
        <v>27</v>
      </c>
      <c r="C38" s="611" t="s">
        <v>54</v>
      </c>
      <c r="D38" s="611"/>
      <c r="E38" s="33">
        <v>24.25</v>
      </c>
      <c r="F38" s="255">
        <v>1452</v>
      </c>
      <c r="G38" s="252">
        <f t="shared" si="27"/>
        <v>35211</v>
      </c>
      <c r="H38" s="29" t="s">
        <v>5</v>
      </c>
      <c r="I38" s="254">
        <v>16</v>
      </c>
      <c r="J38" s="30">
        <v>2400</v>
      </c>
      <c r="K38" s="13">
        <f t="shared" si="1"/>
        <v>150</v>
      </c>
      <c r="L38" s="254">
        <v>16</v>
      </c>
      <c r="M38" s="14">
        <f t="shared" si="28"/>
        <v>2292.6315789473665</v>
      </c>
      <c r="N38" s="13">
        <f t="shared" si="3"/>
        <v>143.28947368421041</v>
      </c>
      <c r="O38" s="15">
        <f t="shared" si="4"/>
        <v>0</v>
      </c>
      <c r="P38" s="16">
        <f t="shared" si="5"/>
        <v>-6.7105263157895934</v>
      </c>
      <c r="Q38" s="256">
        <f t="shared" si="6"/>
        <v>0.95526315789473604</v>
      </c>
      <c r="R38" s="619"/>
      <c r="S38" s="31">
        <v>0.38680555555555557</v>
      </c>
      <c r="T38" s="31">
        <v>0.41319444444444448</v>
      </c>
      <c r="U38" s="252">
        <f t="shared" si="30"/>
        <v>4.9999999999999822</v>
      </c>
      <c r="V38" s="253">
        <f t="shared" si="29"/>
        <v>38.000000000000028</v>
      </c>
      <c r="W38" s="17"/>
      <c r="X38" s="17"/>
      <c r="Y38" s="17"/>
      <c r="Z38" s="17"/>
      <c r="AA38" s="610"/>
      <c r="AB38" s="610"/>
      <c r="AC38" s="155"/>
      <c r="AD38" s="19"/>
      <c r="AE38" s="15">
        <f t="shared" si="8"/>
        <v>-107.36842105263349</v>
      </c>
      <c r="AF38" s="256">
        <f t="shared" si="9"/>
        <v>0.95526315789473604</v>
      </c>
      <c r="AG38" s="619"/>
    </row>
    <row r="39" spans="1:33">
      <c r="A39" s="634" t="s">
        <v>195</v>
      </c>
      <c r="B39" s="33" t="s">
        <v>27</v>
      </c>
      <c r="C39" s="611" t="s">
        <v>32</v>
      </c>
      <c r="D39" s="611"/>
      <c r="E39" s="33">
        <v>25.99</v>
      </c>
      <c r="F39" s="255">
        <v>2942</v>
      </c>
      <c r="G39" s="252">
        <f t="shared" si="27"/>
        <v>76462.58</v>
      </c>
      <c r="H39" s="29" t="s">
        <v>5</v>
      </c>
      <c r="I39" s="254">
        <v>14</v>
      </c>
      <c r="J39" s="30">
        <v>2400</v>
      </c>
      <c r="K39" s="13">
        <f t="shared" si="1"/>
        <v>171.42857142857142</v>
      </c>
      <c r="L39" s="254">
        <v>14</v>
      </c>
      <c r="M39" s="14">
        <f t="shared" si="28"/>
        <v>2292.4675324675336</v>
      </c>
      <c r="N39" s="13">
        <f t="shared" si="3"/>
        <v>163.74768089053811</v>
      </c>
      <c r="O39" s="15">
        <f t="shared" si="4"/>
        <v>0</v>
      </c>
      <c r="P39" s="16">
        <f t="shared" si="5"/>
        <v>-7.6808905380333101</v>
      </c>
      <c r="Q39" s="256">
        <f t="shared" si="6"/>
        <v>0.95519480519480571</v>
      </c>
      <c r="R39" s="619"/>
      <c r="S39" s="31">
        <v>0.41805555555555557</v>
      </c>
      <c r="T39" s="31">
        <v>0.47152777777777777</v>
      </c>
      <c r="U39" s="252">
        <f t="shared" si="30"/>
        <v>6.9999999999999751</v>
      </c>
      <c r="V39" s="253">
        <f t="shared" si="29"/>
        <v>76.999999999999972</v>
      </c>
      <c r="W39" s="17">
        <f>T39</f>
        <v>0.47152777777777777</v>
      </c>
      <c r="X39" s="17">
        <f>S40</f>
        <v>0.51180555555555551</v>
      </c>
      <c r="Y39" s="17"/>
      <c r="Z39" s="17"/>
      <c r="AA39" s="610"/>
      <c r="AB39" s="610"/>
      <c r="AC39" s="155"/>
      <c r="AD39" s="19"/>
      <c r="AE39" s="15">
        <f t="shared" si="8"/>
        <v>-107.5324675324664</v>
      </c>
      <c r="AF39" s="256">
        <f t="shared" si="9"/>
        <v>0.95519480519480571</v>
      </c>
      <c r="AG39" s="619"/>
    </row>
    <row r="40" spans="1:33">
      <c r="A40" s="634" t="s">
        <v>195</v>
      </c>
      <c r="B40" s="33" t="s">
        <v>27</v>
      </c>
      <c r="C40" s="611" t="s">
        <v>35</v>
      </c>
      <c r="D40" s="611"/>
      <c r="E40" s="33">
        <v>34.1</v>
      </c>
      <c r="F40" s="255">
        <v>2133</v>
      </c>
      <c r="G40" s="252">
        <f t="shared" si="27"/>
        <v>72735.3</v>
      </c>
      <c r="H40" s="29" t="s">
        <v>5</v>
      </c>
      <c r="I40" s="254">
        <v>17</v>
      </c>
      <c r="J40" s="30">
        <v>1600</v>
      </c>
      <c r="K40" s="13">
        <f t="shared" si="1"/>
        <v>94.117647058823536</v>
      </c>
      <c r="L40" s="254">
        <v>17</v>
      </c>
      <c r="M40" s="14">
        <f t="shared" si="28"/>
        <v>1523.5714285714282</v>
      </c>
      <c r="N40" s="13">
        <f t="shared" si="3"/>
        <v>89.621848739495775</v>
      </c>
      <c r="O40" s="15">
        <f t="shared" si="4"/>
        <v>0</v>
      </c>
      <c r="P40" s="16">
        <f t="shared" si="5"/>
        <v>-4.4957983193277613</v>
      </c>
      <c r="Q40" s="256">
        <f t="shared" si="6"/>
        <v>0.95223214285714253</v>
      </c>
      <c r="R40" s="619"/>
      <c r="S40" s="31">
        <v>0.51180555555555551</v>
      </c>
      <c r="T40" s="31">
        <v>0.57013888888888886</v>
      </c>
      <c r="U40" s="252">
        <f t="shared" si="30"/>
        <v>57.999999999999957</v>
      </c>
      <c r="V40" s="253">
        <f t="shared" si="29"/>
        <v>84.000000000000028</v>
      </c>
      <c r="W40" s="17"/>
      <c r="X40" s="17"/>
      <c r="Y40" s="17"/>
      <c r="Z40" s="17"/>
      <c r="AA40" s="610"/>
      <c r="AB40" s="610"/>
      <c r="AC40" s="155"/>
      <c r="AD40" s="19"/>
      <c r="AE40" s="15">
        <f t="shared" si="8"/>
        <v>-76.428571428571786</v>
      </c>
      <c r="AF40" s="256">
        <f t="shared" si="9"/>
        <v>0.95223214285714264</v>
      </c>
      <c r="AG40" s="619"/>
    </row>
    <row r="41" spans="1:33">
      <c r="A41" s="634" t="s">
        <v>195</v>
      </c>
      <c r="B41" s="34" t="s">
        <v>180</v>
      </c>
      <c r="C41" s="620"/>
      <c r="D41" s="620"/>
      <c r="E41" s="257"/>
      <c r="F41" s="34"/>
      <c r="G41" s="13"/>
      <c r="H41" s="255"/>
      <c r="I41" s="23">
        <v>17</v>
      </c>
      <c r="J41" s="30">
        <v>2133.3333333333335</v>
      </c>
      <c r="K41" s="13">
        <f t="shared" si="1"/>
        <v>125.49019607843138</v>
      </c>
      <c r="L41" s="23">
        <v>17</v>
      </c>
      <c r="M41" s="14">
        <f>AVERAGE(M35:M40)</f>
        <v>2038.4525486331556</v>
      </c>
      <c r="N41" s="13">
        <f t="shared" si="3"/>
        <v>119.90897344900915</v>
      </c>
      <c r="O41" s="15">
        <f t="shared" si="4"/>
        <v>0</v>
      </c>
      <c r="P41" s="16">
        <f t="shared" si="5"/>
        <v>-5.5812226294222285</v>
      </c>
      <c r="Q41" s="256">
        <f t="shared" si="6"/>
        <v>0.95552463217179162</v>
      </c>
      <c r="R41" s="619"/>
      <c r="S41" s="31"/>
      <c r="T41" s="31"/>
      <c r="U41" s="13"/>
      <c r="V41" s="253"/>
      <c r="W41" s="13"/>
      <c r="X41" s="13"/>
      <c r="Y41" s="24">
        <f>SUM(Y35:Y40)</f>
        <v>0</v>
      </c>
      <c r="Z41" s="24">
        <f>SUM(Z35:Z40)</f>
        <v>0</v>
      </c>
      <c r="AA41" s="609"/>
      <c r="AB41" s="609"/>
      <c r="AC41" s="24">
        <v>6</v>
      </c>
      <c r="AD41" s="24">
        <f>SUM(AD35:AD40)</f>
        <v>0</v>
      </c>
      <c r="AE41" s="15">
        <f t="shared" si="8"/>
        <v>-94.880784700177855</v>
      </c>
      <c r="AF41" s="256">
        <f t="shared" si="9"/>
        <v>0.95552463217179162</v>
      </c>
      <c r="AG41" s="619"/>
    </row>
    <row r="42" spans="1:33" ht="15.75" customHeight="1">
      <c r="A42" s="630" t="s">
        <v>198</v>
      </c>
      <c r="B42" s="33" t="s">
        <v>36</v>
      </c>
      <c r="C42" s="612" t="s">
        <v>37</v>
      </c>
      <c r="D42" s="613"/>
      <c r="E42" s="33">
        <v>21.13</v>
      </c>
      <c r="F42" s="255">
        <v>4294</v>
      </c>
      <c r="G42" s="252">
        <f t="shared" ref="G42:G44" si="31">E42*F42</f>
        <v>90732.22</v>
      </c>
      <c r="H42" s="29" t="s">
        <v>5</v>
      </c>
      <c r="I42" s="254">
        <v>10</v>
      </c>
      <c r="J42" s="30">
        <v>3000</v>
      </c>
      <c r="K42" s="13">
        <f t="shared" si="1"/>
        <v>300</v>
      </c>
      <c r="L42" s="254">
        <v>10</v>
      </c>
      <c r="M42" s="14">
        <f t="shared" ref="M42:M44" si="32">F42/V42*60</f>
        <v>2862.6666666666652</v>
      </c>
      <c r="N42" s="14">
        <f t="shared" si="3"/>
        <v>286.26666666666654</v>
      </c>
      <c r="O42" s="15">
        <f t="shared" si="4"/>
        <v>0</v>
      </c>
      <c r="P42" s="16">
        <f t="shared" si="5"/>
        <v>-13.733333333333462</v>
      </c>
      <c r="Q42" s="256">
        <f t="shared" si="6"/>
        <v>0.95422222222222175</v>
      </c>
      <c r="R42" s="625">
        <f>Q45</f>
        <v>0.95474397698669522</v>
      </c>
      <c r="S42" s="31">
        <v>0.20833333333333334</v>
      </c>
      <c r="T42" s="31">
        <v>0.27083333333333337</v>
      </c>
      <c r="U42" s="22"/>
      <c r="V42" s="253">
        <f t="shared" ref="V42:V44" si="33">(T42-S42)*24*60</f>
        <v>90.000000000000043</v>
      </c>
      <c r="W42" s="17"/>
      <c r="X42" s="17"/>
      <c r="Y42" s="20"/>
      <c r="Z42" s="20"/>
      <c r="AA42" s="614"/>
      <c r="AB42" s="615"/>
      <c r="AC42" s="155">
        <v>3</v>
      </c>
      <c r="AD42" s="19"/>
      <c r="AE42" s="15">
        <f t="shared" si="8"/>
        <v>-137.33333333333485</v>
      </c>
      <c r="AF42" s="256">
        <f t="shared" si="9"/>
        <v>0.95422222222222175</v>
      </c>
      <c r="AG42" s="625">
        <f>AF45</f>
        <v>0.95474397698669522</v>
      </c>
    </row>
    <row r="43" spans="1:33" ht="15.75" customHeight="1">
      <c r="A43" s="631" t="s">
        <v>1181</v>
      </c>
      <c r="B43" s="33" t="s">
        <v>36</v>
      </c>
      <c r="C43" s="612" t="s">
        <v>38</v>
      </c>
      <c r="D43" s="613"/>
      <c r="E43" s="33">
        <v>27.17</v>
      </c>
      <c r="F43" s="255">
        <v>4908</v>
      </c>
      <c r="G43" s="252">
        <f t="shared" si="31"/>
        <v>133350.36000000002</v>
      </c>
      <c r="H43" s="29" t="s">
        <v>5</v>
      </c>
      <c r="I43" s="254">
        <v>10</v>
      </c>
      <c r="J43" s="30">
        <v>3000</v>
      </c>
      <c r="K43" s="13">
        <f t="shared" si="1"/>
        <v>300</v>
      </c>
      <c r="L43" s="254">
        <v>10</v>
      </c>
      <c r="M43" s="14">
        <f t="shared" si="32"/>
        <v>2859.0291262135938</v>
      </c>
      <c r="N43" s="14">
        <f t="shared" si="3"/>
        <v>285.90291262135941</v>
      </c>
      <c r="O43" s="15">
        <f t="shared" si="4"/>
        <v>0</v>
      </c>
      <c r="P43" s="16">
        <f t="shared" si="5"/>
        <v>-14.097087378640595</v>
      </c>
      <c r="Q43" s="256">
        <f t="shared" si="6"/>
        <v>0.95300970873786472</v>
      </c>
      <c r="R43" s="626"/>
      <c r="S43" s="31">
        <v>0.27430555555555558</v>
      </c>
      <c r="T43" s="31">
        <v>0.34583333333333333</v>
      </c>
      <c r="U43" s="252">
        <f t="shared" ref="U43:U44" si="34">(S43-T42)*24*60</f>
        <v>4.9999999999999822</v>
      </c>
      <c r="V43" s="253">
        <f t="shared" si="33"/>
        <v>102.99999999999996</v>
      </c>
      <c r="W43" s="17"/>
      <c r="X43" s="17"/>
      <c r="Y43" s="20"/>
      <c r="Z43" s="20"/>
      <c r="AA43" s="614"/>
      <c r="AB43" s="615"/>
      <c r="AC43" s="155"/>
      <c r="AD43" s="19"/>
      <c r="AE43" s="15">
        <f t="shared" si="8"/>
        <v>-140.97087378640617</v>
      </c>
      <c r="AF43" s="256">
        <f t="shared" si="9"/>
        <v>0.95300970873786461</v>
      </c>
      <c r="AG43" s="626"/>
    </row>
    <row r="44" spans="1:33" ht="15.75" customHeight="1">
      <c r="A44" s="631" t="s">
        <v>198</v>
      </c>
      <c r="B44" s="33" t="s">
        <v>36</v>
      </c>
      <c r="C44" s="612" t="s">
        <v>39</v>
      </c>
      <c r="D44" s="613"/>
      <c r="E44" s="33">
        <v>35.869999999999997</v>
      </c>
      <c r="F44" s="255">
        <v>957</v>
      </c>
      <c r="G44" s="252">
        <f t="shared" si="31"/>
        <v>34327.589999999997</v>
      </c>
      <c r="H44" s="29" t="s">
        <v>5</v>
      </c>
      <c r="I44" s="254">
        <v>9</v>
      </c>
      <c r="J44" s="30">
        <v>3000</v>
      </c>
      <c r="K44" s="13">
        <f t="shared" si="1"/>
        <v>333.33333333333331</v>
      </c>
      <c r="L44" s="254">
        <v>9</v>
      </c>
      <c r="M44" s="14">
        <f t="shared" si="32"/>
        <v>2870.9999999999986</v>
      </c>
      <c r="N44" s="14">
        <f t="shared" si="3"/>
        <v>318.99999999999983</v>
      </c>
      <c r="O44" s="15">
        <f t="shared" si="4"/>
        <v>0</v>
      </c>
      <c r="P44" s="16">
        <f t="shared" si="5"/>
        <v>-14.333333333333485</v>
      </c>
      <c r="Q44" s="256">
        <f t="shared" si="6"/>
        <v>0.95699999999999952</v>
      </c>
      <c r="R44" s="626"/>
      <c r="S44" s="31">
        <v>0.35069444444444442</v>
      </c>
      <c r="T44" s="31">
        <v>0.36458333333333331</v>
      </c>
      <c r="U44" s="252">
        <f t="shared" si="34"/>
        <v>6.9999999999999751</v>
      </c>
      <c r="V44" s="253">
        <f t="shared" si="33"/>
        <v>20.000000000000007</v>
      </c>
      <c r="W44" s="17"/>
      <c r="X44" s="17"/>
      <c r="Y44" s="20"/>
      <c r="Z44" s="20"/>
      <c r="AA44" s="614"/>
      <c r="AB44" s="615"/>
      <c r="AC44" s="155"/>
      <c r="AD44" s="19"/>
      <c r="AE44" s="15">
        <f t="shared" si="8"/>
        <v>-129.00000000000136</v>
      </c>
      <c r="AF44" s="256">
        <f t="shared" si="9"/>
        <v>0.95699999999999952</v>
      </c>
      <c r="AG44" s="626"/>
    </row>
    <row r="45" spans="1:33" ht="15.75" customHeight="1">
      <c r="A45" s="632" t="s">
        <v>1182</v>
      </c>
      <c r="B45" s="33" t="s">
        <v>1183</v>
      </c>
      <c r="C45" s="607"/>
      <c r="D45" s="608"/>
      <c r="E45" s="263"/>
      <c r="F45" s="255"/>
      <c r="G45" s="252"/>
      <c r="H45" s="255"/>
      <c r="I45" s="23">
        <v>9.6666666666666661</v>
      </c>
      <c r="J45" s="30">
        <v>3000</v>
      </c>
      <c r="K45" s="13">
        <f t="shared" si="1"/>
        <v>310.34482758620692</v>
      </c>
      <c r="L45" s="23">
        <v>9.6666666666666661</v>
      </c>
      <c r="M45" s="14">
        <f>AVERAGE(M42:M44)</f>
        <v>2864.2319309600857</v>
      </c>
      <c r="N45" s="13">
        <f t="shared" si="3"/>
        <v>296.29985492690543</v>
      </c>
      <c r="O45" s="15">
        <f t="shared" si="4"/>
        <v>0</v>
      </c>
      <c r="P45" s="16">
        <f t="shared" si="5"/>
        <v>-14.044972659301493</v>
      </c>
      <c r="Q45" s="256">
        <f t="shared" si="6"/>
        <v>0.95474397698669522</v>
      </c>
      <c r="R45" s="627"/>
      <c r="S45" s="31"/>
      <c r="T45" s="31"/>
      <c r="U45" s="252"/>
      <c r="V45" s="253"/>
      <c r="W45" s="17"/>
      <c r="X45" s="17"/>
      <c r="Y45" s="24">
        <f>SUM(Y42:Y44)</f>
        <v>0</v>
      </c>
      <c r="Z45" s="24">
        <f>SUM(Z42:Z44)</f>
        <v>0</v>
      </c>
      <c r="AA45" s="628"/>
      <c r="AB45" s="629"/>
      <c r="AC45" s="24">
        <v>3</v>
      </c>
      <c r="AD45" s="24">
        <f>SUM(AD42:AD44)</f>
        <v>0</v>
      </c>
      <c r="AE45" s="15">
        <f t="shared" si="8"/>
        <v>-135.76806903991428</v>
      </c>
      <c r="AF45" s="256">
        <f t="shared" si="9"/>
        <v>0.95474397698669522</v>
      </c>
      <c r="AG45" s="627"/>
    </row>
    <row r="46" spans="1:33" ht="15.75" customHeight="1">
      <c r="A46" s="623" t="s">
        <v>297</v>
      </c>
      <c r="B46" s="33" t="s">
        <v>6</v>
      </c>
      <c r="C46" s="611" t="s">
        <v>41</v>
      </c>
      <c r="D46" s="611"/>
      <c r="E46" s="33">
        <v>51.44</v>
      </c>
      <c r="F46" s="35">
        <v>1073</v>
      </c>
      <c r="G46" s="252">
        <f t="shared" ref="G46:G53" si="35">E46*F46</f>
        <v>55195.119999999995</v>
      </c>
      <c r="H46" s="29" t="s">
        <v>5</v>
      </c>
      <c r="I46" s="254">
        <v>25</v>
      </c>
      <c r="J46" s="30">
        <v>2000</v>
      </c>
      <c r="K46" s="13">
        <f t="shared" si="1"/>
        <v>80</v>
      </c>
      <c r="L46" s="254">
        <v>25</v>
      </c>
      <c r="M46" s="14">
        <f t="shared" ref="M46" si="36">F46/V46*60</f>
        <v>1950.909090909091</v>
      </c>
      <c r="N46" s="14">
        <f t="shared" si="3"/>
        <v>78.036363636363646</v>
      </c>
      <c r="O46" s="15">
        <f t="shared" si="4"/>
        <v>0</v>
      </c>
      <c r="P46" s="16">
        <f t="shared" si="5"/>
        <v>-1.9636363636363541</v>
      </c>
      <c r="Q46" s="256">
        <f t="shared" si="6"/>
        <v>0.97545454545454557</v>
      </c>
      <c r="R46" s="619">
        <f>Q54</f>
        <v>0.96335003913995709</v>
      </c>
      <c r="S46" s="31">
        <v>0.20833333333333334</v>
      </c>
      <c r="T46" s="31">
        <v>0.23125000000000001</v>
      </c>
      <c r="U46" s="22"/>
      <c r="V46" s="253">
        <f t="shared" ref="V46:V53" si="37">(T46-S46)*24*60</f>
        <v>33</v>
      </c>
      <c r="W46" s="17"/>
      <c r="X46" s="17"/>
      <c r="Y46" s="22"/>
      <c r="Z46" s="22"/>
      <c r="AA46" s="610"/>
      <c r="AB46" s="610"/>
      <c r="AC46" s="155">
        <v>8</v>
      </c>
      <c r="AD46" s="19"/>
      <c r="AE46" s="15">
        <f t="shared" si="8"/>
        <v>-49.090909090909008</v>
      </c>
      <c r="AF46" s="256">
        <f t="shared" si="9"/>
        <v>0.97545454545454546</v>
      </c>
      <c r="AG46" s="619">
        <f>AF54</f>
        <v>0.9633500391399572</v>
      </c>
    </row>
    <row r="47" spans="1:33" ht="15.75" customHeight="1">
      <c r="A47" s="623" t="s">
        <v>297</v>
      </c>
      <c r="B47" s="33" t="s">
        <v>6</v>
      </c>
      <c r="C47" s="611" t="s">
        <v>77</v>
      </c>
      <c r="D47" s="611"/>
      <c r="E47" s="33">
        <v>56.43</v>
      </c>
      <c r="F47" s="35">
        <v>1507</v>
      </c>
      <c r="G47" s="252">
        <f t="shared" si="35"/>
        <v>85040.01</v>
      </c>
      <c r="H47" s="29" t="s">
        <v>5</v>
      </c>
      <c r="I47" s="254">
        <v>23</v>
      </c>
      <c r="J47" s="30">
        <v>2000</v>
      </c>
      <c r="K47" s="13">
        <f t="shared" si="1"/>
        <v>86.956521739130437</v>
      </c>
      <c r="L47" s="254">
        <v>23</v>
      </c>
      <c r="M47" s="14">
        <f>F47/V47*60</f>
        <v>1923.8297872340413</v>
      </c>
      <c r="N47" s="14">
        <f t="shared" si="3"/>
        <v>83.6447733580018</v>
      </c>
      <c r="O47" s="15">
        <f t="shared" si="4"/>
        <v>0</v>
      </c>
      <c r="P47" s="16">
        <f t="shared" si="5"/>
        <v>-3.3117483811286377</v>
      </c>
      <c r="Q47" s="256">
        <f t="shared" si="6"/>
        <v>0.96191489361702065</v>
      </c>
      <c r="R47" s="619"/>
      <c r="S47" s="31">
        <v>0.23611111111111113</v>
      </c>
      <c r="T47" s="31">
        <v>0.26875000000000004</v>
      </c>
      <c r="U47" s="252">
        <f t="shared" ref="U47:U53" si="38">IF(S47=TIME(17,0,0),"",(S47-T46)*24*60)</f>
        <v>7.0000000000000151</v>
      </c>
      <c r="V47" s="253">
        <f t="shared" si="37"/>
        <v>47.000000000000036</v>
      </c>
      <c r="W47" s="17"/>
      <c r="X47" s="17"/>
      <c r="Y47" s="17"/>
      <c r="Z47" s="17"/>
      <c r="AA47" s="610"/>
      <c r="AB47" s="610"/>
      <c r="AC47" s="155"/>
      <c r="AD47" s="19"/>
      <c r="AE47" s="15">
        <f t="shared" si="8"/>
        <v>-76.170212765958695</v>
      </c>
      <c r="AF47" s="256">
        <f t="shared" si="9"/>
        <v>0.96191489361702065</v>
      </c>
      <c r="AG47" s="619"/>
    </row>
    <row r="48" spans="1:33" ht="15.75" customHeight="1">
      <c r="A48" s="623" t="s">
        <v>1184</v>
      </c>
      <c r="B48" s="33" t="s">
        <v>6</v>
      </c>
      <c r="C48" s="612" t="s">
        <v>73</v>
      </c>
      <c r="D48" s="613"/>
      <c r="E48" s="33">
        <v>56.43</v>
      </c>
      <c r="F48" s="35">
        <v>1009</v>
      </c>
      <c r="G48" s="252">
        <f t="shared" si="35"/>
        <v>56937.87</v>
      </c>
      <c r="H48" s="29" t="s">
        <v>5</v>
      </c>
      <c r="I48" s="254">
        <v>25</v>
      </c>
      <c r="J48" s="30">
        <v>2000</v>
      </c>
      <c r="K48" s="13">
        <f t="shared" si="1"/>
        <v>80</v>
      </c>
      <c r="L48" s="254">
        <v>25</v>
      </c>
      <c r="M48" s="14">
        <f t="shared" ref="M48:M53" si="39">F48/V48*60</f>
        <v>1952.9032258064533</v>
      </c>
      <c r="N48" s="14">
        <f t="shared" si="3"/>
        <v>78.116129032258129</v>
      </c>
      <c r="O48" s="15">
        <f t="shared" si="4"/>
        <v>0</v>
      </c>
      <c r="P48" s="16">
        <f t="shared" si="5"/>
        <v>-1.8838709677418706</v>
      </c>
      <c r="Q48" s="256">
        <f t="shared" si="6"/>
        <v>0.97645161290322657</v>
      </c>
      <c r="R48" s="619"/>
      <c r="S48" s="31">
        <v>0.27222222222222225</v>
      </c>
      <c r="T48" s="31">
        <v>0.29375000000000001</v>
      </c>
      <c r="U48" s="252">
        <f t="shared" si="38"/>
        <v>4.9999999999999822</v>
      </c>
      <c r="V48" s="253">
        <f t="shared" si="37"/>
        <v>30.999999999999972</v>
      </c>
      <c r="W48" s="17"/>
      <c r="X48" s="17"/>
      <c r="Y48" s="20"/>
      <c r="Z48" s="20"/>
      <c r="AA48" s="610"/>
      <c r="AB48" s="610"/>
      <c r="AC48" s="155"/>
      <c r="AD48" s="19"/>
      <c r="AE48" s="15">
        <f t="shared" si="8"/>
        <v>-47.096774193546707</v>
      </c>
      <c r="AF48" s="256">
        <f t="shared" si="9"/>
        <v>0.97645161290322668</v>
      </c>
      <c r="AG48" s="619"/>
    </row>
    <row r="49" spans="1:33" ht="15.75" customHeight="1">
      <c r="A49" s="623" t="s">
        <v>1184</v>
      </c>
      <c r="B49" s="33" t="s">
        <v>10</v>
      </c>
      <c r="C49" s="261" t="s">
        <v>42</v>
      </c>
      <c r="D49" s="262"/>
      <c r="E49" s="33">
        <v>46</v>
      </c>
      <c r="F49" s="35">
        <v>923</v>
      </c>
      <c r="G49" s="252">
        <f t="shared" si="35"/>
        <v>42458</v>
      </c>
      <c r="H49" s="29" t="s">
        <v>5</v>
      </c>
      <c r="I49" s="254">
        <v>16</v>
      </c>
      <c r="J49" s="30">
        <v>2000</v>
      </c>
      <c r="K49" s="13">
        <f t="shared" si="1"/>
        <v>125</v>
      </c>
      <c r="L49" s="254">
        <v>16</v>
      </c>
      <c r="M49" s="14">
        <f t="shared" si="39"/>
        <v>1909.6551724137946</v>
      </c>
      <c r="N49" s="14">
        <f t="shared" si="3"/>
        <v>119.35344827586216</v>
      </c>
      <c r="O49" s="15">
        <f t="shared" si="4"/>
        <v>0</v>
      </c>
      <c r="P49" s="16">
        <f t="shared" si="5"/>
        <v>-5.6465517241378365</v>
      </c>
      <c r="Q49" s="256">
        <f t="shared" si="6"/>
        <v>0.95482758620689734</v>
      </c>
      <c r="R49" s="619"/>
      <c r="S49" s="31">
        <v>0.29722222222222222</v>
      </c>
      <c r="T49" s="31">
        <v>0.31736111111111109</v>
      </c>
      <c r="U49" s="252">
        <f t="shared" si="38"/>
        <v>4.9999999999999822</v>
      </c>
      <c r="V49" s="253">
        <f t="shared" si="37"/>
        <v>28.999999999999979</v>
      </c>
      <c r="W49" s="17"/>
      <c r="X49" s="17"/>
      <c r="Y49" s="20"/>
      <c r="Z49" s="20"/>
      <c r="AA49" s="610"/>
      <c r="AB49" s="610"/>
      <c r="AC49" s="155"/>
      <c r="AD49" s="19"/>
      <c r="AE49" s="15">
        <f t="shared" si="8"/>
        <v>-90.344827586205383</v>
      </c>
      <c r="AF49" s="256">
        <f t="shared" si="9"/>
        <v>0.95482758620689734</v>
      </c>
      <c r="AG49" s="619"/>
    </row>
    <row r="50" spans="1:33" ht="15.75" customHeight="1">
      <c r="A50" s="623" t="s">
        <v>297</v>
      </c>
      <c r="B50" s="33" t="s">
        <v>10</v>
      </c>
      <c r="C50" s="261" t="s">
        <v>43</v>
      </c>
      <c r="D50" s="262"/>
      <c r="E50" s="33">
        <v>46</v>
      </c>
      <c r="F50" s="35">
        <v>987</v>
      </c>
      <c r="G50" s="252">
        <f t="shared" si="35"/>
        <v>45402</v>
      </c>
      <c r="H50" s="29" t="s">
        <v>5</v>
      </c>
      <c r="I50" s="254">
        <v>17</v>
      </c>
      <c r="J50" s="30">
        <v>2000</v>
      </c>
      <c r="K50" s="13">
        <f t="shared" si="1"/>
        <v>117.64705882352941</v>
      </c>
      <c r="L50" s="254">
        <v>17</v>
      </c>
      <c r="M50" s="14">
        <f t="shared" si="39"/>
        <v>1910.322580645163</v>
      </c>
      <c r="N50" s="14">
        <f t="shared" si="3"/>
        <v>112.371916508539</v>
      </c>
      <c r="O50" s="15">
        <f t="shared" si="4"/>
        <v>0</v>
      </c>
      <c r="P50" s="16">
        <f t="shared" si="5"/>
        <v>-5.2751423149904042</v>
      </c>
      <c r="Q50" s="256">
        <f t="shared" si="6"/>
        <v>0.95516129032258157</v>
      </c>
      <c r="R50" s="619"/>
      <c r="S50" s="31">
        <v>0.32222222222222219</v>
      </c>
      <c r="T50" s="31">
        <v>0.34374999999999994</v>
      </c>
      <c r="U50" s="252">
        <f t="shared" si="38"/>
        <v>6.9999999999999751</v>
      </c>
      <c r="V50" s="253">
        <f t="shared" si="37"/>
        <v>30.999999999999972</v>
      </c>
      <c r="W50" s="17"/>
      <c r="X50" s="17"/>
      <c r="Y50" s="20"/>
      <c r="Z50" s="20"/>
      <c r="AA50" s="610"/>
      <c r="AB50" s="610"/>
      <c r="AC50" s="155"/>
      <c r="AD50" s="19"/>
      <c r="AE50" s="15">
        <f t="shared" si="8"/>
        <v>-89.677419354836957</v>
      </c>
      <c r="AF50" s="256">
        <f t="shared" si="9"/>
        <v>0.95516129032258157</v>
      </c>
      <c r="AG50" s="619"/>
    </row>
    <row r="51" spans="1:33" ht="15.75" customHeight="1">
      <c r="A51" s="623" t="s">
        <v>297</v>
      </c>
      <c r="B51" s="33" t="s">
        <v>6</v>
      </c>
      <c r="C51" s="612" t="s">
        <v>44</v>
      </c>
      <c r="D51" s="613"/>
      <c r="E51" s="33">
        <v>55.56</v>
      </c>
      <c r="F51" s="35">
        <v>2077</v>
      </c>
      <c r="G51" s="252">
        <f t="shared" si="35"/>
        <v>115398.12000000001</v>
      </c>
      <c r="H51" s="29" t="s">
        <v>5</v>
      </c>
      <c r="I51" s="254">
        <v>17</v>
      </c>
      <c r="J51" s="30">
        <v>2000</v>
      </c>
      <c r="K51" s="13">
        <f t="shared" si="1"/>
        <v>117.64705882352941</v>
      </c>
      <c r="L51" s="254">
        <v>17</v>
      </c>
      <c r="M51" s="14">
        <f t="shared" si="39"/>
        <v>1917.2307692307713</v>
      </c>
      <c r="N51" s="14">
        <f t="shared" si="3"/>
        <v>112.77828054298655</v>
      </c>
      <c r="O51" s="15">
        <f t="shared" si="4"/>
        <v>0</v>
      </c>
      <c r="P51" s="16">
        <f t="shared" si="5"/>
        <v>-4.8687782805428554</v>
      </c>
      <c r="Q51" s="256">
        <f t="shared" si="6"/>
        <v>0.95861538461538576</v>
      </c>
      <c r="R51" s="619"/>
      <c r="S51" s="31">
        <v>0.70833333333333337</v>
      </c>
      <c r="T51" s="31">
        <v>0.75347222222222221</v>
      </c>
      <c r="U51" s="252" t="str">
        <f t="shared" si="38"/>
        <v/>
      </c>
      <c r="V51" s="253">
        <f t="shared" si="37"/>
        <v>64.999999999999929</v>
      </c>
      <c r="W51" s="17"/>
      <c r="X51" s="17"/>
      <c r="Y51" s="20"/>
      <c r="Z51" s="20"/>
      <c r="AA51" s="614"/>
      <c r="AB51" s="615"/>
      <c r="AC51" s="155"/>
      <c r="AD51" s="19"/>
      <c r="AE51" s="15">
        <f t="shared" si="8"/>
        <v>-82.76923076922867</v>
      </c>
      <c r="AF51" s="256">
        <f t="shared" si="9"/>
        <v>0.95861538461538565</v>
      </c>
      <c r="AG51" s="619"/>
    </row>
    <row r="52" spans="1:33" ht="15.75" customHeight="1">
      <c r="A52" s="623" t="s">
        <v>1184</v>
      </c>
      <c r="B52" s="33" t="s">
        <v>6</v>
      </c>
      <c r="C52" s="612" t="s">
        <v>72</v>
      </c>
      <c r="D52" s="613"/>
      <c r="E52" s="33">
        <v>58.17</v>
      </c>
      <c r="F52" s="35">
        <v>1541</v>
      </c>
      <c r="G52" s="252">
        <f t="shared" si="35"/>
        <v>89639.97</v>
      </c>
      <c r="H52" s="29" t="s">
        <v>5</v>
      </c>
      <c r="I52" s="254">
        <v>13</v>
      </c>
      <c r="J52" s="30">
        <v>2000</v>
      </c>
      <c r="K52" s="13">
        <f t="shared" si="1"/>
        <v>153.84615384615384</v>
      </c>
      <c r="L52" s="254">
        <v>13</v>
      </c>
      <c r="M52" s="14">
        <f t="shared" si="39"/>
        <v>1926.2500000000007</v>
      </c>
      <c r="N52" s="14">
        <f t="shared" si="3"/>
        <v>148.17307692307696</v>
      </c>
      <c r="O52" s="15">
        <f t="shared" si="4"/>
        <v>0</v>
      </c>
      <c r="P52" s="16">
        <f t="shared" si="5"/>
        <v>-5.6730769230768772</v>
      </c>
      <c r="Q52" s="256">
        <f t="shared" si="6"/>
        <v>0.96312500000000034</v>
      </c>
      <c r="R52" s="619"/>
      <c r="S52" s="31">
        <v>0.75694444444444442</v>
      </c>
      <c r="T52" s="31">
        <v>0.79027777777777775</v>
      </c>
      <c r="U52" s="252">
        <f t="shared" si="38"/>
        <v>4.9999999999999822</v>
      </c>
      <c r="V52" s="253">
        <f t="shared" si="37"/>
        <v>47.999999999999986</v>
      </c>
      <c r="W52" s="17"/>
      <c r="X52" s="17"/>
      <c r="Y52" s="20"/>
      <c r="Z52" s="20"/>
      <c r="AA52" s="614"/>
      <c r="AB52" s="615"/>
      <c r="AC52" s="155"/>
      <c r="AD52" s="19"/>
      <c r="AE52" s="15">
        <f t="shared" si="8"/>
        <v>-73.749999999999318</v>
      </c>
      <c r="AF52" s="256">
        <f t="shared" si="9"/>
        <v>0.96312500000000034</v>
      </c>
      <c r="AG52" s="619"/>
    </row>
    <row r="53" spans="1:33" ht="15.75" customHeight="1">
      <c r="A53" s="623" t="s">
        <v>297</v>
      </c>
      <c r="B53" s="33" t="s">
        <v>6</v>
      </c>
      <c r="C53" s="612" t="s">
        <v>82</v>
      </c>
      <c r="D53" s="613"/>
      <c r="E53" s="33">
        <v>54.09</v>
      </c>
      <c r="F53" s="35">
        <v>1538</v>
      </c>
      <c r="G53" s="252">
        <f t="shared" si="35"/>
        <v>83190.42</v>
      </c>
      <c r="H53" s="29" t="s">
        <v>5</v>
      </c>
      <c r="I53" s="254">
        <v>14</v>
      </c>
      <c r="J53" s="30">
        <v>2000</v>
      </c>
      <c r="K53" s="13">
        <f t="shared" si="1"/>
        <v>142.85714285714286</v>
      </c>
      <c r="L53" s="254">
        <v>14</v>
      </c>
      <c r="M53" s="14">
        <f t="shared" si="39"/>
        <v>1922.5000000000007</v>
      </c>
      <c r="N53" s="14">
        <f t="shared" si="3"/>
        <v>137.32142857142861</v>
      </c>
      <c r="O53" s="15">
        <f t="shared" si="4"/>
        <v>0</v>
      </c>
      <c r="P53" s="16">
        <f t="shared" si="5"/>
        <v>-5.5357142857142492</v>
      </c>
      <c r="Q53" s="256">
        <f t="shared" si="6"/>
        <v>0.96125000000000027</v>
      </c>
      <c r="R53" s="619"/>
      <c r="S53" s="31">
        <v>0.79513888888888884</v>
      </c>
      <c r="T53" s="31">
        <v>0.82847222222222217</v>
      </c>
      <c r="U53" s="252">
        <f t="shared" si="38"/>
        <v>6.9999999999999751</v>
      </c>
      <c r="V53" s="253">
        <f t="shared" si="37"/>
        <v>47.999999999999986</v>
      </c>
      <c r="W53" s="17"/>
      <c r="X53" s="17"/>
      <c r="Y53" s="20"/>
      <c r="Z53" s="20"/>
      <c r="AA53" s="614"/>
      <c r="AB53" s="615"/>
      <c r="AC53" s="155"/>
      <c r="AD53" s="19"/>
      <c r="AE53" s="15">
        <f t="shared" si="8"/>
        <v>-77.499999999999318</v>
      </c>
      <c r="AF53" s="256">
        <f t="shared" si="9"/>
        <v>0.96125000000000038</v>
      </c>
      <c r="AG53" s="619"/>
    </row>
    <row r="54" spans="1:33">
      <c r="A54" s="624" t="s">
        <v>1184</v>
      </c>
      <c r="B54" s="33" t="s">
        <v>180</v>
      </c>
      <c r="C54" s="620"/>
      <c r="D54" s="620"/>
      <c r="E54" s="257"/>
      <c r="F54" s="34"/>
      <c r="G54" s="13"/>
      <c r="H54" s="255"/>
      <c r="I54" s="23">
        <v>18.75</v>
      </c>
      <c r="J54" s="30">
        <v>2000</v>
      </c>
      <c r="K54" s="13">
        <f t="shared" si="1"/>
        <v>106.66666666666667</v>
      </c>
      <c r="L54" s="23">
        <v>18.75</v>
      </c>
      <c r="M54" s="14">
        <f>AVERAGE(M46:M53)</f>
        <v>1926.7000782799144</v>
      </c>
      <c r="N54" s="13">
        <f t="shared" si="3"/>
        <v>102.7573375082621</v>
      </c>
      <c r="O54" s="15">
        <f t="shared" si="4"/>
        <v>0</v>
      </c>
      <c r="P54" s="16">
        <f t="shared" si="5"/>
        <v>-3.9093291584045744</v>
      </c>
      <c r="Q54" s="256">
        <f t="shared" si="6"/>
        <v>0.96335003913995709</v>
      </c>
      <c r="R54" s="619"/>
      <c r="S54" s="31"/>
      <c r="T54" s="31"/>
      <c r="U54" s="252"/>
      <c r="V54" s="253"/>
      <c r="W54" s="13"/>
      <c r="X54" s="13"/>
      <c r="Y54" s="24">
        <f>SUM(Y46:Y53)</f>
        <v>0</v>
      </c>
      <c r="Z54" s="24">
        <f>SUM(Z46:Z53)</f>
        <v>0</v>
      </c>
      <c r="AA54" s="609"/>
      <c r="AB54" s="609"/>
      <c r="AC54" s="24">
        <v>8</v>
      </c>
      <c r="AD54" s="24">
        <f>SUM(AD46:AD53)</f>
        <v>0</v>
      </c>
      <c r="AE54" s="15">
        <f>M54-J54</f>
        <v>-73.299921720085649</v>
      </c>
      <c r="AF54" s="256">
        <f t="shared" si="9"/>
        <v>0.9633500391399572</v>
      </c>
      <c r="AG54" s="619"/>
    </row>
    <row r="55" spans="1:33" ht="15.75" customHeight="1">
      <c r="A55" s="621" t="s">
        <v>85</v>
      </c>
      <c r="B55" s="255" t="s">
        <v>36</v>
      </c>
      <c r="C55" s="611" t="s">
        <v>46</v>
      </c>
      <c r="D55" s="611"/>
      <c r="E55" s="33">
        <v>35.119999999999997</v>
      </c>
      <c r="F55" s="35">
        <v>3993</v>
      </c>
      <c r="G55" s="252">
        <f t="shared" ref="G55:G58" si="40">E55*F55</f>
        <v>140234.16</v>
      </c>
      <c r="H55" s="29" t="s">
        <v>5</v>
      </c>
      <c r="I55" s="254">
        <v>10</v>
      </c>
      <c r="J55" s="30">
        <v>3000</v>
      </c>
      <c r="K55" s="13">
        <f t="shared" si="1"/>
        <v>300</v>
      </c>
      <c r="L55" s="254">
        <v>10</v>
      </c>
      <c r="M55" s="14">
        <f t="shared" ref="M55:M58" si="41">F55/V55*60</f>
        <v>2886.5060240963858</v>
      </c>
      <c r="N55" s="13">
        <f t="shared" si="3"/>
        <v>288.65060240963857</v>
      </c>
      <c r="O55" s="15">
        <f t="shared" si="4"/>
        <v>0</v>
      </c>
      <c r="P55" s="16">
        <f t="shared" si="5"/>
        <v>-11.349397590361434</v>
      </c>
      <c r="Q55" s="256">
        <f t="shared" si="6"/>
        <v>0.96216867469879519</v>
      </c>
      <c r="R55" s="619">
        <f>Q59</f>
        <v>0.95800671287417183</v>
      </c>
      <c r="S55" s="31">
        <v>0.20833333333333334</v>
      </c>
      <c r="T55" s="31">
        <v>0.26597222222222222</v>
      </c>
      <c r="U55" s="252"/>
      <c r="V55" s="253">
        <f t="shared" ref="V55:V58" si="42">(T55-S55)*24*60</f>
        <v>82.999999999999986</v>
      </c>
      <c r="W55" s="17"/>
      <c r="X55" s="17"/>
      <c r="Y55" s="22"/>
      <c r="Z55" s="22"/>
      <c r="AA55" s="610"/>
      <c r="AB55" s="610"/>
      <c r="AC55" s="155">
        <v>4</v>
      </c>
      <c r="AD55" s="19"/>
      <c r="AE55" s="15">
        <f t="shared" ref="AE55:AE67" si="43">M55-J55</f>
        <v>-113.49397590361423</v>
      </c>
      <c r="AF55" s="256">
        <f t="shared" si="9"/>
        <v>0.9621686746987953</v>
      </c>
      <c r="AG55" s="619">
        <f>AF59</f>
        <v>0.95800671287417183</v>
      </c>
    </row>
    <row r="56" spans="1:33" ht="15.75" customHeight="1">
      <c r="A56" s="621" t="s">
        <v>1185</v>
      </c>
      <c r="B56" s="255" t="s">
        <v>36</v>
      </c>
      <c r="C56" s="611" t="s">
        <v>47</v>
      </c>
      <c r="D56" s="611"/>
      <c r="E56" s="33">
        <v>26.78</v>
      </c>
      <c r="F56" s="35">
        <v>1956</v>
      </c>
      <c r="G56" s="252">
        <f t="shared" si="40"/>
        <v>52381.68</v>
      </c>
      <c r="H56" s="29" t="s">
        <v>5</v>
      </c>
      <c r="I56" s="254">
        <v>10</v>
      </c>
      <c r="J56" s="30">
        <v>3000</v>
      </c>
      <c r="K56" s="13">
        <f t="shared" si="1"/>
        <v>300</v>
      </c>
      <c r="L56" s="254">
        <v>10</v>
      </c>
      <c r="M56" s="14">
        <f t="shared" si="41"/>
        <v>2862.4390243902426</v>
      </c>
      <c r="N56" s="13">
        <f t="shared" si="3"/>
        <v>286.24390243902428</v>
      </c>
      <c r="O56" s="15">
        <f t="shared" si="4"/>
        <v>0</v>
      </c>
      <c r="P56" s="16">
        <f t="shared" si="5"/>
        <v>-13.756097560975718</v>
      </c>
      <c r="Q56" s="256">
        <f t="shared" si="6"/>
        <v>0.95414634146341426</v>
      </c>
      <c r="R56" s="619"/>
      <c r="S56" s="31">
        <v>0.27083333333333331</v>
      </c>
      <c r="T56" s="31">
        <v>0.29930555555555555</v>
      </c>
      <c r="U56" s="252">
        <f t="shared" ref="U56:U58" si="44">(S56-T55)*24*60</f>
        <v>6.9999999999999751</v>
      </c>
      <c r="V56" s="253">
        <f t="shared" si="42"/>
        <v>41.000000000000014</v>
      </c>
      <c r="W56" s="252"/>
      <c r="X56" s="252"/>
      <c r="Y56" s="252"/>
      <c r="Z56" s="252"/>
      <c r="AA56" s="610"/>
      <c r="AB56" s="610"/>
      <c r="AC56" s="155"/>
      <c r="AD56" s="19"/>
      <c r="AE56" s="15">
        <f t="shared" si="43"/>
        <v>-137.56097560975741</v>
      </c>
      <c r="AF56" s="256">
        <f t="shared" si="9"/>
        <v>0.95414634146341415</v>
      </c>
      <c r="AG56" s="619"/>
    </row>
    <row r="57" spans="1:33" ht="15.75" customHeight="1">
      <c r="A57" s="621" t="s">
        <v>85</v>
      </c>
      <c r="B57" s="255" t="s">
        <v>36</v>
      </c>
      <c r="C57" s="611" t="s">
        <v>49</v>
      </c>
      <c r="D57" s="611"/>
      <c r="E57" s="33">
        <v>35.869999999999997</v>
      </c>
      <c r="F57" s="35">
        <v>2523</v>
      </c>
      <c r="G57" s="252">
        <f t="shared" si="40"/>
        <v>90500.01</v>
      </c>
      <c r="H57" s="29" t="s">
        <v>5</v>
      </c>
      <c r="I57" s="254">
        <v>10</v>
      </c>
      <c r="J57" s="30">
        <v>3000</v>
      </c>
      <c r="K57" s="13">
        <f t="shared" si="1"/>
        <v>300</v>
      </c>
      <c r="L57" s="254">
        <v>10</v>
      </c>
      <c r="M57" s="14">
        <f t="shared" si="41"/>
        <v>2856.2264150943415</v>
      </c>
      <c r="N57" s="13">
        <f t="shared" si="3"/>
        <v>285.62264150943417</v>
      </c>
      <c r="O57" s="15">
        <f t="shared" si="4"/>
        <v>0</v>
      </c>
      <c r="P57" s="16">
        <f t="shared" si="5"/>
        <v>-14.377358490565825</v>
      </c>
      <c r="Q57" s="256">
        <f t="shared" si="6"/>
        <v>0.95207547169811391</v>
      </c>
      <c r="R57" s="619"/>
      <c r="S57" s="31">
        <v>0.3034722222222222</v>
      </c>
      <c r="T57" s="31">
        <v>0.34027777777777773</v>
      </c>
      <c r="U57" s="252">
        <f t="shared" si="44"/>
        <v>5.9999999999999787</v>
      </c>
      <c r="V57" s="253">
        <f t="shared" si="42"/>
        <v>52.999999999999972</v>
      </c>
      <c r="W57" s="252"/>
      <c r="X57" s="252"/>
      <c r="Y57" s="252"/>
      <c r="Z57" s="252"/>
      <c r="AA57" s="610"/>
      <c r="AB57" s="610"/>
      <c r="AC57" s="155"/>
      <c r="AD57" s="19"/>
      <c r="AE57" s="15">
        <f t="shared" si="43"/>
        <v>-143.77358490565848</v>
      </c>
      <c r="AF57" s="256">
        <f t="shared" si="9"/>
        <v>0.9520754716981138</v>
      </c>
      <c r="AG57" s="619"/>
    </row>
    <row r="58" spans="1:33" ht="15.75" customHeight="1">
      <c r="A58" s="621" t="s">
        <v>1186</v>
      </c>
      <c r="B58" s="255" t="s">
        <v>36</v>
      </c>
      <c r="C58" s="611" t="s">
        <v>74</v>
      </c>
      <c r="D58" s="611"/>
      <c r="E58" s="33">
        <v>33.770000000000003</v>
      </c>
      <c r="F58" s="35">
        <v>2650</v>
      </c>
      <c r="G58" s="252">
        <f t="shared" si="40"/>
        <v>89490.500000000015</v>
      </c>
      <c r="H58" s="29" t="s">
        <v>5</v>
      </c>
      <c r="I58" s="254">
        <v>12</v>
      </c>
      <c r="J58" s="30">
        <v>3000</v>
      </c>
      <c r="K58" s="13">
        <f t="shared" si="1"/>
        <v>250</v>
      </c>
      <c r="L58" s="254">
        <v>12</v>
      </c>
      <c r="M58" s="14">
        <f t="shared" si="41"/>
        <v>2890.9090909090928</v>
      </c>
      <c r="N58" s="13">
        <f t="shared" si="3"/>
        <v>240.90909090909108</v>
      </c>
      <c r="O58" s="15">
        <f t="shared" si="4"/>
        <v>0</v>
      </c>
      <c r="P58" s="16">
        <f t="shared" si="5"/>
        <v>-9.090909090908923</v>
      </c>
      <c r="Q58" s="256">
        <f t="shared" si="6"/>
        <v>0.96363636363636429</v>
      </c>
      <c r="R58" s="619"/>
      <c r="S58" s="31">
        <v>0.34444444444444439</v>
      </c>
      <c r="T58" s="31">
        <v>0.38263888888888881</v>
      </c>
      <c r="U58" s="252">
        <f t="shared" si="44"/>
        <v>5.9999999999999787</v>
      </c>
      <c r="V58" s="253">
        <f t="shared" si="42"/>
        <v>54.999999999999964</v>
      </c>
      <c r="W58" s="252"/>
      <c r="X58" s="252"/>
      <c r="Y58" s="252"/>
      <c r="Z58" s="252"/>
      <c r="AA58" s="610"/>
      <c r="AB58" s="610"/>
      <c r="AC58" s="155"/>
      <c r="AD58" s="19"/>
      <c r="AE58" s="15">
        <f t="shared" si="43"/>
        <v>-109.09090909090719</v>
      </c>
      <c r="AF58" s="256">
        <f t="shared" si="9"/>
        <v>0.96363636363636429</v>
      </c>
      <c r="AG58" s="619"/>
    </row>
    <row r="59" spans="1:33">
      <c r="A59" s="622" t="s">
        <v>1185</v>
      </c>
      <c r="B59" s="33" t="s">
        <v>180</v>
      </c>
      <c r="C59" s="620"/>
      <c r="D59" s="620"/>
      <c r="E59" s="257"/>
      <c r="F59" s="34"/>
      <c r="G59" s="13"/>
      <c r="H59" s="255"/>
      <c r="I59" s="23">
        <v>10.5</v>
      </c>
      <c r="J59" s="30">
        <v>3000</v>
      </c>
      <c r="K59" s="13">
        <f t="shared" si="1"/>
        <v>285.71428571428572</v>
      </c>
      <c r="L59" s="23">
        <v>10.5</v>
      </c>
      <c r="M59" s="14">
        <f>AVERAGE(M55:M58)</f>
        <v>2874.0201386225153</v>
      </c>
      <c r="N59" s="13">
        <f t="shared" si="3"/>
        <v>273.71620367833481</v>
      </c>
      <c r="O59" s="15">
        <f t="shared" si="4"/>
        <v>0</v>
      </c>
      <c r="P59" s="16">
        <f t="shared" si="5"/>
        <v>-11.998082035950915</v>
      </c>
      <c r="Q59" s="256">
        <f t="shared" si="6"/>
        <v>0.95800671287417183</v>
      </c>
      <c r="R59" s="619"/>
      <c r="S59" s="31"/>
      <c r="T59" s="31"/>
      <c r="U59" s="13"/>
      <c r="V59" s="253"/>
      <c r="W59" s="13"/>
      <c r="X59" s="13"/>
      <c r="Y59" s="24">
        <f>SUM(Y55:Y58)</f>
        <v>0</v>
      </c>
      <c r="Z59" s="24">
        <f>SUM(Z55:Z58)</f>
        <v>0</v>
      </c>
      <c r="AA59" s="609"/>
      <c r="AB59" s="609"/>
      <c r="AC59" s="24">
        <v>4</v>
      </c>
      <c r="AD59" s="24">
        <f>SUM(AD55:AD58)</f>
        <v>0</v>
      </c>
      <c r="AE59" s="15">
        <f t="shared" si="43"/>
        <v>-125.97986137748467</v>
      </c>
      <c r="AF59" s="256">
        <f t="shared" si="9"/>
        <v>0.95800671287417183</v>
      </c>
      <c r="AG59" s="619"/>
    </row>
    <row r="60" spans="1:33" ht="15.75" customHeight="1">
      <c r="A60" s="616" t="s">
        <v>200</v>
      </c>
      <c r="B60" s="255" t="s">
        <v>27</v>
      </c>
      <c r="C60" s="611" t="s">
        <v>50</v>
      </c>
      <c r="D60" s="611"/>
      <c r="E60" s="33">
        <v>19.02</v>
      </c>
      <c r="F60" s="255">
        <v>7976</v>
      </c>
      <c r="G60" s="252">
        <f t="shared" ref="G60:G66" si="45">E60*F60</f>
        <v>151703.51999999999</v>
      </c>
      <c r="H60" s="29" t="s">
        <v>5</v>
      </c>
      <c r="I60" s="254">
        <v>14</v>
      </c>
      <c r="J60" s="30">
        <v>2400</v>
      </c>
      <c r="K60" s="13">
        <f t="shared" si="1"/>
        <v>171.42857142857142</v>
      </c>
      <c r="L60" s="254">
        <v>14</v>
      </c>
      <c r="M60" s="14">
        <f t="shared" ref="M60:M66" si="46">F60/V60*60</f>
        <v>2289.7607655502388</v>
      </c>
      <c r="N60" s="13">
        <f t="shared" si="3"/>
        <v>163.55434039644564</v>
      </c>
      <c r="O60" s="15">
        <f t="shared" si="4"/>
        <v>0</v>
      </c>
      <c r="P60" s="16">
        <f t="shared" si="5"/>
        <v>-7.8742310321257776</v>
      </c>
      <c r="Q60" s="256">
        <f t="shared" si="6"/>
        <v>0.95406698564593295</v>
      </c>
      <c r="R60" s="619">
        <f>Q67</f>
        <v>0.96598109760056006</v>
      </c>
      <c r="S60" s="31">
        <v>8.3333333333333329E-2</v>
      </c>
      <c r="T60" s="31">
        <v>0.22847222222222224</v>
      </c>
      <c r="U60" s="22"/>
      <c r="V60" s="253">
        <f t="shared" ref="V60:V66" si="47">(T60-S60)*24*60</f>
        <v>209.00000000000006</v>
      </c>
      <c r="W60" s="17">
        <f>T60</f>
        <v>0.22847222222222224</v>
      </c>
      <c r="X60" s="17">
        <f>S61</f>
        <v>0.24861111111111114</v>
      </c>
      <c r="Y60" s="17"/>
      <c r="Z60" s="17"/>
      <c r="AA60" s="610"/>
      <c r="AB60" s="610"/>
      <c r="AC60" s="155">
        <v>7</v>
      </c>
      <c r="AD60" s="19"/>
      <c r="AE60" s="15">
        <f t="shared" si="43"/>
        <v>-110.23923444976117</v>
      </c>
      <c r="AF60" s="256">
        <f t="shared" si="9"/>
        <v>0.95406698564593284</v>
      </c>
      <c r="AG60" s="619">
        <f>AF67</f>
        <v>0.96598109760056006</v>
      </c>
    </row>
    <row r="61" spans="1:33" ht="15.75" customHeight="1">
      <c r="A61" s="617" t="s">
        <v>1187</v>
      </c>
      <c r="B61" s="255" t="s">
        <v>27</v>
      </c>
      <c r="C61" s="611" t="s">
        <v>51</v>
      </c>
      <c r="D61" s="611"/>
      <c r="E61" s="33">
        <v>20.36</v>
      </c>
      <c r="F61" s="255">
        <v>3112</v>
      </c>
      <c r="G61" s="252">
        <f t="shared" si="45"/>
        <v>63360.32</v>
      </c>
      <c r="H61" s="29" t="s">
        <v>5</v>
      </c>
      <c r="I61" s="254">
        <v>17</v>
      </c>
      <c r="J61" s="30">
        <v>2400</v>
      </c>
      <c r="K61" s="13">
        <f t="shared" si="1"/>
        <v>141.1764705882353</v>
      </c>
      <c r="L61" s="254">
        <v>17</v>
      </c>
      <c r="M61" s="14">
        <f t="shared" si="46"/>
        <v>2305.1851851851857</v>
      </c>
      <c r="N61" s="13">
        <f t="shared" si="3"/>
        <v>135.59912854030503</v>
      </c>
      <c r="O61" s="15">
        <f t="shared" si="4"/>
        <v>0</v>
      </c>
      <c r="P61" s="16">
        <f t="shared" si="5"/>
        <v>-5.5773420479302729</v>
      </c>
      <c r="Q61" s="256">
        <f t="shared" si="6"/>
        <v>0.96049382716049392</v>
      </c>
      <c r="R61" s="619"/>
      <c r="S61" s="31">
        <v>0.24861111111111114</v>
      </c>
      <c r="T61" s="31">
        <v>0.30486111111111114</v>
      </c>
      <c r="U61" s="252">
        <f t="shared" ref="U61:U66" si="48">(S61-T60)*24*60</f>
        <v>29.000000000000018</v>
      </c>
      <c r="V61" s="253">
        <f t="shared" si="47"/>
        <v>80.999999999999986</v>
      </c>
      <c r="W61" s="17"/>
      <c r="X61" s="17"/>
      <c r="Y61" s="17"/>
      <c r="Z61" s="17"/>
      <c r="AA61" s="610"/>
      <c r="AB61" s="610"/>
      <c r="AC61" s="155"/>
      <c r="AD61" s="19"/>
      <c r="AE61" s="15">
        <f t="shared" si="43"/>
        <v>-94.814814814814326</v>
      </c>
      <c r="AF61" s="256">
        <f t="shared" si="9"/>
        <v>0.96049382716049403</v>
      </c>
      <c r="AG61" s="619"/>
    </row>
    <row r="62" spans="1:33" ht="15.75" customHeight="1">
      <c r="A62" s="617" t="s">
        <v>200</v>
      </c>
      <c r="B62" s="255" t="s">
        <v>27</v>
      </c>
      <c r="C62" s="611" t="s">
        <v>876</v>
      </c>
      <c r="D62" s="611"/>
      <c r="E62" s="33">
        <v>23.8</v>
      </c>
      <c r="F62" s="255">
        <v>4942</v>
      </c>
      <c r="G62" s="252">
        <f t="shared" si="45"/>
        <v>117619.6</v>
      </c>
      <c r="H62" s="29" t="s">
        <v>5</v>
      </c>
      <c r="I62" s="254">
        <v>16</v>
      </c>
      <c r="J62" s="30">
        <v>2400</v>
      </c>
      <c r="K62" s="13">
        <f t="shared" si="1"/>
        <v>150</v>
      </c>
      <c r="L62" s="254">
        <v>16</v>
      </c>
      <c r="M62" s="14">
        <f t="shared" si="46"/>
        <v>2298.6046511627901</v>
      </c>
      <c r="N62" s="13">
        <f t="shared" si="3"/>
        <v>143.66279069767438</v>
      </c>
      <c r="O62" s="15">
        <f t="shared" si="4"/>
        <v>0</v>
      </c>
      <c r="P62" s="16">
        <f t="shared" si="5"/>
        <v>-6.3372093023256184</v>
      </c>
      <c r="Q62" s="256">
        <f t="shared" si="6"/>
        <v>0.95775193798449587</v>
      </c>
      <c r="R62" s="619"/>
      <c r="S62" s="31">
        <v>0.30902777777777779</v>
      </c>
      <c r="T62" s="31">
        <v>0.39861111111111114</v>
      </c>
      <c r="U62" s="252">
        <f t="shared" si="48"/>
        <v>5.9999999999999787</v>
      </c>
      <c r="V62" s="253">
        <f t="shared" si="47"/>
        <v>129.00000000000003</v>
      </c>
      <c r="W62" s="17"/>
      <c r="X62" s="17"/>
      <c r="Y62" s="17"/>
      <c r="Z62" s="17"/>
      <c r="AA62" s="610"/>
      <c r="AB62" s="610"/>
      <c r="AC62" s="155"/>
      <c r="AD62" s="19"/>
      <c r="AE62" s="15">
        <f t="shared" si="43"/>
        <v>-101.39534883720989</v>
      </c>
      <c r="AF62" s="256">
        <f t="shared" si="9"/>
        <v>0.95775193798449587</v>
      </c>
      <c r="AG62" s="619"/>
    </row>
    <row r="63" spans="1:33" ht="15.75" customHeight="1">
      <c r="A63" s="617" t="s">
        <v>200</v>
      </c>
      <c r="B63" s="255" t="s">
        <v>27</v>
      </c>
      <c r="C63" s="611" t="s">
        <v>31</v>
      </c>
      <c r="D63" s="611"/>
      <c r="E63" s="33">
        <v>25.99</v>
      </c>
      <c r="F63" s="255">
        <v>869</v>
      </c>
      <c r="G63" s="252">
        <f t="shared" si="45"/>
        <v>22585.309999999998</v>
      </c>
      <c r="H63" s="29" t="s">
        <v>5</v>
      </c>
      <c r="I63" s="254">
        <v>18</v>
      </c>
      <c r="J63" s="30">
        <v>2400</v>
      </c>
      <c r="K63" s="13">
        <f t="shared" si="1"/>
        <v>133.33333333333334</v>
      </c>
      <c r="L63" s="254">
        <v>18</v>
      </c>
      <c r="M63" s="14">
        <f t="shared" si="46"/>
        <v>2370</v>
      </c>
      <c r="N63" s="13">
        <f t="shared" si="3"/>
        <v>131.66666666666666</v>
      </c>
      <c r="O63" s="15">
        <f t="shared" si="4"/>
        <v>0</v>
      </c>
      <c r="P63" s="16">
        <f t="shared" si="5"/>
        <v>-1.6666666666666856</v>
      </c>
      <c r="Q63" s="256">
        <f t="shared" si="6"/>
        <v>0.98749999999999982</v>
      </c>
      <c r="R63" s="619"/>
      <c r="S63" s="31">
        <v>0.40208333333333335</v>
      </c>
      <c r="T63" s="31">
        <v>0.41736111111111113</v>
      </c>
      <c r="U63" s="252">
        <f t="shared" si="48"/>
        <v>4.9999999999999822</v>
      </c>
      <c r="V63" s="253">
        <f t="shared" si="47"/>
        <v>22</v>
      </c>
      <c r="W63" s="17"/>
      <c r="X63" s="17"/>
      <c r="Y63" s="17"/>
      <c r="Z63" s="17"/>
      <c r="AA63" s="610"/>
      <c r="AB63" s="610"/>
      <c r="AC63" s="155"/>
      <c r="AD63" s="19"/>
      <c r="AE63" s="15">
        <f t="shared" si="43"/>
        <v>-30</v>
      </c>
      <c r="AF63" s="256">
        <f t="shared" si="9"/>
        <v>0.98750000000000004</v>
      </c>
      <c r="AG63" s="619"/>
    </row>
    <row r="64" spans="1:33" ht="15.75" customHeight="1">
      <c r="A64" s="617" t="s">
        <v>200</v>
      </c>
      <c r="B64" s="255" t="s">
        <v>27</v>
      </c>
      <c r="C64" s="611" t="s">
        <v>53</v>
      </c>
      <c r="D64" s="611"/>
      <c r="E64" s="33">
        <v>28.29</v>
      </c>
      <c r="F64" s="255">
        <v>2335</v>
      </c>
      <c r="G64" s="252">
        <f t="shared" si="45"/>
        <v>66057.149999999994</v>
      </c>
      <c r="H64" s="29" t="s">
        <v>5</v>
      </c>
      <c r="I64" s="254">
        <v>19</v>
      </c>
      <c r="J64" s="30">
        <v>2400</v>
      </c>
      <c r="K64" s="13">
        <f t="shared" si="1"/>
        <v>126.31578947368421</v>
      </c>
      <c r="L64" s="254">
        <v>19</v>
      </c>
      <c r="M64" s="14">
        <f t="shared" si="46"/>
        <v>2296.721311475409</v>
      </c>
      <c r="N64" s="13">
        <f t="shared" si="3"/>
        <v>120.88006902502153</v>
      </c>
      <c r="O64" s="15">
        <f t="shared" si="4"/>
        <v>0</v>
      </c>
      <c r="P64" s="16">
        <f t="shared" si="5"/>
        <v>-5.4357204486626785</v>
      </c>
      <c r="Q64" s="256">
        <f t="shared" si="6"/>
        <v>0.95696721311475375</v>
      </c>
      <c r="R64" s="619"/>
      <c r="S64" s="31">
        <v>0.42291666666666666</v>
      </c>
      <c r="T64" s="31">
        <v>0.46527777777777779</v>
      </c>
      <c r="U64" s="252">
        <f t="shared" si="48"/>
        <v>7.9999999999999716</v>
      </c>
      <c r="V64" s="253">
        <f t="shared" si="47"/>
        <v>61.000000000000021</v>
      </c>
      <c r="W64" s="17"/>
      <c r="X64" s="17"/>
      <c r="Y64" s="17"/>
      <c r="Z64" s="17"/>
      <c r="AA64" s="610"/>
      <c r="AB64" s="610"/>
      <c r="AC64" s="155"/>
      <c r="AD64" s="19"/>
      <c r="AE64" s="15">
        <f t="shared" si="43"/>
        <v>-103.27868852459096</v>
      </c>
      <c r="AF64" s="256">
        <f t="shared" si="9"/>
        <v>0.95696721311475375</v>
      </c>
      <c r="AG64" s="619"/>
    </row>
    <row r="65" spans="1:33" ht="15.75" customHeight="1">
      <c r="A65" s="617" t="s">
        <v>200</v>
      </c>
      <c r="B65" s="255" t="s">
        <v>27</v>
      </c>
      <c r="C65" s="611" t="s">
        <v>55</v>
      </c>
      <c r="D65" s="611"/>
      <c r="E65" s="33">
        <v>23.89</v>
      </c>
      <c r="F65" s="255">
        <v>586</v>
      </c>
      <c r="G65" s="252">
        <f t="shared" si="45"/>
        <v>13999.54</v>
      </c>
      <c r="H65" s="29" t="s">
        <v>5</v>
      </c>
      <c r="I65" s="254">
        <v>13</v>
      </c>
      <c r="J65" s="30">
        <v>2400</v>
      </c>
      <c r="K65" s="13">
        <f t="shared" si="1"/>
        <v>184.61538461538461</v>
      </c>
      <c r="L65" s="254">
        <v>13</v>
      </c>
      <c r="M65" s="14">
        <f t="shared" si="46"/>
        <v>2343.9999999999959</v>
      </c>
      <c r="N65" s="13">
        <f t="shared" si="3"/>
        <v>180.30769230769198</v>
      </c>
      <c r="O65" s="15">
        <f t="shared" si="4"/>
        <v>0</v>
      </c>
      <c r="P65" s="16">
        <f t="shared" si="5"/>
        <v>-4.3076923076926334</v>
      </c>
      <c r="Q65" s="256">
        <f t="shared" si="6"/>
        <v>0.97666666666666491</v>
      </c>
      <c r="R65" s="619"/>
      <c r="S65" s="31">
        <v>0.46944444444444444</v>
      </c>
      <c r="T65" s="31">
        <v>0.47986111111111113</v>
      </c>
      <c r="U65" s="252">
        <f t="shared" si="48"/>
        <v>5.9999999999999787</v>
      </c>
      <c r="V65" s="253">
        <f t="shared" si="47"/>
        <v>15.000000000000027</v>
      </c>
      <c r="W65" s="17"/>
      <c r="X65" s="17"/>
      <c r="Y65" s="17"/>
      <c r="Z65" s="17"/>
      <c r="AA65" s="610"/>
      <c r="AB65" s="610"/>
      <c r="AC65" s="155"/>
      <c r="AD65" s="19"/>
      <c r="AE65" s="15">
        <f t="shared" si="43"/>
        <v>-56.000000000004093</v>
      </c>
      <c r="AF65" s="256">
        <f t="shared" si="9"/>
        <v>0.97666666666666491</v>
      </c>
      <c r="AG65" s="619"/>
    </row>
    <row r="66" spans="1:33" ht="15.75" customHeight="1">
      <c r="A66" s="617" t="s">
        <v>200</v>
      </c>
      <c r="B66" s="255" t="s">
        <v>27</v>
      </c>
      <c r="C66" s="612" t="s">
        <v>52</v>
      </c>
      <c r="D66" s="613"/>
      <c r="E66" s="33">
        <v>25.98</v>
      </c>
      <c r="F66" s="255">
        <v>1472</v>
      </c>
      <c r="G66" s="252">
        <f t="shared" si="45"/>
        <v>38242.559999999998</v>
      </c>
      <c r="H66" s="29" t="s">
        <v>5</v>
      </c>
      <c r="I66" s="254">
        <v>17</v>
      </c>
      <c r="J66" s="30">
        <v>2400</v>
      </c>
      <c r="K66" s="13">
        <f t="shared" si="1"/>
        <v>141.1764705882353</v>
      </c>
      <c r="L66" s="254">
        <v>17</v>
      </c>
      <c r="M66" s="14">
        <f t="shared" si="46"/>
        <v>2324.2105263157928</v>
      </c>
      <c r="N66" s="13">
        <f t="shared" si="3"/>
        <v>136.71826625387015</v>
      </c>
      <c r="O66" s="15">
        <f t="shared" si="4"/>
        <v>0</v>
      </c>
      <c r="P66" s="16">
        <f t="shared" si="5"/>
        <v>-4.4582043343651492</v>
      </c>
      <c r="Q66" s="256">
        <f t="shared" si="6"/>
        <v>0.96842105263158018</v>
      </c>
      <c r="R66" s="619"/>
      <c r="S66" s="31">
        <v>0.48402777777777778</v>
      </c>
      <c r="T66" s="31">
        <v>0.51041666666666663</v>
      </c>
      <c r="U66" s="252">
        <f t="shared" si="48"/>
        <v>5.9999999999999787</v>
      </c>
      <c r="V66" s="253">
        <f t="shared" si="47"/>
        <v>37.999999999999943</v>
      </c>
      <c r="W66" s="17"/>
      <c r="X66" s="17"/>
      <c r="Y66" s="20"/>
      <c r="Z66" s="20"/>
      <c r="AA66" s="614"/>
      <c r="AB66" s="615"/>
      <c r="AC66" s="155"/>
      <c r="AD66" s="19"/>
      <c r="AE66" s="15">
        <f t="shared" si="43"/>
        <v>-75.789473684207223</v>
      </c>
      <c r="AF66" s="256">
        <f t="shared" si="9"/>
        <v>0.96842105263158029</v>
      </c>
      <c r="AG66" s="619"/>
    </row>
    <row r="67" spans="1:33" ht="16.5" customHeight="1">
      <c r="A67" s="618" t="s">
        <v>200</v>
      </c>
      <c r="B67" s="33" t="s">
        <v>1188</v>
      </c>
      <c r="C67" s="607"/>
      <c r="D67" s="608"/>
      <c r="E67" s="257"/>
      <c r="F67" s="34"/>
      <c r="G67" s="13"/>
      <c r="H67" s="255"/>
      <c r="I67" s="23">
        <v>16.285714285714285</v>
      </c>
      <c r="J67" s="30">
        <v>2400</v>
      </c>
      <c r="K67" s="13">
        <f t="shared" si="1"/>
        <v>147.36842105263159</v>
      </c>
      <c r="L67" s="23">
        <v>16.285714285714285</v>
      </c>
      <c r="M67" s="14">
        <f>AVERAGE(M60:M66)</f>
        <v>2318.3546342413442</v>
      </c>
      <c r="N67" s="13">
        <f t="shared" si="3"/>
        <v>142.35510912008255</v>
      </c>
      <c r="O67" s="15">
        <f t="shared" si="4"/>
        <v>0</v>
      </c>
      <c r="P67" s="16">
        <f t="shared" si="5"/>
        <v>-5.0133119325490441</v>
      </c>
      <c r="Q67" s="256">
        <f t="shared" si="6"/>
        <v>0.96598109760056006</v>
      </c>
      <c r="R67" s="619"/>
      <c r="S67" s="31"/>
      <c r="T67" s="31"/>
      <c r="U67" s="13"/>
      <c r="V67" s="253"/>
      <c r="W67" s="13"/>
      <c r="X67" s="13"/>
      <c r="Y67" s="24">
        <f>SUM(Y60:Y66)</f>
        <v>0</v>
      </c>
      <c r="Z67" s="24">
        <f>SUM(Z60:Z66)</f>
        <v>0</v>
      </c>
      <c r="AA67" s="609"/>
      <c r="AB67" s="609"/>
      <c r="AC67" s="24">
        <v>7</v>
      </c>
      <c r="AD67" s="24">
        <f>SUM(AD60:AD66)</f>
        <v>0</v>
      </c>
      <c r="AE67" s="15">
        <f t="shared" si="43"/>
        <v>-81.645365758655771</v>
      </c>
      <c r="AF67" s="256">
        <f t="shared" si="9"/>
        <v>0.96598109760056006</v>
      </c>
      <c r="AG67" s="619"/>
    </row>
    <row r="68" spans="1:33">
      <c r="D68" s="25"/>
      <c r="E68" s="25"/>
    </row>
  </sheetData>
  <mergeCells count="183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4"/>
    <mergeCell ref="C28:D28"/>
    <mergeCell ref="R28:R34"/>
    <mergeCell ref="AA28:AB28"/>
    <mergeCell ref="AA33:AB33"/>
    <mergeCell ref="C34:D34"/>
    <mergeCell ref="AA34:AB34"/>
    <mergeCell ref="AG35:AG41"/>
    <mergeCell ref="C36:D36"/>
    <mergeCell ref="AA36:AB36"/>
    <mergeCell ref="C37:D37"/>
    <mergeCell ref="AA37:AB37"/>
    <mergeCell ref="C38:D38"/>
    <mergeCell ref="AG28:AG34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8:AB38"/>
    <mergeCell ref="C39:D39"/>
    <mergeCell ref="AA39:AB39"/>
    <mergeCell ref="C40:D40"/>
    <mergeCell ref="AA40:AB40"/>
    <mergeCell ref="C41:D41"/>
    <mergeCell ref="AA41:AB41"/>
    <mergeCell ref="A35:A41"/>
    <mergeCell ref="C35:D35"/>
    <mergeCell ref="R35:R41"/>
    <mergeCell ref="AA35:AB35"/>
    <mergeCell ref="AA45:AB45"/>
    <mergeCell ref="A46:A54"/>
    <mergeCell ref="C46:D46"/>
    <mergeCell ref="R46:R54"/>
    <mergeCell ref="AA46:AB46"/>
    <mergeCell ref="AG46:AG54"/>
    <mergeCell ref="C47:D47"/>
    <mergeCell ref="AA47:AB47"/>
    <mergeCell ref="C48:D48"/>
    <mergeCell ref="AA48:AB48"/>
    <mergeCell ref="A42:A45"/>
    <mergeCell ref="C42:D42"/>
    <mergeCell ref="R42:R45"/>
    <mergeCell ref="AA42:AB42"/>
    <mergeCell ref="AG42:AG45"/>
    <mergeCell ref="C43:D43"/>
    <mergeCell ref="AA43:AB43"/>
    <mergeCell ref="C44:D44"/>
    <mergeCell ref="AA44:AB44"/>
    <mergeCell ref="C45:D45"/>
    <mergeCell ref="C53:D53"/>
    <mergeCell ref="AA53:AB53"/>
    <mergeCell ref="C54:D54"/>
    <mergeCell ref="AA54:AB54"/>
    <mergeCell ref="A55:A59"/>
    <mergeCell ref="C55:D55"/>
    <mergeCell ref="R55:R59"/>
    <mergeCell ref="AA55:AB55"/>
    <mergeCell ref="AA49:AB49"/>
    <mergeCell ref="AA50:AB50"/>
    <mergeCell ref="C51:D51"/>
    <mergeCell ref="AA51:AB51"/>
    <mergeCell ref="C52:D52"/>
    <mergeCell ref="AA52:AB52"/>
    <mergeCell ref="AG55:AG59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A60:A67"/>
    <mergeCell ref="C60:D60"/>
    <mergeCell ref="R60:R67"/>
    <mergeCell ref="AA60:AB60"/>
    <mergeCell ref="AG60:AG67"/>
    <mergeCell ref="C61:D61"/>
    <mergeCell ref="AA61:AB61"/>
    <mergeCell ref="C62:D62"/>
    <mergeCell ref="AA62:AB62"/>
    <mergeCell ref="C63:D63"/>
    <mergeCell ref="C67:D67"/>
    <mergeCell ref="AA67:AB67"/>
    <mergeCell ref="AA63:AB63"/>
    <mergeCell ref="C64:D64"/>
    <mergeCell ref="AA64:AB64"/>
    <mergeCell ref="C65:D65"/>
    <mergeCell ref="AA65:AB65"/>
    <mergeCell ref="C66:D66"/>
    <mergeCell ref="AA66:AB66"/>
  </mergeCells>
  <phoneticPr fontId="3" type="noConversion"/>
  <conditionalFormatting sqref="O58:O65 O54:O55 O67 O5:O9 O12:O14 O20:O51">
    <cfRule type="cellIs" dxfId="915" priority="56" operator="greaterThan">
      <formula>0</formula>
    </cfRule>
  </conditionalFormatting>
  <conditionalFormatting sqref="P5:P7 P58 AE58 P60:P65 P28:P33 P55 P9 P12:P14 P21:P26 P46:P51 P35:P44 AE5:AE55 AE60:AE67">
    <cfRule type="cellIs" dxfId="914" priority="60" operator="lessThan">
      <formula>0</formula>
    </cfRule>
  </conditionalFormatting>
  <conditionalFormatting sqref="AF58 Q58:Q65 Q54:Q55 Q67 Q5:Q9 Q12:Q14 Q20:Q51 AF5:AF55 AF60:AF67">
    <cfRule type="cellIs" dxfId="913" priority="57" operator="greaterThan">
      <formula>1</formula>
    </cfRule>
    <cfRule type="cellIs" dxfId="912" priority="58" operator="lessThan">
      <formula>0.8</formula>
    </cfRule>
  </conditionalFormatting>
  <conditionalFormatting sqref="AG13:AG14 R13:R14 AG58 R58:R65 AG54:AG55 R54:R55 R67 AG5:AG9 R5:R9 AG20:AG51 R20:R51">
    <cfRule type="cellIs" dxfId="911" priority="62" operator="lessThan">
      <formula>0.8</formula>
    </cfRule>
  </conditionalFormatting>
  <conditionalFormatting sqref="AG42">
    <cfRule type="cellIs" dxfId="910" priority="64" operator="lessThan">
      <formula>0.8</formula>
    </cfRule>
  </conditionalFormatting>
  <conditionalFormatting sqref="AG21:AG26">
    <cfRule type="cellIs" dxfId="909" priority="61" operator="lessThan">
      <formula>0.8</formula>
    </cfRule>
  </conditionalFormatting>
  <conditionalFormatting sqref="AG28">
    <cfRule type="cellIs" dxfId="908" priority="63" operator="lessThan">
      <formula>0.8</formula>
    </cfRule>
  </conditionalFormatting>
  <conditionalFormatting sqref="AG35:AG40">
    <cfRule type="cellIs" dxfId="907" priority="59" operator="lessThan">
      <formula>0.8</formula>
    </cfRule>
  </conditionalFormatting>
  <conditionalFormatting sqref="AE59">
    <cfRule type="cellIs" dxfId="906" priority="55" operator="lessThan">
      <formula>0</formula>
    </cfRule>
  </conditionalFormatting>
  <conditionalFormatting sqref="AF59">
    <cfRule type="cellIs" dxfId="905" priority="53" operator="greaterThan">
      <formula>1</formula>
    </cfRule>
    <cfRule type="cellIs" dxfId="904" priority="54" operator="lessThan">
      <formula>0.8</formula>
    </cfRule>
  </conditionalFormatting>
  <conditionalFormatting sqref="O15:O16">
    <cfRule type="cellIs" dxfId="903" priority="48" operator="greaterThan">
      <formula>0</formula>
    </cfRule>
  </conditionalFormatting>
  <conditionalFormatting sqref="P15:P16">
    <cfRule type="cellIs" dxfId="902" priority="51" operator="lessThan">
      <formula>0</formula>
    </cfRule>
  </conditionalFormatting>
  <conditionalFormatting sqref="Q15:Q16">
    <cfRule type="cellIs" dxfId="901" priority="49" operator="greaterThan">
      <formula>1</formula>
    </cfRule>
    <cfRule type="cellIs" dxfId="900" priority="50" operator="lessThan">
      <formula>0.8</formula>
    </cfRule>
  </conditionalFormatting>
  <conditionalFormatting sqref="R15:R16 AG15:AG16">
    <cfRule type="cellIs" dxfId="899" priority="52" operator="lessThan">
      <formula>0.8</formula>
    </cfRule>
  </conditionalFormatting>
  <conditionalFormatting sqref="O10:O11">
    <cfRule type="cellIs" dxfId="898" priority="44" operator="greaterThan">
      <formula>0</formula>
    </cfRule>
  </conditionalFormatting>
  <conditionalFormatting sqref="P10:P11">
    <cfRule type="cellIs" dxfId="897" priority="47" operator="lessThan">
      <formula>0</formula>
    </cfRule>
  </conditionalFormatting>
  <conditionalFormatting sqref="Q10:Q11">
    <cfRule type="cellIs" dxfId="896" priority="45" operator="greaterThan">
      <formula>1</formula>
    </cfRule>
    <cfRule type="cellIs" dxfId="895" priority="46" operator="lessThan">
      <formula>0.8</formula>
    </cfRule>
  </conditionalFormatting>
  <conditionalFormatting sqref="O52">
    <cfRule type="cellIs" dxfId="894" priority="39" operator="greaterThan">
      <formula>0</formula>
    </cfRule>
  </conditionalFormatting>
  <conditionalFormatting sqref="P52">
    <cfRule type="cellIs" dxfId="893" priority="42" operator="lessThan">
      <formula>0</formula>
    </cfRule>
  </conditionalFormatting>
  <conditionalFormatting sqref="Q52">
    <cfRule type="cellIs" dxfId="892" priority="40" operator="greaterThan">
      <formula>1</formula>
    </cfRule>
    <cfRule type="cellIs" dxfId="891" priority="41" operator="lessThan">
      <formula>0.8</formula>
    </cfRule>
  </conditionalFormatting>
  <conditionalFormatting sqref="R52 AG52">
    <cfRule type="cellIs" dxfId="890" priority="43" operator="lessThan">
      <formula>0.8</formula>
    </cfRule>
  </conditionalFormatting>
  <conditionalFormatting sqref="O57">
    <cfRule type="cellIs" dxfId="889" priority="34" operator="greaterThan">
      <formula>0</formula>
    </cfRule>
  </conditionalFormatting>
  <conditionalFormatting sqref="P57 AE57">
    <cfRule type="cellIs" dxfId="888" priority="37" operator="lessThan">
      <formula>0</formula>
    </cfRule>
  </conditionalFormatting>
  <conditionalFormatting sqref="Q57 AF57">
    <cfRule type="cellIs" dxfId="887" priority="35" operator="greaterThan">
      <formula>1</formula>
    </cfRule>
    <cfRule type="cellIs" dxfId="886" priority="36" operator="lessThan">
      <formula>0.8</formula>
    </cfRule>
  </conditionalFormatting>
  <conditionalFormatting sqref="R57 AG57">
    <cfRule type="cellIs" dxfId="885" priority="38" operator="lessThan">
      <formula>0.8</formula>
    </cfRule>
  </conditionalFormatting>
  <conditionalFormatting sqref="O66">
    <cfRule type="cellIs" dxfId="884" priority="29" operator="greaterThan">
      <formula>0</formula>
    </cfRule>
  </conditionalFormatting>
  <conditionalFormatting sqref="P66">
    <cfRule type="cellIs" dxfId="883" priority="32" operator="lessThan">
      <formula>0</formula>
    </cfRule>
  </conditionalFormatting>
  <conditionalFormatting sqref="Q66">
    <cfRule type="cellIs" dxfId="882" priority="30" operator="greaterThan">
      <formula>1</formula>
    </cfRule>
    <cfRule type="cellIs" dxfId="881" priority="31" operator="lessThan">
      <formula>0.8</formula>
    </cfRule>
  </conditionalFormatting>
  <conditionalFormatting sqref="R66">
    <cfRule type="cellIs" dxfId="880" priority="33" operator="lessThan">
      <formula>0.8</formula>
    </cfRule>
  </conditionalFormatting>
  <conditionalFormatting sqref="O17:O18">
    <cfRule type="cellIs" dxfId="879" priority="24" operator="greaterThan">
      <formula>0</formula>
    </cfRule>
  </conditionalFormatting>
  <conditionalFormatting sqref="P17:P18">
    <cfRule type="cellIs" dxfId="878" priority="27" operator="lessThan">
      <formula>0</formula>
    </cfRule>
  </conditionalFormatting>
  <conditionalFormatting sqref="Q17:Q18">
    <cfRule type="cellIs" dxfId="877" priority="25" operator="greaterThan">
      <formula>1</formula>
    </cfRule>
    <cfRule type="cellIs" dxfId="876" priority="26" operator="lessThan">
      <formula>0.8</formula>
    </cfRule>
  </conditionalFormatting>
  <conditionalFormatting sqref="R17:R18 AG17:AG18">
    <cfRule type="cellIs" dxfId="875" priority="28" operator="lessThan">
      <formula>0.8</formula>
    </cfRule>
  </conditionalFormatting>
  <conditionalFormatting sqref="O53">
    <cfRule type="cellIs" dxfId="874" priority="19" operator="greaterThan">
      <formula>0</formula>
    </cfRule>
  </conditionalFormatting>
  <conditionalFormatting sqref="P53">
    <cfRule type="cellIs" dxfId="873" priority="22" operator="lessThan">
      <formula>0</formula>
    </cfRule>
  </conditionalFormatting>
  <conditionalFormatting sqref="Q53">
    <cfRule type="cellIs" dxfId="872" priority="20" operator="greaterThan">
      <formula>1</formula>
    </cfRule>
    <cfRule type="cellIs" dxfId="871" priority="21" operator="lessThan">
      <formula>0.8</formula>
    </cfRule>
  </conditionalFormatting>
  <conditionalFormatting sqref="AG53 R53">
    <cfRule type="cellIs" dxfId="870" priority="23" operator="lessThan">
      <formula>0.8</formula>
    </cfRule>
  </conditionalFormatting>
  <conditionalFormatting sqref="O56">
    <cfRule type="cellIs" dxfId="869" priority="14" operator="greaterThan">
      <formula>0</formula>
    </cfRule>
  </conditionalFormatting>
  <conditionalFormatting sqref="P56 AE56">
    <cfRule type="cellIs" dxfId="868" priority="17" operator="lessThan">
      <formula>0</formula>
    </cfRule>
  </conditionalFormatting>
  <conditionalFormatting sqref="Q56 AF56">
    <cfRule type="cellIs" dxfId="867" priority="15" operator="greaterThan">
      <formula>1</formula>
    </cfRule>
    <cfRule type="cellIs" dxfId="866" priority="16" operator="lessThan">
      <formula>0.8</formula>
    </cfRule>
  </conditionalFormatting>
  <conditionalFormatting sqref="R56 AG56">
    <cfRule type="cellIs" dxfId="865" priority="18" operator="lessThan">
      <formula>0.8</formula>
    </cfRule>
  </conditionalFormatting>
  <conditionalFormatting sqref="O19">
    <cfRule type="cellIs" dxfId="864" priority="9" operator="greaterThan">
      <formula>0</formula>
    </cfRule>
  </conditionalFormatting>
  <conditionalFormatting sqref="P19">
    <cfRule type="cellIs" dxfId="863" priority="12" operator="lessThan">
      <formula>0</formula>
    </cfRule>
  </conditionalFormatting>
  <conditionalFormatting sqref="Q19">
    <cfRule type="cellIs" dxfId="862" priority="10" operator="greaterThan">
      <formula>1</formula>
    </cfRule>
    <cfRule type="cellIs" dxfId="861" priority="11" operator="lessThan">
      <formula>0.8</formula>
    </cfRule>
  </conditionalFormatting>
  <conditionalFormatting sqref="AG19 R19">
    <cfRule type="cellIs" dxfId="860" priority="13" operator="lessThan">
      <formula>0.8</formula>
    </cfRule>
  </conditionalFormatting>
  <conditionalFormatting sqref="P8">
    <cfRule type="cellIs" dxfId="859" priority="8" operator="lessThan">
      <formula>0</formula>
    </cfRule>
  </conditionalFormatting>
  <conditionalFormatting sqref="P20">
    <cfRule type="cellIs" dxfId="858" priority="7" operator="lessThan">
      <formula>0</formula>
    </cfRule>
  </conditionalFormatting>
  <conditionalFormatting sqref="P27">
    <cfRule type="cellIs" dxfId="857" priority="6" operator="lessThan">
      <formula>0</formula>
    </cfRule>
  </conditionalFormatting>
  <conditionalFormatting sqref="P34">
    <cfRule type="cellIs" dxfId="856" priority="5" operator="lessThan">
      <formula>0</formula>
    </cfRule>
  </conditionalFormatting>
  <conditionalFormatting sqref="P45">
    <cfRule type="cellIs" dxfId="855" priority="4" operator="lessThan">
      <formula>0</formula>
    </cfRule>
  </conditionalFormatting>
  <conditionalFormatting sqref="P54">
    <cfRule type="cellIs" dxfId="854" priority="3" operator="lessThan">
      <formula>0</formula>
    </cfRule>
  </conditionalFormatting>
  <conditionalFormatting sqref="P59">
    <cfRule type="cellIs" dxfId="853" priority="2" operator="lessThan">
      <formula>0</formula>
    </cfRule>
  </conditionalFormatting>
  <conditionalFormatting sqref="P67">
    <cfRule type="cellIs" dxfId="852" priority="1" operator="lessThan">
      <formula>0</formula>
    </cfRule>
  </conditionalFormatting>
  <dataValidations count="1">
    <dataValidation type="list" allowBlank="1" showInputMessage="1" showErrorMessage="1" sqref="AB8 AA5:AB7 AA8:AA58 AB10:AB55 AA59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8" sqref="I8:J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1096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1095</v>
      </c>
      <c r="C3" s="596" t="str">
        <f>TEXT('0910 4度C'!A2,"yyyy.mm.ddaaaa")</f>
        <v>2026.09.10星期四</v>
      </c>
      <c r="D3" s="597"/>
      <c r="E3" s="39" t="s">
        <v>1094</v>
      </c>
      <c r="F3" s="598">
        <f>'0910 4度C'!D1</f>
        <v>163757</v>
      </c>
      <c r="G3" s="599"/>
      <c r="H3" s="39" t="s">
        <v>1093</v>
      </c>
      <c r="I3" s="600">
        <f>'0910 4度C'!F1</f>
        <v>5446679.0900000008</v>
      </c>
      <c r="J3" s="601"/>
      <c r="K3" s="40"/>
      <c r="L3" s="41"/>
      <c r="M3" s="42"/>
      <c r="N3" s="42"/>
    </row>
    <row r="4" spans="2:17" ht="28.5" customHeight="1">
      <c r="B4" s="602" t="s">
        <v>1092</v>
      </c>
      <c r="C4" s="588" t="s">
        <v>1091</v>
      </c>
      <c r="D4" s="589"/>
      <c r="E4" s="605" t="s">
        <v>1090</v>
      </c>
      <c r="F4" s="606"/>
      <c r="G4" s="605" t="s">
        <v>209</v>
      </c>
      <c r="H4" s="606"/>
      <c r="I4" s="605" t="s">
        <v>1089</v>
      </c>
      <c r="J4" s="606"/>
      <c r="K4" s="586" t="s">
        <v>1088</v>
      </c>
      <c r="L4" s="587"/>
      <c r="M4" s="587" t="s">
        <v>1087</v>
      </c>
      <c r="N4" s="587"/>
    </row>
    <row r="5" spans="2:17" ht="28.5" customHeight="1">
      <c r="B5" s="603"/>
      <c r="C5" s="588" t="s">
        <v>1086</v>
      </c>
      <c r="D5" s="589"/>
      <c r="E5" s="588" t="s">
        <v>1085</v>
      </c>
      <c r="F5" s="589"/>
      <c r="G5" s="590" t="s">
        <v>1084</v>
      </c>
      <c r="H5" s="591"/>
      <c r="I5" s="592" t="s">
        <v>1083</v>
      </c>
      <c r="J5" s="593"/>
      <c r="K5" s="43" t="s">
        <v>1081</v>
      </c>
      <c r="L5" s="44" t="s">
        <v>1082</v>
      </c>
      <c r="M5" s="43" t="s">
        <v>1081</v>
      </c>
      <c r="N5" s="44" t="s">
        <v>1080</v>
      </c>
    </row>
    <row r="6" spans="2:17" ht="28.5" customHeight="1">
      <c r="B6" s="603"/>
      <c r="C6" s="588" t="s">
        <v>56</v>
      </c>
      <c r="D6" s="589"/>
      <c r="E6" s="580">
        <f>AVERAGE(D13:M13)</f>
        <v>157.13064112607623</v>
      </c>
      <c r="F6" s="581">
        <f>AVERAGE(D31:O31,D13:J13)</f>
        <v>164.48429346990406</v>
      </c>
      <c r="G6" s="582">
        <f>AVERAGE(D13:J13)</f>
        <v>164.48429346990406</v>
      </c>
      <c r="H6" s="583"/>
      <c r="I6" s="582">
        <f>AVERAGE(K13:M13)</f>
        <v>139.97211899047792</v>
      </c>
      <c r="J6" s="583"/>
      <c r="K6" s="584">
        <f>'0910 4度C'!Y2</f>
        <v>0</v>
      </c>
      <c r="L6" s="569">
        <f>'0910 4度C'!Z2</f>
        <v>0</v>
      </c>
      <c r="M6" s="585">
        <f>'0910 4度C'!AC2</f>
        <v>58</v>
      </c>
      <c r="N6" s="569">
        <f>'0910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150.58165421791517</v>
      </c>
      <c r="F7" s="573">
        <f>AVERAGE(D32:O32,D14:J14)</f>
        <v>157.70537971102365</v>
      </c>
      <c r="G7" s="574">
        <f>AVERAGE(D14:J14)</f>
        <v>157.70537971102365</v>
      </c>
      <c r="H7" s="575"/>
      <c r="I7" s="574">
        <f>AVERAGE(K14:M14)</f>
        <v>133.95962806732879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0.9589128706568717</v>
      </c>
      <c r="F8" s="577">
        <f>AVERAGE(D15:J15,D33:O33)</f>
        <v>0.95973765401924693</v>
      </c>
      <c r="G8" s="578">
        <f>AVERAGE(D15:J15)</f>
        <v>0.95973765401924693</v>
      </c>
      <c r="H8" s="579"/>
      <c r="I8" s="578">
        <f>AVERAGE(K15:M15)</f>
        <v>0.95698837614466303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1079</v>
      </c>
      <c r="N9" s="42"/>
      <c r="O9" s="42"/>
      <c r="P9" s="42"/>
      <c r="Q9" s="42"/>
    </row>
    <row r="10" spans="2:17" ht="30" customHeight="1">
      <c r="B10" s="552" t="s">
        <v>1078</v>
      </c>
      <c r="C10" s="553"/>
      <c r="D10" s="554" t="s">
        <v>1077</v>
      </c>
      <c r="E10" s="555"/>
      <c r="F10" s="555"/>
      <c r="G10" s="555"/>
      <c r="H10" s="555"/>
      <c r="I10" s="555"/>
      <c r="J10" s="556"/>
      <c r="K10" s="557" t="s">
        <v>1076</v>
      </c>
      <c r="L10" s="558"/>
      <c r="M10" s="559"/>
      <c r="P10" s="48"/>
      <c r="Q10" s="48"/>
    </row>
    <row r="11" spans="2:17" ht="17.25" customHeight="1">
      <c r="B11" s="560" t="s">
        <v>1075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1074</v>
      </c>
      <c r="C13" s="55" t="s">
        <v>1073</v>
      </c>
      <c r="D13" s="56">
        <f>SUMIFS('0910 4度C'!$K:$K,'0910 4度C'!$A:$A,"新豐6線",'0910 4度C'!$B:$B,"平均")</f>
        <v>136.36363636363637</v>
      </c>
      <c r="E13" s="57">
        <f>SUMIFS('0910 4度C'!$K:$K,'0910 4度C'!$A:$A,"新豐2線",'0910 4度C'!$B:$B,"平均")</f>
        <v>81.818181818181827</v>
      </c>
      <c r="F13" s="58">
        <f>SUMIFS('0910 4度C'!$K:$K,'0910 4度C'!$A:$A,"新豐5線",'0910 4度C'!$B:$B,"平均")</f>
        <v>104.16666666666667</v>
      </c>
      <c r="G13" s="58">
        <f>SUMIFS('0910 4度C'!$K:$K,'0910 4度C'!$A:$A,"新豐7線",'0910 4度C'!$B:$B,"平均")</f>
        <v>126.31578947368421</v>
      </c>
      <c r="H13" s="58">
        <f>SUMIFS('0910 4度C'!$K:$K,'0910 4度C'!$A:$A,"新豐3線",'0910 4度C'!$B:$B,"平均")</f>
        <v>310.34482758620692</v>
      </c>
      <c r="I13" s="58">
        <f>SUMIFS('0910 4度C'!$K:$K,'0910 4度C'!$A:$A,"新豐1線",'0910 4度C'!$B:$B,"平均")</f>
        <v>106.66666666666667</v>
      </c>
      <c r="J13" s="59">
        <f>SUMIFS('0910 4度C'!$K:$K,'0910 4度C'!$A:$A,"新豐10線",'0910 4度C'!$B:$B,"平均")</f>
        <v>285.71428571428572</v>
      </c>
      <c r="K13" s="60">
        <f>SUMIFS('0910 4度C'!$K:$K,'0910 4度C'!$A:$A,"新豐8線",'0910 4度C'!$B:$B,"平均")</f>
        <v>141.1764705882353</v>
      </c>
      <c r="L13" s="61">
        <f>SUMIFS('0910 4度C'!$K:$K,'0910 4度C'!$A:$A,"新豐9線",'0910 4度C'!$B:$B,"平均")</f>
        <v>127.38853503184714</v>
      </c>
      <c r="M13" s="59">
        <f>SUMIFS('0910 4度C'!$K:$K,'0910 4度C'!$A:$A,"新豐4線",'0910 4度C'!$B:$B,"平均")</f>
        <v>151.35135135135135</v>
      </c>
    </row>
    <row r="14" spans="2:17" ht="39.6" customHeight="1">
      <c r="B14" s="565"/>
      <c r="C14" s="62" t="s">
        <v>1072</v>
      </c>
      <c r="D14" s="63">
        <f>SUMIFS('0910 4度C'!$N:$N,'0910 4度C'!$A:$A,"新豐6線",'0910 4度C'!$B:$B,"平均")</f>
        <v>131.76372967208746</v>
      </c>
      <c r="E14" s="64">
        <f>SUMIFS('0910 4度C'!$N:$N,'0910 4度C'!$A:$A,"新豐2線",'0910 4度C'!$B:$B,"平均")</f>
        <v>78.173249387529296</v>
      </c>
      <c r="F14" s="64">
        <f>SUMIFS('0910 4度C'!$N:$N,'0910 4度C'!$A:$A,"新豐5線",'0910 4度C'!$B:$B,"平均")</f>
        <v>100.03809810354414</v>
      </c>
      <c r="G14" s="64">
        <f>SUMIFS('0910 4度C'!$N:$N,'0910 4度C'!$A:$A,"新豐7線",'0910 4度C'!$B:$B,"平均")</f>
        <v>121.58398729743608</v>
      </c>
      <c r="H14" s="64">
        <f>SUMIFS('0910 4度C'!$N:$N,'0910 4度C'!$A:$A,"新豐3線",'0910 4度C'!$B:$B,"平均")</f>
        <v>297.02340017764237</v>
      </c>
      <c r="I14" s="64">
        <f>SUMIFS('0910 4度C'!$N:$N,'0910 4度C'!$A:$A,"新豐1線",'0910 4度C'!$B:$B,"平均")</f>
        <v>102.5908396370727</v>
      </c>
      <c r="J14" s="65">
        <f>SUMIFS('0910 4度C'!$N:$N,'0910 4度C'!$A:$A,"新豐10線",'0910 4度C'!$B:$B,"平均")</f>
        <v>272.76435370185362</v>
      </c>
      <c r="K14" s="66">
        <f>SUMIFS('0910 4度C'!$N:$N,'0910 4度C'!$A:$A,"新豐8線",'0910 4度C'!$B:$B,"平均")</f>
        <v>134.88345473061324</v>
      </c>
      <c r="L14" s="67">
        <f>SUMIFS('0910 4度C'!$N:$N,'0910 4度C'!$A:$A,"新豐9線",'0910 4度C'!$B:$B,"平均")</f>
        <v>121.86735504912018</v>
      </c>
      <c r="M14" s="65">
        <f>SUMIFS('0910 4度C'!$N:$N,'0910 4度C'!$A:$A,"新豐4線",'0910 4度C'!$B:$B,"平均")</f>
        <v>145.12807442225295</v>
      </c>
    </row>
    <row r="15" spans="2:17" ht="40.15" customHeight="1">
      <c r="B15" s="566"/>
      <c r="C15" s="68" t="s">
        <v>1071</v>
      </c>
      <c r="D15" s="69">
        <f t="shared" ref="D15:M15" si="0">D14/D13</f>
        <v>0.96626735092864136</v>
      </c>
      <c r="E15" s="70">
        <f t="shared" si="0"/>
        <v>0.95545082584758023</v>
      </c>
      <c r="F15" s="70">
        <f t="shared" si="0"/>
        <v>0.96036574179402379</v>
      </c>
      <c r="G15" s="70">
        <f t="shared" si="0"/>
        <v>0.96253989943803564</v>
      </c>
      <c r="H15" s="70">
        <f t="shared" si="0"/>
        <v>0.95707540057240315</v>
      </c>
      <c r="I15" s="70">
        <f t="shared" si="0"/>
        <v>0.96178912159755658</v>
      </c>
      <c r="J15" s="71">
        <f t="shared" si="0"/>
        <v>0.95467523795648768</v>
      </c>
      <c r="K15" s="69">
        <f t="shared" si="0"/>
        <v>0.95542447100851036</v>
      </c>
      <c r="L15" s="70">
        <f t="shared" si="0"/>
        <v>0.95665873713559335</v>
      </c>
      <c r="M15" s="71">
        <f t="shared" si="0"/>
        <v>0.9588819202898855</v>
      </c>
    </row>
    <row r="16" spans="2:17" ht="17.25" customHeight="1">
      <c r="B16" s="567" t="s">
        <v>1070</v>
      </c>
      <c r="C16" s="72" t="s">
        <v>1069</v>
      </c>
      <c r="D16" s="73">
        <f>VLOOKUP("新豐6線",'0910 4度C'!$A:$T,19,0)</f>
        <v>0.70833333333333337</v>
      </c>
      <c r="E16" s="74">
        <f>VLOOKUP("新豐2線",'0910 4度C'!$A:$T,19,0)</f>
        <v>8.3333333333333329E-2</v>
      </c>
      <c r="F16" s="74">
        <f>VLOOKUP("新豐5線",'0910 4度C'!$A:$T,19,0)</f>
        <v>0.20833333333333334</v>
      </c>
      <c r="G16" s="74">
        <f>VLOOKUP("新豐7線",'0910 4度C'!$A:$T,19,0)</f>
        <v>0.20833333333333334</v>
      </c>
      <c r="H16" s="74">
        <f>VLOOKUP("新豐3線",'0910 4度C'!$A:$T,19,0)</f>
        <v>0.20833333333333334</v>
      </c>
      <c r="I16" s="74">
        <f>VLOOKUP("新豐1線",'0910 4度C'!$A:$T,19,0)</f>
        <v>0.20833333333333334</v>
      </c>
      <c r="J16" s="75">
        <f>VLOOKUP("新豐10線",'0910 4度C'!$A:$T,19,0)</f>
        <v>0.20833333333333334</v>
      </c>
      <c r="K16" s="76">
        <f>VLOOKUP("新豐8線",'0910 4度C'!$A:$T,19,0)</f>
        <v>8.3333333333333329E-2</v>
      </c>
      <c r="L16" s="77">
        <f>VLOOKUP("新豐9線",'0910 4度C'!$A:$T,19,0)</f>
        <v>8.3333333333333329E-2</v>
      </c>
      <c r="M16" s="78">
        <f>VLOOKUP("新豐4線",'0910 4度C'!$A:$T,19,0)</f>
        <v>8.3333333333333329E-2</v>
      </c>
    </row>
    <row r="17" spans="2:13" ht="17.25" customHeight="1">
      <c r="B17" s="568"/>
      <c r="C17" s="72" t="s">
        <v>1068</v>
      </c>
      <c r="D17" s="76">
        <f>LOOKUP(2,1/(('0910 4度C'!$A:$A="新豐6線")*('0910 4度C'!$T:$T&lt;&gt;"")),'0910 4度C'!$T:$T)</f>
        <v>0.81874999999999998</v>
      </c>
      <c r="E17" s="74">
        <f>LOOKUP(2,1/(('0910 4度C'!$A:$A="新豐2線")*('0910 4度C'!$T:$T&lt;&gt;"")),'0910 4度C'!$T:$T)</f>
        <v>0.46597222222222223</v>
      </c>
      <c r="F17" s="74">
        <f>LOOKUP(2,1/(('0910 4度C'!$A:$A="新豐5線")*('0910 4度C'!$T:$T&lt;&gt;"")),'0910 4度C'!$T:$T)</f>
        <v>0.81527777777777788</v>
      </c>
      <c r="G17" s="74">
        <f>LOOKUP(2,1/(('0910 4度C'!$A:$A="新豐7線")*('0910 4度C'!$T:$T&lt;&gt;"")),'0910 4度C'!$T:$T)</f>
        <v>0.80763888888888891</v>
      </c>
      <c r="H17" s="74">
        <f>LOOKUP(2,1/(('0910 4度C'!$A:$A="新豐3線")*('0910 4度C'!$T:$T&lt;&gt;"")),'0910 4度C'!$T:$T)</f>
        <v>0.39861111111111108</v>
      </c>
      <c r="I17" s="74">
        <f>LOOKUP(2,1/(('0910 4度C'!$A:$A="新豐1線")*('0910 4度C'!$T:$T&lt;&gt;"")),'0910 4度C'!$T:$T)</f>
        <v>0.83124999999999993</v>
      </c>
      <c r="J17" s="75">
        <f>LOOKUP(2,1/(('0910 4度C'!$A:$A="新豐10線")*('0910 4度C'!$T:$T&lt;&gt;"")),'0910 4度C'!$T:$T)</f>
        <v>0.4284722222222222</v>
      </c>
      <c r="K17" s="73">
        <f>LOOKUP(2,1/(('0910 4度C'!$A:$A="新豐8線")*('0910 4度C'!$T:$T&lt;&gt;"")),'0910 4度C'!$T:$T)</f>
        <v>0.74861111111111112</v>
      </c>
      <c r="L17" s="74">
        <f>LOOKUP(2,1/(('0910 4度C'!$A:$A="新豐9線")*('0910 4度C'!$T:$T&lt;&gt;"")),'0910 4度C'!$T:$T)</f>
        <v>0.7340277777777775</v>
      </c>
      <c r="M17" s="75">
        <f>LOOKUP(2,1/(('0910 4度C'!$A:$A="新豐4線")*('0910 4度C'!$T:$T&lt;&gt;"")),'0910 4度C'!$T:$T)</f>
        <v>0.64097222222222205</v>
      </c>
    </row>
    <row r="18" spans="2:13" ht="17.25" customHeight="1">
      <c r="B18" s="546" t="s">
        <v>1067</v>
      </c>
      <c r="C18" s="79" t="s">
        <v>1064</v>
      </c>
      <c r="D18" s="80">
        <f>SUMIFS('0910 4度C'!$Y:$Y,'0910 4度C'!$A:$A,"新豐6線",'0910 4度C'!$B:$B,"平均")</f>
        <v>0</v>
      </c>
      <c r="E18" s="81">
        <f>SUMIFS('0910 4度C'!$Y:$Y,'0910 4度C'!$A:$A,"新豐2線",'0910 4度C'!$B:$B,"平均")</f>
        <v>0</v>
      </c>
      <c r="F18" s="81">
        <f>SUMIFS('0910 4度C'!$Y:$Y,'0910 4度C'!$A:$A,"新豐5線",'0910 4度C'!$B:$B,"平均")</f>
        <v>0</v>
      </c>
      <c r="G18" s="81">
        <f>SUMIFS('0910 4度C'!$Y:$Y,'0910 4度C'!$A:$A,"新豐7線",'0910 4度C'!$B:$B,"平均")</f>
        <v>0</v>
      </c>
      <c r="H18" s="81">
        <f>SUMIFS('0910 4度C'!$Y:$Y,'0910 4度C'!$A:$A,"新豐3線",'0910 4度C'!$B:$B,"平均")</f>
        <v>0</v>
      </c>
      <c r="I18" s="81">
        <f>SUMIFS('0910 4度C'!$Y:$Y,'0910 4度C'!$A:$A,"新豐1線",'0910 4度C'!$B:$B,"平均")</f>
        <v>0</v>
      </c>
      <c r="J18" s="82">
        <f>SUMIFS('0910 4度C'!$Y:$Y,'0910 4度C'!$A:$A,"新豐10線",'0910 4度C'!$B:$B,"平均")</f>
        <v>0</v>
      </c>
      <c r="K18" s="83">
        <f>SUMIFS('0910 4度C'!$Y:$Y,'0910 4度C'!$A:$A,"新豐8線",'0910 4度C'!$B:$B,"平均")</f>
        <v>0</v>
      </c>
      <c r="L18" s="81">
        <f>SUMIFS('0910 4度C'!$Y:$Y,'0910 4度C'!$A:$A,"新豐9線",'0910 4度C'!$B:$B,"平均")</f>
        <v>0</v>
      </c>
      <c r="M18" s="82">
        <f>SUMIFS('0910 4度C'!$Y:$Y,'0910 4度C'!$A:$A,"新豐4線",'0910 4度C'!$B:$B,"平均")</f>
        <v>0</v>
      </c>
    </row>
    <row r="19" spans="2:13" ht="17.25" customHeight="1">
      <c r="B19" s="547"/>
      <c r="C19" s="79" t="s">
        <v>1066</v>
      </c>
      <c r="D19" s="80">
        <f>SUMIFS('0910 4度C'!$Z:$Z,'0910 4度C'!$A:$A,"新豐6線",'0910 4度C'!$B:$B,"平均")</f>
        <v>0</v>
      </c>
      <c r="E19" s="81">
        <f>SUMIFS('0910 4度C'!$Z:$Z,'0910 4度C'!$A:$A,"新豐2線",'0910 4度C'!$B:$B,"平均")</f>
        <v>0</v>
      </c>
      <c r="F19" s="81">
        <f>SUMIFS('0910 4度C'!$Z:$Z,'0910 4度C'!$A:$A,"新豐5線",'0910 4度C'!$B:$B,"平均")</f>
        <v>0</v>
      </c>
      <c r="G19" s="81">
        <f>SUMIFS('0910 4度C'!$Z:$Z,'0910 4度C'!$A:$A,"新豐7線",'0910 4度C'!$B:$B,"平均")</f>
        <v>0</v>
      </c>
      <c r="H19" s="81">
        <f>SUMIFS('0910 4度C'!$Z:$Z,'0910 4度C'!$A:$A,"新豐3線",'0910 4度C'!$B:$B,"平均")</f>
        <v>0</v>
      </c>
      <c r="I19" s="81">
        <f>SUMIFS('0910 4度C'!$Z:$Z,'0910 4度C'!$A:$A,"新豐1線",'0910 4度C'!$B:$B,"平均")</f>
        <v>0</v>
      </c>
      <c r="J19" s="82">
        <f>SUMIFS('0910 4度C'!$Z:$Z,'0910 4度C'!$A:$A,"新豐10線",'0910 4度C'!$B:$B,"平均")</f>
        <v>0</v>
      </c>
      <c r="K19" s="83">
        <f>SUMIFS('0910 4度C'!$Z:$Z,'0910 4度C'!$A:$A,"新豐8線",'0910 4度C'!$B:$B,"平均")</f>
        <v>0</v>
      </c>
      <c r="L19" s="81">
        <f>SUMIFS('0910 4度C'!$Z:$Z,'0910 4度C'!$A:$A,"新豐9線",'0910 4度C'!$B:$B,"平均")</f>
        <v>0</v>
      </c>
      <c r="M19" s="82">
        <f>SUMIFS('0910 4度C'!$Z:$Z,'0910 4度C'!$A:$A,"新豐4線",'0910 4度C'!$B:$B,"平均")</f>
        <v>0</v>
      </c>
    </row>
    <row r="20" spans="2:13" ht="17.25" customHeight="1">
      <c r="B20" s="546" t="s">
        <v>1065</v>
      </c>
      <c r="C20" s="79" t="s">
        <v>1064</v>
      </c>
      <c r="D20" s="80">
        <f>SUMIFS('0910 4度C'!$AC:$AC,'0910 4度C'!$A:$A,"新豐6線",'0910 4度C'!$B:$B,"平均")</f>
        <v>3</v>
      </c>
      <c r="E20" s="81">
        <f>SUMIFS('0910 4度C'!$AC:$AC,'0910 4度C'!$A:$A,"新豐2線",'0910 4度C'!$B:$B,"平均")</f>
        <v>3</v>
      </c>
      <c r="F20" s="81">
        <f>SUMIFS('0910 4度C'!$AC:$AC,'0910 4度C'!$A:$A,"新豐5線",'0910 4度C'!$B:$B,"平均")</f>
        <v>7</v>
      </c>
      <c r="G20" s="81">
        <f>SUMIFS('0910 4度C'!$AC:$AC,'0910 4度C'!$A:$A,"新豐7線",'0910 4度C'!$B:$B,"平均")</f>
        <v>6</v>
      </c>
      <c r="H20" s="81">
        <f>SUMIFS('0910 4度C'!$AC:$AC,'0910 4度C'!$A:$A,"新豐3線",'0910 4度C'!$B:$B,"平均")</f>
        <v>3</v>
      </c>
      <c r="I20" s="81">
        <f>SUMIFS('0910 4度C'!$AC:$AC,'0910 4度C'!$A:$A,"新豐1線",'0910 4度C'!$B:$B,"平均")</f>
        <v>8</v>
      </c>
      <c r="J20" s="82">
        <f>SUMIFS('0910 4度C'!$AC:$AC,'0910 4度C'!$A:$A,"新豐10線",'0910 4度C'!$B:$B,"平均")</f>
        <v>4</v>
      </c>
      <c r="K20" s="83">
        <f>SUMIFS('0910 4度C'!$AC:$AC,'0910 4度C'!$A:$A,"新豐8線",'0910 4度C'!$B:$B,"平均")</f>
        <v>8</v>
      </c>
      <c r="L20" s="81">
        <f>SUMIFS('0910 4度C'!$AC:$AC,'0910 4度C'!$A:$A,"新豐9線",'0910 4度C'!$B:$B,"平均")</f>
        <v>9</v>
      </c>
      <c r="M20" s="82">
        <f>SUMIFS('0910 4度C'!$AC:$AC,'0910 4度C'!$A:$A,"新豐4線",'0910 4度C'!$B:$B,"平均")</f>
        <v>7</v>
      </c>
    </row>
    <row r="21" spans="2:13" ht="17.25" customHeight="1">
      <c r="B21" s="547"/>
      <c r="C21" s="79" t="s">
        <v>1063</v>
      </c>
      <c r="D21" s="80">
        <f>SUMIFS('0910 4度C'!$AD:$AD,'0910 4度C'!$A:$A,"新豐6線",'0910 4度C'!$B:$B,"平均")</f>
        <v>0</v>
      </c>
      <c r="E21" s="81">
        <f>SUMIFS('0910 4度C'!$AD:$AD,'0910 4度C'!$A:$A,"新豐2線",'0910 4度C'!$B:$B,"平均")</f>
        <v>0</v>
      </c>
      <c r="F21" s="81">
        <f>SUMIFS('0910 4度C'!$AD:$AD,'0910 4度C'!$A:$A,"新豐5線",'0910 4度C'!$B:$B,"平均")</f>
        <v>0</v>
      </c>
      <c r="G21" s="81">
        <f>SUMIFS('0910 4度C'!$AD:$AD,'0910 4度C'!$A:$A,"新豐7線",'0910 4度C'!$B:$B,"平均")</f>
        <v>0</v>
      </c>
      <c r="H21" s="81">
        <f>SUMIFS('0910 4度C'!$AD:$AD,'0910 4度C'!$A:$A,"新豐3線",'0910 4度C'!$B:$B,"平均")</f>
        <v>0</v>
      </c>
      <c r="I21" s="81">
        <f>SUMIFS('0910 4度C'!$AD:$AD,'0910 4度C'!$A:$A,"新豐1線",'0910 4度C'!$B:$B,"平均")</f>
        <v>0</v>
      </c>
      <c r="J21" s="82">
        <f>SUMIFS('0910 4度C'!$AD:$AD,'0910 4度C'!$A:$A,"新豐10線",'0910 4度C'!$B:$B,"平均")</f>
        <v>0</v>
      </c>
      <c r="K21" s="83">
        <f>SUMIFS('0910 4度C'!$AD:$AD,'0910 4度C'!$A:$A,"新豐8線",'0910 4度C'!$B:$B,"平均")</f>
        <v>0</v>
      </c>
      <c r="L21" s="81">
        <f>SUMIFS('0910 4度C'!$AD:$AD,'0910 4度C'!$A:$A,"新豐9線",'0910 4度C'!$B:$B,"平均")</f>
        <v>0</v>
      </c>
      <c r="M21" s="82">
        <f>SUMIFS('0910 4度C'!$AD:$AD,'0910 4度C'!$A:$A,"新豐4線",'0910 4度C'!$B:$B,"平均")</f>
        <v>0</v>
      </c>
    </row>
    <row r="22" spans="2:13" ht="17.25" customHeight="1">
      <c r="B22" s="548" t="s">
        <v>1062</v>
      </c>
      <c r="C22" s="549"/>
      <c r="D22" s="84">
        <f>SUMIFS('0910 4度C'!$I:$I,'0910 4度C'!$A:$A,"新豐6線",'0910 4度C'!$B:$B,"平均")</f>
        <v>14.666666666666666</v>
      </c>
      <c r="E22" s="85">
        <f>SUMIFS('0910 4度C'!$I:$I,'0910 4度C'!$A:$A,"新豐2線",'0910 4度C'!$B:$B,"平均")</f>
        <v>18.333333333333332</v>
      </c>
      <c r="F22" s="85">
        <f>SUMIFS('0910 4度C'!$I:$I,'0910 4度C'!$A:$A,"新豐5線",'0910 4度C'!$B:$B,"平均")</f>
        <v>17.142857142857142</v>
      </c>
      <c r="G22" s="85">
        <f>SUMIFS('0910 4度C'!$I:$I,'0910 4度C'!$A:$A,"新豐7線",'0910 4度C'!$B:$B,"平均")</f>
        <v>15.833333333333334</v>
      </c>
      <c r="H22" s="85">
        <f>SUMIFS('0910 4度C'!$I:$I,'0910 4度C'!$A:$A,"新豐3線",'0910 4度C'!$B:$B,"平均")</f>
        <v>9.6666666666666661</v>
      </c>
      <c r="I22" s="85">
        <f>SUMIFS('0910 4度C'!$I:$I,'0910 4度C'!$A:$A,"新豐1線",'0910 4度C'!$B:$B,"平均")</f>
        <v>18.75</v>
      </c>
      <c r="J22" s="86">
        <f>SUMIFS('0910 4度C'!$I:$I,'0910 4度C'!$A:$A,"新豐10線",'0910 4度C'!$B:$B,"平均")</f>
        <v>10.5</v>
      </c>
      <c r="K22" s="84">
        <f>SUMIFS('0910 4度C'!$I:$I,'0910 4度C'!$A:$A,"新豐8線",'0910 4度C'!$B:$B,"平均")</f>
        <v>17</v>
      </c>
      <c r="L22" s="85">
        <f>SUMIFS('0910 4度C'!$I:$I,'0910 4度C'!$A:$A,"新豐9線",'0910 4度C'!$B:$B,"平均")</f>
        <v>17.444444444444443</v>
      </c>
      <c r="M22" s="86">
        <f>SUMIFS('0910 4度C'!$I:$I,'0910 4度C'!$A:$A,"新豐4線",'0910 4度C'!$B:$B,"平均")</f>
        <v>15.857142857142858</v>
      </c>
    </row>
    <row r="23" spans="2:13" ht="17.25" customHeight="1">
      <c r="B23" s="548" t="s">
        <v>1061</v>
      </c>
      <c r="C23" s="549"/>
      <c r="D23" s="87" t="s">
        <v>69</v>
      </c>
      <c r="E23" s="88" t="s">
        <v>70</v>
      </c>
      <c r="F23" s="88" t="s">
        <v>1060</v>
      </c>
      <c r="G23" s="88" t="s">
        <v>1060</v>
      </c>
      <c r="H23" s="88" t="s">
        <v>71</v>
      </c>
      <c r="I23" s="88" t="s">
        <v>69</v>
      </c>
      <c r="J23" s="89" t="s">
        <v>71</v>
      </c>
      <c r="K23" s="87" t="s">
        <v>1059</v>
      </c>
      <c r="L23" s="88" t="s">
        <v>1059</v>
      </c>
      <c r="M23" s="89" t="s">
        <v>1059</v>
      </c>
    </row>
    <row r="24" spans="2:13" ht="17.25" customHeight="1">
      <c r="B24" s="548" t="s">
        <v>1058</v>
      </c>
      <c r="C24" s="549"/>
      <c r="D24" s="87"/>
      <c r="E24" s="88"/>
      <c r="F24" s="88" t="s">
        <v>1057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1056</v>
      </c>
      <c r="C25" s="551"/>
      <c r="D25" s="90"/>
      <c r="E25" s="91" t="s">
        <v>1055</v>
      </c>
      <c r="F25" s="544" t="s">
        <v>1054</v>
      </c>
      <c r="G25" s="545"/>
      <c r="H25" s="91" t="s">
        <v>1053</v>
      </c>
      <c r="I25" s="91" t="s">
        <v>1052</v>
      </c>
      <c r="J25" s="92" t="s">
        <v>1051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6:B17"/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K6:K8"/>
    <mergeCell ref="L6:L8"/>
    <mergeCell ref="M6:M8"/>
    <mergeCell ref="K4:L4"/>
    <mergeCell ref="M4:N4"/>
    <mergeCell ref="N6:N8"/>
    <mergeCell ref="B1:J2"/>
    <mergeCell ref="C3:D3"/>
    <mergeCell ref="F3:G3"/>
    <mergeCell ref="I3:J3"/>
    <mergeCell ref="B4:B8"/>
    <mergeCell ref="C4:D4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E4:F4"/>
    <mergeCell ref="G4:H4"/>
    <mergeCell ref="I4:J4"/>
    <mergeCell ref="C6:D6"/>
    <mergeCell ref="C5:D5"/>
    <mergeCell ref="E5:F5"/>
    <mergeCell ref="G5:H5"/>
    <mergeCell ref="I5:J5"/>
    <mergeCell ref="E6:F6"/>
  </mergeCells>
  <phoneticPr fontId="3" type="noConversion"/>
  <conditionalFormatting sqref="D15:M15">
    <cfRule type="cellIs" dxfId="85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5" activePane="bottomLeft" state="frozen"/>
      <selection activeCell="I8" sqref="I8:J8"/>
      <selection pane="bottomLeft" activeCell="B11" sqref="B11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1050</v>
      </c>
      <c r="B1" s="1"/>
      <c r="C1" s="2" t="s">
        <v>1049</v>
      </c>
      <c r="D1" s="3">
        <f>SUM(F5:F72)</f>
        <v>163757</v>
      </c>
      <c r="E1" s="240" t="s">
        <v>1048</v>
      </c>
      <c r="F1" s="1">
        <f>SUM(G5:G72)</f>
        <v>5446679.0900000008</v>
      </c>
      <c r="G1" s="1" t="s">
        <v>1047</v>
      </c>
      <c r="H1" s="4">
        <f>L8+L12+L50+L59+L20+L64+L36+L46+L27+L72</f>
        <v>155.19444444444446</v>
      </c>
      <c r="I1" s="660" t="s">
        <v>1046</v>
      </c>
      <c r="J1" s="660"/>
      <c r="K1" s="660"/>
      <c r="L1" s="660" t="s">
        <v>1045</v>
      </c>
      <c r="M1" s="660"/>
      <c r="N1" s="660"/>
      <c r="O1" s="660" t="s">
        <v>1044</v>
      </c>
      <c r="P1" s="660"/>
      <c r="Q1" s="660"/>
      <c r="R1" s="660"/>
      <c r="S1" s="660" t="s">
        <v>1043</v>
      </c>
      <c r="T1" s="660"/>
      <c r="U1" s="660"/>
      <c r="V1" s="660"/>
      <c r="W1" s="660"/>
      <c r="X1" s="660"/>
      <c r="Y1" s="5" t="s">
        <v>1040</v>
      </c>
      <c r="Z1" s="6" t="s">
        <v>1042</v>
      </c>
      <c r="AA1" s="661" t="s">
        <v>1041</v>
      </c>
      <c r="AB1" s="661"/>
      <c r="AC1" s="171" t="s">
        <v>1040</v>
      </c>
      <c r="AD1" s="6" t="s">
        <v>1039</v>
      </c>
      <c r="AE1" s="660" t="s">
        <v>1038</v>
      </c>
      <c r="AF1" s="662"/>
      <c r="AG1" s="662"/>
    </row>
    <row r="2" spans="1:33" ht="26.25" customHeight="1">
      <c r="A2" s="250">
        <v>46275</v>
      </c>
      <c r="B2" s="249" t="s">
        <v>356</v>
      </c>
      <c r="C2" s="2" t="s">
        <v>1037</v>
      </c>
      <c r="D2" s="9">
        <f>AVERAGE(N8,N12,N50,N59,N20,N64,N27,N36,N46,N72)</f>
        <v>150.5816542179152</v>
      </c>
      <c r="E2" s="10" t="s">
        <v>0</v>
      </c>
      <c r="F2" s="11">
        <f>F1/D1</f>
        <v>33.26074054849564</v>
      </c>
      <c r="G2" s="1" t="s">
        <v>1036</v>
      </c>
      <c r="H2" s="246">
        <f>COUNT(H5:H72)</f>
        <v>7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SUM(Y8+Y12+Y20+Y27+Y36+Y46+Y50+Y59+Y64+Y72)</f>
        <v>0</v>
      </c>
      <c r="Z2" s="12">
        <f>SUM(Z8+Z12+Z20+Z27+Z36+Z46+Z50+Z59+Z64+Z72)</f>
        <v>0</v>
      </c>
      <c r="AA2" s="661"/>
      <c r="AB2" s="661"/>
      <c r="AC2" s="172">
        <v>58</v>
      </c>
      <c r="AD2" s="12">
        <f>SUM(AD8+AD12+AD20+AD27+AD36+AD46+AD50+AD59+AD64+AD72)</f>
        <v>0</v>
      </c>
      <c r="AE2" s="662"/>
      <c r="AF2" s="662"/>
      <c r="AG2" s="662"/>
    </row>
    <row r="3" spans="1:33" ht="40.5" customHeight="1">
      <c r="A3" s="610" t="s">
        <v>1035</v>
      </c>
      <c r="B3" s="610" t="s">
        <v>1034</v>
      </c>
      <c r="C3" s="610" t="s">
        <v>1033</v>
      </c>
      <c r="D3" s="610"/>
      <c r="E3" s="658" t="s">
        <v>1032</v>
      </c>
      <c r="F3" s="610" t="s">
        <v>1031</v>
      </c>
      <c r="G3" s="658" t="s">
        <v>1030</v>
      </c>
      <c r="H3" s="651" t="s">
        <v>1029</v>
      </c>
      <c r="I3" s="649" t="s">
        <v>1028</v>
      </c>
      <c r="J3" s="646" t="s">
        <v>1021</v>
      </c>
      <c r="K3" s="656" t="s">
        <v>1027</v>
      </c>
      <c r="L3" s="649" t="s">
        <v>1028</v>
      </c>
      <c r="M3" s="646" t="s">
        <v>1021</v>
      </c>
      <c r="N3" s="656" t="s">
        <v>1027</v>
      </c>
      <c r="O3" s="649" t="s">
        <v>1028</v>
      </c>
      <c r="P3" s="656" t="s">
        <v>1027</v>
      </c>
      <c r="Q3" s="647" t="s">
        <v>1020</v>
      </c>
      <c r="R3" s="623" t="s">
        <v>1019</v>
      </c>
      <c r="S3" s="657" t="s">
        <v>1</v>
      </c>
      <c r="T3" s="657"/>
      <c r="U3" s="651" t="s">
        <v>2</v>
      </c>
      <c r="V3" s="651" t="s">
        <v>1026</v>
      </c>
      <c r="W3" s="610" t="s">
        <v>1025</v>
      </c>
      <c r="X3" s="610"/>
      <c r="Y3" s="652" t="s">
        <v>1024</v>
      </c>
      <c r="Z3" s="609"/>
      <c r="AA3" s="653" t="s">
        <v>1023</v>
      </c>
      <c r="AB3" s="654"/>
      <c r="AC3" s="652" t="s">
        <v>1022</v>
      </c>
      <c r="AD3" s="609"/>
      <c r="AE3" s="646" t="s">
        <v>1021</v>
      </c>
      <c r="AF3" s="647" t="s">
        <v>1020</v>
      </c>
      <c r="AG3" s="623" t="s">
        <v>1019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245" t="s">
        <v>3</v>
      </c>
      <c r="T4" s="245" t="s">
        <v>4</v>
      </c>
      <c r="U4" s="651"/>
      <c r="V4" s="651"/>
      <c r="W4" s="240" t="s">
        <v>1018</v>
      </c>
      <c r="X4" s="240" t="s">
        <v>1017</v>
      </c>
      <c r="Y4" s="239" t="s">
        <v>1016</v>
      </c>
      <c r="Z4" s="239" t="s">
        <v>1015</v>
      </c>
      <c r="AA4" s="655"/>
      <c r="AB4" s="654"/>
      <c r="AC4" s="239" t="s">
        <v>1014</v>
      </c>
      <c r="AD4" s="239" t="s">
        <v>1013</v>
      </c>
      <c r="AE4" s="646"/>
      <c r="AF4" s="647"/>
      <c r="AG4" s="623"/>
    </row>
    <row r="5" spans="1:33">
      <c r="A5" s="648" t="s">
        <v>1012</v>
      </c>
      <c r="B5" s="33" t="s">
        <v>6</v>
      </c>
      <c r="C5" s="650" t="s">
        <v>7</v>
      </c>
      <c r="D5" s="650"/>
      <c r="E5" s="33">
        <v>50.92</v>
      </c>
      <c r="F5" s="245">
        <v>1767</v>
      </c>
      <c r="G5" s="240">
        <f>E5*F5</f>
        <v>89975.64</v>
      </c>
      <c r="H5" s="29" t="s">
        <v>5</v>
      </c>
      <c r="I5" s="243">
        <v>15</v>
      </c>
      <c r="J5" s="30">
        <v>2000</v>
      </c>
      <c r="K5" s="13">
        <f t="shared" ref="K5:K36" si="0">J5/I5</f>
        <v>133.33333333333334</v>
      </c>
      <c r="L5" s="243">
        <v>15</v>
      </c>
      <c r="M5" s="14">
        <f>F5/V5*60</f>
        <v>1927.6363636363649</v>
      </c>
      <c r="N5" s="13">
        <f t="shared" ref="N5:N36" si="1">M5/L5</f>
        <v>128.50909090909099</v>
      </c>
      <c r="O5" s="15">
        <f t="shared" ref="O5:O36" si="2">L5-I5</f>
        <v>0</v>
      </c>
      <c r="P5" s="16">
        <f t="shared" ref="P5:P36" si="3">N5-K5</f>
        <v>-4.8242424242423567</v>
      </c>
      <c r="Q5" s="241">
        <f t="shared" ref="Q5:Q36" si="4">N5/K5</f>
        <v>0.96381818181818235</v>
      </c>
      <c r="R5" s="619">
        <f>Q8</f>
        <v>0.96626735092864136</v>
      </c>
      <c r="S5" s="31">
        <v>0.70833333333333337</v>
      </c>
      <c r="T5" s="31">
        <v>0.74652777777777779</v>
      </c>
      <c r="U5" s="240"/>
      <c r="V5" s="244">
        <f>(T5-S5)*24*60</f>
        <v>54.999999999999964</v>
      </c>
      <c r="W5" s="17"/>
      <c r="X5" s="17"/>
      <c r="Y5" s="18"/>
      <c r="Z5" s="18"/>
      <c r="AA5" s="610"/>
      <c r="AB5" s="610"/>
      <c r="AC5" s="155">
        <v>3</v>
      </c>
      <c r="AD5" s="19"/>
      <c r="AE5" s="15">
        <f t="shared" ref="AE5:AE36" si="5">M5-J5</f>
        <v>-72.363636363635123</v>
      </c>
      <c r="AF5" s="241">
        <f t="shared" ref="AF5:AF36" si="6">M5/J5</f>
        <v>0.96381818181818246</v>
      </c>
      <c r="AG5" s="619">
        <f>AF8</f>
        <v>0.96626735092864136</v>
      </c>
    </row>
    <row r="6" spans="1:33">
      <c r="A6" s="649" t="s">
        <v>1011</v>
      </c>
      <c r="B6" s="33" t="s">
        <v>6</v>
      </c>
      <c r="C6" s="650" t="s">
        <v>8</v>
      </c>
      <c r="D6" s="650"/>
      <c r="E6" s="33">
        <v>50.98</v>
      </c>
      <c r="F6" s="245">
        <v>1919</v>
      </c>
      <c r="G6" s="240">
        <f>E6*F6</f>
        <v>97830.62</v>
      </c>
      <c r="H6" s="29" t="s">
        <v>5</v>
      </c>
      <c r="I6" s="243">
        <v>16</v>
      </c>
      <c r="J6" s="30">
        <v>2000</v>
      </c>
      <c r="K6" s="13">
        <f t="shared" si="0"/>
        <v>125</v>
      </c>
      <c r="L6" s="243">
        <v>16</v>
      </c>
      <c r="M6" s="14">
        <f>F6/V6*60</f>
        <v>1919.0000000000018</v>
      </c>
      <c r="N6" s="13">
        <f t="shared" si="1"/>
        <v>119.93750000000011</v>
      </c>
      <c r="O6" s="15">
        <f t="shared" si="2"/>
        <v>0</v>
      </c>
      <c r="P6" s="16">
        <f t="shared" si="3"/>
        <v>-5.0624999999998863</v>
      </c>
      <c r="Q6" s="241">
        <f t="shared" si="4"/>
        <v>0.95950000000000091</v>
      </c>
      <c r="R6" s="619"/>
      <c r="S6" s="31">
        <v>0.75208333333333333</v>
      </c>
      <c r="T6" s="31">
        <v>0.79374999999999996</v>
      </c>
      <c r="U6" s="240">
        <f>IF(S6=TIME(17,0,0),"",(S6-T5)*24*60)</f>
        <v>7.9999999999999716</v>
      </c>
      <c r="V6" s="244">
        <f>(T6-S6)*24*60</f>
        <v>59.999999999999943</v>
      </c>
      <c r="W6" s="17"/>
      <c r="X6" s="17"/>
      <c r="Y6" s="17"/>
      <c r="Z6" s="17"/>
      <c r="AA6" s="610"/>
      <c r="AB6" s="610"/>
      <c r="AC6" s="155"/>
      <c r="AD6" s="19"/>
      <c r="AE6" s="15">
        <f t="shared" si="5"/>
        <v>-80.999999999998181</v>
      </c>
      <c r="AF6" s="241">
        <f t="shared" si="6"/>
        <v>0.95950000000000091</v>
      </c>
      <c r="AG6" s="619"/>
    </row>
    <row r="7" spans="1:33">
      <c r="A7" s="649" t="s">
        <v>1011</v>
      </c>
      <c r="B7" s="33" t="s">
        <v>6</v>
      </c>
      <c r="C7" s="641" t="s">
        <v>25</v>
      </c>
      <c r="D7" s="642"/>
      <c r="E7" s="33">
        <v>56.43</v>
      </c>
      <c r="F7" s="245">
        <v>1008</v>
      </c>
      <c r="G7" s="240">
        <f>E7*F7</f>
        <v>56881.440000000002</v>
      </c>
      <c r="H7" s="29" t="s">
        <v>5</v>
      </c>
      <c r="I7" s="243">
        <v>13</v>
      </c>
      <c r="J7" s="30">
        <v>2000</v>
      </c>
      <c r="K7" s="13">
        <f t="shared" si="0"/>
        <v>153.84615384615384</v>
      </c>
      <c r="L7" s="243">
        <v>13</v>
      </c>
      <c r="M7" s="14">
        <f>F7/V7*60</f>
        <v>1950.9677419354809</v>
      </c>
      <c r="N7" s="13">
        <f t="shared" si="1"/>
        <v>150.07444168734469</v>
      </c>
      <c r="O7" s="15">
        <f t="shared" si="2"/>
        <v>0</v>
      </c>
      <c r="P7" s="16">
        <f t="shared" si="3"/>
        <v>-3.7717121588091516</v>
      </c>
      <c r="Q7" s="241">
        <f t="shared" si="4"/>
        <v>0.97548387096774047</v>
      </c>
      <c r="R7" s="619"/>
      <c r="S7" s="31">
        <v>0.79722222222222217</v>
      </c>
      <c r="T7" s="31">
        <v>0.81874999999999998</v>
      </c>
      <c r="U7" s="240">
        <f>IF(S7=TIME(17,0,0),"",(S7-T6)*24*60)</f>
        <v>4.9999999999999822</v>
      </c>
      <c r="V7" s="244">
        <f>(T7-S7)*24*60</f>
        <v>31.00000000000005</v>
      </c>
      <c r="W7" s="17"/>
      <c r="X7" s="17"/>
      <c r="Y7" s="20"/>
      <c r="Z7" s="20"/>
      <c r="AA7" s="614"/>
      <c r="AB7" s="615"/>
      <c r="AC7" s="155"/>
      <c r="AD7" s="21"/>
      <c r="AE7" s="15">
        <f t="shared" si="5"/>
        <v>-49.032258064519056</v>
      </c>
      <c r="AF7" s="241">
        <f t="shared" si="6"/>
        <v>0.97548387096774047</v>
      </c>
      <c r="AG7" s="619"/>
    </row>
    <row r="8" spans="1:33">
      <c r="A8" s="649" t="s">
        <v>1011</v>
      </c>
      <c r="B8" s="33" t="s">
        <v>998</v>
      </c>
      <c r="C8" s="620"/>
      <c r="D8" s="620"/>
      <c r="E8" s="242"/>
      <c r="F8" s="34"/>
      <c r="G8" s="13"/>
      <c r="H8" s="245"/>
      <c r="I8" s="23">
        <v>14.666666666666666</v>
      </c>
      <c r="J8" s="30">
        <v>2000</v>
      </c>
      <c r="K8" s="13">
        <f t="shared" si="0"/>
        <v>136.36363636363637</v>
      </c>
      <c r="L8" s="23">
        <v>14.666666666666666</v>
      </c>
      <c r="M8" s="14">
        <f>AVERAGE(M5:M7)</f>
        <v>1932.5347018572827</v>
      </c>
      <c r="N8" s="13">
        <f t="shared" si="1"/>
        <v>131.76372967208746</v>
      </c>
      <c r="O8" s="15">
        <f t="shared" si="2"/>
        <v>0</v>
      </c>
      <c r="P8" s="16">
        <f t="shared" si="3"/>
        <v>-4.5999066915489095</v>
      </c>
      <c r="Q8" s="241">
        <f t="shared" si="4"/>
        <v>0.96626735092864136</v>
      </c>
      <c r="R8" s="619"/>
      <c r="S8" s="31"/>
      <c r="T8" s="31"/>
      <c r="U8" s="240"/>
      <c r="V8" s="244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5"/>
        <v>-67.465298142717302</v>
      </c>
      <c r="AF8" s="241">
        <f t="shared" si="6"/>
        <v>0.96626735092864136</v>
      </c>
      <c r="AG8" s="619"/>
    </row>
    <row r="9" spans="1:33" ht="15.75" customHeight="1">
      <c r="A9" s="645" t="s">
        <v>1010</v>
      </c>
      <c r="B9" s="33" t="s">
        <v>10</v>
      </c>
      <c r="C9" s="641" t="s">
        <v>14</v>
      </c>
      <c r="D9" s="642"/>
      <c r="E9" s="33">
        <v>39.619999999999997</v>
      </c>
      <c r="F9" s="245">
        <v>4188</v>
      </c>
      <c r="G9" s="240">
        <f>E9*F9</f>
        <v>165928.56</v>
      </c>
      <c r="H9" s="29" t="s">
        <v>5</v>
      </c>
      <c r="I9" s="243">
        <v>19</v>
      </c>
      <c r="J9" s="30">
        <v>1500</v>
      </c>
      <c r="K9" s="13">
        <f t="shared" si="0"/>
        <v>78.94736842105263</v>
      </c>
      <c r="L9" s="243">
        <v>19</v>
      </c>
      <c r="M9" s="14">
        <f>F9/V9*60</f>
        <v>1435.8857142857144</v>
      </c>
      <c r="N9" s="13">
        <f t="shared" si="1"/>
        <v>75.572932330827072</v>
      </c>
      <c r="O9" s="15">
        <f t="shared" si="2"/>
        <v>0</v>
      </c>
      <c r="P9" s="16">
        <f t="shared" si="3"/>
        <v>-3.3744360902255579</v>
      </c>
      <c r="Q9" s="241">
        <f t="shared" si="4"/>
        <v>0.95725714285714292</v>
      </c>
      <c r="R9" s="619">
        <f>Q12</f>
        <v>0.95545082584758023</v>
      </c>
      <c r="S9" s="31">
        <v>8.3333333333333329E-2</v>
      </c>
      <c r="T9" s="31">
        <v>0.2048611111111111</v>
      </c>
      <c r="U9" s="240"/>
      <c r="V9" s="244">
        <f>(T9-S9)*24*60</f>
        <v>175</v>
      </c>
      <c r="W9" s="17">
        <f>T9</f>
        <v>0.2048611111111111</v>
      </c>
      <c r="X9" s="17">
        <f>S10</f>
        <v>0.22430555555555554</v>
      </c>
      <c r="Y9" s="17"/>
      <c r="Z9" s="17"/>
      <c r="AA9" s="610"/>
      <c r="AB9" s="610"/>
      <c r="AC9" s="155">
        <v>3</v>
      </c>
      <c r="AD9" s="19"/>
      <c r="AE9" s="15">
        <f t="shared" si="5"/>
        <v>-64.114285714285643</v>
      </c>
      <c r="AF9" s="241">
        <f t="shared" si="6"/>
        <v>0.95725714285714292</v>
      </c>
      <c r="AG9" s="619">
        <f>AF12</f>
        <v>0.95545082584758034</v>
      </c>
    </row>
    <row r="10" spans="1:33" ht="15.75" customHeight="1">
      <c r="A10" s="645" t="s">
        <v>1010</v>
      </c>
      <c r="B10" s="33" t="s">
        <v>10</v>
      </c>
      <c r="C10" s="641" t="s">
        <v>11</v>
      </c>
      <c r="D10" s="642"/>
      <c r="E10" s="33">
        <v>39.799999999999997</v>
      </c>
      <c r="F10" s="245">
        <v>6071</v>
      </c>
      <c r="G10" s="240">
        <f>E10*F10</f>
        <v>241625.8</v>
      </c>
      <c r="H10" s="29" t="s">
        <v>5</v>
      </c>
      <c r="I10" s="243">
        <v>17</v>
      </c>
      <c r="J10" s="30">
        <v>1500</v>
      </c>
      <c r="K10" s="13">
        <f t="shared" si="0"/>
        <v>88.235294117647058</v>
      </c>
      <c r="L10" s="243">
        <v>17</v>
      </c>
      <c r="M10" s="14">
        <f>F10/V10*60</f>
        <v>1428.4705882352937</v>
      </c>
      <c r="N10" s="13">
        <f t="shared" si="1"/>
        <v>84.027681660899631</v>
      </c>
      <c r="O10" s="15">
        <f t="shared" si="2"/>
        <v>0</v>
      </c>
      <c r="P10" s="16">
        <f t="shared" si="3"/>
        <v>-4.2076124567474267</v>
      </c>
      <c r="Q10" s="241">
        <f t="shared" si="4"/>
        <v>0.95231372549019588</v>
      </c>
      <c r="R10" s="619"/>
      <c r="S10" s="31">
        <v>0.22430555555555554</v>
      </c>
      <c r="T10" s="31">
        <v>0.40138888888888891</v>
      </c>
      <c r="U10" s="240">
        <f>IF(S10=TIME(17,0,0),"",(S10-T9)*24*60)</f>
        <v>27.999999999999979</v>
      </c>
      <c r="V10" s="244">
        <f>(T10-S10)*24*60</f>
        <v>255.00000000000006</v>
      </c>
      <c r="W10" s="17"/>
      <c r="X10" s="17"/>
      <c r="Y10" s="17"/>
      <c r="Z10" s="17"/>
      <c r="AA10" s="610"/>
      <c r="AB10" s="610"/>
      <c r="AC10" s="155"/>
      <c r="AD10" s="19"/>
      <c r="AE10" s="15">
        <f t="shared" si="5"/>
        <v>-71.52941176470631</v>
      </c>
      <c r="AF10" s="241">
        <f t="shared" si="6"/>
        <v>0.95231372549019577</v>
      </c>
      <c r="AG10" s="619"/>
    </row>
    <row r="11" spans="1:33" ht="15.75" customHeight="1">
      <c r="A11" s="645" t="s">
        <v>1010</v>
      </c>
      <c r="B11" s="33" t="s">
        <v>10</v>
      </c>
      <c r="C11" s="641" t="s">
        <v>13</v>
      </c>
      <c r="D11" s="642"/>
      <c r="E11" s="33">
        <v>39.520000000000003</v>
      </c>
      <c r="F11" s="245">
        <v>2081</v>
      </c>
      <c r="G11" s="240">
        <f>E11*F11</f>
        <v>82241.12000000001</v>
      </c>
      <c r="H11" s="29" t="s">
        <v>5</v>
      </c>
      <c r="I11" s="243">
        <v>19</v>
      </c>
      <c r="J11" s="30">
        <v>1500</v>
      </c>
      <c r="K11" s="13">
        <f t="shared" si="0"/>
        <v>78.94736842105263</v>
      </c>
      <c r="L11" s="243">
        <v>19</v>
      </c>
      <c r="M11" s="14">
        <f>F11/V11*60</f>
        <v>1435.1724137931033</v>
      </c>
      <c r="N11" s="13">
        <f t="shared" si="1"/>
        <v>75.535390199637007</v>
      </c>
      <c r="O11" s="15">
        <f t="shared" si="2"/>
        <v>0</v>
      </c>
      <c r="P11" s="16">
        <f t="shared" si="3"/>
        <v>-3.4119782214156231</v>
      </c>
      <c r="Q11" s="241">
        <f t="shared" si="4"/>
        <v>0.95678160919540212</v>
      </c>
      <c r="R11" s="619"/>
      <c r="S11" s="31">
        <v>0.40555555555555556</v>
      </c>
      <c r="T11" s="31">
        <v>0.46597222222222223</v>
      </c>
      <c r="U11" s="240">
        <f>IF(S11=TIME(17,0,0),"",(S11-T10)*24*60)</f>
        <v>5.9999999999999787</v>
      </c>
      <c r="V11" s="244">
        <f>(T11-S11)*24*60</f>
        <v>87.000000000000014</v>
      </c>
      <c r="W11" s="17"/>
      <c r="X11" s="17"/>
      <c r="Y11" s="17"/>
      <c r="Z11" s="17"/>
      <c r="AA11" s="610"/>
      <c r="AB11" s="610"/>
      <c r="AC11" s="155"/>
      <c r="AD11" s="19"/>
      <c r="AE11" s="15">
        <f t="shared" si="5"/>
        <v>-64.82758620689674</v>
      </c>
      <c r="AF11" s="241">
        <f t="shared" si="6"/>
        <v>0.95678160919540223</v>
      </c>
      <c r="AG11" s="619"/>
    </row>
    <row r="12" spans="1:33" ht="16.5" customHeight="1">
      <c r="A12" s="645" t="s">
        <v>1010</v>
      </c>
      <c r="B12" s="33" t="s">
        <v>998</v>
      </c>
      <c r="C12" s="620"/>
      <c r="D12" s="620"/>
      <c r="E12" s="242"/>
      <c r="F12" s="30"/>
      <c r="G12" s="14"/>
      <c r="H12" s="245"/>
      <c r="I12" s="23">
        <v>18.333333333333332</v>
      </c>
      <c r="J12" s="30">
        <v>1500</v>
      </c>
      <c r="K12" s="13">
        <f t="shared" si="0"/>
        <v>81.818181818181827</v>
      </c>
      <c r="L12" s="23">
        <v>18.333333333333332</v>
      </c>
      <c r="M12" s="14">
        <f>AVERAGE(M9:M11)</f>
        <v>1433.1762387713704</v>
      </c>
      <c r="N12" s="13">
        <f t="shared" si="1"/>
        <v>78.173249387529296</v>
      </c>
      <c r="O12" s="15">
        <f t="shared" si="2"/>
        <v>0</v>
      </c>
      <c r="P12" s="16">
        <f t="shared" si="3"/>
        <v>-3.6449324306525313</v>
      </c>
      <c r="Q12" s="241">
        <f t="shared" si="4"/>
        <v>0.95545082584758023</v>
      </c>
      <c r="R12" s="619"/>
      <c r="S12" s="31"/>
      <c r="T12" s="31"/>
      <c r="U12" s="13"/>
      <c r="V12" s="244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5"/>
        <v>-66.823761228629564</v>
      </c>
      <c r="AF12" s="241">
        <f t="shared" si="6"/>
        <v>0.95545082584758034</v>
      </c>
      <c r="AG12" s="619"/>
    </row>
    <row r="13" spans="1:33" ht="16.5" customHeight="1">
      <c r="A13" s="643" t="s">
        <v>185</v>
      </c>
      <c r="B13" s="245" t="s">
        <v>15</v>
      </c>
      <c r="C13" s="635" t="s">
        <v>16</v>
      </c>
      <c r="D13" s="635"/>
      <c r="E13" s="33">
        <v>31.11</v>
      </c>
      <c r="F13" s="245">
        <v>1978</v>
      </c>
      <c r="G13" s="240">
        <f t="shared" ref="G13:G19" si="7">E13*F13</f>
        <v>61535.58</v>
      </c>
      <c r="H13" s="29" t="s">
        <v>5</v>
      </c>
      <c r="I13" s="243">
        <v>14</v>
      </c>
      <c r="J13" s="30">
        <v>2000</v>
      </c>
      <c r="K13" s="13">
        <f t="shared" si="0"/>
        <v>142.85714285714286</v>
      </c>
      <c r="L13" s="243">
        <v>14</v>
      </c>
      <c r="M13" s="14">
        <f t="shared" ref="M13:M19" si="8">F13/V13*60</f>
        <v>1914.1935483870973</v>
      </c>
      <c r="N13" s="13">
        <f t="shared" si="1"/>
        <v>136.72811059907838</v>
      </c>
      <c r="O13" s="15">
        <f t="shared" si="2"/>
        <v>0</v>
      </c>
      <c r="P13" s="16">
        <f t="shared" si="3"/>
        <v>-6.129032258064484</v>
      </c>
      <c r="Q13" s="241">
        <f t="shared" si="4"/>
        <v>0.95709677419354866</v>
      </c>
      <c r="R13" s="619">
        <f>Q20</f>
        <v>0.96036574179402379</v>
      </c>
      <c r="S13" s="31">
        <v>0.20833333333333334</v>
      </c>
      <c r="T13" s="31">
        <v>0.25138888888888888</v>
      </c>
      <c r="U13" s="240"/>
      <c r="V13" s="244">
        <f t="shared" ref="V13:V19" si="9">(T13-S13)*24*60</f>
        <v>61.999999999999979</v>
      </c>
      <c r="W13" s="17"/>
      <c r="X13" s="17"/>
      <c r="Y13" s="22"/>
      <c r="Z13" s="22"/>
      <c r="AA13" s="610"/>
      <c r="AB13" s="610"/>
      <c r="AC13" s="155">
        <v>7</v>
      </c>
      <c r="AD13" s="19"/>
      <c r="AE13" s="15">
        <f t="shared" si="5"/>
        <v>-85.80645161290272</v>
      </c>
      <c r="AF13" s="241">
        <f t="shared" si="6"/>
        <v>0.95709677419354866</v>
      </c>
      <c r="AG13" s="619">
        <f>AF20</f>
        <v>0.96036574179402368</v>
      </c>
    </row>
    <row r="14" spans="1:33" ht="16.5" customHeight="1">
      <c r="A14" s="644" t="s">
        <v>1009</v>
      </c>
      <c r="B14" s="245" t="s">
        <v>17</v>
      </c>
      <c r="C14" s="635" t="s">
        <v>18</v>
      </c>
      <c r="D14" s="635"/>
      <c r="E14" s="33">
        <v>41</v>
      </c>
      <c r="F14" s="245">
        <v>1604</v>
      </c>
      <c r="G14" s="240">
        <f t="shared" si="7"/>
        <v>65764</v>
      </c>
      <c r="H14" s="29" t="s">
        <v>5</v>
      </c>
      <c r="I14" s="243">
        <v>26</v>
      </c>
      <c r="J14" s="30">
        <v>1500</v>
      </c>
      <c r="K14" s="13">
        <f t="shared" si="0"/>
        <v>57.692307692307693</v>
      </c>
      <c r="L14" s="243">
        <v>26</v>
      </c>
      <c r="M14" s="14">
        <f t="shared" si="8"/>
        <v>1436.4179104477612</v>
      </c>
      <c r="N14" s="13">
        <f t="shared" si="1"/>
        <v>55.246842709529275</v>
      </c>
      <c r="O14" s="15">
        <f t="shared" si="2"/>
        <v>0</v>
      </c>
      <c r="P14" s="16">
        <f t="shared" si="3"/>
        <v>-2.4454649827784181</v>
      </c>
      <c r="Q14" s="241">
        <f t="shared" si="4"/>
        <v>0.95761194029850738</v>
      </c>
      <c r="R14" s="619"/>
      <c r="S14" s="31">
        <v>0.25486111111111109</v>
      </c>
      <c r="T14" s="31">
        <v>0.30138888888888887</v>
      </c>
      <c r="U14" s="240">
        <f t="shared" ref="U14:U19" si="10">IF(S14=TIME(17,0,0),"",(S14-T13)*24*60)</f>
        <v>4.9999999999999822</v>
      </c>
      <c r="V14" s="244">
        <f t="shared" si="9"/>
        <v>67</v>
      </c>
      <c r="W14" s="17"/>
      <c r="X14" s="17"/>
      <c r="Y14" s="17"/>
      <c r="Z14" s="17"/>
      <c r="AA14" s="610"/>
      <c r="AB14" s="610"/>
      <c r="AC14" s="155"/>
      <c r="AD14" s="19"/>
      <c r="AE14" s="15">
        <f t="shared" si="5"/>
        <v>-63.582089552238813</v>
      </c>
      <c r="AF14" s="241">
        <f t="shared" si="6"/>
        <v>0.95761194029850749</v>
      </c>
      <c r="AG14" s="619"/>
    </row>
    <row r="15" spans="1:33" ht="16.5" customHeight="1">
      <c r="A15" s="644" t="s">
        <v>185</v>
      </c>
      <c r="B15" s="245" t="s">
        <v>15</v>
      </c>
      <c r="C15" s="635" t="s">
        <v>76</v>
      </c>
      <c r="D15" s="635"/>
      <c r="E15" s="33">
        <v>68.88</v>
      </c>
      <c r="F15" s="245">
        <v>1538</v>
      </c>
      <c r="G15" s="240">
        <f t="shared" si="7"/>
        <v>105937.43999999999</v>
      </c>
      <c r="H15" s="29" t="s">
        <v>5</v>
      </c>
      <c r="I15" s="243">
        <v>16</v>
      </c>
      <c r="J15" s="30">
        <v>2000</v>
      </c>
      <c r="K15" s="13">
        <f t="shared" si="0"/>
        <v>125</v>
      </c>
      <c r="L15" s="243">
        <v>16</v>
      </c>
      <c r="M15" s="14">
        <f t="shared" si="8"/>
        <v>1922.5000000000007</v>
      </c>
      <c r="N15" s="13">
        <f t="shared" si="1"/>
        <v>120.15625000000004</v>
      </c>
      <c r="O15" s="15">
        <f t="shared" si="2"/>
        <v>0</v>
      </c>
      <c r="P15" s="16">
        <f t="shared" si="3"/>
        <v>-4.8437499999999574</v>
      </c>
      <c r="Q15" s="241">
        <f t="shared" si="4"/>
        <v>0.96125000000000038</v>
      </c>
      <c r="R15" s="619"/>
      <c r="S15" s="31">
        <v>0.30624999999999997</v>
      </c>
      <c r="T15" s="31">
        <v>0.33958333333333329</v>
      </c>
      <c r="U15" s="240">
        <f t="shared" si="10"/>
        <v>6.9999999999999751</v>
      </c>
      <c r="V15" s="244">
        <f t="shared" si="9"/>
        <v>47.999999999999986</v>
      </c>
      <c r="W15" s="17"/>
      <c r="X15" s="17"/>
      <c r="Y15" s="17"/>
      <c r="Z15" s="17"/>
      <c r="AA15" s="610"/>
      <c r="AB15" s="610"/>
      <c r="AC15" s="155"/>
      <c r="AD15" s="19"/>
      <c r="AE15" s="15">
        <f t="shared" si="5"/>
        <v>-77.499999999999318</v>
      </c>
      <c r="AF15" s="241">
        <f t="shared" si="6"/>
        <v>0.96125000000000038</v>
      </c>
      <c r="AG15" s="619"/>
    </row>
    <row r="16" spans="1:33" ht="16.5" customHeight="1">
      <c r="A16" s="644" t="s">
        <v>1009</v>
      </c>
      <c r="B16" s="245" t="s">
        <v>10</v>
      </c>
      <c r="C16" s="635" t="s">
        <v>12</v>
      </c>
      <c r="D16" s="635"/>
      <c r="E16" s="33">
        <v>39.46</v>
      </c>
      <c r="F16" s="245">
        <v>2214</v>
      </c>
      <c r="G16" s="240">
        <f t="shared" si="7"/>
        <v>87364.44</v>
      </c>
      <c r="H16" s="29" t="s">
        <v>5</v>
      </c>
      <c r="I16" s="243">
        <v>15</v>
      </c>
      <c r="J16" s="30">
        <v>1500</v>
      </c>
      <c r="K16" s="13">
        <f t="shared" si="0"/>
        <v>100</v>
      </c>
      <c r="L16" s="243">
        <v>15</v>
      </c>
      <c r="M16" s="14">
        <f t="shared" si="8"/>
        <v>1428.3870967741937</v>
      </c>
      <c r="N16" s="13">
        <f t="shared" si="1"/>
        <v>95.225806451612911</v>
      </c>
      <c r="O16" s="15">
        <f t="shared" si="2"/>
        <v>0</v>
      </c>
      <c r="P16" s="16">
        <f t="shared" si="3"/>
        <v>-4.774193548387089</v>
      </c>
      <c r="Q16" s="241">
        <f t="shared" si="4"/>
        <v>0.95225806451612915</v>
      </c>
      <c r="R16" s="619"/>
      <c r="S16" s="31">
        <v>0.34513888888888883</v>
      </c>
      <c r="T16" s="31">
        <v>0.40972222222222215</v>
      </c>
      <c r="U16" s="240">
        <f t="shared" si="10"/>
        <v>7.9999999999999716</v>
      </c>
      <c r="V16" s="244">
        <f t="shared" si="9"/>
        <v>92.999999999999986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5"/>
        <v>-71.612903225806349</v>
      </c>
      <c r="AF16" s="241">
        <f t="shared" si="6"/>
        <v>0.95225806451612915</v>
      </c>
      <c r="AG16" s="619"/>
    </row>
    <row r="17" spans="1:33" ht="16.5" customHeight="1">
      <c r="A17" s="644" t="s">
        <v>185</v>
      </c>
      <c r="B17" s="245" t="s">
        <v>6</v>
      </c>
      <c r="C17" s="635" t="s">
        <v>20</v>
      </c>
      <c r="D17" s="635"/>
      <c r="E17" s="33">
        <v>54.5</v>
      </c>
      <c r="F17" s="245">
        <v>706</v>
      </c>
      <c r="G17" s="240">
        <f t="shared" si="7"/>
        <v>38477</v>
      </c>
      <c r="H17" s="29" t="s">
        <v>5</v>
      </c>
      <c r="I17" s="243">
        <v>19</v>
      </c>
      <c r="J17" s="30">
        <v>1500</v>
      </c>
      <c r="K17" s="13">
        <f t="shared" si="0"/>
        <v>78.94736842105263</v>
      </c>
      <c r="L17" s="243">
        <v>19</v>
      </c>
      <c r="M17" s="14">
        <f t="shared" si="8"/>
        <v>1460.6896551724108</v>
      </c>
      <c r="N17" s="13">
        <f t="shared" si="1"/>
        <v>76.878402903811093</v>
      </c>
      <c r="O17" s="15">
        <f t="shared" si="2"/>
        <v>0</v>
      </c>
      <c r="P17" s="16">
        <f t="shared" si="3"/>
        <v>-2.0689655172415371</v>
      </c>
      <c r="Q17" s="241">
        <f t="shared" si="4"/>
        <v>0.97379310344827386</v>
      </c>
      <c r="R17" s="619"/>
      <c r="S17" s="31">
        <v>0.70833333333333337</v>
      </c>
      <c r="T17" s="31">
        <v>0.7284722222222223</v>
      </c>
      <c r="U17" s="240" t="str">
        <f t="shared" si="10"/>
        <v/>
      </c>
      <c r="V17" s="244">
        <f t="shared" si="9"/>
        <v>29.000000000000057</v>
      </c>
      <c r="W17" s="17"/>
      <c r="X17" s="17"/>
      <c r="Y17" s="17"/>
      <c r="Z17" s="17"/>
      <c r="AA17" s="610"/>
      <c r="AB17" s="610"/>
      <c r="AC17" s="155"/>
      <c r="AD17" s="19"/>
      <c r="AE17" s="15">
        <f t="shared" si="5"/>
        <v>-39.310344827589233</v>
      </c>
      <c r="AF17" s="241">
        <f t="shared" si="6"/>
        <v>0.97379310344827386</v>
      </c>
      <c r="AG17" s="619"/>
    </row>
    <row r="18" spans="1:33" ht="16.5" customHeight="1">
      <c r="A18" s="644" t="s">
        <v>185</v>
      </c>
      <c r="B18" s="245" t="s">
        <v>6</v>
      </c>
      <c r="C18" s="247" t="s">
        <v>19</v>
      </c>
      <c r="D18" s="248"/>
      <c r="E18" s="33">
        <v>50.67</v>
      </c>
      <c r="F18" s="245">
        <v>1292</v>
      </c>
      <c r="G18" s="240">
        <f t="shared" si="7"/>
        <v>65465.64</v>
      </c>
      <c r="H18" s="29" t="s">
        <v>5</v>
      </c>
      <c r="I18" s="243">
        <v>17</v>
      </c>
      <c r="J18" s="30">
        <v>2000</v>
      </c>
      <c r="K18" s="13">
        <f t="shared" si="0"/>
        <v>117.64705882352941</v>
      </c>
      <c r="L18" s="243">
        <v>17</v>
      </c>
      <c r="M18" s="14">
        <f t="shared" si="8"/>
        <v>1937.9999999999993</v>
      </c>
      <c r="N18" s="13">
        <f t="shared" si="1"/>
        <v>113.99999999999996</v>
      </c>
      <c r="O18" s="15">
        <f t="shared" si="2"/>
        <v>0</v>
      </c>
      <c r="P18" s="16">
        <f t="shared" si="3"/>
        <v>-3.6470588235294485</v>
      </c>
      <c r="Q18" s="241">
        <f t="shared" si="4"/>
        <v>0.96899999999999964</v>
      </c>
      <c r="R18" s="619"/>
      <c r="S18" s="31">
        <v>0.73263888888888895</v>
      </c>
      <c r="T18" s="31">
        <v>0.76041666666666674</v>
      </c>
      <c r="U18" s="240">
        <f t="shared" si="10"/>
        <v>5.9999999999999787</v>
      </c>
      <c r="V18" s="244">
        <f t="shared" si="9"/>
        <v>40.000000000000014</v>
      </c>
      <c r="W18" s="17"/>
      <c r="X18" s="17"/>
      <c r="Y18" s="20"/>
      <c r="Z18" s="20"/>
      <c r="AA18" s="236"/>
      <c r="AB18" s="237"/>
      <c r="AC18" s="155"/>
      <c r="AD18" s="19"/>
      <c r="AE18" s="15">
        <f t="shared" si="5"/>
        <v>-62.000000000000682</v>
      </c>
      <c r="AF18" s="241">
        <f t="shared" si="6"/>
        <v>0.96899999999999964</v>
      </c>
      <c r="AG18" s="619"/>
    </row>
    <row r="19" spans="1:33" ht="16.5" customHeight="1">
      <c r="A19" s="644" t="s">
        <v>1009</v>
      </c>
      <c r="B19" s="245" t="s">
        <v>6</v>
      </c>
      <c r="C19" s="247" t="s">
        <v>45</v>
      </c>
      <c r="D19" s="248"/>
      <c r="E19" s="33">
        <v>51.06</v>
      </c>
      <c r="F19" s="245">
        <v>2317</v>
      </c>
      <c r="G19" s="240">
        <f t="shared" si="7"/>
        <v>118306.02</v>
      </c>
      <c r="H19" s="29" t="s">
        <v>5</v>
      </c>
      <c r="I19" s="243">
        <v>13</v>
      </c>
      <c r="J19" s="30">
        <v>2000</v>
      </c>
      <c r="K19" s="13">
        <f t="shared" si="0"/>
        <v>153.84615384615384</v>
      </c>
      <c r="L19" s="243">
        <v>13</v>
      </c>
      <c r="M19" s="14">
        <f t="shared" si="8"/>
        <v>1904.3835616438341</v>
      </c>
      <c r="N19" s="13">
        <f t="shared" si="1"/>
        <v>146.49104320337185</v>
      </c>
      <c r="O19" s="15">
        <f t="shared" si="2"/>
        <v>0</v>
      </c>
      <c r="P19" s="16">
        <f t="shared" si="3"/>
        <v>-7.3551106427819946</v>
      </c>
      <c r="Q19" s="241">
        <f t="shared" si="4"/>
        <v>0.95219178082191702</v>
      </c>
      <c r="R19" s="619"/>
      <c r="S19" s="31">
        <v>0.76458333333333339</v>
      </c>
      <c r="T19" s="31">
        <v>0.81527777777777788</v>
      </c>
      <c r="U19" s="240">
        <f t="shared" si="10"/>
        <v>5.9999999999999787</v>
      </c>
      <c r="V19" s="244">
        <f t="shared" si="9"/>
        <v>73.000000000000057</v>
      </c>
      <c r="W19" s="17"/>
      <c r="X19" s="17"/>
      <c r="Y19" s="20"/>
      <c r="Z19" s="20"/>
      <c r="AA19" s="236"/>
      <c r="AB19" s="237"/>
      <c r="AC19" s="155"/>
      <c r="AD19" s="19"/>
      <c r="AE19" s="15">
        <f t="shared" si="5"/>
        <v>-95.616438356165872</v>
      </c>
      <c r="AF19" s="241">
        <f t="shared" si="6"/>
        <v>0.95219178082191702</v>
      </c>
      <c r="AG19" s="619"/>
    </row>
    <row r="20" spans="1:33" ht="16.5" customHeight="1">
      <c r="A20" s="644" t="s">
        <v>1009</v>
      </c>
      <c r="B20" s="33" t="s">
        <v>998</v>
      </c>
      <c r="C20" s="620"/>
      <c r="D20" s="620"/>
      <c r="E20" s="242"/>
      <c r="F20" s="34"/>
      <c r="G20" s="13"/>
      <c r="H20" s="245"/>
      <c r="I20" s="23">
        <v>17.142857142857142</v>
      </c>
      <c r="J20" s="30">
        <v>1785.7142857142858</v>
      </c>
      <c r="K20" s="13">
        <f t="shared" si="0"/>
        <v>104.16666666666667</v>
      </c>
      <c r="L20" s="23">
        <v>17.142857142857142</v>
      </c>
      <c r="M20" s="14">
        <f>AVERAGE(M13:M19)</f>
        <v>1714.9388246321853</v>
      </c>
      <c r="N20" s="13">
        <f t="shared" si="1"/>
        <v>100.03809810354414</v>
      </c>
      <c r="O20" s="15">
        <f t="shared" si="2"/>
        <v>0</v>
      </c>
      <c r="P20" s="16">
        <f t="shared" si="3"/>
        <v>-4.1285685631225277</v>
      </c>
      <c r="Q20" s="241">
        <f t="shared" si="4"/>
        <v>0.96036574179402379</v>
      </c>
      <c r="R20" s="619"/>
      <c r="S20" s="31"/>
      <c r="T20" s="31"/>
      <c r="U20" s="240"/>
      <c r="V20" s="244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5"/>
        <v>-70.775461082100492</v>
      </c>
      <c r="AF20" s="241">
        <f t="shared" si="6"/>
        <v>0.96036574179402368</v>
      </c>
      <c r="AG20" s="619"/>
    </row>
    <row r="21" spans="1:33" ht="15.75" customHeight="1">
      <c r="A21" s="637" t="s">
        <v>1008</v>
      </c>
      <c r="B21" s="33" t="s">
        <v>6</v>
      </c>
      <c r="C21" s="635" t="s">
        <v>22</v>
      </c>
      <c r="D21" s="635"/>
      <c r="E21" s="33">
        <v>50.67</v>
      </c>
      <c r="F21" s="245">
        <v>1574</v>
      </c>
      <c r="G21" s="240">
        <f t="shared" ref="G21:G26" si="11">E21*F21</f>
        <v>79754.58</v>
      </c>
      <c r="H21" s="29" t="s">
        <v>5</v>
      </c>
      <c r="I21" s="243">
        <v>17</v>
      </c>
      <c r="J21" s="30">
        <v>2000</v>
      </c>
      <c r="K21" s="13">
        <f t="shared" si="0"/>
        <v>117.64705882352941</v>
      </c>
      <c r="L21" s="243">
        <v>17</v>
      </c>
      <c r="M21" s="14">
        <f t="shared" ref="M21:M26" si="12">F21/V21*60</f>
        <v>1927.3469387755106</v>
      </c>
      <c r="N21" s="13">
        <f t="shared" si="1"/>
        <v>113.37334933973591</v>
      </c>
      <c r="O21" s="15">
        <f t="shared" si="2"/>
        <v>0</v>
      </c>
      <c r="P21" s="16">
        <f t="shared" si="3"/>
        <v>-4.2737094837934961</v>
      </c>
      <c r="Q21" s="241">
        <f t="shared" si="4"/>
        <v>0.96367346938775533</v>
      </c>
      <c r="R21" s="619">
        <f>Q27</f>
        <v>0.96253989943803564</v>
      </c>
      <c r="S21" s="31">
        <v>0.20833333333333334</v>
      </c>
      <c r="T21" s="31">
        <v>0.24236111111111111</v>
      </c>
      <c r="U21" s="240"/>
      <c r="V21" s="244">
        <f t="shared" ref="V21:V26" si="13">(T21-S21)*24*60</f>
        <v>48.999999999999986</v>
      </c>
      <c r="W21" s="17"/>
      <c r="X21" s="17"/>
      <c r="Y21" s="22"/>
      <c r="Z21" s="22"/>
      <c r="AA21" s="610"/>
      <c r="AB21" s="610"/>
      <c r="AC21" s="155">
        <v>6</v>
      </c>
      <c r="AD21" s="19"/>
      <c r="AE21" s="15">
        <f t="shared" si="5"/>
        <v>-72.65306122448942</v>
      </c>
      <c r="AF21" s="241">
        <f t="shared" si="6"/>
        <v>0.96367346938775533</v>
      </c>
      <c r="AG21" s="619">
        <f>AF27</f>
        <v>0.96253989943803575</v>
      </c>
    </row>
    <row r="22" spans="1:33" ht="15.75" customHeight="1">
      <c r="A22" s="638" t="s">
        <v>1008</v>
      </c>
      <c r="B22" s="33" t="s">
        <v>6</v>
      </c>
      <c r="C22" s="635" t="s">
        <v>23</v>
      </c>
      <c r="D22" s="635"/>
      <c r="E22" s="33">
        <v>57.73</v>
      </c>
      <c r="F22" s="245">
        <v>2192</v>
      </c>
      <c r="G22" s="240">
        <f t="shared" si="11"/>
        <v>126544.15999999999</v>
      </c>
      <c r="H22" s="29" t="s">
        <v>5</v>
      </c>
      <c r="I22" s="243">
        <v>14</v>
      </c>
      <c r="J22" s="30">
        <v>2000</v>
      </c>
      <c r="K22" s="13">
        <f t="shared" si="0"/>
        <v>142.85714285714286</v>
      </c>
      <c r="L22" s="243">
        <v>14</v>
      </c>
      <c r="M22" s="14">
        <f t="shared" si="12"/>
        <v>1906.086956521739</v>
      </c>
      <c r="N22" s="13">
        <f t="shared" si="1"/>
        <v>136.14906832298135</v>
      </c>
      <c r="O22" s="15">
        <f t="shared" si="2"/>
        <v>0</v>
      </c>
      <c r="P22" s="16">
        <f t="shared" si="3"/>
        <v>-6.7080745341615113</v>
      </c>
      <c r="Q22" s="241">
        <f t="shared" si="4"/>
        <v>0.95304347826086944</v>
      </c>
      <c r="R22" s="619"/>
      <c r="S22" s="31">
        <v>0.24652777777777779</v>
      </c>
      <c r="T22" s="31">
        <v>0.29444444444444445</v>
      </c>
      <c r="U22" s="240">
        <f>IF(S22=TIME(17,0,0),"",(S22-T21)*24*60)</f>
        <v>6.0000000000000187</v>
      </c>
      <c r="V22" s="244">
        <f t="shared" si="13"/>
        <v>69</v>
      </c>
      <c r="W22" s="17"/>
      <c r="X22" s="240"/>
      <c r="Y22" s="240"/>
      <c r="Z22" s="240"/>
      <c r="AA22" s="610"/>
      <c r="AB22" s="610"/>
      <c r="AC22" s="155"/>
      <c r="AD22" s="19"/>
      <c r="AE22" s="15">
        <f t="shared" si="5"/>
        <v>-93.913043478260988</v>
      </c>
      <c r="AF22" s="241">
        <f t="shared" si="6"/>
        <v>0.95304347826086955</v>
      </c>
      <c r="AG22" s="619"/>
    </row>
    <row r="23" spans="1:33" ht="15.75" customHeight="1">
      <c r="A23" s="638" t="s">
        <v>1008</v>
      </c>
      <c r="B23" s="33" t="s">
        <v>6</v>
      </c>
      <c r="C23" s="635" t="s">
        <v>24</v>
      </c>
      <c r="D23" s="635"/>
      <c r="E23" s="33">
        <v>53.27</v>
      </c>
      <c r="F23" s="245">
        <v>1349</v>
      </c>
      <c r="G23" s="240">
        <f t="shared" si="11"/>
        <v>71861.23000000001</v>
      </c>
      <c r="H23" s="29" t="s">
        <v>5</v>
      </c>
      <c r="I23" s="243">
        <v>16</v>
      </c>
      <c r="J23" s="30">
        <v>2000</v>
      </c>
      <c r="K23" s="13">
        <f t="shared" si="0"/>
        <v>125</v>
      </c>
      <c r="L23" s="243">
        <v>16</v>
      </c>
      <c r="M23" s="14">
        <f t="shared" si="12"/>
        <v>1927.1428571428564</v>
      </c>
      <c r="N23" s="13">
        <f t="shared" si="1"/>
        <v>120.44642857142853</v>
      </c>
      <c r="O23" s="15">
        <f t="shared" si="2"/>
        <v>0</v>
      </c>
      <c r="P23" s="16">
        <f t="shared" si="3"/>
        <v>-4.5535714285714732</v>
      </c>
      <c r="Q23" s="241">
        <f t="shared" si="4"/>
        <v>0.96357142857142819</v>
      </c>
      <c r="R23" s="619"/>
      <c r="S23" s="31">
        <v>0.3</v>
      </c>
      <c r="T23" s="31">
        <v>0.32916666666666666</v>
      </c>
      <c r="U23" s="240">
        <f>IF(S23=TIME(17,0,0),"",(S23-T22)*24*60)</f>
        <v>7.9999999999999716</v>
      </c>
      <c r="V23" s="244">
        <f t="shared" si="13"/>
        <v>42.000000000000014</v>
      </c>
      <c r="W23" s="17"/>
      <c r="X23" s="240"/>
      <c r="Y23" s="240"/>
      <c r="Z23" s="240"/>
      <c r="AA23" s="610"/>
      <c r="AB23" s="610"/>
      <c r="AC23" s="155"/>
      <c r="AD23" s="19"/>
      <c r="AE23" s="15">
        <f t="shared" si="5"/>
        <v>-72.857142857143572</v>
      </c>
      <c r="AF23" s="241">
        <f t="shared" si="6"/>
        <v>0.96357142857142819</v>
      </c>
      <c r="AG23" s="619"/>
    </row>
    <row r="24" spans="1:33" ht="15.75" customHeight="1">
      <c r="A24" s="638" t="s">
        <v>1008</v>
      </c>
      <c r="B24" s="33" t="s">
        <v>6</v>
      </c>
      <c r="C24" s="635" t="s">
        <v>21</v>
      </c>
      <c r="D24" s="635"/>
      <c r="E24" s="33">
        <v>50.49</v>
      </c>
      <c r="F24" s="245">
        <v>1564</v>
      </c>
      <c r="G24" s="240">
        <f t="shared" si="11"/>
        <v>78966.36</v>
      </c>
      <c r="H24" s="29" t="s">
        <v>5</v>
      </c>
      <c r="I24" s="243">
        <v>15</v>
      </c>
      <c r="J24" s="30">
        <v>2000</v>
      </c>
      <c r="K24" s="13">
        <f t="shared" si="0"/>
        <v>133.33333333333334</v>
      </c>
      <c r="L24" s="243">
        <v>15</v>
      </c>
      <c r="M24" s="14">
        <f t="shared" si="12"/>
        <v>1915.102040816327</v>
      </c>
      <c r="N24" s="13">
        <f t="shared" si="1"/>
        <v>127.67346938775513</v>
      </c>
      <c r="O24" s="15">
        <f t="shared" si="2"/>
        <v>0</v>
      </c>
      <c r="P24" s="16">
        <f t="shared" si="3"/>
        <v>-5.6598639455782092</v>
      </c>
      <c r="Q24" s="241">
        <f t="shared" si="4"/>
        <v>0.95755102040816342</v>
      </c>
      <c r="R24" s="619"/>
      <c r="S24" s="31">
        <v>0.70833333333333337</v>
      </c>
      <c r="T24" s="31">
        <v>0.74236111111111114</v>
      </c>
      <c r="U24" s="240" t="str">
        <f>IF(S24=TIME(17,0,0),"",(S24-T23)*24*60)</f>
        <v/>
      </c>
      <c r="V24" s="244">
        <f t="shared" si="13"/>
        <v>48.999999999999986</v>
      </c>
      <c r="W24" s="17"/>
      <c r="X24" s="240"/>
      <c r="Y24" s="240"/>
      <c r="Z24" s="240"/>
      <c r="AA24" s="610"/>
      <c r="AB24" s="610"/>
      <c r="AC24" s="155"/>
      <c r="AD24" s="19"/>
      <c r="AE24" s="15">
        <f t="shared" si="5"/>
        <v>-84.897959183673038</v>
      </c>
      <c r="AF24" s="241">
        <f t="shared" si="6"/>
        <v>0.95755102040816353</v>
      </c>
      <c r="AG24" s="619"/>
    </row>
    <row r="25" spans="1:33" ht="15.75" customHeight="1">
      <c r="A25" s="638" t="s">
        <v>1008</v>
      </c>
      <c r="B25" s="33" t="s">
        <v>6</v>
      </c>
      <c r="C25" s="635" t="s">
        <v>26</v>
      </c>
      <c r="D25" s="635"/>
      <c r="E25" s="33">
        <v>54.09</v>
      </c>
      <c r="F25" s="245">
        <v>1614</v>
      </c>
      <c r="G25" s="240">
        <f t="shared" si="11"/>
        <v>87301.260000000009</v>
      </c>
      <c r="H25" s="29" t="s">
        <v>5</v>
      </c>
      <c r="I25" s="243">
        <v>18</v>
      </c>
      <c r="J25" s="30">
        <v>2000</v>
      </c>
      <c r="K25" s="13">
        <f t="shared" si="0"/>
        <v>111.11111111111111</v>
      </c>
      <c r="L25" s="243">
        <v>18</v>
      </c>
      <c r="M25" s="14">
        <f t="shared" si="12"/>
        <v>1936.8000000000004</v>
      </c>
      <c r="N25" s="13">
        <f t="shared" si="1"/>
        <v>107.60000000000002</v>
      </c>
      <c r="O25" s="15">
        <f t="shared" si="2"/>
        <v>0</v>
      </c>
      <c r="P25" s="16">
        <f t="shared" si="3"/>
        <v>-3.5111111111110915</v>
      </c>
      <c r="Q25" s="241">
        <f t="shared" si="4"/>
        <v>0.96840000000000015</v>
      </c>
      <c r="R25" s="619"/>
      <c r="S25" s="31">
        <v>0.74652777777777779</v>
      </c>
      <c r="T25" s="31">
        <v>0.78125</v>
      </c>
      <c r="U25" s="240">
        <f>IF(S25=TIME(17,0,0),"",(S25-T24)*24*60)</f>
        <v>5.9999999999999787</v>
      </c>
      <c r="V25" s="244">
        <f t="shared" si="13"/>
        <v>49.999999999999986</v>
      </c>
      <c r="W25" s="17"/>
      <c r="X25" s="17"/>
      <c r="Y25" s="240"/>
      <c r="Z25" s="240"/>
      <c r="AA25" s="610"/>
      <c r="AB25" s="610"/>
      <c r="AC25" s="155"/>
      <c r="AD25" s="19"/>
      <c r="AE25" s="15">
        <f t="shared" si="5"/>
        <v>-63.199999999999591</v>
      </c>
      <c r="AF25" s="241">
        <f t="shared" si="6"/>
        <v>0.96840000000000015</v>
      </c>
      <c r="AG25" s="619"/>
    </row>
    <row r="26" spans="1:33" ht="15.75" customHeight="1">
      <c r="A26" s="638" t="s">
        <v>1008</v>
      </c>
      <c r="B26" s="33" t="s">
        <v>6</v>
      </c>
      <c r="C26" s="635" t="s">
        <v>9</v>
      </c>
      <c r="D26" s="635"/>
      <c r="E26" s="33">
        <v>50.67</v>
      </c>
      <c r="F26" s="245">
        <v>969</v>
      </c>
      <c r="G26" s="240">
        <f t="shared" si="11"/>
        <v>49099.23</v>
      </c>
      <c r="H26" s="29" t="s">
        <v>5</v>
      </c>
      <c r="I26" s="243">
        <v>15</v>
      </c>
      <c r="J26" s="30">
        <v>2000</v>
      </c>
      <c r="K26" s="13">
        <f t="shared" si="0"/>
        <v>133.33333333333334</v>
      </c>
      <c r="L26" s="243">
        <v>15</v>
      </c>
      <c r="M26" s="14">
        <f t="shared" si="12"/>
        <v>1937.9999999999964</v>
      </c>
      <c r="N26" s="13">
        <f t="shared" si="1"/>
        <v>129.19999999999976</v>
      </c>
      <c r="O26" s="15">
        <f t="shared" si="2"/>
        <v>0</v>
      </c>
      <c r="P26" s="16">
        <f t="shared" si="3"/>
        <v>-4.1333333333335815</v>
      </c>
      <c r="Q26" s="241">
        <f t="shared" si="4"/>
        <v>0.96899999999999809</v>
      </c>
      <c r="R26" s="619"/>
      <c r="S26" s="31">
        <v>0.78680555555555554</v>
      </c>
      <c r="T26" s="31">
        <v>0.80763888888888891</v>
      </c>
      <c r="U26" s="240">
        <f>IF(S26=TIME(17,0,0),"",(S26-T25)*24*60)</f>
        <v>7.9999999999999716</v>
      </c>
      <c r="V26" s="244">
        <f t="shared" si="13"/>
        <v>30.000000000000053</v>
      </c>
      <c r="W26" s="17"/>
      <c r="X26" s="22"/>
      <c r="Y26" s="22"/>
      <c r="Z26" s="22"/>
      <c r="AA26" s="610"/>
      <c r="AB26" s="610"/>
      <c r="AC26" s="155"/>
      <c r="AD26" s="19"/>
      <c r="AE26" s="15">
        <f t="shared" si="5"/>
        <v>-62.000000000003638</v>
      </c>
      <c r="AF26" s="241">
        <f t="shared" si="6"/>
        <v>0.9689999999999982</v>
      </c>
      <c r="AG26" s="619"/>
    </row>
    <row r="27" spans="1:33" ht="15.75" customHeight="1">
      <c r="A27" s="638" t="s">
        <v>1007</v>
      </c>
      <c r="B27" s="33" t="s">
        <v>1006</v>
      </c>
      <c r="C27" s="620"/>
      <c r="D27" s="620"/>
      <c r="E27" s="242"/>
      <c r="F27" s="245"/>
      <c r="G27" s="240"/>
      <c r="H27" s="245"/>
      <c r="I27" s="23">
        <v>15.833333333333334</v>
      </c>
      <c r="J27" s="30">
        <v>2000</v>
      </c>
      <c r="K27" s="13">
        <f t="shared" si="0"/>
        <v>126.31578947368421</v>
      </c>
      <c r="L27" s="23">
        <v>15.833333333333334</v>
      </c>
      <c r="M27" s="14">
        <f>AVERAGE(M21:M26)</f>
        <v>1925.0797988760714</v>
      </c>
      <c r="N27" s="13">
        <f t="shared" si="1"/>
        <v>121.58398729743608</v>
      </c>
      <c r="O27" s="15">
        <f t="shared" si="2"/>
        <v>0</v>
      </c>
      <c r="P27" s="16">
        <f t="shared" si="3"/>
        <v>-4.7318021762481237</v>
      </c>
      <c r="Q27" s="241">
        <f t="shared" si="4"/>
        <v>0.96253989943803564</v>
      </c>
      <c r="R27" s="619"/>
      <c r="S27" s="31"/>
      <c r="T27" s="31"/>
      <c r="U27" s="13"/>
      <c r="V27" s="244"/>
      <c r="W27" s="13"/>
      <c r="X27" s="13"/>
      <c r="Y27" s="24">
        <f>SUM(Y21:Y26)</f>
        <v>0</v>
      </c>
      <c r="Z27" s="24">
        <f>SUM(Z21:Z26)</f>
        <v>0</v>
      </c>
      <c r="AA27" s="609"/>
      <c r="AB27" s="609"/>
      <c r="AC27" s="24">
        <v>6</v>
      </c>
      <c r="AD27" s="24">
        <f>SUM(AD21:AD26)</f>
        <v>0</v>
      </c>
      <c r="AE27" s="15">
        <f t="shared" si="5"/>
        <v>-74.920201123928564</v>
      </c>
      <c r="AF27" s="241">
        <f t="shared" si="6"/>
        <v>0.96253989943803575</v>
      </c>
      <c r="AG27" s="619"/>
    </row>
    <row r="28" spans="1:33" ht="15.75" customHeight="1">
      <c r="A28" s="636" t="s">
        <v>1005</v>
      </c>
      <c r="B28" s="33" t="s">
        <v>27</v>
      </c>
      <c r="C28" s="635" t="s">
        <v>28</v>
      </c>
      <c r="D28" s="635"/>
      <c r="E28" s="33">
        <v>31.29</v>
      </c>
      <c r="F28" s="245">
        <v>3700</v>
      </c>
      <c r="G28" s="240">
        <f t="shared" ref="G28:G35" si="14">E28*F28</f>
        <v>115773</v>
      </c>
      <c r="H28" s="29">
        <v>2</v>
      </c>
      <c r="I28" s="243">
        <v>18</v>
      </c>
      <c r="J28" s="30">
        <v>2400</v>
      </c>
      <c r="K28" s="13">
        <f t="shared" si="0"/>
        <v>133.33333333333334</v>
      </c>
      <c r="L28" s="243">
        <v>18</v>
      </c>
      <c r="M28" s="14">
        <f t="shared" ref="M28:M35" si="15">F28/V28*60</f>
        <v>2288.6597938144328</v>
      </c>
      <c r="N28" s="13">
        <f t="shared" si="1"/>
        <v>127.14776632302404</v>
      </c>
      <c r="O28" s="15">
        <f t="shared" si="2"/>
        <v>0</v>
      </c>
      <c r="P28" s="16">
        <f t="shared" si="3"/>
        <v>-6.185567010309299</v>
      </c>
      <c r="Q28" s="241">
        <f t="shared" si="4"/>
        <v>0.95360824742268024</v>
      </c>
      <c r="R28" s="619">
        <f>Q36</f>
        <v>0.95542447100851036</v>
      </c>
      <c r="S28" s="31">
        <v>8.3333333333333329E-2</v>
      </c>
      <c r="T28" s="31">
        <v>0.15069444444444444</v>
      </c>
      <c r="U28" s="240"/>
      <c r="V28" s="244">
        <f t="shared" ref="V28:V35" si="16">(T28-S28)*24*60</f>
        <v>97</v>
      </c>
      <c r="W28" s="17">
        <f>T28</f>
        <v>0.15069444444444444</v>
      </c>
      <c r="X28" s="17">
        <f>S29</f>
        <v>0.16944444444444443</v>
      </c>
      <c r="Y28" s="17"/>
      <c r="Z28" s="17"/>
      <c r="AA28" s="610"/>
      <c r="AB28" s="610"/>
      <c r="AC28" s="155">
        <v>8</v>
      </c>
      <c r="AD28" s="19"/>
      <c r="AE28" s="15">
        <f t="shared" si="5"/>
        <v>-111.34020618556724</v>
      </c>
      <c r="AF28" s="241">
        <f t="shared" si="6"/>
        <v>0.95360824742268036</v>
      </c>
      <c r="AG28" s="619">
        <f>AF36</f>
        <v>0.95542447100851047</v>
      </c>
    </row>
    <row r="29" spans="1:33" ht="15.75" customHeight="1">
      <c r="A29" s="636" t="s">
        <v>1005</v>
      </c>
      <c r="B29" s="33" t="s">
        <v>27</v>
      </c>
      <c r="C29" s="635" t="s">
        <v>29</v>
      </c>
      <c r="D29" s="635"/>
      <c r="E29" s="33">
        <v>26.37</v>
      </c>
      <c r="F29" s="245">
        <v>3800</v>
      </c>
      <c r="G29" s="240">
        <f t="shared" si="14"/>
        <v>100206</v>
      </c>
      <c r="H29" s="29">
        <v>2</v>
      </c>
      <c r="I29" s="243">
        <v>18</v>
      </c>
      <c r="J29" s="30">
        <v>2400</v>
      </c>
      <c r="K29" s="13">
        <f t="shared" si="0"/>
        <v>133.33333333333334</v>
      </c>
      <c r="L29" s="243">
        <v>18</v>
      </c>
      <c r="M29" s="14">
        <f t="shared" si="15"/>
        <v>2303.030303030303</v>
      </c>
      <c r="N29" s="13">
        <f t="shared" si="1"/>
        <v>127.94612794612794</v>
      </c>
      <c r="O29" s="15">
        <f t="shared" si="2"/>
        <v>0</v>
      </c>
      <c r="P29" s="16">
        <f t="shared" si="3"/>
        <v>-5.3872053872053982</v>
      </c>
      <c r="Q29" s="241">
        <f t="shared" si="4"/>
        <v>0.95959595959595956</v>
      </c>
      <c r="R29" s="619"/>
      <c r="S29" s="31">
        <v>0.16944444444444443</v>
      </c>
      <c r="T29" s="31">
        <v>0.23819444444444443</v>
      </c>
      <c r="U29" s="240">
        <f t="shared" ref="U29:U35" si="17">(S29-T28)*24*60</f>
        <v>26.999999999999986</v>
      </c>
      <c r="V29" s="244">
        <f t="shared" si="16"/>
        <v>99.000000000000014</v>
      </c>
      <c r="W29" s="17"/>
      <c r="X29" s="17"/>
      <c r="Y29" s="17"/>
      <c r="Z29" s="17"/>
      <c r="AA29" s="610"/>
      <c r="AB29" s="610"/>
      <c r="AC29" s="155"/>
      <c r="AD29" s="19"/>
      <c r="AE29" s="15">
        <f t="shared" si="5"/>
        <v>-96.969696969696997</v>
      </c>
      <c r="AF29" s="241">
        <f t="shared" si="6"/>
        <v>0.95959595959595956</v>
      </c>
      <c r="AG29" s="619"/>
    </row>
    <row r="30" spans="1:33" ht="15.75" customHeight="1">
      <c r="A30" s="636" t="s">
        <v>1005</v>
      </c>
      <c r="B30" s="33" t="s">
        <v>27</v>
      </c>
      <c r="C30" s="635" t="s">
        <v>34</v>
      </c>
      <c r="D30" s="635"/>
      <c r="E30" s="33">
        <v>24.43</v>
      </c>
      <c r="F30" s="245">
        <v>4100</v>
      </c>
      <c r="G30" s="240">
        <f t="shared" si="14"/>
        <v>100163</v>
      </c>
      <c r="H30" s="29">
        <v>2</v>
      </c>
      <c r="I30" s="243">
        <v>14</v>
      </c>
      <c r="J30" s="30">
        <v>2400</v>
      </c>
      <c r="K30" s="13">
        <f t="shared" si="0"/>
        <v>171.42857142857142</v>
      </c>
      <c r="L30" s="243">
        <v>14</v>
      </c>
      <c r="M30" s="14">
        <f t="shared" si="15"/>
        <v>2299.065420560748</v>
      </c>
      <c r="N30" s="13">
        <f t="shared" si="1"/>
        <v>164.21895861148201</v>
      </c>
      <c r="O30" s="15">
        <f t="shared" si="2"/>
        <v>0</v>
      </c>
      <c r="P30" s="16">
        <f t="shared" si="3"/>
        <v>-7.2096128170894076</v>
      </c>
      <c r="Q30" s="241">
        <f t="shared" si="4"/>
        <v>0.95794392523364513</v>
      </c>
      <c r="R30" s="619"/>
      <c r="S30" s="31">
        <v>0.24374999999999999</v>
      </c>
      <c r="T30" s="31">
        <v>0.31805555555555554</v>
      </c>
      <c r="U30" s="240">
        <f t="shared" si="17"/>
        <v>8.0000000000000107</v>
      </c>
      <c r="V30" s="244">
        <f t="shared" si="16"/>
        <v>106.99999999999999</v>
      </c>
      <c r="W30" s="17"/>
      <c r="X30" s="17"/>
      <c r="Y30" s="17"/>
      <c r="Z30" s="17"/>
      <c r="AA30" s="610"/>
      <c r="AB30" s="610"/>
      <c r="AC30" s="155"/>
      <c r="AD30" s="19"/>
      <c r="AE30" s="15">
        <f t="shared" si="5"/>
        <v>-100.93457943925205</v>
      </c>
      <c r="AF30" s="241">
        <f t="shared" si="6"/>
        <v>0.95794392523364502</v>
      </c>
      <c r="AG30" s="619"/>
    </row>
    <row r="31" spans="1:33" ht="15.75" customHeight="1">
      <c r="A31" s="636" t="s">
        <v>1005</v>
      </c>
      <c r="B31" s="33" t="s">
        <v>27</v>
      </c>
      <c r="C31" s="635" t="s">
        <v>75</v>
      </c>
      <c r="D31" s="635"/>
      <c r="E31" s="33">
        <v>25.98</v>
      </c>
      <c r="F31" s="245">
        <v>4299</v>
      </c>
      <c r="G31" s="240">
        <f t="shared" si="14"/>
        <v>111688.02</v>
      </c>
      <c r="H31" s="29" t="s">
        <v>5</v>
      </c>
      <c r="I31" s="243">
        <v>19</v>
      </c>
      <c r="J31" s="30">
        <v>2400</v>
      </c>
      <c r="K31" s="13">
        <f t="shared" si="0"/>
        <v>126.31578947368421</v>
      </c>
      <c r="L31" s="243">
        <v>19</v>
      </c>
      <c r="M31" s="14">
        <f t="shared" si="15"/>
        <v>2282.6548672566373</v>
      </c>
      <c r="N31" s="13">
        <f t="shared" si="1"/>
        <v>120.13972985561249</v>
      </c>
      <c r="O31" s="15">
        <f t="shared" si="2"/>
        <v>0</v>
      </c>
      <c r="P31" s="16">
        <f t="shared" si="3"/>
        <v>-6.1760596180717187</v>
      </c>
      <c r="Q31" s="241">
        <f t="shared" si="4"/>
        <v>0.95110619469026558</v>
      </c>
      <c r="R31" s="619"/>
      <c r="S31" s="31">
        <v>0.32222222222222219</v>
      </c>
      <c r="T31" s="31">
        <v>0.40069444444444441</v>
      </c>
      <c r="U31" s="240">
        <f t="shared" si="17"/>
        <v>5.9999999999999787</v>
      </c>
      <c r="V31" s="244">
        <f t="shared" si="16"/>
        <v>113</v>
      </c>
      <c r="W31" s="17"/>
      <c r="X31" s="17"/>
      <c r="Y31" s="17"/>
      <c r="Z31" s="17"/>
      <c r="AA31" s="610"/>
      <c r="AB31" s="610"/>
      <c r="AC31" s="155"/>
      <c r="AD31" s="19"/>
      <c r="AE31" s="15">
        <f t="shared" si="5"/>
        <v>-117.34513274336268</v>
      </c>
      <c r="AF31" s="241">
        <f t="shared" si="6"/>
        <v>0.95110619469026558</v>
      </c>
      <c r="AG31" s="619"/>
    </row>
    <row r="32" spans="1:33" ht="15.75" customHeight="1">
      <c r="A32" s="636" t="s">
        <v>1005</v>
      </c>
      <c r="B32" s="33" t="s">
        <v>27</v>
      </c>
      <c r="C32" s="635" t="s">
        <v>197</v>
      </c>
      <c r="D32" s="635"/>
      <c r="E32" s="33">
        <v>23.89</v>
      </c>
      <c r="F32" s="245">
        <v>5112</v>
      </c>
      <c r="G32" s="240">
        <f t="shared" si="14"/>
        <v>122125.68000000001</v>
      </c>
      <c r="H32" s="29" t="s">
        <v>5</v>
      </c>
      <c r="I32" s="243">
        <v>17</v>
      </c>
      <c r="J32" s="30">
        <v>2400</v>
      </c>
      <c r="K32" s="13">
        <f t="shared" si="0"/>
        <v>141.1764705882353</v>
      </c>
      <c r="L32" s="243">
        <v>17</v>
      </c>
      <c r="M32" s="14">
        <f t="shared" si="15"/>
        <v>2288.9552238805973</v>
      </c>
      <c r="N32" s="13">
        <f t="shared" si="1"/>
        <v>134.64442493415277</v>
      </c>
      <c r="O32" s="15">
        <f t="shared" si="2"/>
        <v>0</v>
      </c>
      <c r="P32" s="16">
        <f t="shared" si="3"/>
        <v>-6.5320456540825376</v>
      </c>
      <c r="Q32" s="241">
        <f t="shared" si="4"/>
        <v>0.953731343283582</v>
      </c>
      <c r="R32" s="619"/>
      <c r="S32" s="31">
        <v>0.40416666666666662</v>
      </c>
      <c r="T32" s="31">
        <v>0.49722222222222218</v>
      </c>
      <c r="U32" s="240">
        <f t="shared" si="17"/>
        <v>4.9999999999999822</v>
      </c>
      <c r="V32" s="244">
        <f t="shared" si="16"/>
        <v>134</v>
      </c>
      <c r="W32" s="17">
        <f>T32</f>
        <v>0.49722222222222218</v>
      </c>
      <c r="X32" s="17">
        <f>S33</f>
        <v>0.53749999999999998</v>
      </c>
      <c r="Y32" s="17"/>
      <c r="Z32" s="17"/>
      <c r="AA32" s="610"/>
      <c r="AB32" s="610"/>
      <c r="AC32" s="155"/>
      <c r="AD32" s="19"/>
      <c r="AE32" s="15">
        <f t="shared" si="5"/>
        <v>-111.04477611940274</v>
      </c>
      <c r="AF32" s="241">
        <f t="shared" si="6"/>
        <v>0.95373134328358222</v>
      </c>
      <c r="AG32" s="619"/>
    </row>
    <row r="33" spans="1:33" ht="15.75" customHeight="1">
      <c r="A33" s="636" t="s">
        <v>1005</v>
      </c>
      <c r="B33" s="33" t="s">
        <v>27</v>
      </c>
      <c r="C33" s="635" t="s">
        <v>28</v>
      </c>
      <c r="D33" s="635"/>
      <c r="E33" s="33">
        <v>31.29</v>
      </c>
      <c r="F33" s="245">
        <v>5186</v>
      </c>
      <c r="G33" s="240">
        <f t="shared" si="14"/>
        <v>162269.94</v>
      </c>
      <c r="H33" s="29" t="s">
        <v>5</v>
      </c>
      <c r="I33" s="243">
        <v>18</v>
      </c>
      <c r="J33" s="30">
        <v>2400</v>
      </c>
      <c r="K33" s="13">
        <f t="shared" si="0"/>
        <v>133.33333333333334</v>
      </c>
      <c r="L33" s="243">
        <v>18</v>
      </c>
      <c r="M33" s="14">
        <f t="shared" si="15"/>
        <v>2287.9411764705883</v>
      </c>
      <c r="N33" s="13">
        <f t="shared" si="1"/>
        <v>127.1078431372549</v>
      </c>
      <c r="O33" s="15">
        <f t="shared" si="2"/>
        <v>0</v>
      </c>
      <c r="P33" s="16">
        <f t="shared" si="3"/>
        <v>-6.2254901960784395</v>
      </c>
      <c r="Q33" s="241">
        <f t="shared" si="4"/>
        <v>0.95330882352941171</v>
      </c>
      <c r="R33" s="619"/>
      <c r="S33" s="31">
        <v>0.53749999999999998</v>
      </c>
      <c r="T33" s="31">
        <v>0.63194444444444442</v>
      </c>
      <c r="U33" s="240">
        <f t="shared" si="17"/>
        <v>58.000000000000036</v>
      </c>
      <c r="V33" s="244">
        <f t="shared" si="16"/>
        <v>136</v>
      </c>
      <c r="W33" s="17"/>
      <c r="X33" s="17"/>
      <c r="Y33" s="17"/>
      <c r="Z33" s="17"/>
      <c r="AA33" s="610"/>
      <c r="AB33" s="610"/>
      <c r="AC33" s="155"/>
      <c r="AD33" s="19"/>
      <c r="AE33" s="15">
        <f t="shared" si="5"/>
        <v>-112.05882352941171</v>
      </c>
      <c r="AF33" s="241">
        <f t="shared" si="6"/>
        <v>0.95330882352941182</v>
      </c>
      <c r="AG33" s="619"/>
    </row>
    <row r="34" spans="1:33" ht="15.75" customHeight="1">
      <c r="A34" s="636" t="s">
        <v>1005</v>
      </c>
      <c r="B34" s="33" t="s">
        <v>27</v>
      </c>
      <c r="C34" s="635" t="s">
        <v>34</v>
      </c>
      <c r="D34" s="635"/>
      <c r="E34" s="33">
        <v>24.43</v>
      </c>
      <c r="F34" s="245">
        <v>3224</v>
      </c>
      <c r="G34" s="240">
        <f t="shared" si="14"/>
        <v>78762.319999999992</v>
      </c>
      <c r="H34" s="29" t="s">
        <v>5</v>
      </c>
      <c r="I34" s="243">
        <v>14</v>
      </c>
      <c r="J34" s="30">
        <v>2400</v>
      </c>
      <c r="K34" s="13">
        <f t="shared" si="0"/>
        <v>171.42857142857142</v>
      </c>
      <c r="L34" s="243">
        <v>14</v>
      </c>
      <c r="M34" s="14">
        <f t="shared" si="15"/>
        <v>2302.8571428571418</v>
      </c>
      <c r="N34" s="13">
        <f t="shared" si="1"/>
        <v>164.48979591836726</v>
      </c>
      <c r="O34" s="15">
        <f t="shared" si="2"/>
        <v>0</v>
      </c>
      <c r="P34" s="16">
        <f t="shared" si="3"/>
        <v>-6.9387755102041524</v>
      </c>
      <c r="Q34" s="241">
        <f t="shared" si="4"/>
        <v>0.95952380952380911</v>
      </c>
      <c r="R34" s="619"/>
      <c r="S34" s="31">
        <v>0.63611111111111107</v>
      </c>
      <c r="T34" s="31">
        <v>0.69444444444444442</v>
      </c>
      <c r="U34" s="240">
        <f t="shared" si="17"/>
        <v>5.9999999999999787</v>
      </c>
      <c r="V34" s="244">
        <f t="shared" si="16"/>
        <v>84.000000000000028</v>
      </c>
      <c r="W34" s="17"/>
      <c r="X34" s="17"/>
      <c r="Y34" s="17"/>
      <c r="Z34" s="17"/>
      <c r="AA34" s="610"/>
      <c r="AB34" s="610"/>
      <c r="AC34" s="155"/>
      <c r="AD34" s="19"/>
      <c r="AE34" s="15">
        <f t="shared" si="5"/>
        <v>-97.142857142858247</v>
      </c>
      <c r="AF34" s="241">
        <f t="shared" si="6"/>
        <v>0.95952380952380911</v>
      </c>
      <c r="AG34" s="619"/>
    </row>
    <row r="35" spans="1:33" ht="15.75" customHeight="1">
      <c r="A35" s="636" t="s">
        <v>1005</v>
      </c>
      <c r="B35" s="33" t="s">
        <v>27</v>
      </c>
      <c r="C35" s="247" t="s">
        <v>29</v>
      </c>
      <c r="D35" s="248"/>
      <c r="E35" s="33">
        <v>26.37</v>
      </c>
      <c r="F35" s="245">
        <v>2711</v>
      </c>
      <c r="G35" s="240">
        <f t="shared" si="14"/>
        <v>71489.070000000007</v>
      </c>
      <c r="H35" s="29" t="s">
        <v>5</v>
      </c>
      <c r="I35" s="243">
        <v>18</v>
      </c>
      <c r="J35" s="30">
        <v>2400</v>
      </c>
      <c r="K35" s="13">
        <f t="shared" si="0"/>
        <v>133.33333333333334</v>
      </c>
      <c r="L35" s="243">
        <v>18</v>
      </c>
      <c r="M35" s="14">
        <f t="shared" si="15"/>
        <v>2290.9859154929554</v>
      </c>
      <c r="N35" s="13">
        <f t="shared" si="1"/>
        <v>127.27699530516419</v>
      </c>
      <c r="O35" s="15">
        <f t="shared" si="2"/>
        <v>0</v>
      </c>
      <c r="P35" s="16">
        <f t="shared" si="3"/>
        <v>-6.0563380281691508</v>
      </c>
      <c r="Q35" s="241">
        <f t="shared" si="4"/>
        <v>0.9545774647887314</v>
      </c>
      <c r="R35" s="619"/>
      <c r="S35" s="31">
        <v>0.69930555555555551</v>
      </c>
      <c r="T35" s="31">
        <v>0.74861111111111112</v>
      </c>
      <c r="U35" s="240">
        <f t="shared" si="17"/>
        <v>6.9999999999999751</v>
      </c>
      <c r="V35" s="244">
        <f t="shared" si="16"/>
        <v>71.000000000000071</v>
      </c>
      <c r="W35" s="17"/>
      <c r="X35" s="17"/>
      <c r="Y35" s="17"/>
      <c r="Z35" s="17"/>
      <c r="AA35" s="236"/>
      <c r="AB35" s="237"/>
      <c r="AC35" s="155"/>
      <c r="AD35" s="19"/>
      <c r="AE35" s="15">
        <f t="shared" si="5"/>
        <v>-109.01408450704457</v>
      </c>
      <c r="AF35" s="241">
        <f t="shared" si="6"/>
        <v>0.9545774647887314</v>
      </c>
      <c r="AG35" s="619"/>
    </row>
    <row r="36" spans="1:33" ht="15.75" customHeight="1">
      <c r="A36" s="636" t="s">
        <v>1005</v>
      </c>
      <c r="B36" s="33" t="s">
        <v>998</v>
      </c>
      <c r="C36" s="620"/>
      <c r="D36" s="620"/>
      <c r="E36" s="242"/>
      <c r="F36" s="245"/>
      <c r="G36" s="240"/>
      <c r="H36" s="245"/>
      <c r="I36" s="23">
        <v>17</v>
      </c>
      <c r="J36" s="30">
        <v>2400</v>
      </c>
      <c r="K36" s="13">
        <f t="shared" si="0"/>
        <v>141.1764705882353</v>
      </c>
      <c r="L36" s="23">
        <v>17</v>
      </c>
      <c r="M36" s="14">
        <f>AVERAGE(M28:M35)</f>
        <v>2293.0187304204251</v>
      </c>
      <c r="N36" s="13">
        <f t="shared" si="1"/>
        <v>134.88345473061324</v>
      </c>
      <c r="O36" s="15">
        <f t="shared" si="2"/>
        <v>0</v>
      </c>
      <c r="P36" s="16">
        <f t="shared" si="3"/>
        <v>-6.2930158576220663</v>
      </c>
      <c r="Q36" s="241">
        <f t="shared" si="4"/>
        <v>0.95542447100851036</v>
      </c>
      <c r="R36" s="619"/>
      <c r="S36" s="31"/>
      <c r="T36" s="31"/>
      <c r="U36" s="240"/>
      <c r="V36" s="244"/>
      <c r="W36" s="240"/>
      <c r="X36" s="240"/>
      <c r="Y36" s="24">
        <f>SUM(Y28:Y35)</f>
        <v>0</v>
      </c>
      <c r="Z36" s="24">
        <f>SUM(Z28:Z35)</f>
        <v>0</v>
      </c>
      <c r="AA36" s="609"/>
      <c r="AB36" s="609"/>
      <c r="AC36" s="24">
        <v>8</v>
      </c>
      <c r="AD36" s="24">
        <f>SUM(AD28:AD35)</f>
        <v>0</v>
      </c>
      <c r="AE36" s="15">
        <f t="shared" si="5"/>
        <v>-106.98126957957493</v>
      </c>
      <c r="AF36" s="241">
        <f t="shared" si="6"/>
        <v>0.95542447100851047</v>
      </c>
      <c r="AG36" s="619"/>
    </row>
    <row r="37" spans="1:33" ht="15.75" customHeight="1">
      <c r="A37" s="633" t="s">
        <v>1003</v>
      </c>
      <c r="B37" s="33" t="s">
        <v>27</v>
      </c>
      <c r="C37" s="611" t="s">
        <v>33</v>
      </c>
      <c r="D37" s="611"/>
      <c r="E37" s="33">
        <v>26.18</v>
      </c>
      <c r="F37" s="245">
        <v>3600</v>
      </c>
      <c r="G37" s="240">
        <f t="shared" ref="G37:G45" si="18">E37*F37</f>
        <v>94248</v>
      </c>
      <c r="H37" s="29">
        <v>2</v>
      </c>
      <c r="I37" s="243">
        <v>20</v>
      </c>
      <c r="J37" s="30">
        <v>2400</v>
      </c>
      <c r="K37" s="13">
        <f t="shared" ref="K37:K68" si="19">J37/I37</f>
        <v>120</v>
      </c>
      <c r="L37" s="243">
        <v>20</v>
      </c>
      <c r="M37" s="14">
        <f t="shared" ref="M37:M45" si="20">F37/V37*60</f>
        <v>2297.8723404255315</v>
      </c>
      <c r="N37" s="13">
        <f t="shared" ref="N37:N68" si="21">M37/L37</f>
        <v>114.89361702127658</v>
      </c>
      <c r="O37" s="15">
        <f t="shared" ref="O37:O72" si="22">L37-I37</f>
        <v>0</v>
      </c>
      <c r="P37" s="16">
        <f t="shared" ref="P37:P72" si="23">N37-K37</f>
        <v>-5.106382978723417</v>
      </c>
      <c r="Q37" s="241">
        <f t="shared" ref="Q37:Q72" si="24">N37/K37</f>
        <v>0.95744680851063824</v>
      </c>
      <c r="R37" s="619">
        <f>Q46</f>
        <v>0.95665873713559335</v>
      </c>
      <c r="S37" s="31">
        <v>8.3333333333333329E-2</v>
      </c>
      <c r="T37" s="31">
        <v>0.14861111111111111</v>
      </c>
      <c r="U37" s="240"/>
      <c r="V37" s="244">
        <f t="shared" ref="V37:V45" si="25">(T37-S37)*24*60</f>
        <v>94.000000000000014</v>
      </c>
      <c r="W37" s="22">
        <f>T37</f>
        <v>0.14861111111111111</v>
      </c>
      <c r="X37" s="22">
        <f>S38</f>
        <v>0.16805555555555554</v>
      </c>
      <c r="Y37" s="22"/>
      <c r="Z37" s="22"/>
      <c r="AA37" s="610"/>
      <c r="AB37" s="610"/>
      <c r="AC37" s="155">
        <v>9</v>
      </c>
      <c r="AD37" s="19"/>
      <c r="AE37" s="15">
        <f t="shared" ref="AE37:AE72" si="26">M37-J37</f>
        <v>-102.12765957446845</v>
      </c>
      <c r="AF37" s="241">
        <f t="shared" ref="AF37:AF72" si="27">M37/J37</f>
        <v>0.95744680851063813</v>
      </c>
      <c r="AG37" s="619">
        <f>AF46</f>
        <v>0.95665873713559335</v>
      </c>
    </row>
    <row r="38" spans="1:33" ht="15.75" customHeight="1">
      <c r="A38" s="633" t="s">
        <v>1003</v>
      </c>
      <c r="B38" s="33" t="s">
        <v>27</v>
      </c>
      <c r="C38" s="611" t="s">
        <v>30</v>
      </c>
      <c r="D38" s="611"/>
      <c r="E38" s="33">
        <v>26.18</v>
      </c>
      <c r="F38" s="245">
        <v>4450</v>
      </c>
      <c r="G38" s="240">
        <f t="shared" si="18"/>
        <v>116501</v>
      </c>
      <c r="H38" s="29">
        <v>2</v>
      </c>
      <c r="I38" s="243">
        <v>18</v>
      </c>
      <c r="J38" s="30">
        <v>2400</v>
      </c>
      <c r="K38" s="13">
        <f t="shared" si="19"/>
        <v>133.33333333333334</v>
      </c>
      <c r="L38" s="243">
        <v>18</v>
      </c>
      <c r="M38" s="14">
        <f t="shared" si="20"/>
        <v>2282.0512820512818</v>
      </c>
      <c r="N38" s="13">
        <f t="shared" si="21"/>
        <v>126.78062678062676</v>
      </c>
      <c r="O38" s="15">
        <f t="shared" si="22"/>
        <v>0</v>
      </c>
      <c r="P38" s="16">
        <f t="shared" si="23"/>
        <v>-6.5527065527065815</v>
      </c>
      <c r="Q38" s="241">
        <f t="shared" si="24"/>
        <v>0.9508547008547007</v>
      </c>
      <c r="R38" s="619"/>
      <c r="S38" s="31">
        <v>0.16805555555555554</v>
      </c>
      <c r="T38" s="31">
        <v>0.24930555555555556</v>
      </c>
      <c r="U38" s="240">
        <f t="shared" ref="U38:U45" si="28">(S38-T37)*24*60</f>
        <v>27.999999999999979</v>
      </c>
      <c r="V38" s="244">
        <f t="shared" si="25"/>
        <v>117.00000000000003</v>
      </c>
      <c r="W38" s="240"/>
      <c r="X38" s="240"/>
      <c r="Y38" s="240"/>
      <c r="Z38" s="240"/>
      <c r="AA38" s="610"/>
      <c r="AB38" s="610"/>
      <c r="AC38" s="155"/>
      <c r="AD38" s="19"/>
      <c r="AE38" s="15">
        <f t="shared" si="26"/>
        <v>-117.94871794871824</v>
      </c>
      <c r="AF38" s="241">
        <f t="shared" si="27"/>
        <v>0.9508547008547007</v>
      </c>
      <c r="AG38" s="619"/>
    </row>
    <row r="39" spans="1:33">
      <c r="A39" s="634" t="s">
        <v>1004</v>
      </c>
      <c r="B39" s="33" t="s">
        <v>27</v>
      </c>
      <c r="C39" s="611" t="s">
        <v>35</v>
      </c>
      <c r="D39" s="611"/>
      <c r="E39" s="33">
        <v>34.1</v>
      </c>
      <c r="F39" s="245">
        <v>2400</v>
      </c>
      <c r="G39" s="240">
        <f t="shared" si="18"/>
        <v>81840</v>
      </c>
      <c r="H39" s="29">
        <v>2</v>
      </c>
      <c r="I39" s="243">
        <v>17</v>
      </c>
      <c r="J39" s="30">
        <v>1600</v>
      </c>
      <c r="K39" s="13">
        <f t="shared" si="19"/>
        <v>94.117647058823536</v>
      </c>
      <c r="L39" s="243">
        <v>17</v>
      </c>
      <c r="M39" s="14">
        <f t="shared" si="20"/>
        <v>1531.9148936170216</v>
      </c>
      <c r="N39" s="13">
        <f t="shared" si="21"/>
        <v>90.112640801001263</v>
      </c>
      <c r="O39" s="15">
        <f t="shared" si="22"/>
        <v>0</v>
      </c>
      <c r="P39" s="16">
        <f t="shared" si="23"/>
        <v>-4.0050062578222736</v>
      </c>
      <c r="Q39" s="241">
        <f t="shared" si="24"/>
        <v>0.95744680851063835</v>
      </c>
      <c r="R39" s="619"/>
      <c r="S39" s="31">
        <v>0.25277777777777777</v>
      </c>
      <c r="T39" s="31">
        <v>0.31805555555555554</v>
      </c>
      <c r="U39" s="240">
        <f t="shared" si="28"/>
        <v>4.9999999999999822</v>
      </c>
      <c r="V39" s="244">
        <f t="shared" si="25"/>
        <v>93.999999999999986</v>
      </c>
      <c r="W39" s="240"/>
      <c r="X39" s="240"/>
      <c r="Y39" s="240"/>
      <c r="Z39" s="240"/>
      <c r="AA39" s="610"/>
      <c r="AB39" s="610"/>
      <c r="AC39" s="155"/>
      <c r="AD39" s="19"/>
      <c r="AE39" s="15">
        <f t="shared" si="26"/>
        <v>-68.085106382978438</v>
      </c>
      <c r="AF39" s="241">
        <f t="shared" si="27"/>
        <v>0.95744680851063846</v>
      </c>
      <c r="AG39" s="619"/>
    </row>
    <row r="40" spans="1:33">
      <c r="A40" s="634" t="s">
        <v>1003</v>
      </c>
      <c r="B40" s="33" t="s">
        <v>27</v>
      </c>
      <c r="C40" s="611" t="s">
        <v>52</v>
      </c>
      <c r="D40" s="611"/>
      <c r="E40" s="33">
        <v>25.98</v>
      </c>
      <c r="F40" s="245">
        <v>1957</v>
      </c>
      <c r="G40" s="240">
        <f t="shared" si="18"/>
        <v>50842.86</v>
      </c>
      <c r="H40" s="29" t="s">
        <v>5</v>
      </c>
      <c r="I40" s="243">
        <v>17</v>
      </c>
      <c r="J40" s="30">
        <v>2400</v>
      </c>
      <c r="K40" s="13">
        <f t="shared" si="19"/>
        <v>141.1764705882353</v>
      </c>
      <c r="L40" s="243">
        <v>17</v>
      </c>
      <c r="M40" s="14">
        <f t="shared" si="20"/>
        <v>2302.3529411764716</v>
      </c>
      <c r="N40" s="13">
        <f t="shared" si="21"/>
        <v>135.43252595155715</v>
      </c>
      <c r="O40" s="15">
        <f t="shared" si="22"/>
        <v>0</v>
      </c>
      <c r="P40" s="16">
        <f t="shared" si="23"/>
        <v>-5.743944636678151</v>
      </c>
      <c r="Q40" s="241">
        <f t="shared" si="24"/>
        <v>0.95931372549019645</v>
      </c>
      <c r="R40" s="619"/>
      <c r="S40" s="31">
        <v>0.32361111111111107</v>
      </c>
      <c r="T40" s="31">
        <v>0.35902777777777772</v>
      </c>
      <c r="U40" s="240">
        <f t="shared" si="28"/>
        <v>7.9999999999999716</v>
      </c>
      <c r="V40" s="244">
        <f t="shared" si="25"/>
        <v>50.999999999999979</v>
      </c>
      <c r="W40" s="17"/>
      <c r="X40" s="17"/>
      <c r="Y40" s="17"/>
      <c r="Z40" s="17"/>
      <c r="AA40" s="610"/>
      <c r="AB40" s="610"/>
      <c r="AC40" s="155"/>
      <c r="AD40" s="19"/>
      <c r="AE40" s="15">
        <f t="shared" si="26"/>
        <v>-97.647058823528369</v>
      </c>
      <c r="AF40" s="241">
        <f t="shared" si="27"/>
        <v>0.95931372549019656</v>
      </c>
      <c r="AG40" s="619"/>
    </row>
    <row r="41" spans="1:33">
      <c r="A41" s="634" t="s">
        <v>1003</v>
      </c>
      <c r="B41" s="33" t="s">
        <v>27</v>
      </c>
      <c r="C41" s="611" t="s">
        <v>54</v>
      </c>
      <c r="D41" s="611"/>
      <c r="E41" s="33">
        <v>24.25</v>
      </c>
      <c r="F41" s="245">
        <v>2096</v>
      </c>
      <c r="G41" s="240">
        <f t="shared" si="18"/>
        <v>50828</v>
      </c>
      <c r="H41" s="29" t="s">
        <v>5</v>
      </c>
      <c r="I41" s="243">
        <v>16</v>
      </c>
      <c r="J41" s="30">
        <v>2400</v>
      </c>
      <c r="K41" s="13">
        <f t="shared" si="19"/>
        <v>150</v>
      </c>
      <c r="L41" s="243">
        <v>16</v>
      </c>
      <c r="M41" s="14">
        <f t="shared" si="20"/>
        <v>2286.5454545454559</v>
      </c>
      <c r="N41" s="13">
        <f t="shared" si="21"/>
        <v>142.90909090909099</v>
      </c>
      <c r="O41" s="15">
        <f t="shared" si="22"/>
        <v>0</v>
      </c>
      <c r="P41" s="16">
        <f t="shared" si="23"/>
        <v>-7.0909090909090082</v>
      </c>
      <c r="Q41" s="241">
        <f t="shared" si="24"/>
        <v>0.95272727272727331</v>
      </c>
      <c r="R41" s="619"/>
      <c r="S41" s="31">
        <v>0.36319444444444438</v>
      </c>
      <c r="T41" s="31">
        <v>0.4013888888888888</v>
      </c>
      <c r="U41" s="240">
        <f t="shared" si="28"/>
        <v>5.9999999999999787</v>
      </c>
      <c r="V41" s="244">
        <f t="shared" si="25"/>
        <v>54.999999999999964</v>
      </c>
      <c r="W41" s="17"/>
      <c r="X41" s="17"/>
      <c r="Y41" s="17"/>
      <c r="Z41" s="17"/>
      <c r="AA41" s="610"/>
      <c r="AB41" s="610"/>
      <c r="AC41" s="155"/>
      <c r="AD41" s="19"/>
      <c r="AE41" s="15">
        <f t="shared" si="26"/>
        <v>-113.45454545454413</v>
      </c>
      <c r="AF41" s="241">
        <f t="shared" si="27"/>
        <v>0.95272727272727331</v>
      </c>
      <c r="AG41" s="619"/>
    </row>
    <row r="42" spans="1:33">
      <c r="A42" s="634" t="s">
        <v>1003</v>
      </c>
      <c r="B42" s="33" t="s">
        <v>27</v>
      </c>
      <c r="C42" s="611" t="s">
        <v>32</v>
      </c>
      <c r="D42" s="611"/>
      <c r="E42" s="33">
        <v>25.99</v>
      </c>
      <c r="F42" s="245">
        <v>3686</v>
      </c>
      <c r="G42" s="240">
        <f t="shared" si="18"/>
        <v>95799.14</v>
      </c>
      <c r="H42" s="29" t="s">
        <v>5</v>
      </c>
      <c r="I42" s="243">
        <v>14</v>
      </c>
      <c r="J42" s="30">
        <v>2400</v>
      </c>
      <c r="K42" s="13">
        <f t="shared" si="19"/>
        <v>171.42857142857142</v>
      </c>
      <c r="L42" s="243">
        <v>14</v>
      </c>
      <c r="M42" s="14">
        <f t="shared" si="20"/>
        <v>2303.7500000000005</v>
      </c>
      <c r="N42" s="13">
        <f t="shared" si="21"/>
        <v>164.55357142857147</v>
      </c>
      <c r="O42" s="15">
        <f t="shared" si="22"/>
        <v>0</v>
      </c>
      <c r="P42" s="16">
        <f t="shared" si="23"/>
        <v>-6.8749999999999432</v>
      </c>
      <c r="Q42" s="241">
        <f t="shared" si="24"/>
        <v>0.95989583333333361</v>
      </c>
      <c r="R42" s="619"/>
      <c r="S42" s="31">
        <v>0.40486111111111101</v>
      </c>
      <c r="T42" s="31">
        <v>0.47152777777777766</v>
      </c>
      <c r="U42" s="240">
        <f t="shared" si="28"/>
        <v>4.9999999999999822</v>
      </c>
      <c r="V42" s="244">
        <f t="shared" si="25"/>
        <v>95.999999999999972</v>
      </c>
      <c r="W42" s="17">
        <f>T42</f>
        <v>0.47152777777777766</v>
      </c>
      <c r="X42" s="17">
        <f>S43</f>
        <v>0.51111111111111096</v>
      </c>
      <c r="Y42" s="17"/>
      <c r="Z42" s="17"/>
      <c r="AA42" s="610"/>
      <c r="AB42" s="610"/>
      <c r="AC42" s="155"/>
      <c r="AD42" s="19"/>
      <c r="AE42" s="15">
        <f t="shared" si="26"/>
        <v>-96.249999999999545</v>
      </c>
      <c r="AF42" s="241">
        <f t="shared" si="27"/>
        <v>0.9598958333333335</v>
      </c>
      <c r="AG42" s="619"/>
    </row>
    <row r="43" spans="1:33">
      <c r="A43" s="634" t="s">
        <v>1003</v>
      </c>
      <c r="B43" s="33" t="s">
        <v>27</v>
      </c>
      <c r="C43" s="611" t="s">
        <v>35</v>
      </c>
      <c r="D43" s="611"/>
      <c r="E43" s="33">
        <v>34.1</v>
      </c>
      <c r="F43" s="245">
        <v>3806</v>
      </c>
      <c r="G43" s="240">
        <f t="shared" si="18"/>
        <v>129784.6</v>
      </c>
      <c r="H43" s="29" t="s">
        <v>5</v>
      </c>
      <c r="I43" s="243">
        <v>17</v>
      </c>
      <c r="J43" s="30">
        <v>1600</v>
      </c>
      <c r="K43" s="13">
        <f t="shared" si="19"/>
        <v>94.117647058823536</v>
      </c>
      <c r="L43" s="243">
        <v>17</v>
      </c>
      <c r="M43" s="14">
        <f t="shared" si="20"/>
        <v>1532.6174496644303</v>
      </c>
      <c r="N43" s="13">
        <f t="shared" si="21"/>
        <v>90.153967627319432</v>
      </c>
      <c r="O43" s="15">
        <f t="shared" si="22"/>
        <v>0</v>
      </c>
      <c r="P43" s="16">
        <f t="shared" si="23"/>
        <v>-3.9636794315041044</v>
      </c>
      <c r="Q43" s="241">
        <f t="shared" si="24"/>
        <v>0.95788590604026891</v>
      </c>
      <c r="R43" s="619"/>
      <c r="S43" s="31">
        <v>0.51111111111111096</v>
      </c>
      <c r="T43" s="31">
        <v>0.61458333333333315</v>
      </c>
      <c r="U43" s="240">
        <f t="shared" si="28"/>
        <v>56.999999999999957</v>
      </c>
      <c r="V43" s="244">
        <f t="shared" si="25"/>
        <v>148.99999999999994</v>
      </c>
      <c r="W43" s="17"/>
      <c r="X43" s="17"/>
      <c r="Y43" s="20"/>
      <c r="Z43" s="20"/>
      <c r="AA43" s="614"/>
      <c r="AB43" s="615"/>
      <c r="AC43" s="155"/>
      <c r="AD43" s="19"/>
      <c r="AE43" s="15">
        <f t="shared" si="26"/>
        <v>-67.382550335569704</v>
      </c>
      <c r="AF43" s="241">
        <f t="shared" si="27"/>
        <v>0.95788590604026891</v>
      </c>
      <c r="AG43" s="619"/>
    </row>
    <row r="44" spans="1:33">
      <c r="A44" s="634" t="s">
        <v>1003</v>
      </c>
      <c r="B44" s="33" t="s">
        <v>27</v>
      </c>
      <c r="C44" s="611" t="s">
        <v>30</v>
      </c>
      <c r="D44" s="611"/>
      <c r="E44" s="33">
        <v>26.18</v>
      </c>
      <c r="F44" s="245">
        <v>3542</v>
      </c>
      <c r="G44" s="240">
        <f t="shared" si="18"/>
        <v>92729.56</v>
      </c>
      <c r="H44" s="29" t="s">
        <v>5</v>
      </c>
      <c r="I44" s="243">
        <v>18</v>
      </c>
      <c r="J44" s="30">
        <v>2400</v>
      </c>
      <c r="K44" s="13">
        <f t="shared" si="19"/>
        <v>133.33333333333334</v>
      </c>
      <c r="L44" s="243">
        <v>18</v>
      </c>
      <c r="M44" s="14">
        <f t="shared" si="20"/>
        <v>2285.161290322581</v>
      </c>
      <c r="N44" s="13">
        <f t="shared" si="21"/>
        <v>126.95340501792117</v>
      </c>
      <c r="O44" s="15">
        <f t="shared" si="22"/>
        <v>0</v>
      </c>
      <c r="P44" s="16">
        <f t="shared" si="23"/>
        <v>-6.3799283154121724</v>
      </c>
      <c r="Q44" s="241">
        <f t="shared" si="24"/>
        <v>0.95215053763440871</v>
      </c>
      <c r="R44" s="619"/>
      <c r="S44" s="31">
        <v>0.61805555555555536</v>
      </c>
      <c r="T44" s="31">
        <v>0.68263888888888868</v>
      </c>
      <c r="U44" s="240">
        <f t="shared" si="28"/>
        <v>4.9999999999999822</v>
      </c>
      <c r="V44" s="244">
        <f t="shared" si="25"/>
        <v>92.999999999999986</v>
      </c>
      <c r="W44" s="17"/>
      <c r="X44" s="17"/>
      <c r="Y44" s="20"/>
      <c r="Z44" s="20"/>
      <c r="AA44" s="614"/>
      <c r="AB44" s="615"/>
      <c r="AC44" s="155"/>
      <c r="AD44" s="19"/>
      <c r="AE44" s="15">
        <f t="shared" si="26"/>
        <v>-114.83870967741905</v>
      </c>
      <c r="AF44" s="241">
        <f t="shared" si="27"/>
        <v>0.95215053763440871</v>
      </c>
      <c r="AG44" s="619"/>
    </row>
    <row r="45" spans="1:33">
      <c r="A45" s="634" t="s">
        <v>1003</v>
      </c>
      <c r="B45" s="33" t="s">
        <v>27</v>
      </c>
      <c r="C45" s="612" t="s">
        <v>33</v>
      </c>
      <c r="D45" s="613"/>
      <c r="E45" s="33">
        <v>26.18</v>
      </c>
      <c r="F45" s="245">
        <v>2542</v>
      </c>
      <c r="G45" s="240">
        <f t="shared" si="18"/>
        <v>66549.56</v>
      </c>
      <c r="H45" s="29" t="s">
        <v>5</v>
      </c>
      <c r="I45" s="243">
        <v>20</v>
      </c>
      <c r="J45" s="30">
        <v>2400</v>
      </c>
      <c r="K45" s="13">
        <f t="shared" si="19"/>
        <v>120</v>
      </c>
      <c r="L45" s="243">
        <v>20</v>
      </c>
      <c r="M45" s="14">
        <f t="shared" si="20"/>
        <v>2310.9090909090937</v>
      </c>
      <c r="N45" s="13">
        <f t="shared" si="21"/>
        <v>115.54545454545469</v>
      </c>
      <c r="O45" s="15">
        <f t="shared" si="22"/>
        <v>0</v>
      </c>
      <c r="P45" s="16">
        <f t="shared" si="23"/>
        <v>-4.4545454545453111</v>
      </c>
      <c r="Q45" s="241">
        <f t="shared" si="24"/>
        <v>0.96287878787878911</v>
      </c>
      <c r="R45" s="619"/>
      <c r="S45" s="31">
        <v>0.68819444444444422</v>
      </c>
      <c r="T45" s="31">
        <v>0.7340277777777775</v>
      </c>
      <c r="U45" s="240">
        <f t="shared" si="28"/>
        <v>7.9999999999999716</v>
      </c>
      <c r="V45" s="244">
        <f t="shared" si="25"/>
        <v>65.999999999999929</v>
      </c>
      <c r="W45" s="17"/>
      <c r="X45" s="17"/>
      <c r="Y45" s="20"/>
      <c r="Z45" s="20"/>
      <c r="AA45" s="236"/>
      <c r="AB45" s="237"/>
      <c r="AC45" s="155"/>
      <c r="AD45" s="19"/>
      <c r="AE45" s="15">
        <f t="shared" si="26"/>
        <v>-89.09090909090628</v>
      </c>
      <c r="AF45" s="241">
        <f t="shared" si="27"/>
        <v>0.962878787878789</v>
      </c>
      <c r="AG45" s="619"/>
    </row>
    <row r="46" spans="1:33">
      <c r="A46" s="634" t="s">
        <v>1003</v>
      </c>
      <c r="B46" s="34" t="s">
        <v>998</v>
      </c>
      <c r="C46" s="620"/>
      <c r="D46" s="620"/>
      <c r="E46" s="242"/>
      <c r="F46" s="34"/>
      <c r="G46" s="13"/>
      <c r="H46" s="245"/>
      <c r="I46" s="23">
        <v>17.444444444444443</v>
      </c>
      <c r="J46" s="30">
        <v>2222.2222222222222</v>
      </c>
      <c r="K46" s="13">
        <f t="shared" si="19"/>
        <v>127.38853503184714</v>
      </c>
      <c r="L46" s="23">
        <v>17.444444444444443</v>
      </c>
      <c r="M46" s="14">
        <f>AVERAGE(M37:M45)</f>
        <v>2125.908304745763</v>
      </c>
      <c r="N46" s="13">
        <f t="shared" si="21"/>
        <v>121.86735504912018</v>
      </c>
      <c r="O46" s="15">
        <f t="shared" si="22"/>
        <v>0</v>
      </c>
      <c r="P46" s="16">
        <f t="shared" si="23"/>
        <v>-5.521179982726963</v>
      </c>
      <c r="Q46" s="241">
        <f t="shared" si="24"/>
        <v>0.95665873713559335</v>
      </c>
      <c r="R46" s="619"/>
      <c r="S46" s="31"/>
      <c r="T46" s="31"/>
      <c r="U46" s="13"/>
      <c r="V46" s="244"/>
      <c r="W46" s="13"/>
      <c r="X46" s="13"/>
      <c r="Y46" s="24">
        <f>SUM(Y37:Y45)</f>
        <v>0</v>
      </c>
      <c r="Z46" s="24">
        <f>SUM(Z37:Z45)</f>
        <v>0</v>
      </c>
      <c r="AA46" s="609"/>
      <c r="AB46" s="609"/>
      <c r="AC46" s="24">
        <v>9</v>
      </c>
      <c r="AD46" s="24">
        <f>SUM(AD37:AD45)</f>
        <v>0</v>
      </c>
      <c r="AE46" s="15">
        <f t="shared" si="26"/>
        <v>-96.31391747645921</v>
      </c>
      <c r="AF46" s="241">
        <f t="shared" si="27"/>
        <v>0.95665873713559335</v>
      </c>
      <c r="AG46" s="619"/>
    </row>
    <row r="47" spans="1:33" ht="15.75" customHeight="1">
      <c r="A47" s="630" t="s">
        <v>1002</v>
      </c>
      <c r="B47" s="33" t="s">
        <v>36</v>
      </c>
      <c r="C47" s="612" t="s">
        <v>37</v>
      </c>
      <c r="D47" s="613"/>
      <c r="E47" s="33">
        <v>21.13</v>
      </c>
      <c r="F47" s="245">
        <v>5397</v>
      </c>
      <c r="G47" s="240">
        <f>E47*F47</f>
        <v>114038.61</v>
      </c>
      <c r="H47" s="29" t="s">
        <v>5</v>
      </c>
      <c r="I47" s="243">
        <v>10</v>
      </c>
      <c r="J47" s="30">
        <v>3000</v>
      </c>
      <c r="K47" s="13">
        <f t="shared" si="19"/>
        <v>300</v>
      </c>
      <c r="L47" s="243">
        <v>10</v>
      </c>
      <c r="M47" s="14">
        <f>F47/V47*60</f>
        <v>2865.6637168141601</v>
      </c>
      <c r="N47" s="14">
        <f t="shared" si="21"/>
        <v>286.566371681416</v>
      </c>
      <c r="O47" s="15">
        <f t="shared" si="22"/>
        <v>0</v>
      </c>
      <c r="P47" s="16">
        <f t="shared" si="23"/>
        <v>-13.433628318583999</v>
      </c>
      <c r="Q47" s="241">
        <f t="shared" si="24"/>
        <v>0.95522123893805333</v>
      </c>
      <c r="R47" s="625">
        <f>Q50</f>
        <v>0.95707540057240315</v>
      </c>
      <c r="S47" s="31">
        <v>0.20833333333333334</v>
      </c>
      <c r="T47" s="31">
        <v>0.28680555555555554</v>
      </c>
      <c r="U47" s="22"/>
      <c r="V47" s="244">
        <f>(T47-S47)*24*60</f>
        <v>112.99999999999996</v>
      </c>
      <c r="W47" s="17"/>
      <c r="X47" s="17"/>
      <c r="Y47" s="20"/>
      <c r="Z47" s="20"/>
      <c r="AA47" s="614"/>
      <c r="AB47" s="615"/>
      <c r="AC47" s="155">
        <v>3</v>
      </c>
      <c r="AD47" s="19"/>
      <c r="AE47" s="15">
        <f t="shared" si="26"/>
        <v>-134.33628318583987</v>
      </c>
      <c r="AF47" s="241">
        <f t="shared" si="27"/>
        <v>0.95522123893805333</v>
      </c>
      <c r="AG47" s="625">
        <f>AF50</f>
        <v>0.95707540057240315</v>
      </c>
    </row>
    <row r="48" spans="1:33" ht="15.75" customHeight="1">
      <c r="A48" s="631" t="s">
        <v>1002</v>
      </c>
      <c r="B48" s="33" t="s">
        <v>36</v>
      </c>
      <c r="C48" s="612" t="s">
        <v>38</v>
      </c>
      <c r="D48" s="613"/>
      <c r="E48" s="33">
        <v>27.17</v>
      </c>
      <c r="F48" s="245">
        <v>5932</v>
      </c>
      <c r="G48" s="240">
        <f>E48*F48</f>
        <v>161172.44</v>
      </c>
      <c r="H48" s="29" t="s">
        <v>5</v>
      </c>
      <c r="I48" s="243">
        <v>10</v>
      </c>
      <c r="J48" s="30">
        <v>3000</v>
      </c>
      <c r="K48" s="13">
        <f t="shared" si="19"/>
        <v>300</v>
      </c>
      <c r="L48" s="243">
        <v>10</v>
      </c>
      <c r="M48" s="14">
        <f>F48/V48*60</f>
        <v>2870.3225806451601</v>
      </c>
      <c r="N48" s="14">
        <f t="shared" si="21"/>
        <v>287.03225806451599</v>
      </c>
      <c r="O48" s="15">
        <f t="shared" si="22"/>
        <v>0</v>
      </c>
      <c r="P48" s="16">
        <f t="shared" si="23"/>
        <v>-12.967741935484014</v>
      </c>
      <c r="Q48" s="241">
        <f t="shared" si="24"/>
        <v>0.95677419354838666</v>
      </c>
      <c r="R48" s="626"/>
      <c r="S48" s="31">
        <v>0.29097222222222219</v>
      </c>
      <c r="T48" s="31">
        <v>0.37708333333333333</v>
      </c>
      <c r="U48" s="240">
        <f>(S48-T47)*24*60</f>
        <v>5.9999999999999787</v>
      </c>
      <c r="V48" s="244">
        <f>(T48-S48)*24*60</f>
        <v>124.00000000000004</v>
      </c>
      <c r="W48" s="17"/>
      <c r="X48" s="17"/>
      <c r="Y48" s="20"/>
      <c r="Z48" s="20"/>
      <c r="AA48" s="614"/>
      <c r="AB48" s="615"/>
      <c r="AC48" s="155"/>
      <c r="AD48" s="19"/>
      <c r="AE48" s="15">
        <f t="shared" si="26"/>
        <v>-129.67741935483991</v>
      </c>
      <c r="AF48" s="241">
        <f t="shared" si="27"/>
        <v>0.95677419354838666</v>
      </c>
      <c r="AG48" s="626"/>
    </row>
    <row r="49" spans="1:33" ht="15.75" customHeight="1">
      <c r="A49" s="631" t="s">
        <v>1002</v>
      </c>
      <c r="B49" s="33" t="s">
        <v>36</v>
      </c>
      <c r="C49" s="612" t="s">
        <v>39</v>
      </c>
      <c r="D49" s="613"/>
      <c r="E49" s="33">
        <v>35.869999999999997</v>
      </c>
      <c r="F49" s="245">
        <v>1247</v>
      </c>
      <c r="G49" s="240">
        <f>E49*F49</f>
        <v>44729.89</v>
      </c>
      <c r="H49" s="29" t="s">
        <v>5</v>
      </c>
      <c r="I49" s="243">
        <v>9</v>
      </c>
      <c r="J49" s="30">
        <v>3000</v>
      </c>
      <c r="K49" s="13">
        <f t="shared" si="19"/>
        <v>333.33333333333331</v>
      </c>
      <c r="L49" s="243">
        <v>9</v>
      </c>
      <c r="M49" s="14">
        <f>F49/V49*60</f>
        <v>2877.6923076923094</v>
      </c>
      <c r="N49" s="14">
        <f t="shared" si="21"/>
        <v>319.74358974358995</v>
      </c>
      <c r="O49" s="15">
        <f t="shared" si="22"/>
        <v>0</v>
      </c>
      <c r="P49" s="16">
        <f t="shared" si="23"/>
        <v>-13.589743589743364</v>
      </c>
      <c r="Q49" s="241">
        <f t="shared" si="24"/>
        <v>0.95923076923076989</v>
      </c>
      <c r="R49" s="626"/>
      <c r="S49" s="31">
        <v>0.38055555555555554</v>
      </c>
      <c r="T49" s="31">
        <v>0.39861111111111108</v>
      </c>
      <c r="U49" s="240">
        <f>(S49-T48)*24*60</f>
        <v>4.9999999999999822</v>
      </c>
      <c r="V49" s="244">
        <f>(T49-S49)*24*60</f>
        <v>25.999999999999986</v>
      </c>
      <c r="W49" s="17"/>
      <c r="X49" s="17"/>
      <c r="Y49" s="20"/>
      <c r="Z49" s="20"/>
      <c r="AA49" s="614"/>
      <c r="AB49" s="615"/>
      <c r="AC49" s="155"/>
      <c r="AD49" s="19"/>
      <c r="AE49" s="15">
        <f t="shared" si="26"/>
        <v>-122.30769230769056</v>
      </c>
      <c r="AF49" s="241">
        <f t="shared" si="27"/>
        <v>0.95923076923076978</v>
      </c>
      <c r="AG49" s="626"/>
    </row>
    <row r="50" spans="1:33" ht="15.75" customHeight="1">
      <c r="A50" s="632" t="s">
        <v>1002</v>
      </c>
      <c r="B50" s="33" t="s">
        <v>998</v>
      </c>
      <c r="C50" s="607"/>
      <c r="D50" s="608"/>
      <c r="E50" s="238"/>
      <c r="F50" s="245"/>
      <c r="G50" s="240"/>
      <c r="H50" s="245"/>
      <c r="I50" s="23">
        <v>9.6666666666666661</v>
      </c>
      <c r="J50" s="30">
        <v>3000</v>
      </c>
      <c r="K50" s="13">
        <f t="shared" si="19"/>
        <v>310.34482758620692</v>
      </c>
      <c r="L50" s="23">
        <v>9.6666666666666661</v>
      </c>
      <c r="M50" s="14">
        <f>AVERAGE(M47:M49)</f>
        <v>2871.2262017172093</v>
      </c>
      <c r="N50" s="13">
        <f t="shared" si="21"/>
        <v>297.02340017764237</v>
      </c>
      <c r="O50" s="15">
        <f t="shared" si="22"/>
        <v>0</v>
      </c>
      <c r="P50" s="16">
        <f t="shared" si="23"/>
        <v>-13.321427408564546</v>
      </c>
      <c r="Q50" s="241">
        <f t="shared" si="24"/>
        <v>0.95707540057240315</v>
      </c>
      <c r="R50" s="627"/>
      <c r="S50" s="31"/>
      <c r="T50" s="31"/>
      <c r="U50" s="240"/>
      <c r="V50" s="244"/>
      <c r="W50" s="17"/>
      <c r="X50" s="17"/>
      <c r="Y50" s="24">
        <f>SUM(Y47:Y49)</f>
        <v>0</v>
      </c>
      <c r="Z50" s="24">
        <f>SUM(Z47:Z49)</f>
        <v>0</v>
      </c>
      <c r="AA50" s="628"/>
      <c r="AB50" s="629"/>
      <c r="AC50" s="24">
        <v>3</v>
      </c>
      <c r="AD50" s="24">
        <f>SUM(AD47:AD49)</f>
        <v>0</v>
      </c>
      <c r="AE50" s="15">
        <f t="shared" si="26"/>
        <v>-128.77379828279072</v>
      </c>
      <c r="AF50" s="241">
        <f t="shared" si="27"/>
        <v>0.95707540057240315</v>
      </c>
      <c r="AG50" s="627"/>
    </row>
    <row r="51" spans="1:33" ht="15.75" customHeight="1">
      <c r="A51" s="623" t="s">
        <v>1000</v>
      </c>
      <c r="B51" s="33" t="s">
        <v>6</v>
      </c>
      <c r="C51" s="611" t="s">
        <v>41</v>
      </c>
      <c r="D51" s="611"/>
      <c r="E51" s="33">
        <v>51.44</v>
      </c>
      <c r="F51" s="35">
        <v>1451</v>
      </c>
      <c r="G51" s="240">
        <f t="shared" ref="G51:G58" si="29">E51*F51</f>
        <v>74639.44</v>
      </c>
      <c r="H51" s="29" t="s">
        <v>5</v>
      </c>
      <c r="I51" s="243">
        <v>25</v>
      </c>
      <c r="J51" s="30">
        <v>2000</v>
      </c>
      <c r="K51" s="13">
        <f t="shared" si="19"/>
        <v>80</v>
      </c>
      <c r="L51" s="243">
        <v>25</v>
      </c>
      <c r="M51" s="14">
        <f t="shared" ref="M51:M58" si="30">F51/V51*60</f>
        <v>1934.6666666666667</v>
      </c>
      <c r="N51" s="14">
        <f t="shared" si="21"/>
        <v>77.38666666666667</v>
      </c>
      <c r="O51" s="15">
        <f t="shared" si="22"/>
        <v>0</v>
      </c>
      <c r="P51" s="16">
        <f t="shared" si="23"/>
        <v>-2.6133333333333297</v>
      </c>
      <c r="Q51" s="241">
        <f t="shared" si="24"/>
        <v>0.96733333333333338</v>
      </c>
      <c r="R51" s="619">
        <f>Q59</f>
        <v>0.96178912159755658</v>
      </c>
      <c r="S51" s="31">
        <v>0.20833333333333334</v>
      </c>
      <c r="T51" s="31">
        <v>0.23958333333333334</v>
      </c>
      <c r="U51" s="22"/>
      <c r="V51" s="244">
        <f t="shared" ref="V51:V58" si="31">(T51-S51)*24*60</f>
        <v>45</v>
      </c>
      <c r="W51" s="17"/>
      <c r="X51" s="17"/>
      <c r="Y51" s="22"/>
      <c r="Z51" s="22"/>
      <c r="AA51" s="610"/>
      <c r="AB51" s="610"/>
      <c r="AC51" s="155">
        <v>8</v>
      </c>
      <c r="AD51" s="19"/>
      <c r="AE51" s="15">
        <f t="shared" si="26"/>
        <v>-65.333333333333258</v>
      </c>
      <c r="AF51" s="241">
        <f t="shared" si="27"/>
        <v>0.96733333333333338</v>
      </c>
      <c r="AG51" s="619">
        <f>AF59</f>
        <v>0.96178912159755658</v>
      </c>
    </row>
    <row r="52" spans="1:33" ht="15.75" customHeight="1">
      <c r="A52" s="623" t="s">
        <v>1000</v>
      </c>
      <c r="B52" s="33" t="s">
        <v>6</v>
      </c>
      <c r="C52" s="611" t="s">
        <v>77</v>
      </c>
      <c r="D52" s="611"/>
      <c r="E52" s="33">
        <v>56.43</v>
      </c>
      <c r="F52" s="35">
        <v>1862</v>
      </c>
      <c r="G52" s="240">
        <f t="shared" si="29"/>
        <v>105072.66</v>
      </c>
      <c r="H52" s="29" t="s">
        <v>5</v>
      </c>
      <c r="I52" s="243">
        <v>23</v>
      </c>
      <c r="J52" s="30">
        <v>2000</v>
      </c>
      <c r="K52" s="13">
        <f t="shared" si="19"/>
        <v>86.956521739130437</v>
      </c>
      <c r="L52" s="243">
        <v>23</v>
      </c>
      <c r="M52" s="14">
        <f t="shared" si="30"/>
        <v>1926.206896551723</v>
      </c>
      <c r="N52" s="14">
        <f t="shared" si="21"/>
        <v>83.748125937031432</v>
      </c>
      <c r="O52" s="15">
        <f t="shared" si="22"/>
        <v>0</v>
      </c>
      <c r="P52" s="16">
        <f t="shared" si="23"/>
        <v>-3.2083958020990053</v>
      </c>
      <c r="Q52" s="241">
        <f t="shared" si="24"/>
        <v>0.96310344827586147</v>
      </c>
      <c r="R52" s="619"/>
      <c r="S52" s="31">
        <v>0.24375000000000002</v>
      </c>
      <c r="T52" s="31">
        <v>0.28402777777777782</v>
      </c>
      <c r="U52" s="240">
        <f t="shared" ref="U52:U58" si="32">IF(S52=TIME(17,0,0),"",(S52-T51)*24*60)</f>
        <v>6.0000000000000187</v>
      </c>
      <c r="V52" s="244">
        <f t="shared" si="31"/>
        <v>58.000000000000036</v>
      </c>
      <c r="W52" s="17"/>
      <c r="X52" s="17"/>
      <c r="Y52" s="17"/>
      <c r="Z52" s="17"/>
      <c r="AA52" s="610"/>
      <c r="AB52" s="610"/>
      <c r="AC52" s="155"/>
      <c r="AD52" s="19"/>
      <c r="AE52" s="15">
        <f t="shared" si="26"/>
        <v>-73.793103448276952</v>
      </c>
      <c r="AF52" s="241">
        <f t="shared" si="27"/>
        <v>0.96310344827586147</v>
      </c>
      <c r="AG52" s="619"/>
    </row>
    <row r="53" spans="1:33" ht="15.75" customHeight="1">
      <c r="A53" s="623" t="s">
        <v>1001</v>
      </c>
      <c r="B53" s="33" t="s">
        <v>6</v>
      </c>
      <c r="C53" s="612" t="s">
        <v>73</v>
      </c>
      <c r="D53" s="613"/>
      <c r="E53" s="33">
        <v>56.43</v>
      </c>
      <c r="F53" s="35">
        <v>1265</v>
      </c>
      <c r="G53" s="240">
        <f t="shared" si="29"/>
        <v>71383.95</v>
      </c>
      <c r="H53" s="29" t="s">
        <v>5</v>
      </c>
      <c r="I53" s="243">
        <v>25</v>
      </c>
      <c r="J53" s="30">
        <v>2000</v>
      </c>
      <c r="K53" s="13">
        <f t="shared" si="19"/>
        <v>80</v>
      </c>
      <c r="L53" s="243">
        <v>25</v>
      </c>
      <c r="M53" s="14">
        <f t="shared" si="30"/>
        <v>1946.1538461538451</v>
      </c>
      <c r="N53" s="14">
        <f t="shared" si="21"/>
        <v>77.846153846153797</v>
      </c>
      <c r="O53" s="15">
        <f t="shared" si="22"/>
        <v>0</v>
      </c>
      <c r="P53" s="16">
        <f t="shared" si="23"/>
        <v>-2.153846153846203</v>
      </c>
      <c r="Q53" s="241">
        <f t="shared" si="24"/>
        <v>0.97307692307692251</v>
      </c>
      <c r="R53" s="619"/>
      <c r="S53" s="31">
        <v>0.28750000000000003</v>
      </c>
      <c r="T53" s="31">
        <v>0.31458333333333338</v>
      </c>
      <c r="U53" s="240">
        <f t="shared" si="32"/>
        <v>4.9999999999999822</v>
      </c>
      <c r="V53" s="244">
        <f t="shared" si="31"/>
        <v>39.000000000000021</v>
      </c>
      <c r="W53" s="17"/>
      <c r="X53" s="17"/>
      <c r="Y53" s="20"/>
      <c r="Z53" s="20"/>
      <c r="AA53" s="610"/>
      <c r="AB53" s="610"/>
      <c r="AC53" s="155"/>
      <c r="AD53" s="19"/>
      <c r="AE53" s="15">
        <f t="shared" si="26"/>
        <v>-53.846153846154948</v>
      </c>
      <c r="AF53" s="241">
        <f t="shared" si="27"/>
        <v>0.97307692307692251</v>
      </c>
      <c r="AG53" s="619"/>
    </row>
    <row r="54" spans="1:33" ht="15.75" customHeight="1">
      <c r="A54" s="623" t="s">
        <v>297</v>
      </c>
      <c r="B54" s="33" t="s">
        <v>10</v>
      </c>
      <c r="C54" s="234" t="s">
        <v>42</v>
      </c>
      <c r="D54" s="235"/>
      <c r="E54" s="33">
        <v>46</v>
      </c>
      <c r="F54" s="35">
        <v>1278</v>
      </c>
      <c r="G54" s="240">
        <f t="shared" si="29"/>
        <v>58788</v>
      </c>
      <c r="H54" s="29" t="s">
        <v>5</v>
      </c>
      <c r="I54" s="243">
        <v>16</v>
      </c>
      <c r="J54" s="30">
        <v>2000</v>
      </c>
      <c r="K54" s="13">
        <f t="shared" si="19"/>
        <v>125</v>
      </c>
      <c r="L54" s="243">
        <v>16</v>
      </c>
      <c r="M54" s="14">
        <f t="shared" si="30"/>
        <v>1916.9999999999993</v>
      </c>
      <c r="N54" s="14">
        <f t="shared" si="21"/>
        <v>119.81249999999996</v>
      </c>
      <c r="O54" s="15">
        <f t="shared" si="22"/>
        <v>0</v>
      </c>
      <c r="P54" s="16">
        <f t="shared" si="23"/>
        <v>-5.1875000000000426</v>
      </c>
      <c r="Q54" s="241">
        <f t="shared" si="24"/>
        <v>0.95849999999999969</v>
      </c>
      <c r="R54" s="619"/>
      <c r="S54" s="31">
        <v>0.31944444444444448</v>
      </c>
      <c r="T54" s="31">
        <v>0.34722222222222227</v>
      </c>
      <c r="U54" s="240">
        <f t="shared" si="32"/>
        <v>6.9999999999999751</v>
      </c>
      <c r="V54" s="244">
        <f t="shared" si="31"/>
        <v>40.000000000000014</v>
      </c>
      <c r="W54" s="17"/>
      <c r="X54" s="17"/>
      <c r="Y54" s="20"/>
      <c r="Z54" s="20"/>
      <c r="AA54" s="610"/>
      <c r="AB54" s="610"/>
      <c r="AC54" s="155"/>
      <c r="AD54" s="19"/>
      <c r="AE54" s="15">
        <f t="shared" si="26"/>
        <v>-83.000000000000682</v>
      </c>
      <c r="AF54" s="241">
        <f t="shared" si="27"/>
        <v>0.95849999999999969</v>
      </c>
      <c r="AG54" s="619"/>
    </row>
    <row r="55" spans="1:33" ht="15.75" customHeight="1">
      <c r="A55" s="623" t="s">
        <v>1000</v>
      </c>
      <c r="B55" s="33" t="s">
        <v>10</v>
      </c>
      <c r="C55" s="234" t="s">
        <v>43</v>
      </c>
      <c r="D55" s="235"/>
      <c r="E55" s="33">
        <v>46</v>
      </c>
      <c r="F55" s="35">
        <v>1348</v>
      </c>
      <c r="G55" s="240">
        <f t="shared" si="29"/>
        <v>62008</v>
      </c>
      <c r="H55" s="29" t="s">
        <v>5</v>
      </c>
      <c r="I55" s="243">
        <v>17</v>
      </c>
      <c r="J55" s="30">
        <v>2000</v>
      </c>
      <c r="K55" s="13">
        <f t="shared" si="19"/>
        <v>117.64705882352941</v>
      </c>
      <c r="L55" s="243">
        <v>17</v>
      </c>
      <c r="M55" s="14">
        <f t="shared" si="30"/>
        <v>1925.7142857142853</v>
      </c>
      <c r="N55" s="14">
        <f t="shared" si="21"/>
        <v>113.27731092436973</v>
      </c>
      <c r="O55" s="15">
        <f t="shared" si="22"/>
        <v>0</v>
      </c>
      <c r="P55" s="16">
        <f t="shared" si="23"/>
        <v>-4.3697478991596768</v>
      </c>
      <c r="Q55" s="241">
        <f t="shared" si="24"/>
        <v>0.96285714285714274</v>
      </c>
      <c r="R55" s="619"/>
      <c r="S55" s="31">
        <v>0.35208333333333336</v>
      </c>
      <c r="T55" s="31">
        <v>0.38125000000000003</v>
      </c>
      <c r="U55" s="240">
        <f t="shared" si="32"/>
        <v>6.9999999999999751</v>
      </c>
      <c r="V55" s="244">
        <f t="shared" si="31"/>
        <v>42.000000000000014</v>
      </c>
      <c r="W55" s="17"/>
      <c r="X55" s="17"/>
      <c r="Y55" s="20"/>
      <c r="Z55" s="20"/>
      <c r="AA55" s="610"/>
      <c r="AB55" s="610"/>
      <c r="AC55" s="155"/>
      <c r="AD55" s="19"/>
      <c r="AE55" s="15">
        <f t="shared" si="26"/>
        <v>-74.285714285714675</v>
      </c>
      <c r="AF55" s="241">
        <f t="shared" si="27"/>
        <v>0.96285714285714263</v>
      </c>
      <c r="AG55" s="619"/>
    </row>
    <row r="56" spans="1:33" ht="15.75" customHeight="1">
      <c r="A56" s="623" t="s">
        <v>1000</v>
      </c>
      <c r="B56" s="33" t="s">
        <v>6</v>
      </c>
      <c r="C56" s="612" t="s">
        <v>44</v>
      </c>
      <c r="D56" s="613"/>
      <c r="E56" s="33">
        <v>55.56</v>
      </c>
      <c r="F56" s="35">
        <v>1973</v>
      </c>
      <c r="G56" s="240">
        <f t="shared" si="29"/>
        <v>109619.88</v>
      </c>
      <c r="H56" s="29" t="s">
        <v>5</v>
      </c>
      <c r="I56" s="243">
        <v>17</v>
      </c>
      <c r="J56" s="30">
        <v>2000</v>
      </c>
      <c r="K56" s="13">
        <f t="shared" si="19"/>
        <v>117.64705882352941</v>
      </c>
      <c r="L56" s="243">
        <v>17</v>
      </c>
      <c r="M56" s="14">
        <f t="shared" si="30"/>
        <v>1909.3548387096791</v>
      </c>
      <c r="N56" s="14">
        <f t="shared" si="21"/>
        <v>112.31499051233406</v>
      </c>
      <c r="O56" s="15">
        <f t="shared" si="22"/>
        <v>0</v>
      </c>
      <c r="P56" s="16">
        <f t="shared" si="23"/>
        <v>-5.3320683111953429</v>
      </c>
      <c r="Q56" s="241">
        <f t="shared" si="24"/>
        <v>0.95467741935483963</v>
      </c>
      <c r="R56" s="619"/>
      <c r="S56" s="31">
        <v>0.70833333333333337</v>
      </c>
      <c r="T56" s="31">
        <v>0.75138888888888888</v>
      </c>
      <c r="U56" s="240" t="str">
        <f t="shared" si="32"/>
        <v/>
      </c>
      <c r="V56" s="244">
        <f t="shared" si="31"/>
        <v>61.999999999999943</v>
      </c>
      <c r="W56" s="17"/>
      <c r="X56" s="17"/>
      <c r="Y56" s="20"/>
      <c r="Z56" s="20"/>
      <c r="AA56" s="614"/>
      <c r="AB56" s="615"/>
      <c r="AC56" s="155"/>
      <c r="AD56" s="19"/>
      <c r="AE56" s="15">
        <f t="shared" si="26"/>
        <v>-90.645161290320857</v>
      </c>
      <c r="AF56" s="241">
        <f t="shared" si="27"/>
        <v>0.95467741935483952</v>
      </c>
      <c r="AG56" s="619"/>
    </row>
    <row r="57" spans="1:33" ht="15.75" customHeight="1">
      <c r="A57" s="623" t="s">
        <v>1000</v>
      </c>
      <c r="B57" s="33" t="s">
        <v>6</v>
      </c>
      <c r="C57" s="612" t="s">
        <v>72</v>
      </c>
      <c r="D57" s="613"/>
      <c r="E57" s="33">
        <v>58.17</v>
      </c>
      <c r="F57" s="35">
        <v>1605</v>
      </c>
      <c r="G57" s="240">
        <f t="shared" si="29"/>
        <v>93362.85</v>
      </c>
      <c r="H57" s="29" t="s">
        <v>5</v>
      </c>
      <c r="I57" s="243">
        <v>13</v>
      </c>
      <c r="J57" s="30">
        <v>2000</v>
      </c>
      <c r="K57" s="13">
        <f t="shared" si="19"/>
        <v>153.84615384615384</v>
      </c>
      <c r="L57" s="243">
        <v>13</v>
      </c>
      <c r="M57" s="14">
        <f t="shared" si="30"/>
        <v>1926.0000000000005</v>
      </c>
      <c r="N57" s="14">
        <f t="shared" si="21"/>
        <v>148.15384615384619</v>
      </c>
      <c r="O57" s="15">
        <f t="shared" si="22"/>
        <v>0</v>
      </c>
      <c r="P57" s="16">
        <f t="shared" si="23"/>
        <v>-5.6923076923076508</v>
      </c>
      <c r="Q57" s="241">
        <f t="shared" si="24"/>
        <v>0.9630000000000003</v>
      </c>
      <c r="R57" s="619"/>
      <c r="S57" s="31">
        <v>0.75694444444444442</v>
      </c>
      <c r="T57" s="31">
        <v>0.79166666666666663</v>
      </c>
      <c r="U57" s="240">
        <f t="shared" si="32"/>
        <v>7.9999999999999716</v>
      </c>
      <c r="V57" s="244">
        <f t="shared" si="31"/>
        <v>49.999999999999986</v>
      </c>
      <c r="W57" s="17"/>
      <c r="X57" s="17"/>
      <c r="Y57" s="20"/>
      <c r="Z57" s="20"/>
      <c r="AA57" s="614"/>
      <c r="AB57" s="615"/>
      <c r="AC57" s="155"/>
      <c r="AD57" s="19"/>
      <c r="AE57" s="15">
        <f t="shared" si="26"/>
        <v>-73.999999999999545</v>
      </c>
      <c r="AF57" s="241">
        <f t="shared" si="27"/>
        <v>0.96300000000000019</v>
      </c>
      <c r="AG57" s="619"/>
    </row>
    <row r="58" spans="1:33" ht="15.75" customHeight="1">
      <c r="A58" s="623" t="s">
        <v>1000</v>
      </c>
      <c r="B58" s="33" t="s">
        <v>6</v>
      </c>
      <c r="C58" s="612" t="s">
        <v>82</v>
      </c>
      <c r="D58" s="613"/>
      <c r="E58" s="33">
        <v>54.09</v>
      </c>
      <c r="F58" s="35">
        <v>1618</v>
      </c>
      <c r="G58" s="240">
        <f t="shared" si="29"/>
        <v>87517.62000000001</v>
      </c>
      <c r="H58" s="29" t="s">
        <v>5</v>
      </c>
      <c r="I58" s="243">
        <v>14</v>
      </c>
      <c r="J58" s="30">
        <v>2000</v>
      </c>
      <c r="K58" s="13">
        <f t="shared" si="19"/>
        <v>142.85714285714286</v>
      </c>
      <c r="L58" s="243">
        <v>14</v>
      </c>
      <c r="M58" s="14">
        <f t="shared" si="30"/>
        <v>1903.5294117647065</v>
      </c>
      <c r="N58" s="14">
        <f t="shared" si="21"/>
        <v>135.96638655462189</v>
      </c>
      <c r="O58" s="15">
        <f t="shared" si="22"/>
        <v>0</v>
      </c>
      <c r="P58" s="16">
        <f t="shared" si="23"/>
        <v>-6.8907563025209697</v>
      </c>
      <c r="Q58" s="241">
        <f t="shared" si="24"/>
        <v>0.95176470588235318</v>
      </c>
      <c r="R58" s="619"/>
      <c r="S58" s="31">
        <v>0.79583333333333328</v>
      </c>
      <c r="T58" s="31">
        <v>0.83124999999999993</v>
      </c>
      <c r="U58" s="240">
        <f t="shared" si="32"/>
        <v>5.9999999999999787</v>
      </c>
      <c r="V58" s="244">
        <f t="shared" si="31"/>
        <v>50.999999999999979</v>
      </c>
      <c r="W58" s="17"/>
      <c r="X58" s="17"/>
      <c r="Y58" s="20"/>
      <c r="Z58" s="20"/>
      <c r="AA58" s="614"/>
      <c r="AB58" s="615"/>
      <c r="AC58" s="155"/>
      <c r="AD58" s="19"/>
      <c r="AE58" s="15">
        <f t="shared" si="26"/>
        <v>-96.470588235293462</v>
      </c>
      <c r="AF58" s="241">
        <f t="shared" si="27"/>
        <v>0.95176470588235329</v>
      </c>
      <c r="AG58" s="619"/>
    </row>
    <row r="59" spans="1:33">
      <c r="A59" s="624" t="s">
        <v>1000</v>
      </c>
      <c r="B59" s="33" t="s">
        <v>998</v>
      </c>
      <c r="C59" s="620"/>
      <c r="D59" s="620"/>
      <c r="E59" s="242"/>
      <c r="F59" s="34"/>
      <c r="G59" s="13"/>
      <c r="H59" s="245"/>
      <c r="I59" s="23">
        <v>18.75</v>
      </c>
      <c r="J59" s="30">
        <v>2000</v>
      </c>
      <c r="K59" s="13">
        <f t="shared" si="19"/>
        <v>106.66666666666667</v>
      </c>
      <c r="L59" s="23">
        <v>18.75</v>
      </c>
      <c r="M59" s="14">
        <f>AVERAGE(M51:M58)</f>
        <v>1923.5782431951131</v>
      </c>
      <c r="N59" s="13">
        <f t="shared" si="21"/>
        <v>102.5908396370727</v>
      </c>
      <c r="O59" s="15">
        <f t="shared" si="22"/>
        <v>0</v>
      </c>
      <c r="P59" s="16">
        <f t="shared" si="23"/>
        <v>-4.0758270295939667</v>
      </c>
      <c r="Q59" s="241">
        <f t="shared" si="24"/>
        <v>0.96178912159755658</v>
      </c>
      <c r="R59" s="619"/>
      <c r="S59" s="31"/>
      <c r="T59" s="31"/>
      <c r="U59" s="240"/>
      <c r="V59" s="244"/>
      <c r="W59" s="13"/>
      <c r="X59" s="13"/>
      <c r="Y59" s="24">
        <f>SUM(Y51:Y58)</f>
        <v>0</v>
      </c>
      <c r="Z59" s="24">
        <f>SUM(Z51:Z58)</f>
        <v>0</v>
      </c>
      <c r="AA59" s="609"/>
      <c r="AB59" s="609"/>
      <c r="AC59" s="24">
        <v>8</v>
      </c>
      <c r="AD59" s="24">
        <f>SUM(AD51:AD58)</f>
        <v>0</v>
      </c>
      <c r="AE59" s="15">
        <f t="shared" si="26"/>
        <v>-76.421756804886854</v>
      </c>
      <c r="AF59" s="241">
        <f t="shared" si="27"/>
        <v>0.96178912159755658</v>
      </c>
      <c r="AG59" s="619"/>
    </row>
    <row r="60" spans="1:33" ht="15.75" customHeight="1">
      <c r="A60" s="621" t="s">
        <v>999</v>
      </c>
      <c r="B60" s="245" t="s">
        <v>36</v>
      </c>
      <c r="C60" s="611" t="s">
        <v>46</v>
      </c>
      <c r="D60" s="611"/>
      <c r="E60" s="33">
        <v>35.119999999999997</v>
      </c>
      <c r="F60" s="35">
        <v>4742</v>
      </c>
      <c r="G60" s="240">
        <f>E60*F60</f>
        <v>166539.03999999998</v>
      </c>
      <c r="H60" s="29" t="s">
        <v>5</v>
      </c>
      <c r="I60" s="243">
        <v>10</v>
      </c>
      <c r="J60" s="30">
        <v>3000</v>
      </c>
      <c r="K60" s="13">
        <f t="shared" si="19"/>
        <v>300</v>
      </c>
      <c r="L60" s="243">
        <v>10</v>
      </c>
      <c r="M60" s="14">
        <f>F60/V60*60</f>
        <v>2873.9393939393935</v>
      </c>
      <c r="N60" s="13">
        <f t="shared" si="21"/>
        <v>287.39393939393938</v>
      </c>
      <c r="O60" s="15">
        <f t="shared" si="22"/>
        <v>0</v>
      </c>
      <c r="P60" s="16">
        <f t="shared" si="23"/>
        <v>-12.606060606060623</v>
      </c>
      <c r="Q60" s="241">
        <f t="shared" si="24"/>
        <v>0.95797979797979793</v>
      </c>
      <c r="R60" s="619">
        <f>Q64</f>
        <v>0.95467523795648768</v>
      </c>
      <c r="S60" s="31">
        <v>0.20833333333333334</v>
      </c>
      <c r="T60" s="31">
        <v>0.27708333333333335</v>
      </c>
      <c r="U60" s="240"/>
      <c r="V60" s="244">
        <f>(T60-S60)*24*60</f>
        <v>99.000000000000014</v>
      </c>
      <c r="W60" s="17"/>
      <c r="X60" s="17"/>
      <c r="Y60" s="22"/>
      <c r="Z60" s="22"/>
      <c r="AA60" s="610"/>
      <c r="AB60" s="610"/>
      <c r="AC60" s="155">
        <v>4</v>
      </c>
      <c r="AD60" s="19"/>
      <c r="AE60" s="15">
        <f t="shared" si="26"/>
        <v>-126.06060606060646</v>
      </c>
      <c r="AF60" s="241">
        <f t="shared" si="27"/>
        <v>0.95797979797979782</v>
      </c>
      <c r="AG60" s="619">
        <f>AF64</f>
        <v>0.95467523795648779</v>
      </c>
    </row>
    <row r="61" spans="1:33" ht="15.75" customHeight="1">
      <c r="A61" s="621" t="s">
        <v>999</v>
      </c>
      <c r="B61" s="245" t="s">
        <v>36</v>
      </c>
      <c r="C61" s="611" t="s">
        <v>47</v>
      </c>
      <c r="D61" s="611"/>
      <c r="E61" s="33">
        <v>26.78</v>
      </c>
      <c r="F61" s="35">
        <v>3046</v>
      </c>
      <c r="G61" s="240">
        <f>E61*F61</f>
        <v>81571.88</v>
      </c>
      <c r="H61" s="29" t="s">
        <v>5</v>
      </c>
      <c r="I61" s="243">
        <v>10</v>
      </c>
      <c r="J61" s="30">
        <v>3000</v>
      </c>
      <c r="K61" s="13">
        <f t="shared" si="19"/>
        <v>300</v>
      </c>
      <c r="L61" s="243">
        <v>10</v>
      </c>
      <c r="M61" s="14">
        <f>F61/V61*60</f>
        <v>2855.6249999999995</v>
      </c>
      <c r="N61" s="13">
        <f t="shared" si="21"/>
        <v>285.56249999999994</v>
      </c>
      <c r="O61" s="15">
        <f t="shared" si="22"/>
        <v>0</v>
      </c>
      <c r="P61" s="16">
        <f t="shared" si="23"/>
        <v>-14.437500000000057</v>
      </c>
      <c r="Q61" s="241">
        <f t="shared" si="24"/>
        <v>0.9518749999999998</v>
      </c>
      <c r="R61" s="619"/>
      <c r="S61" s="31">
        <v>0.28125</v>
      </c>
      <c r="T61" s="31">
        <v>0.32569444444444445</v>
      </c>
      <c r="U61" s="240">
        <f>(S61-T60)*24*60</f>
        <v>5.9999999999999787</v>
      </c>
      <c r="V61" s="244">
        <f>(T61-S61)*24*60</f>
        <v>64.000000000000014</v>
      </c>
      <c r="W61" s="240"/>
      <c r="X61" s="240"/>
      <c r="Y61" s="240"/>
      <c r="Z61" s="240"/>
      <c r="AA61" s="610"/>
      <c r="AB61" s="610"/>
      <c r="AC61" s="155"/>
      <c r="AD61" s="19"/>
      <c r="AE61" s="15">
        <f t="shared" si="26"/>
        <v>-144.37500000000045</v>
      </c>
      <c r="AF61" s="241">
        <f t="shared" si="27"/>
        <v>0.9518749999999998</v>
      </c>
      <c r="AG61" s="619"/>
    </row>
    <row r="62" spans="1:33" ht="15.75" customHeight="1">
      <c r="A62" s="621" t="s">
        <v>999</v>
      </c>
      <c r="B62" s="245" t="s">
        <v>36</v>
      </c>
      <c r="C62" s="611" t="s">
        <v>49</v>
      </c>
      <c r="D62" s="611"/>
      <c r="E62" s="33">
        <v>35.869999999999997</v>
      </c>
      <c r="F62" s="35">
        <v>3100</v>
      </c>
      <c r="G62" s="240">
        <f>E62*F62</f>
        <v>111196.99999999999</v>
      </c>
      <c r="H62" s="29" t="s">
        <v>5</v>
      </c>
      <c r="I62" s="243">
        <v>10</v>
      </c>
      <c r="J62" s="30">
        <v>3000</v>
      </c>
      <c r="K62" s="13">
        <f t="shared" si="19"/>
        <v>300</v>
      </c>
      <c r="L62" s="243">
        <v>10</v>
      </c>
      <c r="M62" s="14">
        <f>F62/V62*60</f>
        <v>2861.538461538461</v>
      </c>
      <c r="N62" s="13">
        <f t="shared" si="21"/>
        <v>286.15384615384608</v>
      </c>
      <c r="O62" s="15">
        <f t="shared" si="22"/>
        <v>0</v>
      </c>
      <c r="P62" s="16">
        <f t="shared" si="23"/>
        <v>-13.846153846153925</v>
      </c>
      <c r="Q62" s="241">
        <f t="shared" si="24"/>
        <v>0.95384615384615357</v>
      </c>
      <c r="R62" s="619"/>
      <c r="S62" s="31">
        <v>0.33124999999999999</v>
      </c>
      <c r="T62" s="31">
        <v>0.37638888888888888</v>
      </c>
      <c r="U62" s="240">
        <f>(S62-T61)*24*60</f>
        <v>7.9999999999999716</v>
      </c>
      <c r="V62" s="244">
        <f>(T62-S62)*24*60</f>
        <v>65.000000000000014</v>
      </c>
      <c r="W62" s="240"/>
      <c r="X62" s="240"/>
      <c r="Y62" s="240"/>
      <c r="Z62" s="240"/>
      <c r="AA62" s="610"/>
      <c r="AB62" s="610"/>
      <c r="AC62" s="155"/>
      <c r="AD62" s="19"/>
      <c r="AE62" s="15">
        <f t="shared" si="26"/>
        <v>-138.46153846153902</v>
      </c>
      <c r="AF62" s="241">
        <f t="shared" si="27"/>
        <v>0.95384615384615368</v>
      </c>
      <c r="AG62" s="619"/>
    </row>
    <row r="63" spans="1:33" ht="15.75" customHeight="1">
      <c r="A63" s="621" t="s">
        <v>999</v>
      </c>
      <c r="B63" s="245" t="s">
        <v>36</v>
      </c>
      <c r="C63" s="611" t="s">
        <v>74</v>
      </c>
      <c r="D63" s="611"/>
      <c r="E63" s="33">
        <v>33.770000000000003</v>
      </c>
      <c r="F63" s="35">
        <v>3247</v>
      </c>
      <c r="G63" s="240">
        <f>E63*F63</f>
        <v>109651.19000000002</v>
      </c>
      <c r="H63" s="29" t="s">
        <v>5</v>
      </c>
      <c r="I63" s="243">
        <v>12</v>
      </c>
      <c r="J63" s="30">
        <v>3000</v>
      </c>
      <c r="K63" s="13">
        <f t="shared" si="19"/>
        <v>250</v>
      </c>
      <c r="L63" s="243">
        <v>12</v>
      </c>
      <c r="M63" s="14">
        <f>F63/V63*60</f>
        <v>2865</v>
      </c>
      <c r="N63" s="13">
        <f t="shared" si="21"/>
        <v>238.75</v>
      </c>
      <c r="O63" s="15">
        <f t="shared" si="22"/>
        <v>0</v>
      </c>
      <c r="P63" s="16">
        <f t="shared" si="23"/>
        <v>-11.25</v>
      </c>
      <c r="Q63" s="241">
        <f t="shared" si="24"/>
        <v>0.95499999999999996</v>
      </c>
      <c r="R63" s="619"/>
      <c r="S63" s="31">
        <v>0.38124999999999998</v>
      </c>
      <c r="T63" s="31">
        <v>0.4284722222222222</v>
      </c>
      <c r="U63" s="240">
        <f>(S63-T62)*24*60</f>
        <v>6.9999999999999751</v>
      </c>
      <c r="V63" s="244">
        <f>(T63-S63)*24*60</f>
        <v>68</v>
      </c>
      <c r="W63" s="240"/>
      <c r="X63" s="240"/>
      <c r="Y63" s="240"/>
      <c r="Z63" s="240"/>
      <c r="AA63" s="610"/>
      <c r="AB63" s="610"/>
      <c r="AC63" s="155"/>
      <c r="AD63" s="19"/>
      <c r="AE63" s="15">
        <f t="shared" si="26"/>
        <v>-135</v>
      </c>
      <c r="AF63" s="241">
        <f t="shared" si="27"/>
        <v>0.95499999999999996</v>
      </c>
      <c r="AG63" s="619"/>
    </row>
    <row r="64" spans="1:33">
      <c r="A64" s="622" t="s">
        <v>999</v>
      </c>
      <c r="B64" s="33" t="s">
        <v>998</v>
      </c>
      <c r="C64" s="620"/>
      <c r="D64" s="620"/>
      <c r="E64" s="242"/>
      <c r="F64" s="34"/>
      <c r="G64" s="13"/>
      <c r="H64" s="245"/>
      <c r="I64" s="23">
        <v>10.5</v>
      </c>
      <c r="J64" s="30">
        <v>3000</v>
      </c>
      <c r="K64" s="13">
        <f t="shared" si="19"/>
        <v>285.71428571428572</v>
      </c>
      <c r="L64" s="23">
        <v>10.5</v>
      </c>
      <c r="M64" s="14">
        <f>AVERAGE(M60:M63)</f>
        <v>2864.0257138694633</v>
      </c>
      <c r="N64" s="13">
        <f t="shared" si="21"/>
        <v>272.76435370185362</v>
      </c>
      <c r="O64" s="15">
        <f t="shared" si="22"/>
        <v>0</v>
      </c>
      <c r="P64" s="16">
        <f t="shared" si="23"/>
        <v>-12.9499320124321</v>
      </c>
      <c r="Q64" s="241">
        <f t="shared" si="24"/>
        <v>0.95467523795648768</v>
      </c>
      <c r="R64" s="619"/>
      <c r="S64" s="31"/>
      <c r="T64" s="31"/>
      <c r="U64" s="13"/>
      <c r="V64" s="244"/>
      <c r="W64" s="13"/>
      <c r="X64" s="13"/>
      <c r="Y64" s="24">
        <f>SUM(Y60:Y63)</f>
        <v>0</v>
      </c>
      <c r="Z64" s="24">
        <f>SUM(Z60:Z63)</f>
        <v>0</v>
      </c>
      <c r="AA64" s="609"/>
      <c r="AB64" s="609"/>
      <c r="AC64" s="24">
        <v>4</v>
      </c>
      <c r="AD64" s="24">
        <f>SUM(AD60:AD63)</f>
        <v>0</v>
      </c>
      <c r="AE64" s="15">
        <f t="shared" si="26"/>
        <v>-135.97428613053671</v>
      </c>
      <c r="AF64" s="241">
        <f t="shared" si="27"/>
        <v>0.95467523795648779</v>
      </c>
      <c r="AG64" s="619"/>
    </row>
    <row r="65" spans="1:33" ht="15.75" customHeight="1">
      <c r="A65" s="616" t="s">
        <v>997</v>
      </c>
      <c r="B65" s="245" t="s">
        <v>27</v>
      </c>
      <c r="C65" s="611" t="s">
        <v>50</v>
      </c>
      <c r="D65" s="611"/>
      <c r="E65" s="33">
        <v>19.02</v>
      </c>
      <c r="F65" s="245">
        <v>4000</v>
      </c>
      <c r="G65" s="240">
        <f t="shared" ref="G65:G71" si="33">E65*F65</f>
        <v>76080</v>
      </c>
      <c r="H65" s="29">
        <v>2</v>
      </c>
      <c r="I65" s="243">
        <v>14</v>
      </c>
      <c r="J65" s="30">
        <v>2400</v>
      </c>
      <c r="K65" s="13">
        <f t="shared" si="19"/>
        <v>171.42857142857142</v>
      </c>
      <c r="L65" s="243">
        <v>14</v>
      </c>
      <c r="M65" s="14">
        <f t="shared" ref="M65:M71" si="34">F65/V65*60</f>
        <v>2285.7142857142858</v>
      </c>
      <c r="N65" s="13">
        <f t="shared" si="21"/>
        <v>163.26530612244898</v>
      </c>
      <c r="O65" s="15">
        <f t="shared" si="22"/>
        <v>0</v>
      </c>
      <c r="P65" s="16">
        <f t="shared" si="23"/>
        <v>-8.1632653061224403</v>
      </c>
      <c r="Q65" s="241">
        <f t="shared" si="24"/>
        <v>0.95238095238095244</v>
      </c>
      <c r="R65" s="619">
        <f>Q72</f>
        <v>0.9588819202898855</v>
      </c>
      <c r="S65" s="31">
        <v>8.3333333333333329E-2</v>
      </c>
      <c r="T65" s="31">
        <v>0.15625</v>
      </c>
      <c r="U65" s="22"/>
      <c r="V65" s="244">
        <f t="shared" ref="V65:V71" si="35">(T65-S65)*24*60</f>
        <v>105</v>
      </c>
      <c r="W65" s="17">
        <f>T65</f>
        <v>0.15625</v>
      </c>
      <c r="X65" s="17">
        <f>S66</f>
        <v>0.17569444444444443</v>
      </c>
      <c r="Y65" s="17"/>
      <c r="Z65" s="17"/>
      <c r="AA65" s="610"/>
      <c r="AB65" s="610"/>
      <c r="AC65" s="155">
        <v>7</v>
      </c>
      <c r="AD65" s="19"/>
      <c r="AE65" s="15">
        <f t="shared" si="26"/>
        <v>-114.28571428571422</v>
      </c>
      <c r="AF65" s="241">
        <f t="shared" si="27"/>
        <v>0.95238095238095244</v>
      </c>
      <c r="AG65" s="619">
        <f>AF72</f>
        <v>0.9588819202898855</v>
      </c>
    </row>
    <row r="66" spans="1:33" ht="15.75" customHeight="1">
      <c r="A66" s="617" t="s">
        <v>997</v>
      </c>
      <c r="B66" s="245" t="s">
        <v>27</v>
      </c>
      <c r="C66" s="611" t="s">
        <v>51</v>
      </c>
      <c r="D66" s="611"/>
      <c r="E66" s="33">
        <v>20.36</v>
      </c>
      <c r="F66" s="245">
        <v>4328</v>
      </c>
      <c r="G66" s="240">
        <f t="shared" si="33"/>
        <v>88118.080000000002</v>
      </c>
      <c r="H66" s="29" t="s">
        <v>5</v>
      </c>
      <c r="I66" s="243">
        <v>17</v>
      </c>
      <c r="J66" s="30">
        <v>2400</v>
      </c>
      <c r="K66" s="13">
        <f t="shared" si="19"/>
        <v>141.1764705882353</v>
      </c>
      <c r="L66" s="243">
        <v>17</v>
      </c>
      <c r="M66" s="14">
        <f t="shared" si="34"/>
        <v>2298.0530973451328</v>
      </c>
      <c r="N66" s="13">
        <f t="shared" si="21"/>
        <v>135.17959396147839</v>
      </c>
      <c r="O66" s="15">
        <f t="shared" si="22"/>
        <v>0</v>
      </c>
      <c r="P66" s="16">
        <f t="shared" si="23"/>
        <v>-5.9968766267569151</v>
      </c>
      <c r="Q66" s="241">
        <f t="shared" si="24"/>
        <v>0.9575221238938052</v>
      </c>
      <c r="R66" s="619"/>
      <c r="S66" s="31">
        <v>0.17569444444444443</v>
      </c>
      <c r="T66" s="31">
        <v>0.25416666666666665</v>
      </c>
      <c r="U66" s="240">
        <f t="shared" ref="U66:U71" si="36">(S66-T65)*24*60</f>
        <v>27.999999999999979</v>
      </c>
      <c r="V66" s="244">
        <f t="shared" si="35"/>
        <v>113</v>
      </c>
      <c r="W66" s="17"/>
      <c r="X66" s="17"/>
      <c r="Y66" s="17"/>
      <c r="Z66" s="17"/>
      <c r="AA66" s="610"/>
      <c r="AB66" s="610"/>
      <c r="AC66" s="155"/>
      <c r="AD66" s="19"/>
      <c r="AE66" s="15">
        <f t="shared" si="26"/>
        <v>-101.94690265486724</v>
      </c>
      <c r="AF66" s="241">
        <f t="shared" si="27"/>
        <v>0.95752212389380531</v>
      </c>
      <c r="AG66" s="619"/>
    </row>
    <row r="67" spans="1:33" ht="15.75" customHeight="1">
      <c r="A67" s="617" t="s">
        <v>997</v>
      </c>
      <c r="B67" s="245" t="s">
        <v>27</v>
      </c>
      <c r="C67" s="611" t="s">
        <v>876</v>
      </c>
      <c r="D67" s="611"/>
      <c r="E67" s="33">
        <v>23.8</v>
      </c>
      <c r="F67" s="245">
        <v>7045</v>
      </c>
      <c r="G67" s="240">
        <f t="shared" si="33"/>
        <v>167671</v>
      </c>
      <c r="H67" s="29" t="s">
        <v>5</v>
      </c>
      <c r="I67" s="243">
        <v>16</v>
      </c>
      <c r="J67" s="30">
        <v>2400</v>
      </c>
      <c r="K67" s="13">
        <f t="shared" si="19"/>
        <v>150</v>
      </c>
      <c r="L67" s="243">
        <v>16</v>
      </c>
      <c r="M67" s="14">
        <f t="shared" si="34"/>
        <v>2284.8648648648655</v>
      </c>
      <c r="N67" s="13">
        <f t="shared" si="21"/>
        <v>142.80405405405409</v>
      </c>
      <c r="O67" s="15">
        <f t="shared" si="22"/>
        <v>0</v>
      </c>
      <c r="P67" s="16">
        <f t="shared" si="23"/>
        <v>-7.1959459459459083</v>
      </c>
      <c r="Q67" s="241">
        <f t="shared" si="24"/>
        <v>0.95202702702702724</v>
      </c>
      <c r="R67" s="619"/>
      <c r="S67" s="31">
        <v>0.25763888888888886</v>
      </c>
      <c r="T67" s="31">
        <v>0.38611111111111107</v>
      </c>
      <c r="U67" s="240">
        <f t="shared" si="36"/>
        <v>4.9999999999999822</v>
      </c>
      <c r="V67" s="244">
        <f t="shared" si="35"/>
        <v>184.99999999999997</v>
      </c>
      <c r="W67" s="17"/>
      <c r="X67" s="17"/>
      <c r="Y67" s="17"/>
      <c r="Z67" s="17"/>
      <c r="AA67" s="610"/>
      <c r="AB67" s="610"/>
      <c r="AC67" s="155"/>
      <c r="AD67" s="19"/>
      <c r="AE67" s="15">
        <f t="shared" si="26"/>
        <v>-115.13513513513453</v>
      </c>
      <c r="AF67" s="241">
        <f t="shared" si="27"/>
        <v>0.95202702702702724</v>
      </c>
      <c r="AG67" s="619"/>
    </row>
    <row r="68" spans="1:33" ht="15.75" customHeight="1">
      <c r="A68" s="617" t="s">
        <v>996</v>
      </c>
      <c r="B68" s="245" t="s">
        <v>27</v>
      </c>
      <c r="C68" s="611" t="s">
        <v>31</v>
      </c>
      <c r="D68" s="611"/>
      <c r="E68" s="33">
        <v>25.99</v>
      </c>
      <c r="F68" s="245">
        <v>1193</v>
      </c>
      <c r="G68" s="240">
        <f t="shared" si="33"/>
        <v>31006.07</v>
      </c>
      <c r="H68" s="29" t="s">
        <v>5</v>
      </c>
      <c r="I68" s="243">
        <v>18</v>
      </c>
      <c r="J68" s="30">
        <v>2400</v>
      </c>
      <c r="K68" s="13">
        <f t="shared" si="19"/>
        <v>133.33333333333334</v>
      </c>
      <c r="L68" s="243">
        <v>18</v>
      </c>
      <c r="M68" s="14">
        <f t="shared" si="34"/>
        <v>2309.0322580645184</v>
      </c>
      <c r="N68" s="13">
        <f t="shared" si="21"/>
        <v>128.27956989247323</v>
      </c>
      <c r="O68" s="15">
        <f t="shared" si="22"/>
        <v>0</v>
      </c>
      <c r="P68" s="16">
        <f t="shared" si="23"/>
        <v>-5.0537634408601093</v>
      </c>
      <c r="Q68" s="241">
        <f t="shared" si="24"/>
        <v>0.96209677419354922</v>
      </c>
      <c r="R68" s="619"/>
      <c r="S68" s="31">
        <v>0.39027777777777772</v>
      </c>
      <c r="T68" s="31">
        <v>0.41180555555555548</v>
      </c>
      <c r="U68" s="240">
        <f t="shared" si="36"/>
        <v>5.9999999999999787</v>
      </c>
      <c r="V68" s="244">
        <f t="shared" si="35"/>
        <v>30.999999999999972</v>
      </c>
      <c r="W68" s="17"/>
      <c r="X68" s="17"/>
      <c r="Y68" s="17"/>
      <c r="Z68" s="17"/>
      <c r="AA68" s="610"/>
      <c r="AB68" s="610"/>
      <c r="AC68" s="155"/>
      <c r="AD68" s="19"/>
      <c r="AE68" s="15">
        <f t="shared" si="26"/>
        <v>-90.967741935481627</v>
      </c>
      <c r="AF68" s="241">
        <f t="shared" si="27"/>
        <v>0.96209677419354933</v>
      </c>
      <c r="AG68" s="619"/>
    </row>
    <row r="69" spans="1:33" ht="15.75" customHeight="1">
      <c r="A69" s="617" t="s">
        <v>996</v>
      </c>
      <c r="B69" s="245" t="s">
        <v>27</v>
      </c>
      <c r="C69" s="611" t="s">
        <v>53</v>
      </c>
      <c r="D69" s="611"/>
      <c r="E69" s="33">
        <v>28.29</v>
      </c>
      <c r="F69" s="245">
        <v>2927</v>
      </c>
      <c r="G69" s="240">
        <f t="shared" si="33"/>
        <v>82804.83</v>
      </c>
      <c r="H69" s="29" t="s">
        <v>5</v>
      </c>
      <c r="I69" s="243">
        <v>19</v>
      </c>
      <c r="J69" s="30">
        <v>2400</v>
      </c>
      <c r="K69" s="13">
        <f t="shared" ref="K69:K72" si="37">J69/I69</f>
        <v>126.31578947368421</v>
      </c>
      <c r="L69" s="243">
        <v>19</v>
      </c>
      <c r="M69" s="14">
        <f t="shared" si="34"/>
        <v>2310.7894736842113</v>
      </c>
      <c r="N69" s="13">
        <f t="shared" ref="N69:N72" si="38">M69/L69</f>
        <v>121.62049861495849</v>
      </c>
      <c r="O69" s="15">
        <f t="shared" si="22"/>
        <v>0</v>
      </c>
      <c r="P69" s="16">
        <f t="shared" si="23"/>
        <v>-4.6952908587257127</v>
      </c>
      <c r="Q69" s="241">
        <f t="shared" si="24"/>
        <v>0.9628289473684214</v>
      </c>
      <c r="R69" s="619"/>
      <c r="S69" s="31">
        <v>0.41597222222222213</v>
      </c>
      <c r="T69" s="31">
        <v>0.46874999999999989</v>
      </c>
      <c r="U69" s="240">
        <f t="shared" si="36"/>
        <v>5.9999999999999787</v>
      </c>
      <c r="V69" s="244">
        <f t="shared" si="35"/>
        <v>75.999999999999972</v>
      </c>
      <c r="W69" s="17"/>
      <c r="X69" s="17"/>
      <c r="Y69" s="17"/>
      <c r="Z69" s="17"/>
      <c r="AA69" s="610"/>
      <c r="AB69" s="610"/>
      <c r="AC69" s="155"/>
      <c r="AD69" s="19"/>
      <c r="AE69" s="15">
        <f t="shared" si="26"/>
        <v>-89.210526315788684</v>
      </c>
      <c r="AF69" s="241">
        <f t="shared" si="27"/>
        <v>0.9628289473684214</v>
      </c>
      <c r="AG69" s="619"/>
    </row>
    <row r="70" spans="1:33" ht="15.75" customHeight="1">
      <c r="A70" s="617" t="s">
        <v>996</v>
      </c>
      <c r="B70" s="245" t="s">
        <v>27</v>
      </c>
      <c r="C70" s="611" t="s">
        <v>55</v>
      </c>
      <c r="D70" s="611"/>
      <c r="E70" s="33">
        <v>23.89</v>
      </c>
      <c r="F70" s="245">
        <v>855</v>
      </c>
      <c r="G70" s="240">
        <f t="shared" si="33"/>
        <v>20425.95</v>
      </c>
      <c r="H70" s="29" t="s">
        <v>5</v>
      </c>
      <c r="I70" s="243">
        <v>13</v>
      </c>
      <c r="J70" s="30">
        <v>2400</v>
      </c>
      <c r="K70" s="13">
        <f t="shared" si="37"/>
        <v>184.61538461538461</v>
      </c>
      <c r="L70" s="243">
        <v>13</v>
      </c>
      <c r="M70" s="14">
        <f t="shared" si="34"/>
        <v>2331.818181818182</v>
      </c>
      <c r="N70" s="13">
        <f t="shared" si="38"/>
        <v>179.37062937062939</v>
      </c>
      <c r="O70" s="15">
        <f t="shared" si="22"/>
        <v>0</v>
      </c>
      <c r="P70" s="16">
        <f t="shared" si="23"/>
        <v>-5.2447552447552255</v>
      </c>
      <c r="Q70" s="241">
        <f t="shared" si="24"/>
        <v>0.97159090909090917</v>
      </c>
      <c r="R70" s="619"/>
      <c r="S70" s="31">
        <v>0.47361111111111098</v>
      </c>
      <c r="T70" s="31">
        <v>0.48888888888888876</v>
      </c>
      <c r="U70" s="240">
        <f t="shared" si="36"/>
        <v>6.9999999999999751</v>
      </c>
      <c r="V70" s="244">
        <f t="shared" si="35"/>
        <v>22</v>
      </c>
      <c r="W70" s="17">
        <f>T70</f>
        <v>0.48888888888888876</v>
      </c>
      <c r="X70" s="17">
        <f>S71</f>
        <v>0.52916666666666645</v>
      </c>
      <c r="Y70" s="17"/>
      <c r="Z70" s="17"/>
      <c r="AA70" s="610"/>
      <c r="AB70" s="610"/>
      <c r="AC70" s="155"/>
      <c r="AD70" s="19"/>
      <c r="AE70" s="15">
        <f t="shared" si="26"/>
        <v>-68.181818181818016</v>
      </c>
      <c r="AF70" s="241">
        <f t="shared" si="27"/>
        <v>0.97159090909090917</v>
      </c>
      <c r="AG70" s="619"/>
    </row>
    <row r="71" spans="1:33" ht="15.75" customHeight="1">
      <c r="A71" s="617" t="s">
        <v>996</v>
      </c>
      <c r="B71" s="245" t="s">
        <v>27</v>
      </c>
      <c r="C71" s="612" t="s">
        <v>50</v>
      </c>
      <c r="D71" s="613"/>
      <c r="E71" s="33">
        <v>19.02</v>
      </c>
      <c r="F71" s="245">
        <v>6142</v>
      </c>
      <c r="G71" s="240">
        <f t="shared" si="33"/>
        <v>116820.84</v>
      </c>
      <c r="H71" s="29" t="s">
        <v>5</v>
      </c>
      <c r="I71" s="243">
        <v>14</v>
      </c>
      <c r="J71" s="30">
        <v>2400</v>
      </c>
      <c r="K71" s="13">
        <f t="shared" si="37"/>
        <v>171.42857142857142</v>
      </c>
      <c r="L71" s="243">
        <v>14</v>
      </c>
      <c r="M71" s="14">
        <f t="shared" si="34"/>
        <v>2288.9440993788812</v>
      </c>
      <c r="N71" s="13">
        <f t="shared" si="38"/>
        <v>163.4960070984915</v>
      </c>
      <c r="O71" s="15">
        <f t="shared" si="22"/>
        <v>0</v>
      </c>
      <c r="P71" s="16">
        <f t="shared" si="23"/>
        <v>-7.9325643300799129</v>
      </c>
      <c r="Q71" s="241">
        <f t="shared" si="24"/>
        <v>0.95372670807453386</v>
      </c>
      <c r="R71" s="619"/>
      <c r="S71" s="31">
        <v>0.52916666666666645</v>
      </c>
      <c r="T71" s="31">
        <v>0.64097222222222205</v>
      </c>
      <c r="U71" s="240">
        <f t="shared" si="36"/>
        <v>57.999999999999872</v>
      </c>
      <c r="V71" s="244">
        <f t="shared" si="35"/>
        <v>161.00000000000006</v>
      </c>
      <c r="W71" s="17"/>
      <c r="X71" s="17"/>
      <c r="Y71" s="20"/>
      <c r="Z71" s="20"/>
      <c r="AA71" s="614"/>
      <c r="AB71" s="615"/>
      <c r="AC71" s="155"/>
      <c r="AD71" s="19"/>
      <c r="AE71" s="15">
        <f t="shared" si="26"/>
        <v>-111.05590062111878</v>
      </c>
      <c r="AF71" s="241">
        <f t="shared" si="27"/>
        <v>0.95372670807453386</v>
      </c>
      <c r="AG71" s="619"/>
    </row>
    <row r="72" spans="1:33" ht="16.5" customHeight="1">
      <c r="A72" s="618" t="s">
        <v>996</v>
      </c>
      <c r="B72" s="33" t="s">
        <v>995</v>
      </c>
      <c r="C72" s="607"/>
      <c r="D72" s="608"/>
      <c r="E72" s="242"/>
      <c r="F72" s="34"/>
      <c r="G72" s="13"/>
      <c r="H72" s="245"/>
      <c r="I72" s="23">
        <v>15.857142857142858</v>
      </c>
      <c r="J72" s="30">
        <v>2400</v>
      </c>
      <c r="K72" s="13">
        <f t="shared" si="37"/>
        <v>151.35135135135135</v>
      </c>
      <c r="L72" s="23">
        <v>15.857142857142858</v>
      </c>
      <c r="M72" s="14">
        <f>AVERAGE(M65:M71)</f>
        <v>2301.3166086957253</v>
      </c>
      <c r="N72" s="13">
        <f t="shared" si="38"/>
        <v>145.12807442225295</v>
      </c>
      <c r="O72" s="15">
        <f t="shared" si="22"/>
        <v>0</v>
      </c>
      <c r="P72" s="16">
        <f t="shared" si="23"/>
        <v>-6.2232769290984038</v>
      </c>
      <c r="Q72" s="241">
        <f t="shared" si="24"/>
        <v>0.9588819202898855</v>
      </c>
      <c r="R72" s="619"/>
      <c r="S72" s="31"/>
      <c r="T72" s="31"/>
      <c r="U72" s="13"/>
      <c r="V72" s="244"/>
      <c r="W72" s="13"/>
      <c r="X72" s="13"/>
      <c r="Y72" s="24">
        <f>SUM(Y65:Y71)</f>
        <v>0</v>
      </c>
      <c r="Z72" s="24">
        <f>SUM(Z65:Z71)</f>
        <v>0</v>
      </c>
      <c r="AA72" s="609"/>
      <c r="AB72" s="609"/>
      <c r="AC72" s="24">
        <v>7</v>
      </c>
      <c r="AD72" s="24">
        <f>SUM(AD65:AD71)</f>
        <v>0</v>
      </c>
      <c r="AE72" s="15">
        <f t="shared" si="26"/>
        <v>-98.683391304274664</v>
      </c>
      <c r="AF72" s="241">
        <f t="shared" si="27"/>
        <v>0.9588819202898855</v>
      </c>
      <c r="AG72" s="619"/>
    </row>
    <row r="73" spans="1:33">
      <c r="D73" s="25"/>
      <c r="E73" s="25"/>
    </row>
  </sheetData>
  <mergeCells count="190">
    <mergeCell ref="A65:A72"/>
    <mergeCell ref="C65:D65"/>
    <mergeCell ref="R65:R72"/>
    <mergeCell ref="AA65:AB65"/>
    <mergeCell ref="AA70:AB70"/>
    <mergeCell ref="C72:D72"/>
    <mergeCell ref="AA72:AB72"/>
    <mergeCell ref="AA71:AB71"/>
    <mergeCell ref="AG65:AG72"/>
    <mergeCell ref="C66:D66"/>
    <mergeCell ref="AA66:AB66"/>
    <mergeCell ref="C67:D67"/>
    <mergeCell ref="AA67:AB67"/>
    <mergeCell ref="C68:D68"/>
    <mergeCell ref="AA68:AB68"/>
    <mergeCell ref="C71:D71"/>
    <mergeCell ref="C70:D70"/>
    <mergeCell ref="AG60:AG64"/>
    <mergeCell ref="C61:D61"/>
    <mergeCell ref="AA61:AB61"/>
    <mergeCell ref="C62:D62"/>
    <mergeCell ref="AA62:AB62"/>
    <mergeCell ref="C63:D63"/>
    <mergeCell ref="AA63:AB63"/>
    <mergeCell ref="C69:D69"/>
    <mergeCell ref="AA69:AB69"/>
    <mergeCell ref="C64:D64"/>
    <mergeCell ref="AA64:AB64"/>
    <mergeCell ref="AG47:AG50"/>
    <mergeCell ref="C48:D48"/>
    <mergeCell ref="AA48:AB48"/>
    <mergeCell ref="A60:A64"/>
    <mergeCell ref="C60:D60"/>
    <mergeCell ref="R60:R64"/>
    <mergeCell ref="AA60:AB60"/>
    <mergeCell ref="A51:A59"/>
    <mergeCell ref="C51:D51"/>
    <mergeCell ref="AG51:AG59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A57:AB57"/>
    <mergeCell ref="C58:D58"/>
    <mergeCell ref="AA58:AB58"/>
    <mergeCell ref="R51:R59"/>
    <mergeCell ref="AA51:AB51"/>
    <mergeCell ref="C59:D59"/>
    <mergeCell ref="AA59:AB59"/>
    <mergeCell ref="C49:D49"/>
    <mergeCell ref="AA49:AB49"/>
    <mergeCell ref="C46:D46"/>
    <mergeCell ref="AA46:AB46"/>
    <mergeCell ref="C50:D50"/>
    <mergeCell ref="AA50:AB50"/>
    <mergeCell ref="A37:A46"/>
    <mergeCell ref="C37:D37"/>
    <mergeCell ref="R37:R46"/>
    <mergeCell ref="AA37:AB37"/>
    <mergeCell ref="A47:A50"/>
    <mergeCell ref="C47:D47"/>
    <mergeCell ref="R47:R50"/>
    <mergeCell ref="AA47:AB47"/>
    <mergeCell ref="AG37:AG46"/>
    <mergeCell ref="C38:D38"/>
    <mergeCell ref="AA38:AB38"/>
    <mergeCell ref="C39:D39"/>
    <mergeCell ref="AA39:AB39"/>
    <mergeCell ref="C40:D40"/>
    <mergeCell ref="C44:D44"/>
    <mergeCell ref="AA44:AB44"/>
    <mergeCell ref="C45:D45"/>
    <mergeCell ref="AA40:AB40"/>
    <mergeCell ref="C41:D41"/>
    <mergeCell ref="AA41:AB41"/>
    <mergeCell ref="C42:D42"/>
    <mergeCell ref="AA42:AB42"/>
    <mergeCell ref="C43:D43"/>
    <mergeCell ref="AA43:AB43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4:AB34"/>
    <mergeCell ref="AA32:AB32"/>
    <mergeCell ref="C33:D33"/>
    <mergeCell ref="A28:A36"/>
    <mergeCell ref="C28:D28"/>
    <mergeCell ref="R28:R36"/>
    <mergeCell ref="AA28:AB28"/>
    <mergeCell ref="AA33:AB33"/>
    <mergeCell ref="C34:D34"/>
    <mergeCell ref="C36:D36"/>
    <mergeCell ref="AA36:AB36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A13:A20"/>
    <mergeCell ref="C13:D13"/>
    <mergeCell ref="R13:R20"/>
    <mergeCell ref="AA13:AB13"/>
    <mergeCell ref="A9:A12"/>
    <mergeCell ref="C9:D9"/>
    <mergeCell ref="R9:R12"/>
    <mergeCell ref="C20:D20"/>
    <mergeCell ref="AA20:AB20"/>
    <mergeCell ref="C14:D14"/>
    <mergeCell ref="AA14:AB14"/>
    <mergeCell ref="C15:D15"/>
    <mergeCell ref="AA15:AB15"/>
    <mergeCell ref="C16:D16"/>
    <mergeCell ref="AA16:AB16"/>
    <mergeCell ref="C17:D17"/>
    <mergeCell ref="AA9:AB9"/>
    <mergeCell ref="AG9:AG12"/>
    <mergeCell ref="C10:D10"/>
    <mergeCell ref="AA10:AB10"/>
    <mergeCell ref="C11:D11"/>
    <mergeCell ref="AA11:AB11"/>
    <mergeCell ref="AA17:AB17"/>
    <mergeCell ref="C12:D12"/>
    <mergeCell ref="AA12:AB12"/>
    <mergeCell ref="AG13:AG20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C8:D8"/>
    <mergeCell ref="AA8:AB8"/>
    <mergeCell ref="C7:D7"/>
    <mergeCell ref="AA7:AB7"/>
    <mergeCell ref="AE3:AE4"/>
    <mergeCell ref="AF3:AF4"/>
    <mergeCell ref="W3:X3"/>
    <mergeCell ref="Y3:Z3"/>
    <mergeCell ref="AA3:AB4"/>
    <mergeCell ref="AC3:AD3"/>
    <mergeCell ref="I1:K2"/>
    <mergeCell ref="L1:N2"/>
    <mergeCell ref="O1:R2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T3"/>
  </mergeCells>
  <phoneticPr fontId="3" type="noConversion"/>
  <conditionalFormatting sqref="O63:O70 O59:O60 O72 O5:O9 O12:O14 O20:O56">
    <cfRule type="cellIs" dxfId="850" priority="58" operator="greaterThan">
      <formula>0</formula>
    </cfRule>
  </conditionalFormatting>
  <conditionalFormatting sqref="P5:P7 P63 AE63 P65:P70 P28:P35 P60 P9 P12:P14 P21:P26 P51:P56 P37:P49 AE5:AE60 AE65:AE72">
    <cfRule type="cellIs" dxfId="849" priority="62" operator="lessThan">
      <formula>0</formula>
    </cfRule>
  </conditionalFormatting>
  <conditionalFormatting sqref="AF63 Q63:Q70 Q59:Q60 Q72 Q5:Q9 Q12:Q14 Q20:Q56 AF5:AF60 AF65:AF72">
    <cfRule type="cellIs" dxfId="848" priority="59" operator="greaterThan">
      <formula>1</formula>
    </cfRule>
    <cfRule type="cellIs" dxfId="847" priority="60" operator="lessThan">
      <formula>0.8</formula>
    </cfRule>
  </conditionalFormatting>
  <conditionalFormatting sqref="AG13:AG14 R13:R14 AG63 R63:R70 R20:R44 AG20:AG44 AG59:AG60 R59:R60 R72 AG5:AG9 R5:R9 AG46:AG56 R46:R56">
    <cfRule type="cellIs" dxfId="846" priority="64" operator="lessThan">
      <formula>0.8</formula>
    </cfRule>
  </conditionalFormatting>
  <conditionalFormatting sqref="AG47">
    <cfRule type="cellIs" dxfId="845" priority="66" operator="lessThan">
      <formula>0.8</formula>
    </cfRule>
  </conditionalFormatting>
  <conditionalFormatting sqref="AG21:AG26">
    <cfRule type="cellIs" dxfId="844" priority="63" operator="lessThan">
      <formula>0.8</formula>
    </cfRule>
  </conditionalFormatting>
  <conditionalFormatting sqref="AG28">
    <cfRule type="cellIs" dxfId="843" priority="65" operator="lessThan">
      <formula>0.8</formula>
    </cfRule>
  </conditionalFormatting>
  <conditionalFormatting sqref="AG37:AG44">
    <cfRule type="cellIs" dxfId="842" priority="61" operator="lessThan">
      <formula>0.8</formula>
    </cfRule>
  </conditionalFormatting>
  <conditionalFormatting sqref="AE64">
    <cfRule type="cellIs" dxfId="841" priority="57" operator="lessThan">
      <formula>0</formula>
    </cfRule>
  </conditionalFormatting>
  <conditionalFormatting sqref="AF64">
    <cfRule type="cellIs" dxfId="840" priority="55" operator="greaterThan">
      <formula>1</formula>
    </cfRule>
    <cfRule type="cellIs" dxfId="839" priority="56" operator="lessThan">
      <formula>0.8</formula>
    </cfRule>
  </conditionalFormatting>
  <conditionalFormatting sqref="O15:O16">
    <cfRule type="cellIs" dxfId="838" priority="50" operator="greaterThan">
      <formula>0</formula>
    </cfRule>
  </conditionalFormatting>
  <conditionalFormatting sqref="P15:P16">
    <cfRule type="cellIs" dxfId="837" priority="53" operator="lessThan">
      <formula>0</formula>
    </cfRule>
  </conditionalFormatting>
  <conditionalFormatting sqref="Q15:Q16">
    <cfRule type="cellIs" dxfId="836" priority="51" operator="greaterThan">
      <formula>1</formula>
    </cfRule>
    <cfRule type="cellIs" dxfId="835" priority="52" operator="lessThan">
      <formula>0.8</formula>
    </cfRule>
  </conditionalFormatting>
  <conditionalFormatting sqref="R15:R16 AG15:AG16">
    <cfRule type="cellIs" dxfId="834" priority="54" operator="lessThan">
      <formula>0.8</formula>
    </cfRule>
  </conditionalFormatting>
  <conditionalFormatting sqref="O10:O11">
    <cfRule type="cellIs" dxfId="833" priority="46" operator="greaterThan">
      <formula>0</formula>
    </cfRule>
  </conditionalFormatting>
  <conditionalFormatting sqref="P10:P11">
    <cfRule type="cellIs" dxfId="832" priority="49" operator="lessThan">
      <formula>0</formula>
    </cfRule>
  </conditionalFormatting>
  <conditionalFormatting sqref="Q10:Q11">
    <cfRule type="cellIs" dxfId="831" priority="47" operator="greaterThan">
      <formula>1</formula>
    </cfRule>
    <cfRule type="cellIs" dxfId="830" priority="48" operator="lessThan">
      <formula>0.8</formula>
    </cfRule>
  </conditionalFormatting>
  <conditionalFormatting sqref="O57">
    <cfRule type="cellIs" dxfId="829" priority="41" operator="greaterThan">
      <formula>0</formula>
    </cfRule>
  </conditionalFormatting>
  <conditionalFormatting sqref="P57">
    <cfRule type="cellIs" dxfId="828" priority="44" operator="lessThan">
      <formula>0</formula>
    </cfRule>
  </conditionalFormatting>
  <conditionalFormatting sqref="Q57">
    <cfRule type="cellIs" dxfId="827" priority="42" operator="greaterThan">
      <formula>1</formula>
    </cfRule>
    <cfRule type="cellIs" dxfId="826" priority="43" operator="lessThan">
      <formula>0.8</formula>
    </cfRule>
  </conditionalFormatting>
  <conditionalFormatting sqref="R57 AG57">
    <cfRule type="cellIs" dxfId="825" priority="45" operator="lessThan">
      <formula>0.8</formula>
    </cfRule>
  </conditionalFormatting>
  <conditionalFormatting sqref="R45 AG45">
    <cfRule type="cellIs" dxfId="824" priority="40" operator="lessThan">
      <formula>0.8</formula>
    </cfRule>
  </conditionalFormatting>
  <conditionalFormatting sqref="AG45">
    <cfRule type="cellIs" dxfId="823" priority="39" operator="lessThan">
      <formula>0.8</formula>
    </cfRule>
  </conditionalFormatting>
  <conditionalFormatting sqref="O62">
    <cfRule type="cellIs" dxfId="822" priority="34" operator="greaterThan">
      <formula>0</formula>
    </cfRule>
  </conditionalFormatting>
  <conditionalFormatting sqref="P62 AE62">
    <cfRule type="cellIs" dxfId="821" priority="37" operator="lessThan">
      <formula>0</formula>
    </cfRule>
  </conditionalFormatting>
  <conditionalFormatting sqref="Q62 AF62">
    <cfRule type="cellIs" dxfId="820" priority="35" operator="greaterThan">
      <formula>1</formula>
    </cfRule>
    <cfRule type="cellIs" dxfId="819" priority="36" operator="lessThan">
      <formula>0.8</formula>
    </cfRule>
  </conditionalFormatting>
  <conditionalFormatting sqref="R62 AG62">
    <cfRule type="cellIs" dxfId="818" priority="38" operator="lessThan">
      <formula>0.8</formula>
    </cfRule>
  </conditionalFormatting>
  <conditionalFormatting sqref="O71">
    <cfRule type="cellIs" dxfId="817" priority="29" operator="greaterThan">
      <formula>0</formula>
    </cfRule>
  </conditionalFormatting>
  <conditionalFormatting sqref="P71">
    <cfRule type="cellIs" dxfId="816" priority="32" operator="lessThan">
      <formula>0</formula>
    </cfRule>
  </conditionalFormatting>
  <conditionalFormatting sqref="Q71">
    <cfRule type="cellIs" dxfId="815" priority="30" operator="greaterThan">
      <formula>1</formula>
    </cfRule>
    <cfRule type="cellIs" dxfId="814" priority="31" operator="lessThan">
      <formula>0.8</formula>
    </cfRule>
  </conditionalFormatting>
  <conditionalFormatting sqref="R71">
    <cfRule type="cellIs" dxfId="813" priority="33" operator="lessThan">
      <formula>0.8</formula>
    </cfRule>
  </conditionalFormatting>
  <conditionalFormatting sqref="O17:O18">
    <cfRule type="cellIs" dxfId="812" priority="24" operator="greaterThan">
      <formula>0</formula>
    </cfRule>
  </conditionalFormatting>
  <conditionalFormatting sqref="P17:P18">
    <cfRule type="cellIs" dxfId="811" priority="27" operator="lessThan">
      <formula>0</formula>
    </cfRule>
  </conditionalFormatting>
  <conditionalFormatting sqref="Q17:Q18">
    <cfRule type="cellIs" dxfId="810" priority="25" operator="greaterThan">
      <formula>1</formula>
    </cfRule>
    <cfRule type="cellIs" dxfId="809" priority="26" operator="lessThan">
      <formula>0.8</formula>
    </cfRule>
  </conditionalFormatting>
  <conditionalFormatting sqref="R17:R18 AG17:AG18">
    <cfRule type="cellIs" dxfId="808" priority="28" operator="lessThan">
      <formula>0.8</formula>
    </cfRule>
  </conditionalFormatting>
  <conditionalFormatting sqref="O58">
    <cfRule type="cellIs" dxfId="807" priority="19" operator="greaterThan">
      <formula>0</formula>
    </cfRule>
  </conditionalFormatting>
  <conditionalFormatting sqref="P58">
    <cfRule type="cellIs" dxfId="806" priority="22" operator="lessThan">
      <formula>0</formula>
    </cfRule>
  </conditionalFormatting>
  <conditionalFormatting sqref="Q58">
    <cfRule type="cellIs" dxfId="805" priority="20" operator="greaterThan">
      <formula>1</formula>
    </cfRule>
    <cfRule type="cellIs" dxfId="804" priority="21" operator="lessThan">
      <formula>0.8</formula>
    </cfRule>
  </conditionalFormatting>
  <conditionalFormatting sqref="AG58 R58">
    <cfRule type="cellIs" dxfId="803" priority="23" operator="lessThan">
      <formula>0.8</formula>
    </cfRule>
  </conditionalFormatting>
  <conditionalFormatting sqref="O61">
    <cfRule type="cellIs" dxfId="802" priority="14" operator="greaterThan">
      <formula>0</formula>
    </cfRule>
  </conditionalFormatting>
  <conditionalFormatting sqref="P61 AE61">
    <cfRule type="cellIs" dxfId="801" priority="17" operator="lessThan">
      <formula>0</formula>
    </cfRule>
  </conditionalFormatting>
  <conditionalFormatting sqref="Q61 AF61">
    <cfRule type="cellIs" dxfId="800" priority="15" operator="greaterThan">
      <formula>1</formula>
    </cfRule>
    <cfRule type="cellIs" dxfId="799" priority="16" operator="lessThan">
      <formula>0.8</formula>
    </cfRule>
  </conditionalFormatting>
  <conditionalFormatting sqref="R61 AG61">
    <cfRule type="cellIs" dxfId="798" priority="18" operator="lessThan">
      <formula>0.8</formula>
    </cfRule>
  </conditionalFormatting>
  <conditionalFormatting sqref="O19">
    <cfRule type="cellIs" dxfId="797" priority="9" operator="greaterThan">
      <formula>0</formula>
    </cfRule>
  </conditionalFormatting>
  <conditionalFormatting sqref="P19">
    <cfRule type="cellIs" dxfId="796" priority="12" operator="lessThan">
      <formula>0</formula>
    </cfRule>
  </conditionalFormatting>
  <conditionalFormatting sqref="Q19">
    <cfRule type="cellIs" dxfId="795" priority="10" operator="greaterThan">
      <formula>1</formula>
    </cfRule>
    <cfRule type="cellIs" dxfId="794" priority="11" operator="lessThan">
      <formula>0.8</formula>
    </cfRule>
  </conditionalFormatting>
  <conditionalFormatting sqref="AG19 R19">
    <cfRule type="cellIs" dxfId="793" priority="13" operator="lessThan">
      <formula>0.8</formula>
    </cfRule>
  </conditionalFormatting>
  <conditionalFormatting sqref="P8">
    <cfRule type="cellIs" dxfId="792" priority="8" operator="lessThan">
      <formula>0</formula>
    </cfRule>
  </conditionalFormatting>
  <conditionalFormatting sqref="P20">
    <cfRule type="cellIs" dxfId="791" priority="7" operator="lessThan">
      <formula>0</formula>
    </cfRule>
  </conditionalFormatting>
  <conditionalFormatting sqref="P27">
    <cfRule type="cellIs" dxfId="790" priority="6" operator="lessThan">
      <formula>0</formula>
    </cfRule>
  </conditionalFormatting>
  <conditionalFormatting sqref="P36">
    <cfRule type="cellIs" dxfId="789" priority="5" operator="lessThan">
      <formula>0</formula>
    </cfRule>
  </conditionalFormatting>
  <conditionalFormatting sqref="P50">
    <cfRule type="cellIs" dxfId="788" priority="4" operator="lessThan">
      <formula>0</formula>
    </cfRule>
  </conditionalFormatting>
  <conditionalFormatting sqref="P59">
    <cfRule type="cellIs" dxfId="787" priority="3" operator="lessThan">
      <formula>0</formula>
    </cfRule>
  </conditionalFormatting>
  <conditionalFormatting sqref="P64">
    <cfRule type="cellIs" dxfId="786" priority="2" operator="lessThan">
      <formula>0</formula>
    </cfRule>
  </conditionalFormatting>
  <conditionalFormatting sqref="P72">
    <cfRule type="cellIs" dxfId="785" priority="1" operator="lessThan">
      <formula>0</formula>
    </cfRule>
  </conditionalFormatting>
  <dataValidations count="1">
    <dataValidation type="list" allowBlank="1" showInputMessage="1" showErrorMessage="1" sqref="AB8 AA5:AB7 AA8:AA63 AB10:AB60 AA64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4" sqref="P4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877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87</v>
      </c>
      <c r="C3" s="596" t="str">
        <f>TEXT('0909 4度C'!A2,"yyyy.mm.ddaaaa")</f>
        <v>2026.09.09星期三</v>
      </c>
      <c r="D3" s="597"/>
      <c r="E3" s="39" t="s">
        <v>878</v>
      </c>
      <c r="F3" s="598">
        <f>'0909 4度C'!D1</f>
        <v>179252</v>
      </c>
      <c r="G3" s="599"/>
      <c r="H3" s="39" t="s">
        <v>879</v>
      </c>
      <c r="I3" s="600">
        <f>'0909 4度C'!F1</f>
        <v>6085250.0799999982</v>
      </c>
      <c r="J3" s="601"/>
      <c r="K3" s="40"/>
      <c r="L3" s="41"/>
      <c r="M3" s="42"/>
      <c r="N3" s="42"/>
    </row>
    <row r="4" spans="2:17" ht="28.5" customHeight="1">
      <c r="B4" s="602" t="s">
        <v>880</v>
      </c>
      <c r="C4" s="588" t="s">
        <v>881</v>
      </c>
      <c r="D4" s="589"/>
      <c r="E4" s="605" t="s">
        <v>882</v>
      </c>
      <c r="F4" s="606"/>
      <c r="G4" s="605" t="s">
        <v>883</v>
      </c>
      <c r="H4" s="606"/>
      <c r="I4" s="605" t="s">
        <v>884</v>
      </c>
      <c r="J4" s="606"/>
      <c r="K4" s="586" t="s">
        <v>885</v>
      </c>
      <c r="L4" s="587"/>
      <c r="M4" s="587" t="s">
        <v>886</v>
      </c>
      <c r="N4" s="587"/>
    </row>
    <row r="5" spans="2:17" ht="28.5" customHeight="1">
      <c r="B5" s="603"/>
      <c r="C5" s="588" t="s">
        <v>887</v>
      </c>
      <c r="D5" s="589"/>
      <c r="E5" s="588" t="s">
        <v>888</v>
      </c>
      <c r="F5" s="589"/>
      <c r="G5" s="590" t="s">
        <v>889</v>
      </c>
      <c r="H5" s="591"/>
      <c r="I5" s="592" t="s">
        <v>890</v>
      </c>
      <c r="J5" s="593"/>
      <c r="K5" s="43" t="s">
        <v>891</v>
      </c>
      <c r="L5" s="44" t="s">
        <v>892</v>
      </c>
      <c r="M5" s="43" t="s">
        <v>893</v>
      </c>
      <c r="N5" s="44" t="s">
        <v>894</v>
      </c>
    </row>
    <row r="6" spans="2:17" ht="28.5" customHeight="1">
      <c r="B6" s="603"/>
      <c r="C6" s="588" t="s">
        <v>56</v>
      </c>
      <c r="D6" s="589"/>
      <c r="E6" s="580">
        <f>AVERAGE(D13:M13)</f>
        <v>157.26236468748576</v>
      </c>
      <c r="F6" s="581">
        <f>AVERAGE(D31:O31,D13:J13)</f>
        <v>164.64397410862662</v>
      </c>
      <c r="G6" s="582">
        <f>AVERAGE(D13:J13)</f>
        <v>164.64397410862662</v>
      </c>
      <c r="H6" s="583"/>
      <c r="I6" s="582">
        <f>AVERAGE(K13:M13)</f>
        <v>140.03860937149034</v>
      </c>
      <c r="J6" s="583"/>
      <c r="K6" s="584">
        <f>'0909 4度C'!Y2</f>
        <v>0</v>
      </c>
      <c r="L6" s="569">
        <f>'0909 4度C'!Z2</f>
        <v>0</v>
      </c>
      <c r="M6" s="585">
        <f>'0909 4度C'!AC2</f>
        <v>62</v>
      </c>
      <c r="N6" s="569">
        <f>'0909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150.6418517919661</v>
      </c>
      <c r="F7" s="573">
        <f>AVERAGE(D32:O32,D14:J14)</f>
        <v>157.70220332932723</v>
      </c>
      <c r="G7" s="574">
        <f>AVERAGE(D14:J14)</f>
        <v>157.70220332932723</v>
      </c>
      <c r="H7" s="575"/>
      <c r="I7" s="574">
        <f>AVERAGE(K14:M14)</f>
        <v>134.16769820479013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0.95805738313123823</v>
      </c>
      <c r="F8" s="577">
        <f>AVERAGE(D15:J15,D33:O33)</f>
        <v>0.9580676084880142</v>
      </c>
      <c r="G8" s="578">
        <f>AVERAGE(D15:J15)</f>
        <v>0.9580676084880142</v>
      </c>
      <c r="H8" s="579"/>
      <c r="I8" s="578">
        <f>AVERAGE(K15:M15)</f>
        <v>0.9580335239654274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895</v>
      </c>
      <c r="N9" s="42"/>
      <c r="O9" s="42"/>
      <c r="P9" s="42"/>
      <c r="Q9" s="42"/>
    </row>
    <row r="10" spans="2:17" ht="30" customHeight="1">
      <c r="B10" s="552" t="s">
        <v>896</v>
      </c>
      <c r="C10" s="553"/>
      <c r="D10" s="554" t="s">
        <v>897</v>
      </c>
      <c r="E10" s="555"/>
      <c r="F10" s="555"/>
      <c r="G10" s="555"/>
      <c r="H10" s="555"/>
      <c r="I10" s="555"/>
      <c r="J10" s="556"/>
      <c r="K10" s="557" t="s">
        <v>898</v>
      </c>
      <c r="L10" s="558"/>
      <c r="M10" s="559"/>
      <c r="P10" s="48"/>
      <c r="Q10" s="48"/>
    </row>
    <row r="11" spans="2:17" ht="17.25" customHeight="1">
      <c r="B11" s="560" t="s">
        <v>899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900</v>
      </c>
      <c r="C13" s="55" t="s">
        <v>901</v>
      </c>
      <c r="D13" s="56">
        <f>SUMIFS('0909 4度C'!$K:$K,'0909 4度C'!$A:$A,"新豐6線",'0909 4度C'!$B:$B,"平均")</f>
        <v>136.36363636363637</v>
      </c>
      <c r="E13" s="57">
        <f>SUMIFS('0909 4度C'!$K:$K,'0909 4度C'!$A:$A,"新豐2線",'0909 4度C'!$B:$B,"平均")</f>
        <v>81.818181818181827</v>
      </c>
      <c r="F13" s="58">
        <f>SUMIFS('0909 4度C'!$K:$K,'0909 4度C'!$A:$A,"新豐5線",'0909 4度C'!$B:$B,"平均")</f>
        <v>104.16666666666667</v>
      </c>
      <c r="G13" s="58">
        <f>SUMIFS('0909 4度C'!$K:$K,'0909 4度C'!$A:$A,"新豐7線",'0909 4度C'!$B:$B,"平均")</f>
        <v>126.31578947368421</v>
      </c>
      <c r="H13" s="58">
        <f>SUMIFS('0909 4度C'!$K:$K,'0909 4度C'!$A:$A,"新豐3線",'0909 4度C'!$B:$B,"平均")</f>
        <v>310.34482758620692</v>
      </c>
      <c r="I13" s="58">
        <f>SUMIFS('0909 4度C'!$K:$K,'0909 4度C'!$A:$A,"新豐1線",'0909 4度C'!$B:$B,"平均")</f>
        <v>107.78443113772454</v>
      </c>
      <c r="J13" s="59">
        <f>SUMIFS('0909 4度C'!$K:$K,'0909 4度C'!$A:$A,"新豐10線",'0909 4度C'!$B:$B,"平均")</f>
        <v>285.71428571428572</v>
      </c>
      <c r="K13" s="60">
        <f>SUMIFS('0909 4度C'!$K:$K,'0909 4度C'!$A:$A,"新豐8線",'0909 4度C'!$B:$B,"平均")</f>
        <v>141.1764705882353</v>
      </c>
      <c r="L13" s="61">
        <f>SUMIFS('0909 4度C'!$K:$K,'0909 4度C'!$A:$A,"新豐9線",'0909 4度C'!$B:$B,"平均")</f>
        <v>130.99415204678363</v>
      </c>
      <c r="M13" s="59">
        <f>SUMIFS('0909 4度C'!$K:$K,'0909 4度C'!$A:$A,"新豐4線",'0909 4度C'!$B:$B,"平均")</f>
        <v>147.94520547945206</v>
      </c>
    </row>
    <row r="14" spans="2:17" ht="39.6" customHeight="1">
      <c r="B14" s="565"/>
      <c r="C14" s="62" t="s">
        <v>226</v>
      </c>
      <c r="D14" s="63">
        <f>SUMIFS('0909 4度C'!$N:$N,'0909 4度C'!$A:$A,"新豐6線",'0909 4度C'!$B:$B,"平均")</f>
        <v>130.46580841638976</v>
      </c>
      <c r="E14" s="64">
        <f>SUMIFS('0909 4度C'!$N:$N,'0909 4度C'!$A:$A,"新豐2線",'0909 4度C'!$B:$B,"平均")</f>
        <v>78.067417159954488</v>
      </c>
      <c r="F14" s="64">
        <f>SUMIFS('0909 4度C'!$N:$N,'0909 4度C'!$A:$A,"新豐5線",'0909 4度C'!$B:$B,"平均")</f>
        <v>100.08609503542493</v>
      </c>
      <c r="G14" s="64">
        <f>SUMIFS('0909 4度C'!$N:$N,'0909 4度C'!$A:$A,"新豐7線",'0909 4度C'!$B:$B,"平均")</f>
        <v>121.37713320700385</v>
      </c>
      <c r="H14" s="64">
        <f>SUMIFS('0909 4度C'!$N:$N,'0909 4度C'!$A:$A,"新豐3線",'0909 4度C'!$B:$B,"平均")</f>
        <v>297.02432608474311</v>
      </c>
      <c r="I14" s="64">
        <f>SUMIFS('0909 4度C'!$N:$N,'0909 4度C'!$A:$A,"新豐1線",'0909 4度C'!$B:$B,"平均")</f>
        <v>103.43565415374967</v>
      </c>
      <c r="J14" s="65">
        <f>SUMIFS('0909 4度C'!$N:$N,'0909 4度C'!$A:$A,"新豐10線",'0909 4度C'!$B:$B,"平均")</f>
        <v>273.45898924802492</v>
      </c>
      <c r="K14" s="66">
        <f>SUMIFS('0909 4度C'!$N:$N,'0909 4度C'!$A:$A,"新豐8線",'0909 4度C'!$B:$B,"平均")</f>
        <v>134.89048120458497</v>
      </c>
      <c r="L14" s="67">
        <f>SUMIFS('0909 4度C'!$N:$N,'0909 4度C'!$A:$A,"新豐9線",'0909 4度C'!$B:$B,"平均")</f>
        <v>125.49119240685583</v>
      </c>
      <c r="M14" s="65">
        <f>SUMIFS('0909 4度C'!$N:$N,'0909 4度C'!$A:$A,"新豐4線",'0909 4度C'!$B:$B,"平均")</f>
        <v>142.12142100292959</v>
      </c>
    </row>
    <row r="15" spans="2:17" ht="40.15" customHeight="1">
      <c r="B15" s="566"/>
      <c r="C15" s="68" t="s">
        <v>113</v>
      </c>
      <c r="D15" s="69">
        <f t="shared" ref="D15:M15" si="0">D14/D13</f>
        <v>0.95674926172019148</v>
      </c>
      <c r="E15" s="70">
        <f t="shared" si="0"/>
        <v>0.95415732084388805</v>
      </c>
      <c r="F15" s="70">
        <f t="shared" si="0"/>
        <v>0.96082651234007932</v>
      </c>
      <c r="G15" s="70">
        <f t="shared" si="0"/>
        <v>0.96090230455544723</v>
      </c>
      <c r="H15" s="70">
        <f t="shared" si="0"/>
        <v>0.95707838405083889</v>
      </c>
      <c r="I15" s="70">
        <f t="shared" si="0"/>
        <v>0.95965301353756649</v>
      </c>
      <c r="J15" s="71">
        <f t="shared" si="0"/>
        <v>0.95710646236808716</v>
      </c>
      <c r="K15" s="69">
        <f t="shared" si="0"/>
        <v>0.9554742418658102</v>
      </c>
      <c r="L15" s="70">
        <f t="shared" si="0"/>
        <v>0.95799079917733687</v>
      </c>
      <c r="M15" s="71">
        <f t="shared" si="0"/>
        <v>0.96063553085313524</v>
      </c>
    </row>
    <row r="16" spans="2:17" ht="17.25" customHeight="1">
      <c r="B16" s="567" t="s">
        <v>902</v>
      </c>
      <c r="C16" s="72" t="s">
        <v>903</v>
      </c>
      <c r="D16" s="73">
        <f>VLOOKUP("新豐6線",'0909 4度C'!$A:$T,19,0)</f>
        <v>0.70833333333333337</v>
      </c>
      <c r="E16" s="74">
        <f>VLOOKUP("新豐2線",'0909 4度C'!$A:$T,19,0)</f>
        <v>8.3333333333333329E-2</v>
      </c>
      <c r="F16" s="74">
        <f>VLOOKUP("新豐5線",'0909 4度C'!$A:$T,19,0)</f>
        <v>0.20833333333333334</v>
      </c>
      <c r="G16" s="74">
        <f>VLOOKUP("新豐7線",'0909 4度C'!$A:$T,19,0)</f>
        <v>0.20833333333333334</v>
      </c>
      <c r="H16" s="74">
        <f>VLOOKUP("新豐3線",'0909 4度C'!$A:$T,19,0)</f>
        <v>0.20833333333333334</v>
      </c>
      <c r="I16" s="74">
        <f>VLOOKUP("新豐1線",'0909 4度C'!$A:$T,19,0)</f>
        <v>0.20833333333333334</v>
      </c>
      <c r="J16" s="75">
        <f>VLOOKUP("新豐10線",'0909 4度C'!$A:$T,19,0)</f>
        <v>0.20833333333333334</v>
      </c>
      <c r="K16" s="76">
        <f>VLOOKUP("新豐8線",'0909 4度C'!$A:$T,19,0)</f>
        <v>8.3333333333333329E-2</v>
      </c>
      <c r="L16" s="77">
        <f>VLOOKUP("新豐9線",'0909 4度C'!$A:$T,19,0)</f>
        <v>8.3333333333333329E-2</v>
      </c>
      <c r="M16" s="78">
        <f>VLOOKUP("新豐4線",'0909 4度C'!$A:$T,19,0)</f>
        <v>8.3333333333333329E-2</v>
      </c>
    </row>
    <row r="17" spans="2:13" ht="17.25" customHeight="1">
      <c r="B17" s="568"/>
      <c r="C17" s="72" t="s">
        <v>904</v>
      </c>
      <c r="D17" s="76">
        <f>LOOKUP(2,1/(('0909 4度C'!$A:$A="新豐6線")*('0909 4度C'!$T:$T&lt;&gt;"")),'0909 4度C'!$T:$T)</f>
        <v>0.85486111111111118</v>
      </c>
      <c r="E17" s="74">
        <f>LOOKUP(2,1/(('0909 4度C'!$A:$A="新豐2線")*('0909 4度C'!$T:$T&lt;&gt;"")),'0909 4度C'!$T:$T)</f>
        <v>0.48402777777777772</v>
      </c>
      <c r="F17" s="74">
        <f>LOOKUP(2,1/(('0909 4度C'!$A:$A="新豐5線")*('0909 4度C'!$T:$T&lt;&gt;"")),'0909 4度C'!$T:$T)</f>
        <v>0.85416666666666663</v>
      </c>
      <c r="G17" s="74">
        <f>LOOKUP(2,1/(('0909 4度C'!$A:$A="新豐7線")*('0909 4度C'!$T:$T&lt;&gt;"")),'0909 4度C'!$T:$T)</f>
        <v>0.84444444444444444</v>
      </c>
      <c r="H17" s="74">
        <f>LOOKUP(2,1/(('0909 4度C'!$A:$A="新豐3線")*('0909 4度C'!$T:$T&lt;&gt;"")),'0909 4度C'!$T:$T)</f>
        <v>0.4145833333333333</v>
      </c>
      <c r="I17" s="74">
        <f>LOOKUP(2,1/(('0909 4度C'!$A:$A="新豐1線")*('0909 4度C'!$T:$T&lt;&gt;"")),'0909 4度C'!$T:$T)</f>
        <v>0.9013888888888888</v>
      </c>
      <c r="J17" s="75">
        <f>LOOKUP(2,1/(('0909 4度C'!$A:$A="新豐10線")*('0909 4度C'!$T:$T&lt;&gt;"")),'0909 4度C'!$T:$T)</f>
        <v>0.43680555555555545</v>
      </c>
      <c r="K17" s="73">
        <f>LOOKUP(2,1/(('0909 4度C'!$A:$A="新豐8線")*('0909 4度C'!$T:$T&lt;&gt;"")),'0909 4度C'!$T:$T)</f>
        <v>0.73124999999999984</v>
      </c>
      <c r="L17" s="74">
        <f>LOOKUP(2,1/(('0909 4度C'!$A:$A="新豐9線")*('0909 4度C'!$T:$T&lt;&gt;"")),'0909 4度C'!$T:$T)</f>
        <v>0.7763888888888888</v>
      </c>
      <c r="M17" s="75">
        <f>LOOKUP(2,1/(('0909 4度C'!$A:$A="新豐4線")*('0909 4度C'!$T:$T&lt;&gt;"")),'0909 4度C'!$T:$T)</f>
        <v>0.72499999999999987</v>
      </c>
    </row>
    <row r="18" spans="2:13" ht="17.25" customHeight="1">
      <c r="B18" s="546" t="s">
        <v>905</v>
      </c>
      <c r="C18" s="79" t="s">
        <v>906</v>
      </c>
      <c r="D18" s="80">
        <f>SUMIFS('0909 4度C'!$Y:$Y,'0909 4度C'!$A:$A,"新豐6線",'0909 4度C'!$B:$B,"平均")</f>
        <v>0</v>
      </c>
      <c r="E18" s="81">
        <f>SUMIFS('0909 4度C'!$Y:$Y,'0909 4度C'!$A:$A,"新豐2線",'0909 4度C'!$B:$B,"平均")</f>
        <v>0</v>
      </c>
      <c r="F18" s="81">
        <f>SUMIFS('0909 4度C'!$Y:$Y,'0909 4度C'!$A:$A,"新豐5線",'0909 4度C'!$B:$B,"平均")</f>
        <v>0</v>
      </c>
      <c r="G18" s="81">
        <f>SUMIFS('0909 4度C'!$Y:$Y,'0909 4度C'!$A:$A,"新豐7線",'0909 4度C'!$B:$B,"平均")</f>
        <v>0</v>
      </c>
      <c r="H18" s="81">
        <f>SUMIFS('0909 4度C'!$Y:$Y,'0909 4度C'!$A:$A,"新豐3線",'0909 4度C'!$B:$B,"平均")</f>
        <v>0</v>
      </c>
      <c r="I18" s="81">
        <f>SUMIFS('0909 4度C'!$Y:$Y,'0909 4度C'!$A:$A,"新豐1線",'0909 4度C'!$B:$B,"平均")</f>
        <v>0</v>
      </c>
      <c r="J18" s="82">
        <f>SUMIFS('0909 4度C'!$Y:$Y,'0909 4度C'!$A:$A,"新豐10線",'0909 4度C'!$B:$B,"平均")</f>
        <v>0</v>
      </c>
      <c r="K18" s="83">
        <f>SUMIFS('0909 4度C'!$Y:$Y,'0909 4度C'!$A:$A,"新豐8線",'0909 4度C'!$B:$B,"平均")</f>
        <v>0</v>
      </c>
      <c r="L18" s="81">
        <f>SUMIFS('0909 4度C'!$Y:$Y,'0909 4度C'!$A:$A,"新豐9線",'0909 4度C'!$B:$B,"平均")</f>
        <v>0</v>
      </c>
      <c r="M18" s="82">
        <f>SUMIFS('0909 4度C'!$Y:$Y,'0909 4度C'!$A:$A,"新豐4線",'0909 4度C'!$B:$B,"平均")</f>
        <v>0</v>
      </c>
    </row>
    <row r="19" spans="2:13" ht="17.25" customHeight="1">
      <c r="B19" s="547"/>
      <c r="C19" s="79" t="s">
        <v>907</v>
      </c>
      <c r="D19" s="80">
        <f>SUMIFS('0909 4度C'!$Z:$Z,'0909 4度C'!$A:$A,"新豐6線",'0909 4度C'!$B:$B,"平均")</f>
        <v>0</v>
      </c>
      <c r="E19" s="81">
        <f>SUMIFS('0909 4度C'!$Z:$Z,'0909 4度C'!$A:$A,"新豐2線",'0909 4度C'!$B:$B,"平均")</f>
        <v>0</v>
      </c>
      <c r="F19" s="81">
        <f>SUMIFS('0909 4度C'!$Z:$Z,'0909 4度C'!$A:$A,"新豐5線",'0909 4度C'!$B:$B,"平均")</f>
        <v>0</v>
      </c>
      <c r="G19" s="81">
        <f>SUMIFS('0909 4度C'!$Z:$Z,'0909 4度C'!$A:$A,"新豐7線",'0909 4度C'!$B:$B,"平均")</f>
        <v>0</v>
      </c>
      <c r="H19" s="81">
        <f>SUMIFS('0909 4度C'!$Z:$Z,'0909 4度C'!$A:$A,"新豐3線",'0909 4度C'!$B:$B,"平均")</f>
        <v>0</v>
      </c>
      <c r="I19" s="81">
        <f>SUMIFS('0909 4度C'!$Z:$Z,'0909 4度C'!$A:$A,"新豐1線",'0909 4度C'!$B:$B,"平均")</f>
        <v>0</v>
      </c>
      <c r="J19" s="82">
        <f>SUMIFS('0909 4度C'!$Z:$Z,'0909 4度C'!$A:$A,"新豐10線",'0909 4度C'!$B:$B,"平均")</f>
        <v>0</v>
      </c>
      <c r="K19" s="83">
        <f>SUMIFS('0909 4度C'!$Z:$Z,'0909 4度C'!$A:$A,"新豐8線",'0909 4度C'!$B:$B,"平均")</f>
        <v>0</v>
      </c>
      <c r="L19" s="81">
        <f>SUMIFS('0909 4度C'!$Z:$Z,'0909 4度C'!$A:$A,"新豐9線",'0909 4度C'!$B:$B,"平均")</f>
        <v>0</v>
      </c>
      <c r="M19" s="82">
        <f>SUMIFS('0909 4度C'!$Z:$Z,'0909 4度C'!$A:$A,"新豐4線",'0909 4度C'!$B:$B,"平均")</f>
        <v>0</v>
      </c>
    </row>
    <row r="20" spans="2:13" ht="17.25" customHeight="1">
      <c r="B20" s="546" t="s">
        <v>908</v>
      </c>
      <c r="C20" s="79" t="s">
        <v>906</v>
      </c>
      <c r="D20" s="80">
        <f>SUMIFS('0909 4度C'!$AC:$AC,'0909 4度C'!$A:$A,"新豐6線",'0909 4度C'!$B:$B,"平均")</f>
        <v>3</v>
      </c>
      <c r="E20" s="81">
        <f>SUMIFS('0909 4度C'!$AC:$AC,'0909 4度C'!$A:$A,"新豐2線",'0909 4度C'!$B:$B,"平均")</f>
        <v>3</v>
      </c>
      <c r="F20" s="81">
        <f>SUMIFS('0909 4度C'!$AC:$AC,'0909 4度C'!$A:$A,"新豐5線",'0909 4度C'!$B:$B,"平均")</f>
        <v>7</v>
      </c>
      <c r="G20" s="81">
        <f>SUMIFS('0909 4度C'!$AC:$AC,'0909 4度C'!$A:$A,"新豐7線",'0909 4度C'!$B:$B,"平均")</f>
        <v>6</v>
      </c>
      <c r="H20" s="81">
        <f>SUMIFS('0909 4度C'!$AC:$AC,'0909 4度C'!$A:$A,"新豐3線",'0909 4度C'!$B:$B,"平均")</f>
        <v>3</v>
      </c>
      <c r="I20" s="81">
        <f>SUMIFS('0909 4度C'!$AC:$AC,'0909 4度C'!$A:$A,"新豐1線",'0909 4度C'!$B:$B,"平均")</f>
        <v>9</v>
      </c>
      <c r="J20" s="82">
        <f>SUMIFS('0909 4度C'!$AC:$AC,'0909 4度C'!$A:$A,"新豐10線",'0909 4度C'!$B:$B,"平均")</f>
        <v>4</v>
      </c>
      <c r="K20" s="83">
        <f>SUMIFS('0909 4度C'!$AC:$AC,'0909 4度C'!$A:$A,"新豐8線",'0909 4度C'!$B:$B,"平均")</f>
        <v>8</v>
      </c>
      <c r="L20" s="81">
        <f>SUMIFS('0909 4度C'!$AC:$AC,'0909 4度C'!$A:$A,"新豐9線",'0909 4度C'!$B:$B,"平均")</f>
        <v>10</v>
      </c>
      <c r="M20" s="82">
        <f>SUMIFS('0909 4度C'!$AC:$AC,'0909 4度C'!$A:$A,"新豐4線",'0909 4度C'!$B:$B,"平均")</f>
        <v>9</v>
      </c>
    </row>
    <row r="21" spans="2:13" ht="17.25" customHeight="1">
      <c r="B21" s="547"/>
      <c r="C21" s="79" t="s">
        <v>909</v>
      </c>
      <c r="D21" s="80">
        <f>SUMIFS('0909 4度C'!$AD:$AD,'0909 4度C'!$A:$A,"新豐6線",'0909 4度C'!$B:$B,"平均")</f>
        <v>0</v>
      </c>
      <c r="E21" s="81">
        <f>SUMIFS('0909 4度C'!$AD:$AD,'0909 4度C'!$A:$A,"新豐2線",'0909 4度C'!$B:$B,"平均")</f>
        <v>0</v>
      </c>
      <c r="F21" s="81">
        <f>SUMIFS('0909 4度C'!$AD:$AD,'0909 4度C'!$A:$A,"新豐5線",'0909 4度C'!$B:$B,"平均")</f>
        <v>0</v>
      </c>
      <c r="G21" s="81">
        <f>SUMIFS('0909 4度C'!$AD:$AD,'0909 4度C'!$A:$A,"新豐7線",'0909 4度C'!$B:$B,"平均")</f>
        <v>0</v>
      </c>
      <c r="H21" s="81">
        <f>SUMIFS('0909 4度C'!$AD:$AD,'0909 4度C'!$A:$A,"新豐3線",'0909 4度C'!$B:$B,"平均")</f>
        <v>0</v>
      </c>
      <c r="I21" s="81">
        <f>SUMIFS('0909 4度C'!$AD:$AD,'0909 4度C'!$A:$A,"新豐1線",'0909 4度C'!$B:$B,"平均")</f>
        <v>0</v>
      </c>
      <c r="J21" s="82">
        <f>SUMIFS('0909 4度C'!$AD:$AD,'0909 4度C'!$A:$A,"新豐10線",'0909 4度C'!$B:$B,"平均")</f>
        <v>0</v>
      </c>
      <c r="K21" s="83">
        <f>SUMIFS('0909 4度C'!$AD:$AD,'0909 4度C'!$A:$A,"新豐8線",'0909 4度C'!$B:$B,"平均")</f>
        <v>0</v>
      </c>
      <c r="L21" s="81">
        <f>SUMIFS('0909 4度C'!$AD:$AD,'0909 4度C'!$A:$A,"新豐9線",'0909 4度C'!$B:$B,"平均")</f>
        <v>0</v>
      </c>
      <c r="M21" s="82">
        <f>SUMIFS('0909 4度C'!$AD:$AD,'0909 4度C'!$A:$A,"新豐4線",'0909 4度C'!$B:$B,"平均")</f>
        <v>0</v>
      </c>
    </row>
    <row r="22" spans="2:13" ht="17.25" customHeight="1">
      <c r="B22" s="548" t="s">
        <v>910</v>
      </c>
      <c r="C22" s="549"/>
      <c r="D22" s="84">
        <f>SUMIFS('0909 4度C'!$I:$I,'0909 4度C'!$A:$A,"新豐6線",'0909 4度C'!$B:$B,"平均")</f>
        <v>14.666666666666666</v>
      </c>
      <c r="E22" s="85">
        <f>SUMIFS('0909 4度C'!$I:$I,'0909 4度C'!$A:$A,"新豐2線",'0909 4度C'!$B:$B,"平均")</f>
        <v>18.333333333333332</v>
      </c>
      <c r="F22" s="85">
        <f>SUMIFS('0909 4度C'!$I:$I,'0909 4度C'!$A:$A,"新豐5線",'0909 4度C'!$B:$B,"平均")</f>
        <v>17.142857142857142</v>
      </c>
      <c r="G22" s="85">
        <f>SUMIFS('0909 4度C'!$I:$I,'0909 4度C'!$A:$A,"新豐7線",'0909 4度C'!$B:$B,"平均")</f>
        <v>15.833333333333334</v>
      </c>
      <c r="H22" s="85">
        <f>SUMIFS('0909 4度C'!$I:$I,'0909 4度C'!$A:$A,"新豐3線",'0909 4度C'!$B:$B,"平均")</f>
        <v>9.6666666666666661</v>
      </c>
      <c r="I22" s="85">
        <f>SUMIFS('0909 4度C'!$I:$I,'0909 4度C'!$A:$A,"新豐1線",'0909 4度C'!$B:$B,"平均")</f>
        <v>18.555555555555557</v>
      </c>
      <c r="J22" s="86">
        <f>SUMIFS('0909 4度C'!$I:$I,'0909 4度C'!$A:$A,"新豐10線",'0909 4度C'!$B:$B,"平均")</f>
        <v>10.5</v>
      </c>
      <c r="K22" s="84">
        <f>SUMIFS('0909 4度C'!$I:$I,'0909 4度C'!$A:$A,"新豐8線",'0909 4度C'!$B:$B,"平均")</f>
        <v>17</v>
      </c>
      <c r="L22" s="85">
        <f>SUMIFS('0909 4度C'!$I:$I,'0909 4度C'!$A:$A,"新豐9線",'0909 4度C'!$B:$B,"平均")</f>
        <v>17.100000000000001</v>
      </c>
      <c r="M22" s="86">
        <f>SUMIFS('0909 4度C'!$I:$I,'0909 4度C'!$A:$A,"新豐4線",'0909 4度C'!$B:$B,"平均")</f>
        <v>16.222222222222221</v>
      </c>
    </row>
    <row r="23" spans="2:13" ht="17.25" customHeight="1">
      <c r="B23" s="548" t="s">
        <v>911</v>
      </c>
      <c r="C23" s="549"/>
      <c r="D23" s="87" t="s">
        <v>69</v>
      </c>
      <c r="E23" s="88" t="s">
        <v>70</v>
      </c>
      <c r="F23" s="88" t="s">
        <v>912</v>
      </c>
      <c r="G23" s="88" t="s">
        <v>912</v>
      </c>
      <c r="H23" s="88" t="s">
        <v>71</v>
      </c>
      <c r="I23" s="88" t="s">
        <v>69</v>
      </c>
      <c r="J23" s="89" t="s">
        <v>71</v>
      </c>
      <c r="K23" s="87" t="s">
        <v>124</v>
      </c>
      <c r="L23" s="88" t="s">
        <v>913</v>
      </c>
      <c r="M23" s="89" t="s">
        <v>913</v>
      </c>
    </row>
    <row r="24" spans="2:13" ht="17.25" customHeight="1">
      <c r="B24" s="548" t="s">
        <v>914</v>
      </c>
      <c r="C24" s="549"/>
      <c r="D24" s="87"/>
      <c r="E24" s="88"/>
      <c r="F24" s="88" t="s">
        <v>915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916</v>
      </c>
      <c r="C25" s="551"/>
      <c r="D25" s="90"/>
      <c r="E25" s="91" t="s">
        <v>917</v>
      </c>
      <c r="F25" s="544" t="s">
        <v>918</v>
      </c>
      <c r="G25" s="545"/>
      <c r="H25" s="91" t="s">
        <v>919</v>
      </c>
      <c r="I25" s="91" t="s">
        <v>920</v>
      </c>
      <c r="J25" s="92" t="s">
        <v>919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7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53" activePane="bottomLeft" state="frozen"/>
      <selection activeCell="A9" sqref="A9"/>
      <selection pane="bottomLeft" activeCell="U73" sqref="U73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921</v>
      </c>
      <c r="B1" s="1"/>
      <c r="C1" s="2" t="s">
        <v>922</v>
      </c>
      <c r="D1" s="3">
        <f>SUM(F5:F76)</f>
        <v>179252</v>
      </c>
      <c r="E1" s="221" t="s">
        <v>923</v>
      </c>
      <c r="F1" s="1">
        <f>SUM(G5:G76)</f>
        <v>6085250.0799999982</v>
      </c>
      <c r="G1" s="1" t="s">
        <v>924</v>
      </c>
      <c r="H1" s="4">
        <f>L8+L12+L51+L61+L20+L66+L36+L47+L27+L76</f>
        <v>155.02063492063493</v>
      </c>
      <c r="I1" s="660" t="s">
        <v>925</v>
      </c>
      <c r="J1" s="660"/>
      <c r="K1" s="660"/>
      <c r="L1" s="660" t="s">
        <v>926</v>
      </c>
      <c r="M1" s="660"/>
      <c r="N1" s="660"/>
      <c r="O1" s="660" t="s">
        <v>927</v>
      </c>
      <c r="P1" s="660"/>
      <c r="Q1" s="660"/>
      <c r="R1" s="660"/>
      <c r="S1" s="660" t="s">
        <v>928</v>
      </c>
      <c r="T1" s="660"/>
      <c r="U1" s="660"/>
      <c r="V1" s="660"/>
      <c r="W1" s="660"/>
      <c r="X1" s="660"/>
      <c r="Y1" s="5" t="s">
        <v>929</v>
      </c>
      <c r="Z1" s="6" t="s">
        <v>930</v>
      </c>
      <c r="AA1" s="661" t="s">
        <v>931</v>
      </c>
      <c r="AB1" s="661"/>
      <c r="AC1" s="7" t="s">
        <v>929</v>
      </c>
      <c r="AD1" s="6" t="s">
        <v>932</v>
      </c>
      <c r="AE1" s="660" t="s">
        <v>933</v>
      </c>
      <c r="AF1" s="662"/>
      <c r="AG1" s="662"/>
    </row>
    <row r="2" spans="1:33" ht="26.25" customHeight="1">
      <c r="A2" s="27">
        <v>46274</v>
      </c>
      <c r="B2" s="28" t="s">
        <v>260</v>
      </c>
      <c r="C2" s="2" t="s">
        <v>934</v>
      </c>
      <c r="D2" s="9">
        <f>AVERAGE(N8,N12,N51,N61,N20,N66,N27,N36,N47,N76)</f>
        <v>150.6418517919661</v>
      </c>
      <c r="E2" s="10" t="s">
        <v>0</v>
      </c>
      <c r="F2" s="11">
        <f>F1/D1</f>
        <v>33.948017762702776</v>
      </c>
      <c r="G2" s="1" t="s">
        <v>935</v>
      </c>
      <c r="H2" s="231">
        <f>COUNT(H5:H76)</f>
        <v>11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SUM(Y8+Y12+Y20+Y27+Y36+Y47+Y51+Y61+Y66+Y76)</f>
        <v>0</v>
      </c>
      <c r="Z2" s="12">
        <f>SUM(Z8+Z12+Z20+Z27+Z36+Z47+Z51+Z61+Z66+Z76)</f>
        <v>0</v>
      </c>
      <c r="AA2" s="661"/>
      <c r="AB2" s="661"/>
      <c r="AC2" s="12">
        <f>SUM(AC8+AC12+AC20+AC27+AC36+AC47+AC51+AC61+AC66+AC76)</f>
        <v>62</v>
      </c>
      <c r="AD2" s="12">
        <f>SUM(AD8+AD12+AD20+AD27+AD36+AD47+AD51+AD61+AD66+AD76)</f>
        <v>0</v>
      </c>
      <c r="AE2" s="662"/>
      <c r="AF2" s="662"/>
      <c r="AG2" s="662"/>
    </row>
    <row r="3" spans="1:33" ht="40.5" customHeight="1">
      <c r="A3" s="610" t="s">
        <v>936</v>
      </c>
      <c r="B3" s="610" t="s">
        <v>937</v>
      </c>
      <c r="C3" s="610" t="s">
        <v>938</v>
      </c>
      <c r="D3" s="610"/>
      <c r="E3" s="658" t="s">
        <v>939</v>
      </c>
      <c r="F3" s="610" t="s">
        <v>940</v>
      </c>
      <c r="G3" s="658" t="s">
        <v>941</v>
      </c>
      <c r="H3" s="651" t="s">
        <v>942</v>
      </c>
      <c r="I3" s="649" t="s">
        <v>943</v>
      </c>
      <c r="J3" s="646" t="s">
        <v>944</v>
      </c>
      <c r="K3" s="656" t="s">
        <v>945</v>
      </c>
      <c r="L3" s="649" t="s">
        <v>946</v>
      </c>
      <c r="M3" s="646" t="s">
        <v>947</v>
      </c>
      <c r="N3" s="656" t="s">
        <v>945</v>
      </c>
      <c r="O3" s="649" t="s">
        <v>943</v>
      </c>
      <c r="P3" s="656" t="s">
        <v>945</v>
      </c>
      <c r="Q3" s="647" t="s">
        <v>948</v>
      </c>
      <c r="R3" s="623" t="s">
        <v>949</v>
      </c>
      <c r="S3" s="657" t="s">
        <v>1</v>
      </c>
      <c r="T3" s="657"/>
      <c r="U3" s="651" t="s">
        <v>2</v>
      </c>
      <c r="V3" s="651" t="s">
        <v>950</v>
      </c>
      <c r="W3" s="610" t="s">
        <v>951</v>
      </c>
      <c r="X3" s="610"/>
      <c r="Y3" s="652" t="s">
        <v>952</v>
      </c>
      <c r="Z3" s="609"/>
      <c r="AA3" s="653" t="s">
        <v>953</v>
      </c>
      <c r="AB3" s="654"/>
      <c r="AC3" s="652" t="s">
        <v>954</v>
      </c>
      <c r="AD3" s="609"/>
      <c r="AE3" s="646" t="s">
        <v>955</v>
      </c>
      <c r="AF3" s="647" t="s">
        <v>956</v>
      </c>
      <c r="AG3" s="623" t="s">
        <v>949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230" t="s">
        <v>3</v>
      </c>
      <c r="T4" s="230" t="s">
        <v>4</v>
      </c>
      <c r="U4" s="651"/>
      <c r="V4" s="651"/>
      <c r="W4" s="221" t="s">
        <v>957</v>
      </c>
      <c r="X4" s="221" t="s">
        <v>958</v>
      </c>
      <c r="Y4" s="220" t="s">
        <v>959</v>
      </c>
      <c r="Z4" s="220" t="s">
        <v>960</v>
      </c>
      <c r="AA4" s="655"/>
      <c r="AB4" s="654"/>
      <c r="AC4" s="220" t="s">
        <v>961</v>
      </c>
      <c r="AD4" s="220" t="s">
        <v>962</v>
      </c>
      <c r="AE4" s="646"/>
      <c r="AF4" s="647"/>
      <c r="AG4" s="623"/>
    </row>
    <row r="5" spans="1:33">
      <c r="A5" s="648" t="s">
        <v>963</v>
      </c>
      <c r="B5" s="33" t="s">
        <v>6</v>
      </c>
      <c r="C5" s="650" t="s">
        <v>7</v>
      </c>
      <c r="D5" s="650"/>
      <c r="E5" s="33">
        <v>50.92</v>
      </c>
      <c r="F5" s="230">
        <v>2291</v>
      </c>
      <c r="G5" s="221">
        <f t="shared" ref="G5:G7" si="0">E5*F5</f>
        <v>116657.72</v>
      </c>
      <c r="H5" s="29" t="s">
        <v>5</v>
      </c>
      <c r="I5" s="228">
        <v>15</v>
      </c>
      <c r="J5" s="30">
        <v>2000</v>
      </c>
      <c r="K5" s="13">
        <f t="shared" ref="K5:K68" si="1">J5/I5</f>
        <v>133.33333333333334</v>
      </c>
      <c r="L5" s="228">
        <v>15</v>
      </c>
      <c r="M5" s="14">
        <f t="shared" ref="M5:M7" si="2">F5/V5*60</f>
        <v>1909.1666666666652</v>
      </c>
      <c r="N5" s="13">
        <f t="shared" ref="N5:N68" si="3">M5/L5</f>
        <v>127.27777777777767</v>
      </c>
      <c r="O5" s="15">
        <f t="shared" ref="O5:O68" si="4">L5-I5</f>
        <v>0</v>
      </c>
      <c r="P5" s="16">
        <f t="shared" ref="P5:P68" si="5">N5-K5</f>
        <v>-6.0555555555556708</v>
      </c>
      <c r="Q5" s="226">
        <f t="shared" ref="Q5:Q68" si="6">N5/K5</f>
        <v>0.95458333333333245</v>
      </c>
      <c r="R5" s="619">
        <f>Q8</f>
        <v>0.95674926172019148</v>
      </c>
      <c r="S5" s="31">
        <v>0.70833333333333337</v>
      </c>
      <c r="T5" s="31">
        <v>0.75833333333333341</v>
      </c>
      <c r="U5" s="221"/>
      <c r="V5" s="229">
        <f t="shared" ref="V5:V7" si="7">(T5-S5)*24*60</f>
        <v>72.000000000000057</v>
      </c>
      <c r="W5" s="17"/>
      <c r="X5" s="17"/>
      <c r="Y5" s="18"/>
      <c r="Z5" s="18"/>
      <c r="AA5" s="610"/>
      <c r="AB5" s="610"/>
      <c r="AC5" s="19">
        <v>3</v>
      </c>
      <c r="AD5" s="19"/>
      <c r="AE5" s="15">
        <f t="shared" ref="AE5:AE60" si="8">M5-J5</f>
        <v>-90.833333333334849</v>
      </c>
      <c r="AF5" s="226">
        <f t="shared" ref="AF5:AF68" si="9">M5/J5</f>
        <v>0.95458333333333256</v>
      </c>
      <c r="AG5" s="619">
        <f>AF8</f>
        <v>0.95674926172019148</v>
      </c>
    </row>
    <row r="6" spans="1:33">
      <c r="A6" s="649" t="s">
        <v>964</v>
      </c>
      <c r="B6" s="33" t="s">
        <v>6</v>
      </c>
      <c r="C6" s="650" t="s">
        <v>8</v>
      </c>
      <c r="D6" s="650"/>
      <c r="E6" s="33">
        <v>50.98</v>
      </c>
      <c r="F6" s="230">
        <v>2758</v>
      </c>
      <c r="G6" s="221">
        <f t="shared" si="0"/>
        <v>140602.84</v>
      </c>
      <c r="H6" s="29" t="s">
        <v>5</v>
      </c>
      <c r="I6" s="228">
        <v>16</v>
      </c>
      <c r="J6" s="30">
        <v>2000</v>
      </c>
      <c r="K6" s="13">
        <f t="shared" si="1"/>
        <v>125</v>
      </c>
      <c r="L6" s="228">
        <v>16</v>
      </c>
      <c r="M6" s="14">
        <f t="shared" si="2"/>
        <v>1924.1860465116274</v>
      </c>
      <c r="N6" s="13">
        <f t="shared" si="3"/>
        <v>120.26162790697671</v>
      </c>
      <c r="O6" s="15">
        <f t="shared" si="4"/>
        <v>0</v>
      </c>
      <c r="P6" s="16">
        <f t="shared" si="5"/>
        <v>-4.7383720930232869</v>
      </c>
      <c r="Q6" s="226">
        <f t="shared" si="6"/>
        <v>0.9620930232558137</v>
      </c>
      <c r="R6" s="619"/>
      <c r="S6" s="31">
        <v>0.76180555555555562</v>
      </c>
      <c r="T6" s="31">
        <v>0.82152777777777786</v>
      </c>
      <c r="U6" s="221">
        <f t="shared" ref="U6:U7" si="10">IF(S6=TIME(17,0,0),"",(S6-T5)*24*60)</f>
        <v>4.9999999999999822</v>
      </c>
      <c r="V6" s="229">
        <f t="shared" si="7"/>
        <v>86.000000000000014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-75.81395348837259</v>
      </c>
      <c r="AF6" s="226">
        <f t="shared" si="9"/>
        <v>0.9620930232558137</v>
      </c>
      <c r="AG6" s="619"/>
    </row>
    <row r="7" spans="1:33">
      <c r="A7" s="649" t="s">
        <v>963</v>
      </c>
      <c r="B7" s="33" t="s">
        <v>6</v>
      </c>
      <c r="C7" s="641" t="s">
        <v>25</v>
      </c>
      <c r="D7" s="642"/>
      <c r="E7" s="33">
        <v>56.43</v>
      </c>
      <c r="F7" s="230">
        <v>1335</v>
      </c>
      <c r="G7" s="221">
        <f t="shared" si="0"/>
        <v>75334.05</v>
      </c>
      <c r="H7" s="29" t="s">
        <v>5</v>
      </c>
      <c r="I7" s="228">
        <v>13</v>
      </c>
      <c r="J7" s="30">
        <v>2000</v>
      </c>
      <c r="K7" s="13">
        <f t="shared" si="1"/>
        <v>153.84615384615384</v>
      </c>
      <c r="L7" s="228">
        <v>13</v>
      </c>
      <c r="M7" s="14">
        <f t="shared" si="2"/>
        <v>1907.1428571428564</v>
      </c>
      <c r="N7" s="13">
        <f t="shared" si="3"/>
        <v>146.70329670329664</v>
      </c>
      <c r="O7" s="15">
        <f t="shared" si="4"/>
        <v>0</v>
      </c>
      <c r="P7" s="16">
        <f t="shared" si="5"/>
        <v>-7.1428571428571956</v>
      </c>
      <c r="Q7" s="226">
        <f t="shared" si="6"/>
        <v>0.95357142857142818</v>
      </c>
      <c r="R7" s="619"/>
      <c r="S7" s="31">
        <v>0.82569444444444451</v>
      </c>
      <c r="T7" s="31">
        <v>0.85486111111111118</v>
      </c>
      <c r="U7" s="221">
        <f t="shared" si="10"/>
        <v>5.9999999999999787</v>
      </c>
      <c r="V7" s="229">
        <f t="shared" si="7"/>
        <v>42.000000000000014</v>
      </c>
      <c r="W7" s="17"/>
      <c r="X7" s="17"/>
      <c r="Y7" s="20"/>
      <c r="Z7" s="20"/>
      <c r="AA7" s="614"/>
      <c r="AB7" s="615"/>
      <c r="AC7" s="21"/>
      <c r="AD7" s="21"/>
      <c r="AE7" s="15">
        <f t="shared" si="8"/>
        <v>-92.857142857143572</v>
      </c>
      <c r="AF7" s="226">
        <f t="shared" si="9"/>
        <v>0.95357142857142818</v>
      </c>
      <c r="AG7" s="619"/>
    </row>
    <row r="8" spans="1:33">
      <c r="A8" s="649" t="s">
        <v>964</v>
      </c>
      <c r="B8" s="33" t="s">
        <v>965</v>
      </c>
      <c r="C8" s="620"/>
      <c r="D8" s="620"/>
      <c r="E8" s="227"/>
      <c r="F8" s="34"/>
      <c r="G8" s="13"/>
      <c r="H8" s="230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1913.498523440383</v>
      </c>
      <c r="N8" s="13">
        <f t="shared" si="3"/>
        <v>130.46580841638976</v>
      </c>
      <c r="O8" s="15">
        <f t="shared" si="4"/>
        <v>0</v>
      </c>
      <c r="P8" s="16">
        <f t="shared" si="5"/>
        <v>-5.8978279472466113</v>
      </c>
      <c r="Q8" s="226">
        <f t="shared" si="6"/>
        <v>0.95674926172019148</v>
      </c>
      <c r="R8" s="619"/>
      <c r="S8" s="31"/>
      <c r="T8" s="31"/>
      <c r="U8" s="221"/>
      <c r="V8" s="229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-86.501476559617004</v>
      </c>
      <c r="AF8" s="226">
        <f t="shared" si="9"/>
        <v>0.95674926172019148</v>
      </c>
      <c r="AG8" s="619"/>
    </row>
    <row r="9" spans="1:33" ht="15.75" customHeight="1">
      <c r="A9" s="645" t="s">
        <v>966</v>
      </c>
      <c r="B9" s="33" t="s">
        <v>10</v>
      </c>
      <c r="C9" s="641" t="s">
        <v>14</v>
      </c>
      <c r="D9" s="642"/>
      <c r="E9" s="33">
        <v>39.619999999999997</v>
      </c>
      <c r="F9" s="230">
        <v>4335</v>
      </c>
      <c r="G9" s="221">
        <f t="shared" ref="G9:G11" si="11">E9*F9</f>
        <v>171752.69999999998</v>
      </c>
      <c r="H9" s="29" t="s">
        <v>5</v>
      </c>
      <c r="I9" s="228">
        <v>19</v>
      </c>
      <c r="J9" s="30">
        <v>1500</v>
      </c>
      <c r="K9" s="13">
        <f t="shared" si="1"/>
        <v>78.94736842105263</v>
      </c>
      <c r="L9" s="228">
        <v>19</v>
      </c>
      <c r="M9" s="14">
        <f t="shared" ref="M9:M11" si="12">F9/V9*60</f>
        <v>1429.120879120879</v>
      </c>
      <c r="N9" s="13">
        <f t="shared" si="3"/>
        <v>75.216888374783096</v>
      </c>
      <c r="O9" s="15">
        <f t="shared" si="4"/>
        <v>0</v>
      </c>
      <c r="P9" s="16">
        <f t="shared" si="5"/>
        <v>-3.730480046269534</v>
      </c>
      <c r="Q9" s="226">
        <f t="shared" si="6"/>
        <v>0.95274725274725258</v>
      </c>
      <c r="R9" s="619">
        <f>Q12</f>
        <v>0.95415732084388805</v>
      </c>
      <c r="S9" s="31">
        <v>8.3333333333333329E-2</v>
      </c>
      <c r="T9" s="31">
        <v>0.2097222222222222</v>
      </c>
      <c r="U9" s="221"/>
      <c r="V9" s="229">
        <f t="shared" ref="V9:V11" si="13">(T9-S9)*24*60</f>
        <v>182</v>
      </c>
      <c r="W9" s="17">
        <f>T9</f>
        <v>0.2097222222222222</v>
      </c>
      <c r="X9" s="17">
        <f>S10</f>
        <v>0.23124999999999998</v>
      </c>
      <c r="Y9" s="17"/>
      <c r="Z9" s="17"/>
      <c r="AA9" s="610"/>
      <c r="AB9" s="610"/>
      <c r="AC9" s="19">
        <v>3</v>
      </c>
      <c r="AD9" s="19"/>
      <c r="AE9" s="15">
        <f t="shared" si="8"/>
        <v>-70.879120879121047</v>
      </c>
      <c r="AF9" s="226">
        <f t="shared" si="9"/>
        <v>0.95274725274725258</v>
      </c>
      <c r="AG9" s="619">
        <f>AF12</f>
        <v>0.95415732084388805</v>
      </c>
    </row>
    <row r="10" spans="1:33" ht="15.75" customHeight="1">
      <c r="A10" s="645" t="s">
        <v>967</v>
      </c>
      <c r="B10" s="33" t="s">
        <v>10</v>
      </c>
      <c r="C10" s="641" t="s">
        <v>11</v>
      </c>
      <c r="D10" s="642"/>
      <c r="E10" s="33">
        <v>39.799999999999997</v>
      </c>
      <c r="F10" s="230">
        <v>6384</v>
      </c>
      <c r="G10" s="221">
        <f t="shared" si="11"/>
        <v>254083.19999999998</v>
      </c>
      <c r="H10" s="29" t="s">
        <v>5</v>
      </c>
      <c r="I10" s="228">
        <v>17</v>
      </c>
      <c r="J10" s="30">
        <v>1500</v>
      </c>
      <c r="K10" s="13">
        <f t="shared" si="1"/>
        <v>88.235294117647058</v>
      </c>
      <c r="L10" s="228">
        <v>17</v>
      </c>
      <c r="M10" s="14">
        <f t="shared" si="12"/>
        <v>1429.2537313432838</v>
      </c>
      <c r="N10" s="13">
        <f t="shared" si="3"/>
        <v>84.0737489025461</v>
      </c>
      <c r="O10" s="15">
        <f t="shared" si="4"/>
        <v>0</v>
      </c>
      <c r="P10" s="16">
        <f t="shared" si="5"/>
        <v>-4.1615452151009578</v>
      </c>
      <c r="Q10" s="226">
        <f t="shared" si="6"/>
        <v>0.95283582089552243</v>
      </c>
      <c r="R10" s="619"/>
      <c r="S10" s="31">
        <v>0.23124999999999998</v>
      </c>
      <c r="T10" s="31">
        <v>0.41736111111111107</v>
      </c>
      <c r="U10" s="221">
        <f t="shared" ref="U10:U11" si="14">IF(S10=TIME(17,0,0),"",(S10-T9)*24*60)</f>
        <v>31.000000000000011</v>
      </c>
      <c r="V10" s="229">
        <f t="shared" si="13"/>
        <v>267.99999999999994</v>
      </c>
      <c r="W10" s="17"/>
      <c r="X10" s="17"/>
      <c r="Y10" s="17"/>
      <c r="Z10" s="17"/>
      <c r="AA10" s="610"/>
      <c r="AB10" s="610"/>
      <c r="AC10" s="19"/>
      <c r="AD10" s="19"/>
      <c r="AE10" s="15">
        <f t="shared" si="8"/>
        <v>-70.746268656716211</v>
      </c>
      <c r="AF10" s="226">
        <f t="shared" si="9"/>
        <v>0.95283582089552255</v>
      </c>
      <c r="AG10" s="619"/>
    </row>
    <row r="11" spans="1:33" ht="15.75" customHeight="1">
      <c r="A11" s="645" t="s">
        <v>968</v>
      </c>
      <c r="B11" s="33" t="s">
        <v>10</v>
      </c>
      <c r="C11" s="641" t="s">
        <v>13</v>
      </c>
      <c r="D11" s="642"/>
      <c r="E11" s="33">
        <v>39.520000000000003</v>
      </c>
      <c r="F11" s="230">
        <v>2153</v>
      </c>
      <c r="G11" s="221">
        <f t="shared" si="11"/>
        <v>85086.560000000012</v>
      </c>
      <c r="H11" s="29" t="s">
        <v>5</v>
      </c>
      <c r="I11" s="228">
        <v>19</v>
      </c>
      <c r="J11" s="30">
        <v>1500</v>
      </c>
      <c r="K11" s="13">
        <f t="shared" si="1"/>
        <v>78.94736842105263</v>
      </c>
      <c r="L11" s="228">
        <v>19</v>
      </c>
      <c r="M11" s="14">
        <f t="shared" si="12"/>
        <v>1435.3333333333333</v>
      </c>
      <c r="N11" s="13">
        <f t="shared" si="3"/>
        <v>75.543859649122808</v>
      </c>
      <c r="O11" s="15">
        <f t="shared" si="4"/>
        <v>0</v>
      </c>
      <c r="P11" s="16">
        <f t="shared" si="5"/>
        <v>-3.4035087719298218</v>
      </c>
      <c r="Q11" s="226">
        <f t="shared" si="6"/>
        <v>0.9568888888888889</v>
      </c>
      <c r="R11" s="619"/>
      <c r="S11" s="31">
        <v>0.42152777777777772</v>
      </c>
      <c r="T11" s="31">
        <v>0.48402777777777772</v>
      </c>
      <c r="U11" s="221">
        <f t="shared" si="14"/>
        <v>5.9999999999999787</v>
      </c>
      <c r="V11" s="229">
        <f t="shared" si="13"/>
        <v>90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-64.666666666666742</v>
      </c>
      <c r="AF11" s="226">
        <f t="shared" si="9"/>
        <v>0.95688888888888879</v>
      </c>
      <c r="AG11" s="619"/>
    </row>
    <row r="12" spans="1:33" ht="16.5" customHeight="1">
      <c r="A12" s="645" t="s">
        <v>967</v>
      </c>
      <c r="B12" s="33" t="s">
        <v>969</v>
      </c>
      <c r="C12" s="620"/>
      <c r="D12" s="620"/>
      <c r="E12" s="227"/>
      <c r="F12" s="30"/>
      <c r="G12" s="14"/>
      <c r="H12" s="230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1431.2359812658322</v>
      </c>
      <c r="N12" s="13">
        <f t="shared" si="3"/>
        <v>78.067417159954488</v>
      </c>
      <c r="O12" s="15">
        <f t="shared" si="4"/>
        <v>0</v>
      </c>
      <c r="P12" s="16">
        <f t="shared" si="5"/>
        <v>-3.7507646582273395</v>
      </c>
      <c r="Q12" s="226">
        <f t="shared" si="6"/>
        <v>0.95415732084388805</v>
      </c>
      <c r="R12" s="619"/>
      <c r="S12" s="31"/>
      <c r="T12" s="31"/>
      <c r="U12" s="13"/>
      <c r="V12" s="229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-68.764018734167848</v>
      </c>
      <c r="AF12" s="226">
        <f t="shared" si="9"/>
        <v>0.95415732084388805</v>
      </c>
      <c r="AG12" s="619"/>
    </row>
    <row r="13" spans="1:33" ht="16.5" customHeight="1">
      <c r="A13" s="643" t="s">
        <v>970</v>
      </c>
      <c r="B13" s="230" t="s">
        <v>15</v>
      </c>
      <c r="C13" s="635" t="s">
        <v>16</v>
      </c>
      <c r="D13" s="635"/>
      <c r="E13" s="33">
        <v>31.11</v>
      </c>
      <c r="F13" s="230">
        <v>2154</v>
      </c>
      <c r="G13" s="221">
        <f t="shared" ref="G13:G19" si="15">E13*F13</f>
        <v>67010.94</v>
      </c>
      <c r="H13" s="29" t="s">
        <v>5</v>
      </c>
      <c r="I13" s="228">
        <v>14</v>
      </c>
      <c r="J13" s="30">
        <v>2000</v>
      </c>
      <c r="K13" s="13">
        <f t="shared" si="1"/>
        <v>142.85714285714286</v>
      </c>
      <c r="L13" s="228">
        <v>14</v>
      </c>
      <c r="M13" s="14">
        <f t="shared" ref="M13:M19" si="16">F13/V13*60</f>
        <v>1928.9552238805984</v>
      </c>
      <c r="N13" s="13">
        <f t="shared" si="3"/>
        <v>137.78251599147131</v>
      </c>
      <c r="O13" s="15">
        <f t="shared" si="4"/>
        <v>0</v>
      </c>
      <c r="P13" s="16">
        <f t="shared" si="5"/>
        <v>-5.0746268656715472</v>
      </c>
      <c r="Q13" s="226">
        <f t="shared" si="6"/>
        <v>0.96447761194029913</v>
      </c>
      <c r="R13" s="619">
        <f>Q20</f>
        <v>0.96082651234007932</v>
      </c>
      <c r="S13" s="31">
        <v>0.20833333333333334</v>
      </c>
      <c r="T13" s="31">
        <v>0.25486111111111109</v>
      </c>
      <c r="U13" s="221"/>
      <c r="V13" s="229">
        <f t="shared" ref="V13:V19" si="17">(T13-S13)*24*60</f>
        <v>66.999999999999957</v>
      </c>
      <c r="W13" s="17"/>
      <c r="X13" s="17"/>
      <c r="Y13" s="22"/>
      <c r="Z13" s="22"/>
      <c r="AA13" s="610"/>
      <c r="AB13" s="610"/>
      <c r="AC13" s="19">
        <v>7</v>
      </c>
      <c r="AD13" s="19"/>
      <c r="AE13" s="15">
        <f t="shared" si="8"/>
        <v>-71.044776119401604</v>
      </c>
      <c r="AF13" s="226">
        <f t="shared" si="9"/>
        <v>0.96447761194029924</v>
      </c>
      <c r="AG13" s="619">
        <f>AF20</f>
        <v>0.96082651234007932</v>
      </c>
    </row>
    <row r="14" spans="1:33" ht="16.5" customHeight="1">
      <c r="A14" s="644" t="s">
        <v>970</v>
      </c>
      <c r="B14" s="230" t="s">
        <v>17</v>
      </c>
      <c r="C14" s="635" t="s">
        <v>18</v>
      </c>
      <c r="D14" s="635"/>
      <c r="E14" s="33">
        <v>41</v>
      </c>
      <c r="F14" s="230">
        <v>1732</v>
      </c>
      <c r="G14" s="221">
        <f t="shared" si="15"/>
        <v>71012</v>
      </c>
      <c r="H14" s="29" t="s">
        <v>5</v>
      </c>
      <c r="I14" s="228">
        <v>26</v>
      </c>
      <c r="J14" s="30">
        <v>1500</v>
      </c>
      <c r="K14" s="13">
        <f t="shared" si="1"/>
        <v>57.692307692307693</v>
      </c>
      <c r="L14" s="228">
        <v>26</v>
      </c>
      <c r="M14" s="14">
        <f t="shared" si="16"/>
        <v>1443.3333333333337</v>
      </c>
      <c r="N14" s="13">
        <f t="shared" si="3"/>
        <v>55.512820512820525</v>
      </c>
      <c r="O14" s="15">
        <f t="shared" si="4"/>
        <v>0</v>
      </c>
      <c r="P14" s="16">
        <f t="shared" si="5"/>
        <v>-2.1794871794871682</v>
      </c>
      <c r="Q14" s="226">
        <f t="shared" si="6"/>
        <v>0.96222222222222242</v>
      </c>
      <c r="R14" s="619"/>
      <c r="S14" s="31">
        <v>0.2583333333333333</v>
      </c>
      <c r="T14" s="31">
        <v>0.30833333333333329</v>
      </c>
      <c r="U14" s="221">
        <f t="shared" ref="U14:U19" si="18">IF(S14=TIME(17,0,0),"",(S14-T13)*24*60)</f>
        <v>4.9999999999999822</v>
      </c>
      <c r="V14" s="229">
        <f t="shared" si="17"/>
        <v>71.999999999999986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-56.666666666666288</v>
      </c>
      <c r="AF14" s="226">
        <f t="shared" si="9"/>
        <v>0.96222222222222242</v>
      </c>
      <c r="AG14" s="619"/>
    </row>
    <row r="15" spans="1:33" ht="16.5" customHeight="1">
      <c r="A15" s="644" t="s">
        <v>971</v>
      </c>
      <c r="B15" s="230" t="s">
        <v>15</v>
      </c>
      <c r="C15" s="635" t="s">
        <v>76</v>
      </c>
      <c r="D15" s="635"/>
      <c r="E15" s="33">
        <v>68.88</v>
      </c>
      <c r="F15" s="230">
        <v>1664</v>
      </c>
      <c r="G15" s="221">
        <f t="shared" si="15"/>
        <v>114616.31999999999</v>
      </c>
      <c r="H15" s="29" t="s">
        <v>5</v>
      </c>
      <c r="I15" s="228">
        <v>16</v>
      </c>
      <c r="J15" s="30">
        <v>2000</v>
      </c>
      <c r="K15" s="13">
        <f t="shared" si="1"/>
        <v>125</v>
      </c>
      <c r="L15" s="228">
        <v>16</v>
      </c>
      <c r="M15" s="14">
        <f t="shared" si="16"/>
        <v>1920.0000000000009</v>
      </c>
      <c r="N15" s="13">
        <f t="shared" si="3"/>
        <v>120.00000000000006</v>
      </c>
      <c r="O15" s="15">
        <f t="shared" si="4"/>
        <v>0</v>
      </c>
      <c r="P15" s="16">
        <f t="shared" si="5"/>
        <v>-4.9999999999999432</v>
      </c>
      <c r="Q15" s="226">
        <f t="shared" si="6"/>
        <v>0.96000000000000041</v>
      </c>
      <c r="R15" s="619"/>
      <c r="S15" s="31">
        <v>0.31388888888888883</v>
      </c>
      <c r="T15" s="31">
        <v>0.34999999999999992</v>
      </c>
      <c r="U15" s="221">
        <f t="shared" si="18"/>
        <v>7.9999999999999716</v>
      </c>
      <c r="V15" s="229">
        <f t="shared" si="17"/>
        <v>51.999999999999972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-79.999999999999091</v>
      </c>
      <c r="AF15" s="226">
        <f t="shared" si="9"/>
        <v>0.96000000000000041</v>
      </c>
      <c r="AG15" s="619"/>
    </row>
    <row r="16" spans="1:33" ht="16.5" customHeight="1">
      <c r="A16" s="644" t="s">
        <v>971</v>
      </c>
      <c r="B16" s="230" t="s">
        <v>10</v>
      </c>
      <c r="C16" s="635" t="s">
        <v>12</v>
      </c>
      <c r="D16" s="635"/>
      <c r="E16" s="33">
        <v>39.46</v>
      </c>
      <c r="F16" s="230">
        <v>2213</v>
      </c>
      <c r="G16" s="221">
        <f t="shared" si="15"/>
        <v>87324.98</v>
      </c>
      <c r="H16" s="29" t="s">
        <v>5</v>
      </c>
      <c r="I16" s="228">
        <v>15</v>
      </c>
      <c r="J16" s="30">
        <v>1500</v>
      </c>
      <c r="K16" s="13">
        <f t="shared" si="1"/>
        <v>100</v>
      </c>
      <c r="L16" s="228">
        <v>15</v>
      </c>
      <c r="M16" s="14">
        <f t="shared" si="16"/>
        <v>1443.2608695652175</v>
      </c>
      <c r="N16" s="13">
        <f t="shared" si="3"/>
        <v>96.217391304347828</v>
      </c>
      <c r="O16" s="15">
        <f t="shared" si="4"/>
        <v>0</v>
      </c>
      <c r="P16" s="16">
        <f t="shared" si="5"/>
        <v>-3.7826086956521721</v>
      </c>
      <c r="Q16" s="226">
        <f t="shared" si="6"/>
        <v>0.96217391304347832</v>
      </c>
      <c r="R16" s="619"/>
      <c r="S16" s="31">
        <v>0.35416666666666657</v>
      </c>
      <c r="T16" s="31">
        <v>0.41805555555555546</v>
      </c>
      <c r="U16" s="221">
        <f t="shared" si="18"/>
        <v>5.9999999999999787</v>
      </c>
      <c r="V16" s="229">
        <f t="shared" si="17"/>
        <v>92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-56.73913043478251</v>
      </c>
      <c r="AF16" s="226">
        <f t="shared" si="9"/>
        <v>0.96217391304347832</v>
      </c>
      <c r="AG16" s="619"/>
    </row>
    <row r="17" spans="1:33" ht="16.5" customHeight="1">
      <c r="A17" s="644" t="s">
        <v>971</v>
      </c>
      <c r="B17" s="230" t="s">
        <v>6</v>
      </c>
      <c r="C17" s="635" t="s">
        <v>20</v>
      </c>
      <c r="D17" s="635"/>
      <c r="E17" s="33">
        <v>54.5</v>
      </c>
      <c r="F17" s="230">
        <v>1125</v>
      </c>
      <c r="G17" s="221">
        <f t="shared" si="15"/>
        <v>61312.5</v>
      </c>
      <c r="H17" s="29" t="s">
        <v>5</v>
      </c>
      <c r="I17" s="228">
        <v>19</v>
      </c>
      <c r="J17" s="30">
        <v>1500</v>
      </c>
      <c r="K17" s="13">
        <f t="shared" si="1"/>
        <v>78.94736842105263</v>
      </c>
      <c r="L17" s="228">
        <v>19</v>
      </c>
      <c r="M17" s="14">
        <f t="shared" si="16"/>
        <v>1436.1702127659578</v>
      </c>
      <c r="N17" s="13">
        <f t="shared" si="3"/>
        <v>75.587905935050415</v>
      </c>
      <c r="O17" s="15">
        <f t="shared" si="4"/>
        <v>0</v>
      </c>
      <c r="P17" s="16">
        <f t="shared" si="5"/>
        <v>-3.3594624860022151</v>
      </c>
      <c r="Q17" s="226">
        <f t="shared" si="6"/>
        <v>0.95744680851063857</v>
      </c>
      <c r="R17" s="619"/>
      <c r="S17" s="31">
        <v>0.70833333333333337</v>
      </c>
      <c r="T17" s="31">
        <v>0.74097222222222225</v>
      </c>
      <c r="U17" s="221" t="str">
        <f t="shared" si="18"/>
        <v/>
      </c>
      <c r="V17" s="229">
        <f t="shared" si="17"/>
        <v>46.999999999999993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-63.829787234042215</v>
      </c>
      <c r="AF17" s="226">
        <f t="shared" si="9"/>
        <v>0.95744680851063857</v>
      </c>
      <c r="AG17" s="619"/>
    </row>
    <row r="18" spans="1:33" ht="16.5" customHeight="1">
      <c r="A18" s="644" t="s">
        <v>971</v>
      </c>
      <c r="B18" s="230" t="s">
        <v>6</v>
      </c>
      <c r="C18" s="232" t="s">
        <v>19</v>
      </c>
      <c r="D18" s="233"/>
      <c r="E18" s="33">
        <v>50.67</v>
      </c>
      <c r="F18" s="230">
        <v>1640</v>
      </c>
      <c r="G18" s="221">
        <f t="shared" si="15"/>
        <v>83098.8</v>
      </c>
      <c r="H18" s="29" t="s">
        <v>5</v>
      </c>
      <c r="I18" s="228">
        <v>17</v>
      </c>
      <c r="J18" s="30">
        <v>2000</v>
      </c>
      <c r="K18" s="13">
        <f t="shared" si="1"/>
        <v>117.64705882352941</v>
      </c>
      <c r="L18" s="228">
        <v>17</v>
      </c>
      <c r="M18" s="14">
        <f t="shared" si="16"/>
        <v>1929.4117647058831</v>
      </c>
      <c r="N18" s="13">
        <f t="shared" si="3"/>
        <v>113.49480968858136</v>
      </c>
      <c r="O18" s="15">
        <f t="shared" si="4"/>
        <v>0</v>
      </c>
      <c r="P18" s="16">
        <f t="shared" si="5"/>
        <v>-4.1522491349480504</v>
      </c>
      <c r="Q18" s="226">
        <f t="shared" si="6"/>
        <v>0.96470588235294152</v>
      </c>
      <c r="R18" s="619"/>
      <c r="S18" s="31">
        <v>0.74444444444444446</v>
      </c>
      <c r="T18" s="31">
        <v>0.77986111111111112</v>
      </c>
      <c r="U18" s="221">
        <f t="shared" si="18"/>
        <v>4.9999999999999822</v>
      </c>
      <c r="V18" s="229">
        <f t="shared" si="17"/>
        <v>50.999999999999979</v>
      </c>
      <c r="W18" s="17"/>
      <c r="X18" s="17"/>
      <c r="Y18" s="20"/>
      <c r="Z18" s="20"/>
      <c r="AA18" s="224"/>
      <c r="AB18" s="225"/>
      <c r="AC18" s="19"/>
      <c r="AD18" s="19"/>
      <c r="AE18" s="15">
        <f t="shared" si="8"/>
        <v>-70.588235294116885</v>
      </c>
      <c r="AF18" s="226">
        <f t="shared" si="9"/>
        <v>0.96470588235294152</v>
      </c>
      <c r="AG18" s="619"/>
    </row>
    <row r="19" spans="1:33" ht="16.5" customHeight="1">
      <c r="A19" s="644" t="s">
        <v>970</v>
      </c>
      <c r="B19" s="230" t="s">
        <v>6</v>
      </c>
      <c r="C19" s="232" t="s">
        <v>45</v>
      </c>
      <c r="D19" s="233"/>
      <c r="E19" s="33">
        <v>51.06</v>
      </c>
      <c r="F19" s="230">
        <v>3182</v>
      </c>
      <c r="G19" s="221">
        <f t="shared" si="15"/>
        <v>162472.92000000001</v>
      </c>
      <c r="H19" s="29" t="s">
        <v>5</v>
      </c>
      <c r="I19" s="228">
        <v>13</v>
      </c>
      <c r="J19" s="30">
        <v>2000</v>
      </c>
      <c r="K19" s="13">
        <f t="shared" si="1"/>
        <v>153.84615384615384</v>
      </c>
      <c r="L19" s="228">
        <v>13</v>
      </c>
      <c r="M19" s="14">
        <f t="shared" si="16"/>
        <v>1909.2000000000005</v>
      </c>
      <c r="N19" s="13">
        <f t="shared" si="3"/>
        <v>146.86153846153849</v>
      </c>
      <c r="O19" s="15">
        <f t="shared" si="4"/>
        <v>0</v>
      </c>
      <c r="P19" s="16">
        <f t="shared" si="5"/>
        <v>-6.9846153846153527</v>
      </c>
      <c r="Q19" s="226">
        <f t="shared" si="6"/>
        <v>0.95460000000000023</v>
      </c>
      <c r="R19" s="619"/>
      <c r="S19" s="31">
        <v>0.78472222222222221</v>
      </c>
      <c r="T19" s="31">
        <v>0.85416666666666663</v>
      </c>
      <c r="U19" s="221">
        <f t="shared" si="18"/>
        <v>6.9999999999999751</v>
      </c>
      <c r="V19" s="229">
        <f t="shared" si="17"/>
        <v>99.999999999999972</v>
      </c>
      <c r="W19" s="17"/>
      <c r="X19" s="17"/>
      <c r="Y19" s="20"/>
      <c r="Z19" s="20"/>
      <c r="AA19" s="224"/>
      <c r="AB19" s="225"/>
      <c r="AC19" s="19"/>
      <c r="AD19" s="19"/>
      <c r="AE19" s="15">
        <f t="shared" si="8"/>
        <v>-90.7999999999995</v>
      </c>
      <c r="AF19" s="226">
        <f t="shared" si="9"/>
        <v>0.95460000000000023</v>
      </c>
      <c r="AG19" s="619"/>
    </row>
    <row r="20" spans="1:33" ht="16.5" customHeight="1">
      <c r="A20" s="644" t="s">
        <v>970</v>
      </c>
      <c r="B20" s="33" t="s">
        <v>972</v>
      </c>
      <c r="C20" s="620"/>
      <c r="D20" s="620"/>
      <c r="E20" s="227"/>
      <c r="F20" s="34"/>
      <c r="G20" s="13"/>
      <c r="H20" s="230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1715.7616291787131</v>
      </c>
      <c r="N20" s="13">
        <f t="shared" si="3"/>
        <v>100.08609503542493</v>
      </c>
      <c r="O20" s="15">
        <f t="shared" si="4"/>
        <v>0</v>
      </c>
      <c r="P20" s="16">
        <f t="shared" si="5"/>
        <v>-4.0805716312417388</v>
      </c>
      <c r="Q20" s="226">
        <f t="shared" si="6"/>
        <v>0.96082651234007932</v>
      </c>
      <c r="R20" s="619"/>
      <c r="S20" s="31"/>
      <c r="T20" s="31"/>
      <c r="U20" s="221"/>
      <c r="V20" s="229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-69.952656535572714</v>
      </c>
      <c r="AF20" s="226">
        <f t="shared" si="9"/>
        <v>0.96082651234007932</v>
      </c>
      <c r="AG20" s="619"/>
    </row>
    <row r="21" spans="1:33" ht="15.75" customHeight="1">
      <c r="A21" s="637" t="s">
        <v>973</v>
      </c>
      <c r="B21" s="33" t="s">
        <v>6</v>
      </c>
      <c r="C21" s="635" t="s">
        <v>22</v>
      </c>
      <c r="D21" s="635"/>
      <c r="E21" s="33">
        <v>50.67</v>
      </c>
      <c r="F21" s="230">
        <v>1742</v>
      </c>
      <c r="G21" s="221">
        <f t="shared" ref="G21:G26" si="19">E21*F21</f>
        <v>88267.14</v>
      </c>
      <c r="H21" s="29" t="s">
        <v>5</v>
      </c>
      <c r="I21" s="228">
        <v>17</v>
      </c>
      <c r="J21" s="30">
        <v>2000</v>
      </c>
      <c r="K21" s="13">
        <f t="shared" si="1"/>
        <v>117.64705882352941</v>
      </c>
      <c r="L21" s="228">
        <v>17</v>
      </c>
      <c r="M21" s="14">
        <f t="shared" ref="M21:M26" si="20">F21/V21*60</f>
        <v>1935.5555555555552</v>
      </c>
      <c r="N21" s="13">
        <f t="shared" si="3"/>
        <v>113.85620915032678</v>
      </c>
      <c r="O21" s="15">
        <f t="shared" si="4"/>
        <v>0</v>
      </c>
      <c r="P21" s="16">
        <f t="shared" si="5"/>
        <v>-3.7908496732026293</v>
      </c>
      <c r="Q21" s="226">
        <f t="shared" si="6"/>
        <v>0.96777777777777763</v>
      </c>
      <c r="R21" s="619">
        <f>Q27</f>
        <v>0.96090230455544723</v>
      </c>
      <c r="S21" s="31">
        <v>0.20833333333333334</v>
      </c>
      <c r="T21" s="31">
        <v>0.24583333333333335</v>
      </c>
      <c r="U21" s="221"/>
      <c r="V21" s="229">
        <f t="shared" ref="V21:V26" si="21">(T21-S21)*24*60</f>
        <v>54.000000000000007</v>
      </c>
      <c r="W21" s="17"/>
      <c r="X21" s="17"/>
      <c r="Y21" s="22"/>
      <c r="Z21" s="22"/>
      <c r="AA21" s="610"/>
      <c r="AB21" s="610"/>
      <c r="AC21" s="19">
        <v>6</v>
      </c>
      <c r="AD21" s="19"/>
      <c r="AE21" s="15">
        <f t="shared" si="8"/>
        <v>-64.444444444444798</v>
      </c>
      <c r="AF21" s="226">
        <f t="shared" si="9"/>
        <v>0.96777777777777763</v>
      </c>
      <c r="AG21" s="619">
        <f>AF27</f>
        <v>0.96090230455544723</v>
      </c>
    </row>
    <row r="22" spans="1:33" ht="15.75" customHeight="1">
      <c r="A22" s="638" t="s">
        <v>973</v>
      </c>
      <c r="B22" s="33" t="s">
        <v>6</v>
      </c>
      <c r="C22" s="635" t="s">
        <v>23</v>
      </c>
      <c r="D22" s="635"/>
      <c r="E22" s="33">
        <v>57.73</v>
      </c>
      <c r="F22" s="230">
        <v>2507</v>
      </c>
      <c r="G22" s="221">
        <f t="shared" si="19"/>
        <v>144729.10999999999</v>
      </c>
      <c r="H22" s="29" t="s">
        <v>5</v>
      </c>
      <c r="I22" s="228">
        <v>14</v>
      </c>
      <c r="J22" s="30">
        <v>2000</v>
      </c>
      <c r="K22" s="13">
        <f t="shared" si="1"/>
        <v>142.85714285714286</v>
      </c>
      <c r="L22" s="228">
        <v>14</v>
      </c>
      <c r="M22" s="14">
        <f t="shared" si="20"/>
        <v>1904.0506329113914</v>
      </c>
      <c r="N22" s="13">
        <f t="shared" si="3"/>
        <v>136.00361663652797</v>
      </c>
      <c r="O22" s="15">
        <f t="shared" si="4"/>
        <v>0</v>
      </c>
      <c r="P22" s="16">
        <f t="shared" si="5"/>
        <v>-6.8535262206148957</v>
      </c>
      <c r="Q22" s="226">
        <f t="shared" si="6"/>
        <v>0.95202531645569577</v>
      </c>
      <c r="R22" s="619"/>
      <c r="S22" s="31">
        <v>0.25069444444444444</v>
      </c>
      <c r="T22" s="31">
        <v>0.30555555555555558</v>
      </c>
      <c r="U22" s="221">
        <f t="shared" ref="U22:U26" si="22">IF(S22=TIME(17,0,0),"",(S22-T21)*24*60)</f>
        <v>6.9999999999999751</v>
      </c>
      <c r="V22" s="229">
        <f t="shared" si="21"/>
        <v>79.000000000000043</v>
      </c>
      <c r="W22" s="17"/>
      <c r="X22" s="221"/>
      <c r="Y22" s="221"/>
      <c r="Z22" s="221"/>
      <c r="AA22" s="610"/>
      <c r="AB22" s="610"/>
      <c r="AC22" s="19"/>
      <c r="AD22" s="19"/>
      <c r="AE22" s="15">
        <f t="shared" si="8"/>
        <v>-95.949367088608597</v>
      </c>
      <c r="AF22" s="226">
        <f t="shared" si="9"/>
        <v>0.95202531645569566</v>
      </c>
      <c r="AG22" s="619"/>
    </row>
    <row r="23" spans="1:33" ht="15.75" customHeight="1">
      <c r="A23" s="638" t="s">
        <v>973</v>
      </c>
      <c r="B23" s="33" t="s">
        <v>6</v>
      </c>
      <c r="C23" s="635" t="s">
        <v>24</v>
      </c>
      <c r="D23" s="635"/>
      <c r="E23" s="33">
        <v>53.27</v>
      </c>
      <c r="F23" s="230">
        <v>1546</v>
      </c>
      <c r="G23" s="221">
        <f t="shared" si="19"/>
        <v>82355.42</v>
      </c>
      <c r="H23" s="29" t="s">
        <v>5</v>
      </c>
      <c r="I23" s="228">
        <v>16</v>
      </c>
      <c r="J23" s="30">
        <v>2000</v>
      </c>
      <c r="K23" s="13">
        <f t="shared" si="1"/>
        <v>125</v>
      </c>
      <c r="L23" s="228">
        <v>16</v>
      </c>
      <c r="M23" s="14">
        <f t="shared" si="20"/>
        <v>1932.5000000000005</v>
      </c>
      <c r="N23" s="13">
        <f t="shared" si="3"/>
        <v>120.78125000000003</v>
      </c>
      <c r="O23" s="15">
        <f t="shared" si="4"/>
        <v>0</v>
      </c>
      <c r="P23" s="16">
        <f t="shared" si="5"/>
        <v>-4.2187499999999716</v>
      </c>
      <c r="Q23" s="226">
        <f t="shared" si="6"/>
        <v>0.96625000000000028</v>
      </c>
      <c r="R23" s="619"/>
      <c r="S23" s="31">
        <v>0.30972222222222223</v>
      </c>
      <c r="T23" s="31">
        <v>0.34305555555555556</v>
      </c>
      <c r="U23" s="221">
        <f t="shared" si="22"/>
        <v>5.9999999999999787</v>
      </c>
      <c r="V23" s="229">
        <f t="shared" si="21"/>
        <v>47.999999999999986</v>
      </c>
      <c r="W23" s="17"/>
      <c r="X23" s="221"/>
      <c r="Y23" s="221"/>
      <c r="Z23" s="221"/>
      <c r="AA23" s="610"/>
      <c r="AB23" s="610"/>
      <c r="AC23" s="19"/>
      <c r="AD23" s="19"/>
      <c r="AE23" s="15">
        <f t="shared" si="8"/>
        <v>-67.499999999999545</v>
      </c>
      <c r="AF23" s="226">
        <f t="shared" si="9"/>
        <v>0.96625000000000028</v>
      </c>
      <c r="AG23" s="619"/>
    </row>
    <row r="24" spans="1:33" ht="15.75" customHeight="1">
      <c r="A24" s="638" t="s">
        <v>973</v>
      </c>
      <c r="B24" s="33" t="s">
        <v>6</v>
      </c>
      <c r="C24" s="635" t="s">
        <v>21</v>
      </c>
      <c r="D24" s="635"/>
      <c r="E24" s="33">
        <v>50.49</v>
      </c>
      <c r="F24" s="230">
        <v>2181</v>
      </c>
      <c r="G24" s="221">
        <f t="shared" si="19"/>
        <v>110118.69</v>
      </c>
      <c r="H24" s="29" t="s">
        <v>5</v>
      </c>
      <c r="I24" s="228">
        <v>15</v>
      </c>
      <c r="J24" s="30">
        <v>2000</v>
      </c>
      <c r="K24" s="13">
        <f t="shared" si="1"/>
        <v>133.33333333333334</v>
      </c>
      <c r="L24" s="228">
        <v>15</v>
      </c>
      <c r="M24" s="14">
        <f t="shared" si="20"/>
        <v>1924.4117647058847</v>
      </c>
      <c r="N24" s="13">
        <f t="shared" si="3"/>
        <v>128.29411764705898</v>
      </c>
      <c r="O24" s="15">
        <f t="shared" si="4"/>
        <v>0</v>
      </c>
      <c r="P24" s="16">
        <f t="shared" si="5"/>
        <v>-5.0392156862743605</v>
      </c>
      <c r="Q24" s="226">
        <f t="shared" si="6"/>
        <v>0.96220588235294235</v>
      </c>
      <c r="R24" s="619"/>
      <c r="S24" s="31">
        <v>0.70833333333333337</v>
      </c>
      <c r="T24" s="31">
        <v>0.75555555555555554</v>
      </c>
      <c r="U24" s="221" t="str">
        <f t="shared" si="22"/>
        <v/>
      </c>
      <c r="V24" s="229">
        <f t="shared" si="21"/>
        <v>67.999999999999915</v>
      </c>
      <c r="W24" s="17"/>
      <c r="X24" s="221"/>
      <c r="Y24" s="221"/>
      <c r="Z24" s="221"/>
      <c r="AA24" s="610"/>
      <c r="AB24" s="610"/>
      <c r="AC24" s="19"/>
      <c r="AD24" s="19"/>
      <c r="AE24" s="15">
        <f t="shared" si="8"/>
        <v>-75.588235294115293</v>
      </c>
      <c r="AF24" s="226">
        <f t="shared" si="9"/>
        <v>0.96220588235294235</v>
      </c>
      <c r="AG24" s="619"/>
    </row>
    <row r="25" spans="1:33" ht="15.75" customHeight="1">
      <c r="A25" s="638" t="s">
        <v>973</v>
      </c>
      <c r="B25" s="33" t="s">
        <v>6</v>
      </c>
      <c r="C25" s="635" t="s">
        <v>26</v>
      </c>
      <c r="D25" s="635"/>
      <c r="E25" s="33">
        <v>54.09</v>
      </c>
      <c r="F25" s="230">
        <v>2153</v>
      </c>
      <c r="G25" s="221">
        <f t="shared" si="19"/>
        <v>116455.77</v>
      </c>
      <c r="H25" s="29" t="s">
        <v>5</v>
      </c>
      <c r="I25" s="228">
        <v>18</v>
      </c>
      <c r="J25" s="30">
        <v>2000</v>
      </c>
      <c r="K25" s="13">
        <f t="shared" si="1"/>
        <v>111.11111111111111</v>
      </c>
      <c r="L25" s="228">
        <v>18</v>
      </c>
      <c r="M25" s="14">
        <f t="shared" si="20"/>
        <v>1928.0597014925347</v>
      </c>
      <c r="N25" s="13">
        <f t="shared" si="3"/>
        <v>107.11442786069637</v>
      </c>
      <c r="O25" s="15">
        <f t="shared" si="4"/>
        <v>0</v>
      </c>
      <c r="P25" s="16">
        <f t="shared" si="5"/>
        <v>-3.9966832504147476</v>
      </c>
      <c r="Q25" s="226">
        <f t="shared" si="6"/>
        <v>0.96402985074626724</v>
      </c>
      <c r="R25" s="619"/>
      <c r="S25" s="31">
        <v>0.76041666666666663</v>
      </c>
      <c r="T25" s="31">
        <v>0.80694444444444446</v>
      </c>
      <c r="U25" s="221">
        <f t="shared" si="22"/>
        <v>6.9999999999999751</v>
      </c>
      <c r="V25" s="229">
        <f t="shared" si="21"/>
        <v>67.000000000000085</v>
      </c>
      <c r="W25" s="17"/>
      <c r="X25" s="17"/>
      <c r="Y25" s="221"/>
      <c r="Z25" s="221"/>
      <c r="AA25" s="610"/>
      <c r="AB25" s="610"/>
      <c r="AC25" s="19"/>
      <c r="AD25" s="19"/>
      <c r="AE25" s="15">
        <f t="shared" si="8"/>
        <v>-71.940298507465286</v>
      </c>
      <c r="AF25" s="226">
        <f t="shared" si="9"/>
        <v>0.96402985074626735</v>
      </c>
      <c r="AG25" s="619"/>
    </row>
    <row r="26" spans="1:33" ht="15.75" customHeight="1">
      <c r="A26" s="638" t="s">
        <v>973</v>
      </c>
      <c r="B26" s="33" t="s">
        <v>6</v>
      </c>
      <c r="C26" s="635" t="s">
        <v>9</v>
      </c>
      <c r="D26" s="635"/>
      <c r="E26" s="33">
        <v>50.67</v>
      </c>
      <c r="F26" s="230">
        <v>1525</v>
      </c>
      <c r="G26" s="221">
        <f t="shared" si="19"/>
        <v>77271.75</v>
      </c>
      <c r="H26" s="29" t="s">
        <v>5</v>
      </c>
      <c r="I26" s="228">
        <v>15</v>
      </c>
      <c r="J26" s="30">
        <v>2000</v>
      </c>
      <c r="K26" s="13">
        <f t="shared" si="1"/>
        <v>133.33333333333334</v>
      </c>
      <c r="L26" s="228">
        <v>15</v>
      </c>
      <c r="M26" s="14">
        <f t="shared" si="20"/>
        <v>1906.2500000000005</v>
      </c>
      <c r="N26" s="13">
        <f t="shared" si="3"/>
        <v>127.08333333333336</v>
      </c>
      <c r="O26" s="15">
        <f t="shared" si="4"/>
        <v>0</v>
      </c>
      <c r="P26" s="16">
        <f t="shared" si="5"/>
        <v>-6.2499999999999858</v>
      </c>
      <c r="Q26" s="226">
        <f t="shared" si="6"/>
        <v>0.95312500000000011</v>
      </c>
      <c r="R26" s="619"/>
      <c r="S26" s="31">
        <v>0.81111111111111112</v>
      </c>
      <c r="T26" s="31">
        <v>0.84444444444444444</v>
      </c>
      <c r="U26" s="221">
        <f t="shared" si="22"/>
        <v>5.9999999999999787</v>
      </c>
      <c r="V26" s="229">
        <f t="shared" si="21"/>
        <v>47.999999999999986</v>
      </c>
      <c r="W26" s="17"/>
      <c r="X26" s="22"/>
      <c r="Y26" s="22"/>
      <c r="Z26" s="22"/>
      <c r="AA26" s="610"/>
      <c r="AB26" s="610"/>
      <c r="AC26" s="19"/>
      <c r="AD26" s="19"/>
      <c r="AE26" s="15">
        <f t="shared" si="8"/>
        <v>-93.749999999999545</v>
      </c>
      <c r="AF26" s="226">
        <f t="shared" si="9"/>
        <v>0.95312500000000022</v>
      </c>
      <c r="AG26" s="619"/>
    </row>
    <row r="27" spans="1:33" ht="15.75" customHeight="1">
      <c r="A27" s="638" t="s">
        <v>973</v>
      </c>
      <c r="B27" s="33" t="s">
        <v>965</v>
      </c>
      <c r="C27" s="620"/>
      <c r="D27" s="620"/>
      <c r="E27" s="227"/>
      <c r="F27" s="230"/>
      <c r="G27" s="221"/>
      <c r="H27" s="230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1921.8046091108945</v>
      </c>
      <c r="N27" s="13">
        <f t="shared" si="3"/>
        <v>121.37713320700385</v>
      </c>
      <c r="O27" s="15">
        <f t="shared" si="4"/>
        <v>0</v>
      </c>
      <c r="P27" s="16">
        <f t="shared" si="5"/>
        <v>-4.9386562666803542</v>
      </c>
      <c r="Q27" s="226">
        <f t="shared" si="6"/>
        <v>0.96090230455544723</v>
      </c>
      <c r="R27" s="619"/>
      <c r="S27" s="31"/>
      <c r="T27" s="31"/>
      <c r="U27" s="13"/>
      <c r="V27" s="229"/>
      <c r="W27" s="13"/>
      <c r="X27" s="13"/>
      <c r="Y27" s="24">
        <f>SUM(Y21:Y26)</f>
        <v>0</v>
      </c>
      <c r="Z27" s="24">
        <f>SUM(Z21:Z26)</f>
        <v>0</v>
      </c>
      <c r="AA27" s="609"/>
      <c r="AB27" s="609"/>
      <c r="AC27" s="24">
        <v>6</v>
      </c>
      <c r="AD27" s="24">
        <f>SUM(AD21:AD26)</f>
        <v>0</v>
      </c>
      <c r="AE27" s="15">
        <f t="shared" si="8"/>
        <v>-78.195390889105511</v>
      </c>
      <c r="AF27" s="226">
        <f t="shared" si="9"/>
        <v>0.96090230455544723</v>
      </c>
      <c r="AG27" s="619"/>
    </row>
    <row r="28" spans="1:33" ht="15.75" customHeight="1">
      <c r="A28" s="636" t="s">
        <v>974</v>
      </c>
      <c r="B28" s="33" t="s">
        <v>27</v>
      </c>
      <c r="C28" s="635" t="s">
        <v>28</v>
      </c>
      <c r="D28" s="635"/>
      <c r="E28" s="33">
        <v>31.29</v>
      </c>
      <c r="F28" s="230">
        <v>5600</v>
      </c>
      <c r="G28" s="221">
        <f t="shared" ref="G28:G35" si="23">E28*F28</f>
        <v>175224</v>
      </c>
      <c r="H28" s="29">
        <v>2</v>
      </c>
      <c r="I28" s="228">
        <v>18</v>
      </c>
      <c r="J28" s="30">
        <v>2400</v>
      </c>
      <c r="K28" s="13">
        <f t="shared" si="1"/>
        <v>133.33333333333334</v>
      </c>
      <c r="L28" s="228">
        <v>18</v>
      </c>
      <c r="M28" s="14">
        <f t="shared" ref="M28:M35" si="24">F28/V28*60</f>
        <v>2285.7142857142858</v>
      </c>
      <c r="N28" s="13">
        <f t="shared" si="3"/>
        <v>126.98412698412699</v>
      </c>
      <c r="O28" s="15">
        <f t="shared" si="4"/>
        <v>0</v>
      </c>
      <c r="P28" s="16">
        <f t="shared" si="5"/>
        <v>-6.3492063492063551</v>
      </c>
      <c r="Q28" s="226">
        <f t="shared" si="6"/>
        <v>0.95238095238095233</v>
      </c>
      <c r="R28" s="619">
        <f>Q36</f>
        <v>0.9554742418658102</v>
      </c>
      <c r="S28" s="31">
        <v>8.3333333333333329E-2</v>
      </c>
      <c r="T28" s="31">
        <v>0.18541666666666667</v>
      </c>
      <c r="U28" s="221"/>
      <c r="V28" s="229">
        <f t="shared" ref="V28:V35" si="25">(T28-S28)*24*60</f>
        <v>147</v>
      </c>
      <c r="W28" s="17">
        <f>T28</f>
        <v>0.18541666666666667</v>
      </c>
      <c r="X28" s="17">
        <f>S29</f>
        <v>0.2048611111111111</v>
      </c>
      <c r="Y28" s="17"/>
      <c r="Z28" s="17"/>
      <c r="AA28" s="610"/>
      <c r="AB28" s="610"/>
      <c r="AC28" s="19">
        <v>8</v>
      </c>
      <c r="AD28" s="19"/>
      <c r="AE28" s="15">
        <f t="shared" si="8"/>
        <v>-114.28571428571422</v>
      </c>
      <c r="AF28" s="226">
        <f t="shared" si="9"/>
        <v>0.95238095238095244</v>
      </c>
      <c r="AG28" s="619">
        <f>AF36</f>
        <v>0.9554742418658102</v>
      </c>
    </row>
    <row r="29" spans="1:33" ht="15.75" customHeight="1">
      <c r="A29" s="636" t="s">
        <v>975</v>
      </c>
      <c r="B29" s="33" t="s">
        <v>27</v>
      </c>
      <c r="C29" s="635" t="s">
        <v>29</v>
      </c>
      <c r="D29" s="635"/>
      <c r="E29" s="33">
        <v>26.37</v>
      </c>
      <c r="F29" s="230">
        <v>4100</v>
      </c>
      <c r="G29" s="221">
        <f t="shared" si="23"/>
        <v>108117</v>
      </c>
      <c r="H29" s="29">
        <v>2</v>
      </c>
      <c r="I29" s="228">
        <v>18</v>
      </c>
      <c r="J29" s="30">
        <v>2400</v>
      </c>
      <c r="K29" s="13">
        <f t="shared" si="1"/>
        <v>133.33333333333334</v>
      </c>
      <c r="L29" s="228">
        <v>18</v>
      </c>
      <c r="M29" s="14">
        <f t="shared" si="24"/>
        <v>2299.0654205607475</v>
      </c>
      <c r="N29" s="13">
        <f t="shared" si="3"/>
        <v>127.72585669781931</v>
      </c>
      <c r="O29" s="15">
        <f t="shared" si="4"/>
        <v>0</v>
      </c>
      <c r="P29" s="16">
        <f t="shared" si="5"/>
        <v>-5.6074766355140326</v>
      </c>
      <c r="Q29" s="226">
        <f t="shared" si="6"/>
        <v>0.9579439252336448</v>
      </c>
      <c r="R29" s="619"/>
      <c r="S29" s="31">
        <v>0.2048611111111111</v>
      </c>
      <c r="T29" s="31">
        <v>0.27916666666666667</v>
      </c>
      <c r="U29" s="221">
        <f t="shared" ref="U29:U35" si="26">(S29-T28)*24*60</f>
        <v>27.999999999999979</v>
      </c>
      <c r="V29" s="229">
        <f t="shared" si="25"/>
        <v>107.00000000000001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-100.9345794392525</v>
      </c>
      <c r="AF29" s="226">
        <f t="shared" si="9"/>
        <v>0.9579439252336448</v>
      </c>
      <c r="AG29" s="619"/>
    </row>
    <row r="30" spans="1:33" ht="15.75" customHeight="1">
      <c r="A30" s="636" t="s">
        <v>976</v>
      </c>
      <c r="B30" s="33" t="s">
        <v>27</v>
      </c>
      <c r="C30" s="635" t="s">
        <v>34</v>
      </c>
      <c r="D30" s="635"/>
      <c r="E30" s="33">
        <v>24.43</v>
      </c>
      <c r="F30" s="230">
        <v>4200</v>
      </c>
      <c r="G30" s="221">
        <f t="shared" si="23"/>
        <v>102606</v>
      </c>
      <c r="H30" s="29">
        <v>2</v>
      </c>
      <c r="I30" s="228">
        <v>14</v>
      </c>
      <c r="J30" s="30">
        <v>2400</v>
      </c>
      <c r="K30" s="13">
        <f t="shared" si="1"/>
        <v>171.42857142857142</v>
      </c>
      <c r="L30" s="228">
        <v>14</v>
      </c>
      <c r="M30" s="14">
        <f t="shared" si="24"/>
        <v>2290.909090909091</v>
      </c>
      <c r="N30" s="13">
        <f t="shared" si="3"/>
        <v>163.63636363636365</v>
      </c>
      <c r="O30" s="15">
        <f t="shared" si="4"/>
        <v>0</v>
      </c>
      <c r="P30" s="16">
        <f t="shared" si="5"/>
        <v>-7.7922077922077619</v>
      </c>
      <c r="Q30" s="226">
        <f t="shared" si="6"/>
        <v>0.9545454545454547</v>
      </c>
      <c r="R30" s="619"/>
      <c r="S30" s="31">
        <v>0.28333333333333333</v>
      </c>
      <c r="T30" s="31">
        <v>0.35972222222222222</v>
      </c>
      <c r="U30" s="221">
        <f t="shared" si="26"/>
        <v>5.9999999999999787</v>
      </c>
      <c r="V30" s="229">
        <f t="shared" si="25"/>
        <v>110.00000000000001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-109.09090909090901</v>
      </c>
      <c r="AF30" s="226">
        <f t="shared" si="9"/>
        <v>0.95454545454545459</v>
      </c>
      <c r="AG30" s="619"/>
    </row>
    <row r="31" spans="1:33" ht="15.75" customHeight="1">
      <c r="A31" s="636" t="s">
        <v>976</v>
      </c>
      <c r="B31" s="33" t="s">
        <v>27</v>
      </c>
      <c r="C31" s="635" t="s">
        <v>75</v>
      </c>
      <c r="D31" s="635"/>
      <c r="E31" s="33">
        <v>25.98</v>
      </c>
      <c r="F31" s="230">
        <v>2800</v>
      </c>
      <c r="G31" s="221">
        <f t="shared" si="23"/>
        <v>72744</v>
      </c>
      <c r="H31" s="29">
        <v>2</v>
      </c>
      <c r="I31" s="228">
        <v>19</v>
      </c>
      <c r="J31" s="30">
        <v>2400</v>
      </c>
      <c r="K31" s="13">
        <f t="shared" si="1"/>
        <v>126.31578947368421</v>
      </c>
      <c r="L31" s="228">
        <v>19</v>
      </c>
      <c r="M31" s="14">
        <f t="shared" si="24"/>
        <v>2301.3698630136987</v>
      </c>
      <c r="N31" s="13">
        <f t="shared" si="3"/>
        <v>121.12472963229993</v>
      </c>
      <c r="O31" s="15">
        <f t="shared" si="4"/>
        <v>0</v>
      </c>
      <c r="P31" s="16">
        <f t="shared" si="5"/>
        <v>-5.1910598413842735</v>
      </c>
      <c r="Q31" s="226">
        <f t="shared" si="6"/>
        <v>0.95890410958904115</v>
      </c>
      <c r="R31" s="619"/>
      <c r="S31" s="31">
        <v>0.36319444444444443</v>
      </c>
      <c r="T31" s="31">
        <v>0.41388888888888886</v>
      </c>
      <c r="U31" s="221">
        <f t="shared" si="26"/>
        <v>4.9999999999999822</v>
      </c>
      <c r="V31" s="229">
        <f t="shared" si="25"/>
        <v>72.999999999999986</v>
      </c>
      <c r="W31" s="17"/>
      <c r="X31" s="17"/>
      <c r="Y31" s="17"/>
      <c r="Z31" s="17"/>
      <c r="AA31" s="610"/>
      <c r="AB31" s="610"/>
      <c r="AC31" s="19"/>
      <c r="AD31" s="19"/>
      <c r="AE31" s="15">
        <f t="shared" si="8"/>
        <v>-98.630136986301295</v>
      </c>
      <c r="AF31" s="226">
        <f t="shared" si="9"/>
        <v>0.95890410958904115</v>
      </c>
      <c r="AG31" s="619"/>
    </row>
    <row r="32" spans="1:33" ht="15.75" customHeight="1">
      <c r="A32" s="636" t="s">
        <v>975</v>
      </c>
      <c r="B32" s="33" t="s">
        <v>27</v>
      </c>
      <c r="C32" s="635" t="s">
        <v>197</v>
      </c>
      <c r="D32" s="635"/>
      <c r="E32" s="33">
        <v>23.89</v>
      </c>
      <c r="F32" s="230">
        <v>4140</v>
      </c>
      <c r="G32" s="221">
        <f t="shared" si="23"/>
        <v>98904.6</v>
      </c>
      <c r="H32" s="29" t="s">
        <v>5</v>
      </c>
      <c r="I32" s="228">
        <v>17</v>
      </c>
      <c r="J32" s="30">
        <v>2400</v>
      </c>
      <c r="K32" s="13">
        <f t="shared" si="1"/>
        <v>141.1764705882353</v>
      </c>
      <c r="L32" s="228">
        <v>17</v>
      </c>
      <c r="M32" s="14">
        <f t="shared" si="24"/>
        <v>2299.9999999999995</v>
      </c>
      <c r="N32" s="13">
        <f t="shared" si="3"/>
        <v>135.29411764705878</v>
      </c>
      <c r="O32" s="15">
        <f t="shared" si="4"/>
        <v>0</v>
      </c>
      <c r="P32" s="16">
        <f t="shared" si="5"/>
        <v>-5.8823529411765207</v>
      </c>
      <c r="Q32" s="226">
        <f t="shared" si="6"/>
        <v>0.95833333333333293</v>
      </c>
      <c r="R32" s="619"/>
      <c r="S32" s="31">
        <v>0.41874999999999996</v>
      </c>
      <c r="T32" s="31">
        <v>0.49374999999999997</v>
      </c>
      <c r="U32" s="221">
        <f t="shared" si="26"/>
        <v>6.9999999999999751</v>
      </c>
      <c r="V32" s="229">
        <f t="shared" si="25"/>
        <v>108.00000000000001</v>
      </c>
      <c r="W32" s="17">
        <f>T32</f>
        <v>0.49374999999999997</v>
      </c>
      <c r="X32" s="17">
        <f>S33</f>
        <v>0.53263888888888877</v>
      </c>
      <c r="Y32" s="17"/>
      <c r="Z32" s="17"/>
      <c r="AA32" s="610"/>
      <c r="AB32" s="610"/>
      <c r="AC32" s="19"/>
      <c r="AD32" s="19"/>
      <c r="AE32" s="15">
        <f t="shared" si="8"/>
        <v>-100.00000000000045</v>
      </c>
      <c r="AF32" s="226">
        <f t="shared" si="9"/>
        <v>0.95833333333333315</v>
      </c>
      <c r="AG32" s="619"/>
    </row>
    <row r="33" spans="1:33" ht="15.75" customHeight="1">
      <c r="A33" s="636" t="s">
        <v>975</v>
      </c>
      <c r="B33" s="33" t="s">
        <v>27</v>
      </c>
      <c r="C33" s="635" t="s">
        <v>28</v>
      </c>
      <c r="D33" s="635"/>
      <c r="E33" s="33">
        <v>31.29</v>
      </c>
      <c r="F33" s="230">
        <v>4138</v>
      </c>
      <c r="G33" s="221">
        <f t="shared" si="23"/>
        <v>129478.01999999999</v>
      </c>
      <c r="H33" s="29" t="s">
        <v>5</v>
      </c>
      <c r="I33" s="228">
        <v>18</v>
      </c>
      <c r="J33" s="30">
        <v>2400</v>
      </c>
      <c r="K33" s="13">
        <f t="shared" si="1"/>
        <v>133.33333333333334</v>
      </c>
      <c r="L33" s="228">
        <v>18</v>
      </c>
      <c r="M33" s="14">
        <f t="shared" si="24"/>
        <v>2298.8888888888905</v>
      </c>
      <c r="N33" s="13">
        <f t="shared" si="3"/>
        <v>127.71604938271614</v>
      </c>
      <c r="O33" s="15">
        <f t="shared" si="4"/>
        <v>0</v>
      </c>
      <c r="P33" s="16">
        <f t="shared" si="5"/>
        <v>-5.6172839506172068</v>
      </c>
      <c r="Q33" s="226">
        <f t="shared" si="6"/>
        <v>0.95787037037037093</v>
      </c>
      <c r="R33" s="619"/>
      <c r="S33" s="31">
        <v>0.53263888888888877</v>
      </c>
      <c r="T33" s="31">
        <v>0.60763888888888873</v>
      </c>
      <c r="U33" s="221">
        <f t="shared" si="26"/>
        <v>55.999999999999879</v>
      </c>
      <c r="V33" s="229">
        <f t="shared" si="25"/>
        <v>107.99999999999994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-101.11111111110949</v>
      </c>
      <c r="AF33" s="226">
        <f t="shared" si="9"/>
        <v>0.95787037037037104</v>
      </c>
      <c r="AG33" s="619"/>
    </row>
    <row r="34" spans="1:33" ht="15.75" customHeight="1">
      <c r="A34" s="636" t="s">
        <v>977</v>
      </c>
      <c r="B34" s="33" t="s">
        <v>27</v>
      </c>
      <c r="C34" s="635" t="s">
        <v>29</v>
      </c>
      <c r="D34" s="635"/>
      <c r="E34" s="33">
        <v>26.37</v>
      </c>
      <c r="F34" s="230">
        <v>2892</v>
      </c>
      <c r="G34" s="221">
        <f t="shared" si="23"/>
        <v>76262.040000000008</v>
      </c>
      <c r="H34" s="29" t="s">
        <v>5</v>
      </c>
      <c r="I34" s="228">
        <v>18</v>
      </c>
      <c r="J34" s="30">
        <v>2400</v>
      </c>
      <c r="K34" s="13">
        <f t="shared" si="1"/>
        <v>133.33333333333334</v>
      </c>
      <c r="L34" s="228">
        <v>18</v>
      </c>
      <c r="M34" s="14">
        <f t="shared" si="24"/>
        <v>2283.1578947368407</v>
      </c>
      <c r="N34" s="13">
        <f t="shared" si="3"/>
        <v>126.84210526315782</v>
      </c>
      <c r="O34" s="15">
        <f t="shared" si="4"/>
        <v>0</v>
      </c>
      <c r="P34" s="16">
        <f t="shared" si="5"/>
        <v>-6.4912280701755236</v>
      </c>
      <c r="Q34" s="226">
        <f t="shared" si="6"/>
        <v>0.95131578947368356</v>
      </c>
      <c r="R34" s="619"/>
      <c r="S34" s="31">
        <v>0.61111111111111094</v>
      </c>
      <c r="T34" s="31">
        <v>0.66388888888888875</v>
      </c>
      <c r="U34" s="221">
        <f t="shared" si="26"/>
        <v>4.9999999999999822</v>
      </c>
      <c r="V34" s="229">
        <f t="shared" si="25"/>
        <v>76.000000000000057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-116.84210526315928</v>
      </c>
      <c r="AF34" s="226">
        <f t="shared" si="9"/>
        <v>0.95131578947368367</v>
      </c>
      <c r="AG34" s="619"/>
    </row>
    <row r="35" spans="1:33" ht="15.75" customHeight="1">
      <c r="A35" s="636" t="s">
        <v>975</v>
      </c>
      <c r="B35" s="33" t="s">
        <v>27</v>
      </c>
      <c r="C35" s="232" t="s">
        <v>34</v>
      </c>
      <c r="D35" s="233"/>
      <c r="E35" s="33">
        <v>24.43</v>
      </c>
      <c r="F35" s="230">
        <v>3429</v>
      </c>
      <c r="G35" s="221">
        <f t="shared" si="23"/>
        <v>83770.47</v>
      </c>
      <c r="H35" s="29" t="s">
        <v>5</v>
      </c>
      <c r="I35" s="228">
        <v>14</v>
      </c>
      <c r="J35" s="30">
        <v>2400</v>
      </c>
      <c r="K35" s="13">
        <f t="shared" si="1"/>
        <v>171.42857142857142</v>
      </c>
      <c r="L35" s="228">
        <v>14</v>
      </c>
      <c r="M35" s="14">
        <f t="shared" si="24"/>
        <v>2286</v>
      </c>
      <c r="N35" s="13">
        <f t="shared" si="3"/>
        <v>163.28571428571428</v>
      </c>
      <c r="O35" s="15">
        <f t="shared" si="4"/>
        <v>0</v>
      </c>
      <c r="P35" s="16">
        <f t="shared" si="5"/>
        <v>-8.1428571428571388</v>
      </c>
      <c r="Q35" s="226">
        <f t="shared" si="6"/>
        <v>0.95250000000000001</v>
      </c>
      <c r="R35" s="619"/>
      <c r="S35" s="31">
        <v>0.66874999999999984</v>
      </c>
      <c r="T35" s="31">
        <v>0.73124999999999984</v>
      </c>
      <c r="U35" s="221">
        <f t="shared" si="26"/>
        <v>6.9999999999999751</v>
      </c>
      <c r="V35" s="229">
        <f t="shared" si="25"/>
        <v>90</v>
      </c>
      <c r="W35" s="17"/>
      <c r="X35" s="17"/>
      <c r="Y35" s="17"/>
      <c r="Z35" s="17"/>
      <c r="AA35" s="224"/>
      <c r="AB35" s="225"/>
      <c r="AC35" s="19"/>
      <c r="AD35" s="19"/>
      <c r="AE35" s="15">
        <f t="shared" si="8"/>
        <v>-114</v>
      </c>
      <c r="AF35" s="226">
        <f t="shared" si="9"/>
        <v>0.95250000000000001</v>
      </c>
      <c r="AG35" s="619"/>
    </row>
    <row r="36" spans="1:33" ht="15.75" customHeight="1">
      <c r="A36" s="636" t="s">
        <v>977</v>
      </c>
      <c r="B36" s="33" t="s">
        <v>965</v>
      </c>
      <c r="C36" s="620"/>
      <c r="D36" s="620"/>
      <c r="E36" s="227"/>
      <c r="F36" s="230"/>
      <c r="G36" s="221"/>
      <c r="H36" s="230"/>
      <c r="I36" s="23">
        <v>17</v>
      </c>
      <c r="J36" s="30">
        <v>2400</v>
      </c>
      <c r="K36" s="13">
        <f t="shared" si="1"/>
        <v>141.1764705882353</v>
      </c>
      <c r="L36" s="23">
        <v>17</v>
      </c>
      <c r="M36" s="14">
        <f>AVERAGE(M28:M35)</f>
        <v>2293.1381804779444</v>
      </c>
      <c r="N36" s="13">
        <f t="shared" si="3"/>
        <v>134.89048120458497</v>
      </c>
      <c r="O36" s="15">
        <f t="shared" si="4"/>
        <v>0</v>
      </c>
      <c r="P36" s="16">
        <f t="shared" si="5"/>
        <v>-6.2859893836503318</v>
      </c>
      <c r="Q36" s="226">
        <f t="shared" si="6"/>
        <v>0.9554742418658102</v>
      </c>
      <c r="R36" s="619"/>
      <c r="S36" s="31"/>
      <c r="T36" s="31"/>
      <c r="U36" s="221"/>
      <c r="V36" s="229"/>
      <c r="W36" s="221"/>
      <c r="X36" s="221"/>
      <c r="Y36" s="24">
        <f>SUM(Y28:Y35)</f>
        <v>0</v>
      </c>
      <c r="Z36" s="24">
        <f>SUM(Z28:Z35)</f>
        <v>0</v>
      </c>
      <c r="AA36" s="609"/>
      <c r="AB36" s="609"/>
      <c r="AC36" s="24">
        <v>8</v>
      </c>
      <c r="AD36" s="24">
        <f>SUM(AD28:AD35)</f>
        <v>0</v>
      </c>
      <c r="AE36" s="15">
        <f t="shared" si="8"/>
        <v>-106.86181952205561</v>
      </c>
      <c r="AF36" s="226">
        <f t="shared" si="9"/>
        <v>0.9554742418658102</v>
      </c>
      <c r="AG36" s="619"/>
    </row>
    <row r="37" spans="1:33" ht="15.75" customHeight="1">
      <c r="A37" s="633" t="s">
        <v>978</v>
      </c>
      <c r="B37" s="33" t="s">
        <v>27</v>
      </c>
      <c r="C37" s="611" t="s">
        <v>33</v>
      </c>
      <c r="D37" s="611"/>
      <c r="E37" s="33">
        <v>26.18</v>
      </c>
      <c r="F37" s="230">
        <v>3700</v>
      </c>
      <c r="G37" s="221">
        <f t="shared" ref="G37:G46" si="27">E37*F37</f>
        <v>96866</v>
      </c>
      <c r="H37" s="29">
        <v>2</v>
      </c>
      <c r="I37" s="228">
        <v>20</v>
      </c>
      <c r="J37" s="30">
        <v>2400</v>
      </c>
      <c r="K37" s="13">
        <f t="shared" si="1"/>
        <v>120</v>
      </c>
      <c r="L37" s="228">
        <v>20</v>
      </c>
      <c r="M37" s="14">
        <f t="shared" ref="M37:M46" si="28">F37/V37*60</f>
        <v>2288.6597938144328</v>
      </c>
      <c r="N37" s="13">
        <f t="shared" si="3"/>
        <v>114.43298969072164</v>
      </c>
      <c r="O37" s="15">
        <f t="shared" si="4"/>
        <v>0</v>
      </c>
      <c r="P37" s="16">
        <f t="shared" si="5"/>
        <v>-5.5670103092783592</v>
      </c>
      <c r="Q37" s="226">
        <f t="shared" si="6"/>
        <v>0.95360824742268036</v>
      </c>
      <c r="R37" s="619">
        <f>Q47</f>
        <v>0.95799079917733687</v>
      </c>
      <c r="S37" s="31">
        <v>8.3333333333333329E-2</v>
      </c>
      <c r="T37" s="31">
        <v>0.15069444444444444</v>
      </c>
      <c r="U37" s="221"/>
      <c r="V37" s="229">
        <f t="shared" ref="V37:V46" si="29">(T37-S37)*24*60</f>
        <v>97</v>
      </c>
      <c r="W37" s="22">
        <f>T37</f>
        <v>0.15069444444444444</v>
      </c>
      <c r="X37" s="22">
        <f>S38</f>
        <v>0.17152777777777778</v>
      </c>
      <c r="Y37" s="22"/>
      <c r="Z37" s="22"/>
      <c r="AA37" s="610"/>
      <c r="AB37" s="610"/>
      <c r="AC37" s="19">
        <v>10</v>
      </c>
      <c r="AD37" s="19"/>
      <c r="AE37" s="15">
        <f t="shared" si="8"/>
        <v>-111.34020618556724</v>
      </c>
      <c r="AF37" s="226">
        <f t="shared" si="9"/>
        <v>0.95360824742268036</v>
      </c>
      <c r="AG37" s="619">
        <f>AF47</f>
        <v>0.95799079917733698</v>
      </c>
    </row>
    <row r="38" spans="1:33" ht="15.75" customHeight="1">
      <c r="A38" s="633" t="s">
        <v>978</v>
      </c>
      <c r="B38" s="33" t="s">
        <v>27</v>
      </c>
      <c r="C38" s="611" t="s">
        <v>30</v>
      </c>
      <c r="D38" s="611"/>
      <c r="E38" s="33">
        <v>26.18</v>
      </c>
      <c r="F38" s="230">
        <v>4800</v>
      </c>
      <c r="G38" s="221">
        <f t="shared" si="27"/>
        <v>125664</v>
      </c>
      <c r="H38" s="29">
        <v>2</v>
      </c>
      <c r="I38" s="228">
        <v>18</v>
      </c>
      <c r="J38" s="30">
        <v>2400</v>
      </c>
      <c r="K38" s="13">
        <f t="shared" si="1"/>
        <v>133.33333333333334</v>
      </c>
      <c r="L38" s="228">
        <v>18</v>
      </c>
      <c r="M38" s="14">
        <f t="shared" si="28"/>
        <v>2285.7142857142853</v>
      </c>
      <c r="N38" s="13">
        <f t="shared" si="3"/>
        <v>126.98412698412696</v>
      </c>
      <c r="O38" s="15">
        <f t="shared" si="4"/>
        <v>0</v>
      </c>
      <c r="P38" s="16">
        <f t="shared" si="5"/>
        <v>-6.3492063492063835</v>
      </c>
      <c r="Q38" s="226">
        <f t="shared" si="6"/>
        <v>0.95238095238095211</v>
      </c>
      <c r="R38" s="619"/>
      <c r="S38" s="31">
        <v>0.17152777777777778</v>
      </c>
      <c r="T38" s="31">
        <v>0.2590277777777778</v>
      </c>
      <c r="U38" s="221">
        <f t="shared" ref="U38:U46" si="30">(S38-T37)*24*60</f>
        <v>30.000000000000014</v>
      </c>
      <c r="V38" s="229">
        <f t="shared" si="29"/>
        <v>126.00000000000003</v>
      </c>
      <c r="W38" s="221"/>
      <c r="X38" s="221"/>
      <c r="Y38" s="221"/>
      <c r="Z38" s="221"/>
      <c r="AA38" s="610"/>
      <c r="AB38" s="610"/>
      <c r="AC38" s="19"/>
      <c r="AD38" s="19"/>
      <c r="AE38" s="15">
        <f t="shared" si="8"/>
        <v>-114.28571428571468</v>
      </c>
      <c r="AF38" s="226">
        <f t="shared" si="9"/>
        <v>0.95238095238095222</v>
      </c>
      <c r="AG38" s="619"/>
    </row>
    <row r="39" spans="1:33">
      <c r="A39" s="634" t="s">
        <v>978</v>
      </c>
      <c r="B39" s="33" t="s">
        <v>27</v>
      </c>
      <c r="C39" s="611" t="s">
        <v>32</v>
      </c>
      <c r="D39" s="611"/>
      <c r="E39" s="33">
        <v>25.99</v>
      </c>
      <c r="F39" s="230">
        <v>2200</v>
      </c>
      <c r="G39" s="221">
        <f t="shared" si="27"/>
        <v>57178</v>
      </c>
      <c r="H39" s="29">
        <v>2</v>
      </c>
      <c r="I39" s="228">
        <v>14</v>
      </c>
      <c r="J39" s="30">
        <v>2400</v>
      </c>
      <c r="K39" s="13">
        <f t="shared" si="1"/>
        <v>171.42857142857142</v>
      </c>
      <c r="L39" s="228">
        <v>14</v>
      </c>
      <c r="M39" s="14">
        <f t="shared" si="28"/>
        <v>2315.789473684209</v>
      </c>
      <c r="N39" s="13">
        <f t="shared" si="3"/>
        <v>165.41353383458636</v>
      </c>
      <c r="O39" s="15">
        <f t="shared" si="4"/>
        <v>0</v>
      </c>
      <c r="P39" s="16">
        <f t="shared" si="5"/>
        <v>-6.0150375939850562</v>
      </c>
      <c r="Q39" s="226">
        <f t="shared" si="6"/>
        <v>0.96491228070175383</v>
      </c>
      <c r="R39" s="619"/>
      <c r="S39" s="31">
        <v>0.2638888888888889</v>
      </c>
      <c r="T39" s="31">
        <v>0.30347222222222225</v>
      </c>
      <c r="U39" s="221">
        <f t="shared" si="30"/>
        <v>6.9999999999999751</v>
      </c>
      <c r="V39" s="229">
        <f t="shared" si="29"/>
        <v>57.000000000000036</v>
      </c>
      <c r="W39" s="221"/>
      <c r="X39" s="221"/>
      <c r="Y39" s="221"/>
      <c r="Z39" s="221"/>
      <c r="AA39" s="610"/>
      <c r="AB39" s="610"/>
      <c r="AC39" s="19"/>
      <c r="AD39" s="19"/>
      <c r="AE39" s="15">
        <f t="shared" si="8"/>
        <v>-84.210526315790958</v>
      </c>
      <c r="AF39" s="226">
        <f t="shared" si="9"/>
        <v>0.96491228070175372</v>
      </c>
      <c r="AG39" s="619"/>
    </row>
    <row r="40" spans="1:33">
      <c r="A40" s="634" t="s">
        <v>979</v>
      </c>
      <c r="B40" s="33" t="s">
        <v>27</v>
      </c>
      <c r="C40" s="611" t="s">
        <v>52</v>
      </c>
      <c r="D40" s="611"/>
      <c r="E40" s="33">
        <v>25.98</v>
      </c>
      <c r="F40" s="230">
        <v>2097</v>
      </c>
      <c r="G40" s="221">
        <f t="shared" si="27"/>
        <v>54480.06</v>
      </c>
      <c r="H40" s="29" t="s">
        <v>5</v>
      </c>
      <c r="I40" s="228">
        <v>17</v>
      </c>
      <c r="J40" s="30">
        <v>2400</v>
      </c>
      <c r="K40" s="13">
        <f t="shared" si="1"/>
        <v>141.1764705882353</v>
      </c>
      <c r="L40" s="228">
        <v>17</v>
      </c>
      <c r="M40" s="14">
        <f t="shared" si="28"/>
        <v>2287.6363636363653</v>
      </c>
      <c r="N40" s="13">
        <f t="shared" si="3"/>
        <v>134.56684491978621</v>
      </c>
      <c r="O40" s="15">
        <f t="shared" si="4"/>
        <v>0</v>
      </c>
      <c r="P40" s="16">
        <f t="shared" si="5"/>
        <v>-6.6096256684490982</v>
      </c>
      <c r="Q40" s="226">
        <f t="shared" si="6"/>
        <v>0.95318181818181891</v>
      </c>
      <c r="R40" s="619"/>
      <c r="S40" s="31">
        <v>0.30833333333333335</v>
      </c>
      <c r="T40" s="31">
        <v>0.34652777777777777</v>
      </c>
      <c r="U40" s="221">
        <f t="shared" si="30"/>
        <v>6.9999999999999751</v>
      </c>
      <c r="V40" s="229">
        <f t="shared" si="29"/>
        <v>54.999999999999964</v>
      </c>
      <c r="W40" s="17"/>
      <c r="X40" s="17"/>
      <c r="Y40" s="17"/>
      <c r="Z40" s="17"/>
      <c r="AA40" s="610"/>
      <c r="AB40" s="610"/>
      <c r="AC40" s="19"/>
      <c r="AD40" s="19"/>
      <c r="AE40" s="15">
        <f t="shared" si="8"/>
        <v>-112.36363636363467</v>
      </c>
      <c r="AF40" s="226">
        <f t="shared" si="9"/>
        <v>0.95318181818181891</v>
      </c>
      <c r="AG40" s="619"/>
    </row>
    <row r="41" spans="1:33">
      <c r="A41" s="634" t="s">
        <v>980</v>
      </c>
      <c r="B41" s="33" t="s">
        <v>27</v>
      </c>
      <c r="C41" s="611" t="s">
        <v>54</v>
      </c>
      <c r="D41" s="611"/>
      <c r="E41" s="33">
        <v>24.25</v>
      </c>
      <c r="F41" s="230">
        <v>2215</v>
      </c>
      <c r="G41" s="221">
        <f t="shared" si="27"/>
        <v>53713.75</v>
      </c>
      <c r="H41" s="29" t="s">
        <v>5</v>
      </c>
      <c r="I41" s="228">
        <v>16</v>
      </c>
      <c r="J41" s="30">
        <v>2400</v>
      </c>
      <c r="K41" s="13">
        <f t="shared" si="1"/>
        <v>150</v>
      </c>
      <c r="L41" s="228">
        <v>16</v>
      </c>
      <c r="M41" s="14">
        <f t="shared" si="28"/>
        <v>2291.3793103448265</v>
      </c>
      <c r="N41" s="13">
        <f t="shared" si="3"/>
        <v>143.21120689655166</v>
      </c>
      <c r="O41" s="15">
        <f t="shared" si="4"/>
        <v>0</v>
      </c>
      <c r="P41" s="16">
        <f t="shared" si="5"/>
        <v>-6.7887931034483415</v>
      </c>
      <c r="Q41" s="226">
        <f t="shared" si="6"/>
        <v>0.95474137931034442</v>
      </c>
      <c r="R41" s="619"/>
      <c r="S41" s="31">
        <v>0.35</v>
      </c>
      <c r="T41" s="31">
        <v>0.39027777777777778</v>
      </c>
      <c r="U41" s="221">
        <f t="shared" si="30"/>
        <v>4.9999999999999822</v>
      </c>
      <c r="V41" s="229">
        <f t="shared" si="29"/>
        <v>58.000000000000036</v>
      </c>
      <c r="W41" s="17"/>
      <c r="X41" s="17"/>
      <c r="Y41" s="17"/>
      <c r="Z41" s="17"/>
      <c r="AA41" s="610"/>
      <c r="AB41" s="610"/>
      <c r="AC41" s="19"/>
      <c r="AD41" s="19"/>
      <c r="AE41" s="15">
        <f t="shared" si="8"/>
        <v>-108.62068965517346</v>
      </c>
      <c r="AF41" s="226">
        <f t="shared" si="9"/>
        <v>0.95474137931034442</v>
      </c>
      <c r="AG41" s="619"/>
    </row>
    <row r="42" spans="1:33">
      <c r="A42" s="634" t="s">
        <v>980</v>
      </c>
      <c r="B42" s="33" t="s">
        <v>27</v>
      </c>
      <c r="C42" s="611" t="s">
        <v>35</v>
      </c>
      <c r="D42" s="611"/>
      <c r="E42" s="33">
        <v>34.1</v>
      </c>
      <c r="F42" s="230">
        <v>3700</v>
      </c>
      <c r="G42" s="221">
        <f t="shared" si="27"/>
        <v>126170</v>
      </c>
      <c r="H42" s="29">
        <v>2</v>
      </c>
      <c r="I42" s="228">
        <v>17</v>
      </c>
      <c r="J42" s="30">
        <v>1600</v>
      </c>
      <c r="K42" s="13">
        <f t="shared" si="1"/>
        <v>94.117647058823536</v>
      </c>
      <c r="L42" s="228">
        <v>17</v>
      </c>
      <c r="M42" s="14">
        <f t="shared" si="28"/>
        <v>1531.0344827586209</v>
      </c>
      <c r="N42" s="13">
        <f t="shared" si="3"/>
        <v>90.060851926977705</v>
      </c>
      <c r="O42" s="15">
        <f t="shared" si="4"/>
        <v>0</v>
      </c>
      <c r="P42" s="16">
        <f t="shared" si="5"/>
        <v>-4.0567951318458313</v>
      </c>
      <c r="Q42" s="226">
        <f t="shared" si="6"/>
        <v>0.95689655172413801</v>
      </c>
      <c r="R42" s="619"/>
      <c r="S42" s="31">
        <v>0.39513888888888887</v>
      </c>
      <c r="T42" s="31">
        <v>0.49583333333333329</v>
      </c>
      <c r="U42" s="221">
        <f t="shared" si="30"/>
        <v>6.9999999999999751</v>
      </c>
      <c r="V42" s="229">
        <f t="shared" si="29"/>
        <v>144.99999999999997</v>
      </c>
      <c r="W42" s="17">
        <f>T42</f>
        <v>0.49583333333333329</v>
      </c>
      <c r="X42" s="17">
        <f>S43</f>
        <v>0.53680555555555554</v>
      </c>
      <c r="Y42" s="17"/>
      <c r="Z42" s="17"/>
      <c r="AA42" s="610"/>
      <c r="AB42" s="610"/>
      <c r="AC42" s="19"/>
      <c r="AD42" s="19"/>
      <c r="AE42" s="15">
        <f t="shared" si="8"/>
        <v>-68.965517241379075</v>
      </c>
      <c r="AF42" s="226">
        <f t="shared" si="9"/>
        <v>0.95689655172413812</v>
      </c>
      <c r="AG42" s="619"/>
    </row>
    <row r="43" spans="1:33">
      <c r="A43" s="634" t="s">
        <v>980</v>
      </c>
      <c r="B43" s="33" t="s">
        <v>27</v>
      </c>
      <c r="C43" s="611" t="s">
        <v>33</v>
      </c>
      <c r="D43" s="611"/>
      <c r="E43" s="33">
        <v>26.18</v>
      </c>
      <c r="F43" s="230">
        <v>2816</v>
      </c>
      <c r="G43" s="221">
        <f t="shared" si="27"/>
        <v>73722.880000000005</v>
      </c>
      <c r="H43" s="29" t="s">
        <v>5</v>
      </c>
      <c r="I43" s="228">
        <v>20</v>
      </c>
      <c r="J43" s="30">
        <v>2400</v>
      </c>
      <c r="K43" s="13">
        <f t="shared" si="1"/>
        <v>120</v>
      </c>
      <c r="L43" s="228">
        <v>20</v>
      </c>
      <c r="M43" s="14">
        <f t="shared" si="28"/>
        <v>2314.5205479452038</v>
      </c>
      <c r="N43" s="13">
        <f t="shared" si="3"/>
        <v>115.7260273972602</v>
      </c>
      <c r="O43" s="15">
        <f t="shared" si="4"/>
        <v>0</v>
      </c>
      <c r="P43" s="16">
        <f t="shared" si="5"/>
        <v>-4.2739726027398035</v>
      </c>
      <c r="Q43" s="226">
        <f t="shared" si="6"/>
        <v>0.96438356164383499</v>
      </c>
      <c r="R43" s="619"/>
      <c r="S43" s="31">
        <v>0.53680555555555554</v>
      </c>
      <c r="T43" s="31">
        <v>0.58750000000000002</v>
      </c>
      <c r="U43" s="221">
        <f t="shared" si="30"/>
        <v>59.000000000000028</v>
      </c>
      <c r="V43" s="229">
        <f t="shared" si="29"/>
        <v>73.000000000000057</v>
      </c>
      <c r="W43" s="17"/>
      <c r="X43" s="17"/>
      <c r="Y43" s="20"/>
      <c r="Z43" s="20"/>
      <c r="AA43" s="614"/>
      <c r="AB43" s="615"/>
      <c r="AC43" s="19"/>
      <c r="AD43" s="19"/>
      <c r="AE43" s="15">
        <f t="shared" si="8"/>
        <v>-85.479452054796184</v>
      </c>
      <c r="AF43" s="226">
        <f t="shared" si="9"/>
        <v>0.96438356164383487</v>
      </c>
      <c r="AG43" s="619"/>
    </row>
    <row r="44" spans="1:33">
      <c r="A44" s="634" t="s">
        <v>978</v>
      </c>
      <c r="B44" s="33" t="s">
        <v>27</v>
      </c>
      <c r="C44" s="611" t="s">
        <v>30</v>
      </c>
      <c r="D44" s="611"/>
      <c r="E44" s="33">
        <v>26.18</v>
      </c>
      <c r="F44" s="230">
        <v>3632</v>
      </c>
      <c r="G44" s="221">
        <f t="shared" si="27"/>
        <v>95085.759999999995</v>
      </c>
      <c r="H44" s="29" t="s">
        <v>5</v>
      </c>
      <c r="I44" s="228">
        <v>18</v>
      </c>
      <c r="J44" s="30">
        <v>2400</v>
      </c>
      <c r="K44" s="13">
        <f t="shared" si="1"/>
        <v>133.33333333333334</v>
      </c>
      <c r="L44" s="228">
        <v>18</v>
      </c>
      <c r="M44" s="14">
        <f t="shared" si="28"/>
        <v>2293.8947368421054</v>
      </c>
      <c r="N44" s="13">
        <f t="shared" si="3"/>
        <v>127.43859649122808</v>
      </c>
      <c r="O44" s="15">
        <f t="shared" si="4"/>
        <v>0</v>
      </c>
      <c r="P44" s="16">
        <f t="shared" si="5"/>
        <v>-5.8947368421052602</v>
      </c>
      <c r="Q44" s="226">
        <f t="shared" si="6"/>
        <v>0.95578947368421052</v>
      </c>
      <c r="R44" s="619"/>
      <c r="S44" s="31">
        <v>0.59236111111111112</v>
      </c>
      <c r="T44" s="31">
        <v>0.65833333333333333</v>
      </c>
      <c r="U44" s="221">
        <f t="shared" si="30"/>
        <v>6.9999999999999751</v>
      </c>
      <c r="V44" s="229">
        <f t="shared" si="29"/>
        <v>94.999999999999986</v>
      </c>
      <c r="W44" s="17"/>
      <c r="X44" s="17"/>
      <c r="Y44" s="20"/>
      <c r="Z44" s="20"/>
      <c r="AA44" s="614"/>
      <c r="AB44" s="615"/>
      <c r="AC44" s="19"/>
      <c r="AD44" s="19"/>
      <c r="AE44" s="15">
        <f t="shared" si="8"/>
        <v>-106.10526315789457</v>
      </c>
      <c r="AF44" s="226">
        <f t="shared" si="9"/>
        <v>0.95578947368421063</v>
      </c>
      <c r="AG44" s="619"/>
    </row>
    <row r="45" spans="1:33">
      <c r="A45" s="634" t="s">
        <v>980</v>
      </c>
      <c r="B45" s="33" t="s">
        <v>27</v>
      </c>
      <c r="C45" s="612" t="s">
        <v>32</v>
      </c>
      <c r="D45" s="613"/>
      <c r="E45" s="33">
        <v>25.99</v>
      </c>
      <c r="F45" s="230">
        <v>1781</v>
      </c>
      <c r="G45" s="221">
        <f t="shared" si="27"/>
        <v>46288.189999999995</v>
      </c>
      <c r="H45" s="29" t="s">
        <v>5</v>
      </c>
      <c r="I45" s="228">
        <v>14</v>
      </c>
      <c r="J45" s="30">
        <v>2400</v>
      </c>
      <c r="K45" s="13">
        <f t="shared" si="1"/>
        <v>171.42857142857142</v>
      </c>
      <c r="L45" s="228">
        <v>14</v>
      </c>
      <c r="M45" s="14">
        <f t="shared" si="28"/>
        <v>2323.0434782608695</v>
      </c>
      <c r="N45" s="13">
        <f t="shared" si="3"/>
        <v>165.93167701863354</v>
      </c>
      <c r="O45" s="15">
        <f t="shared" si="4"/>
        <v>0</v>
      </c>
      <c r="P45" s="16">
        <f t="shared" si="5"/>
        <v>-5.4968944099378803</v>
      </c>
      <c r="Q45" s="226">
        <f t="shared" si="6"/>
        <v>0.9679347826086957</v>
      </c>
      <c r="R45" s="619"/>
      <c r="S45" s="31">
        <v>0.66249999999999998</v>
      </c>
      <c r="T45" s="31">
        <v>0.69444444444444442</v>
      </c>
      <c r="U45" s="221">
        <f t="shared" si="30"/>
        <v>5.9999999999999787</v>
      </c>
      <c r="V45" s="229">
        <f t="shared" si="29"/>
        <v>46</v>
      </c>
      <c r="W45" s="17"/>
      <c r="X45" s="17"/>
      <c r="Y45" s="20"/>
      <c r="Z45" s="20"/>
      <c r="AA45" s="224"/>
      <c r="AB45" s="225"/>
      <c r="AC45" s="19"/>
      <c r="AD45" s="19"/>
      <c r="AE45" s="15">
        <f t="shared" si="8"/>
        <v>-76.956521739130494</v>
      </c>
      <c r="AF45" s="226">
        <f t="shared" si="9"/>
        <v>0.96793478260869559</v>
      </c>
      <c r="AG45" s="619"/>
    </row>
    <row r="46" spans="1:33">
      <c r="A46" s="634" t="s">
        <v>978</v>
      </c>
      <c r="B46" s="33" t="s">
        <v>27</v>
      </c>
      <c r="C46" s="612" t="s">
        <v>35</v>
      </c>
      <c r="D46" s="613"/>
      <c r="E46" s="33">
        <v>34.1</v>
      </c>
      <c r="F46" s="230">
        <v>2851</v>
      </c>
      <c r="G46" s="221">
        <f t="shared" si="27"/>
        <v>97219.1</v>
      </c>
      <c r="H46" s="29" t="s">
        <v>5</v>
      </c>
      <c r="I46" s="228">
        <v>17</v>
      </c>
      <c r="J46" s="30">
        <v>1600</v>
      </c>
      <c r="K46" s="13">
        <f t="shared" si="1"/>
        <v>94.117647058823536</v>
      </c>
      <c r="L46" s="228">
        <v>17</v>
      </c>
      <c r="M46" s="14">
        <f t="shared" si="28"/>
        <v>1527.3214285714298</v>
      </c>
      <c r="N46" s="13">
        <f t="shared" si="3"/>
        <v>89.84243697478999</v>
      </c>
      <c r="O46" s="15">
        <f t="shared" si="4"/>
        <v>0</v>
      </c>
      <c r="P46" s="16">
        <f t="shared" si="5"/>
        <v>-4.2752100840335459</v>
      </c>
      <c r="Q46" s="226">
        <f t="shared" si="6"/>
        <v>0.95457589285714362</v>
      </c>
      <c r="R46" s="619"/>
      <c r="S46" s="31">
        <v>0.69861111111111107</v>
      </c>
      <c r="T46" s="31">
        <v>0.7763888888888888</v>
      </c>
      <c r="U46" s="221">
        <f t="shared" si="30"/>
        <v>5.9999999999999787</v>
      </c>
      <c r="V46" s="229">
        <f t="shared" si="29"/>
        <v>111.99999999999991</v>
      </c>
      <c r="W46" s="17"/>
      <c r="X46" s="17"/>
      <c r="Y46" s="20"/>
      <c r="Z46" s="20"/>
      <c r="AA46" s="224"/>
      <c r="AB46" s="225"/>
      <c r="AC46" s="19"/>
      <c r="AD46" s="19"/>
      <c r="AE46" s="15">
        <f t="shared" si="8"/>
        <v>-72.678571428570194</v>
      </c>
      <c r="AF46" s="226">
        <f t="shared" si="9"/>
        <v>0.95457589285714362</v>
      </c>
      <c r="AG46" s="619"/>
    </row>
    <row r="47" spans="1:33">
      <c r="A47" s="634" t="s">
        <v>978</v>
      </c>
      <c r="B47" s="34" t="s">
        <v>981</v>
      </c>
      <c r="C47" s="620"/>
      <c r="D47" s="620"/>
      <c r="E47" s="227"/>
      <c r="F47" s="34"/>
      <c r="G47" s="13"/>
      <c r="H47" s="230"/>
      <c r="I47" s="23">
        <v>17.100000000000001</v>
      </c>
      <c r="J47" s="30">
        <v>2240</v>
      </c>
      <c r="K47" s="13">
        <f t="shared" si="1"/>
        <v>130.99415204678363</v>
      </c>
      <c r="L47" s="23">
        <v>17.100000000000001</v>
      </c>
      <c r="M47" s="14">
        <f>AVERAGE(M37:M46)</f>
        <v>2145.8993901572348</v>
      </c>
      <c r="N47" s="13">
        <f t="shared" si="3"/>
        <v>125.49119240685583</v>
      </c>
      <c r="O47" s="15">
        <f t="shared" si="4"/>
        <v>0</v>
      </c>
      <c r="P47" s="16">
        <f t="shared" si="5"/>
        <v>-5.5029596399277949</v>
      </c>
      <c r="Q47" s="226">
        <f t="shared" si="6"/>
        <v>0.95799079917733687</v>
      </c>
      <c r="R47" s="619"/>
      <c r="S47" s="31"/>
      <c r="T47" s="31"/>
      <c r="U47" s="13"/>
      <c r="V47" s="229"/>
      <c r="W47" s="13"/>
      <c r="X47" s="13"/>
      <c r="Y47" s="24">
        <f>SUM(Y37:Y46)</f>
        <v>0</v>
      </c>
      <c r="Z47" s="24">
        <f>SUM(Z37:Z46)</f>
        <v>0</v>
      </c>
      <c r="AA47" s="609"/>
      <c r="AB47" s="609"/>
      <c r="AC47" s="24">
        <v>10</v>
      </c>
      <c r="AD47" s="24">
        <f>SUM(AD37:AD46)</f>
        <v>0</v>
      </c>
      <c r="AE47" s="15">
        <f t="shared" si="8"/>
        <v>-94.100609842765152</v>
      </c>
      <c r="AF47" s="226">
        <f t="shared" si="9"/>
        <v>0.95799079917733698</v>
      </c>
      <c r="AG47" s="619"/>
    </row>
    <row r="48" spans="1:33" ht="15.75" customHeight="1">
      <c r="A48" s="630" t="s">
        <v>982</v>
      </c>
      <c r="B48" s="33" t="s">
        <v>36</v>
      </c>
      <c r="C48" s="612" t="s">
        <v>37</v>
      </c>
      <c r="D48" s="613"/>
      <c r="E48" s="33">
        <v>21.13</v>
      </c>
      <c r="F48" s="230">
        <v>5852</v>
      </c>
      <c r="G48" s="221">
        <f t="shared" ref="G48:G50" si="31">E48*F48</f>
        <v>123652.76</v>
      </c>
      <c r="H48" s="29" t="s">
        <v>5</v>
      </c>
      <c r="I48" s="228">
        <v>10</v>
      </c>
      <c r="J48" s="30">
        <v>3000</v>
      </c>
      <c r="K48" s="13">
        <f t="shared" si="1"/>
        <v>300</v>
      </c>
      <c r="L48" s="228">
        <v>10</v>
      </c>
      <c r="M48" s="14">
        <f t="shared" ref="M48:M50" si="32">F48/V48*60</f>
        <v>2854.6341463414637</v>
      </c>
      <c r="N48" s="14">
        <f t="shared" si="3"/>
        <v>285.46341463414637</v>
      </c>
      <c r="O48" s="15">
        <f t="shared" si="4"/>
        <v>0</v>
      </c>
      <c r="P48" s="16">
        <f t="shared" si="5"/>
        <v>-14.536585365853625</v>
      </c>
      <c r="Q48" s="226">
        <f t="shared" si="6"/>
        <v>0.95154471544715458</v>
      </c>
      <c r="R48" s="625">
        <f>Q51</f>
        <v>0.95707838405083889</v>
      </c>
      <c r="S48" s="31">
        <v>0.20833333333333334</v>
      </c>
      <c r="T48" s="31">
        <v>0.29375000000000001</v>
      </c>
      <c r="U48" s="22"/>
      <c r="V48" s="229">
        <f t="shared" ref="V48:V50" si="33">(T48-S48)*24*60</f>
        <v>122.99999999999999</v>
      </c>
      <c r="W48" s="17"/>
      <c r="X48" s="17"/>
      <c r="Y48" s="20"/>
      <c r="Z48" s="20"/>
      <c r="AA48" s="614"/>
      <c r="AB48" s="615"/>
      <c r="AC48" s="19">
        <v>3</v>
      </c>
      <c r="AD48" s="19"/>
      <c r="AE48" s="15">
        <f t="shared" si="8"/>
        <v>-145.36585365853625</v>
      </c>
      <c r="AF48" s="226">
        <f t="shared" si="9"/>
        <v>0.95154471544715458</v>
      </c>
      <c r="AG48" s="625">
        <f>AF51</f>
        <v>0.95707838405083889</v>
      </c>
    </row>
    <row r="49" spans="1:33" ht="15.75" customHeight="1">
      <c r="A49" s="631" t="s">
        <v>983</v>
      </c>
      <c r="B49" s="33" t="s">
        <v>36</v>
      </c>
      <c r="C49" s="612" t="s">
        <v>38</v>
      </c>
      <c r="D49" s="613"/>
      <c r="E49" s="33">
        <v>27.17</v>
      </c>
      <c r="F49" s="230">
        <v>6420</v>
      </c>
      <c r="G49" s="221">
        <f t="shared" si="31"/>
        <v>174431.40000000002</v>
      </c>
      <c r="H49" s="29" t="s">
        <v>5</v>
      </c>
      <c r="I49" s="228">
        <v>10</v>
      </c>
      <c r="J49" s="30">
        <v>3000</v>
      </c>
      <c r="K49" s="13">
        <f t="shared" si="1"/>
        <v>300</v>
      </c>
      <c r="L49" s="228">
        <v>10</v>
      </c>
      <c r="M49" s="14">
        <f t="shared" si="32"/>
        <v>2874.6268656716416</v>
      </c>
      <c r="N49" s="14">
        <f t="shared" si="3"/>
        <v>287.46268656716416</v>
      </c>
      <c r="O49" s="15">
        <f t="shared" si="4"/>
        <v>0</v>
      </c>
      <c r="P49" s="16">
        <f t="shared" si="5"/>
        <v>-12.537313432835845</v>
      </c>
      <c r="Q49" s="226">
        <f t="shared" si="6"/>
        <v>0.9582089552238805</v>
      </c>
      <c r="R49" s="626"/>
      <c r="S49" s="31">
        <v>0.2986111111111111</v>
      </c>
      <c r="T49" s="31">
        <v>0.39166666666666666</v>
      </c>
      <c r="U49" s="221">
        <f t="shared" ref="U49:U50" si="34">(S49-T48)*24*60</f>
        <v>6.9999999999999751</v>
      </c>
      <c r="V49" s="229">
        <f t="shared" si="33"/>
        <v>134</v>
      </c>
      <c r="W49" s="17"/>
      <c r="X49" s="17"/>
      <c r="Y49" s="20"/>
      <c r="Z49" s="20"/>
      <c r="AA49" s="614"/>
      <c r="AB49" s="615"/>
      <c r="AC49" s="19"/>
      <c r="AD49" s="19"/>
      <c r="AE49" s="15">
        <f t="shared" si="8"/>
        <v>-125.37313432835845</v>
      </c>
      <c r="AF49" s="226">
        <f t="shared" si="9"/>
        <v>0.9582089552238805</v>
      </c>
      <c r="AG49" s="626"/>
    </row>
    <row r="50" spans="1:33" ht="15.75" customHeight="1">
      <c r="A50" s="631" t="s">
        <v>983</v>
      </c>
      <c r="B50" s="33" t="s">
        <v>36</v>
      </c>
      <c r="C50" s="612" t="s">
        <v>39</v>
      </c>
      <c r="D50" s="613"/>
      <c r="E50" s="33">
        <v>35.869999999999997</v>
      </c>
      <c r="F50" s="230">
        <v>1298</v>
      </c>
      <c r="G50" s="221">
        <f t="shared" si="31"/>
        <v>46559.259999999995</v>
      </c>
      <c r="H50" s="29" t="s">
        <v>5</v>
      </c>
      <c r="I50" s="228">
        <v>9</v>
      </c>
      <c r="J50" s="30">
        <v>3000</v>
      </c>
      <c r="K50" s="13">
        <f t="shared" si="1"/>
        <v>333.33333333333331</v>
      </c>
      <c r="L50" s="228">
        <v>9</v>
      </c>
      <c r="M50" s="14">
        <f t="shared" si="32"/>
        <v>2884.4444444444457</v>
      </c>
      <c r="N50" s="14">
        <f t="shared" si="3"/>
        <v>320.49382716049399</v>
      </c>
      <c r="O50" s="15">
        <f t="shared" si="4"/>
        <v>0</v>
      </c>
      <c r="P50" s="16">
        <f t="shared" si="5"/>
        <v>-12.839506172839322</v>
      </c>
      <c r="Q50" s="226">
        <f t="shared" si="6"/>
        <v>0.96148148148148205</v>
      </c>
      <c r="R50" s="626"/>
      <c r="S50" s="31">
        <v>0.39583333333333331</v>
      </c>
      <c r="T50" s="31">
        <v>0.4145833333333333</v>
      </c>
      <c r="U50" s="221">
        <f t="shared" si="34"/>
        <v>5.9999999999999787</v>
      </c>
      <c r="V50" s="229">
        <f t="shared" si="33"/>
        <v>26.999999999999986</v>
      </c>
      <c r="W50" s="17"/>
      <c r="X50" s="17"/>
      <c r="Y50" s="20"/>
      <c r="Z50" s="20"/>
      <c r="AA50" s="614"/>
      <c r="AB50" s="615"/>
      <c r="AC50" s="19"/>
      <c r="AD50" s="19"/>
      <c r="AE50" s="15">
        <f t="shared" si="8"/>
        <v>-115.55555555555429</v>
      </c>
      <c r="AF50" s="226">
        <f t="shared" si="9"/>
        <v>0.96148148148148194</v>
      </c>
      <c r="AG50" s="626"/>
    </row>
    <row r="51" spans="1:33" ht="15.75" customHeight="1">
      <c r="A51" s="632" t="s">
        <v>983</v>
      </c>
      <c r="B51" s="33" t="s">
        <v>981</v>
      </c>
      <c r="C51" s="607"/>
      <c r="D51" s="608"/>
      <c r="E51" s="219"/>
      <c r="F51" s="230"/>
      <c r="G51" s="221"/>
      <c r="H51" s="230"/>
      <c r="I51" s="23">
        <v>9.6666666666666661</v>
      </c>
      <c r="J51" s="30">
        <v>3000</v>
      </c>
      <c r="K51" s="13">
        <f t="shared" si="1"/>
        <v>310.34482758620692</v>
      </c>
      <c r="L51" s="23">
        <v>9.6666666666666661</v>
      </c>
      <c r="M51" s="14">
        <f>AVERAGE(M48:M50)</f>
        <v>2871.2351521525165</v>
      </c>
      <c r="N51" s="13">
        <f t="shared" si="3"/>
        <v>297.02432608474311</v>
      </c>
      <c r="O51" s="15">
        <f t="shared" si="4"/>
        <v>0</v>
      </c>
      <c r="P51" s="16">
        <f t="shared" si="5"/>
        <v>-13.320501501463809</v>
      </c>
      <c r="Q51" s="226">
        <f t="shared" si="6"/>
        <v>0.95707838405083889</v>
      </c>
      <c r="R51" s="627"/>
      <c r="S51" s="31"/>
      <c r="T51" s="31"/>
      <c r="U51" s="221"/>
      <c r="V51" s="229"/>
      <c r="W51" s="17"/>
      <c r="X51" s="17"/>
      <c r="Y51" s="24">
        <f>SUM(Y48:Y50)</f>
        <v>0</v>
      </c>
      <c r="Z51" s="24">
        <f>SUM(Z48:Z50)</f>
        <v>0</v>
      </c>
      <c r="AA51" s="628"/>
      <c r="AB51" s="629"/>
      <c r="AC51" s="24">
        <v>3</v>
      </c>
      <c r="AD51" s="24">
        <f>SUM(AD48:AD50)</f>
        <v>0</v>
      </c>
      <c r="AE51" s="15">
        <f t="shared" si="8"/>
        <v>-128.76484784748345</v>
      </c>
      <c r="AF51" s="226">
        <f t="shared" si="9"/>
        <v>0.95707838405083889</v>
      </c>
      <c r="AG51" s="627"/>
    </row>
    <row r="52" spans="1:33" ht="15.75" customHeight="1">
      <c r="A52" s="623" t="s">
        <v>984</v>
      </c>
      <c r="B52" s="33" t="s">
        <v>6</v>
      </c>
      <c r="C52" s="611" t="s">
        <v>41</v>
      </c>
      <c r="D52" s="611"/>
      <c r="E52" s="33">
        <v>51.44</v>
      </c>
      <c r="F52" s="35">
        <v>1472</v>
      </c>
      <c r="G52" s="221">
        <f t="shared" ref="G52:G60" si="35">E52*F52</f>
        <v>75719.679999999993</v>
      </c>
      <c r="H52" s="29" t="s">
        <v>5</v>
      </c>
      <c r="I52" s="228">
        <v>25</v>
      </c>
      <c r="J52" s="30">
        <v>2000</v>
      </c>
      <c r="K52" s="13">
        <f t="shared" si="1"/>
        <v>80</v>
      </c>
      <c r="L52" s="228">
        <v>25</v>
      </c>
      <c r="M52" s="14">
        <f t="shared" ref="M52" si="36">F52/V52*60</f>
        <v>1920</v>
      </c>
      <c r="N52" s="14">
        <f t="shared" si="3"/>
        <v>76.8</v>
      </c>
      <c r="O52" s="15">
        <f t="shared" si="4"/>
        <v>0</v>
      </c>
      <c r="P52" s="16">
        <f t="shared" si="5"/>
        <v>-3.2000000000000028</v>
      </c>
      <c r="Q52" s="226">
        <f t="shared" si="6"/>
        <v>0.96</v>
      </c>
      <c r="R52" s="619">
        <f>Q61</f>
        <v>0.95965301353756649</v>
      </c>
      <c r="S52" s="31">
        <v>0.20833333333333334</v>
      </c>
      <c r="T52" s="31">
        <v>0.24027777777777778</v>
      </c>
      <c r="U52" s="22"/>
      <c r="V52" s="229">
        <f t="shared" ref="V52:V60" si="37">(T52-S52)*24*60</f>
        <v>46</v>
      </c>
      <c r="W52" s="17"/>
      <c r="X52" s="17"/>
      <c r="Y52" s="22"/>
      <c r="Z52" s="22"/>
      <c r="AA52" s="610"/>
      <c r="AB52" s="610"/>
      <c r="AC52" s="19">
        <v>9</v>
      </c>
      <c r="AD52" s="19"/>
      <c r="AE52" s="15">
        <f t="shared" si="8"/>
        <v>-80</v>
      </c>
      <c r="AF52" s="226">
        <f t="shared" si="9"/>
        <v>0.96</v>
      </c>
      <c r="AG52" s="619">
        <f>AF61</f>
        <v>0.95965301353756638</v>
      </c>
    </row>
    <row r="53" spans="1:33" ht="15.75" customHeight="1">
      <c r="A53" s="623" t="s">
        <v>985</v>
      </c>
      <c r="B53" s="33" t="s">
        <v>6</v>
      </c>
      <c r="C53" s="611" t="s">
        <v>77</v>
      </c>
      <c r="D53" s="611"/>
      <c r="E53" s="33">
        <v>56.43</v>
      </c>
      <c r="F53" s="35">
        <v>2093</v>
      </c>
      <c r="G53" s="221">
        <f t="shared" si="35"/>
        <v>118107.99</v>
      </c>
      <c r="H53" s="29" t="s">
        <v>5</v>
      </c>
      <c r="I53" s="228">
        <v>23</v>
      </c>
      <c r="J53" s="30">
        <v>2000</v>
      </c>
      <c r="K53" s="13">
        <f t="shared" si="1"/>
        <v>86.956521739130437</v>
      </c>
      <c r="L53" s="228">
        <v>23</v>
      </c>
      <c r="M53" s="14">
        <f>F53/V53*60</f>
        <v>1902.7272727272727</v>
      </c>
      <c r="N53" s="14">
        <f t="shared" si="3"/>
        <v>82.727272727272734</v>
      </c>
      <c r="O53" s="15">
        <f t="shared" si="4"/>
        <v>0</v>
      </c>
      <c r="P53" s="16">
        <f t="shared" si="5"/>
        <v>-4.2292490118577035</v>
      </c>
      <c r="Q53" s="226">
        <f t="shared" si="6"/>
        <v>0.95136363636363641</v>
      </c>
      <c r="R53" s="619"/>
      <c r="S53" s="31">
        <v>0.24513888888888891</v>
      </c>
      <c r="T53" s="31">
        <v>0.29097222222222224</v>
      </c>
      <c r="U53" s="221">
        <f t="shared" ref="U53:U60" si="38">IF(S53=TIME(17,0,0),"",(S53-T52)*24*60)</f>
        <v>7.0000000000000151</v>
      </c>
      <c r="V53" s="229">
        <f t="shared" si="37"/>
        <v>66</v>
      </c>
      <c r="W53" s="17"/>
      <c r="X53" s="17"/>
      <c r="Y53" s="17"/>
      <c r="Z53" s="17"/>
      <c r="AA53" s="610"/>
      <c r="AB53" s="610"/>
      <c r="AC53" s="19"/>
      <c r="AD53" s="19"/>
      <c r="AE53" s="15">
        <f t="shared" si="8"/>
        <v>-97.272727272727252</v>
      </c>
      <c r="AF53" s="226">
        <f t="shared" si="9"/>
        <v>0.95136363636363641</v>
      </c>
      <c r="AG53" s="619"/>
    </row>
    <row r="54" spans="1:33" ht="15.75" customHeight="1">
      <c r="A54" s="623" t="s">
        <v>985</v>
      </c>
      <c r="B54" s="33" t="s">
        <v>6</v>
      </c>
      <c r="C54" s="612" t="s">
        <v>73</v>
      </c>
      <c r="D54" s="613"/>
      <c r="E54" s="33">
        <v>56.43</v>
      </c>
      <c r="F54" s="35">
        <v>1497</v>
      </c>
      <c r="G54" s="221">
        <f t="shared" si="35"/>
        <v>84475.71</v>
      </c>
      <c r="H54" s="29" t="s">
        <v>5</v>
      </c>
      <c r="I54" s="228">
        <v>25</v>
      </c>
      <c r="J54" s="30">
        <v>2000</v>
      </c>
      <c r="K54" s="13">
        <f t="shared" si="1"/>
        <v>80</v>
      </c>
      <c r="L54" s="228">
        <v>25</v>
      </c>
      <c r="M54" s="14">
        <f t="shared" ref="M54:M60" si="39">F54/V54*60</f>
        <v>1911.0638297872345</v>
      </c>
      <c r="N54" s="14">
        <f t="shared" si="3"/>
        <v>76.442553191489381</v>
      </c>
      <c r="O54" s="15">
        <f t="shared" si="4"/>
        <v>0</v>
      </c>
      <c r="P54" s="16">
        <f t="shared" si="5"/>
        <v>-3.557446808510619</v>
      </c>
      <c r="Q54" s="226">
        <f t="shared" si="6"/>
        <v>0.95553191489361722</v>
      </c>
      <c r="R54" s="619"/>
      <c r="S54" s="31">
        <v>0.29444444444444445</v>
      </c>
      <c r="T54" s="31">
        <v>0.32708333333333334</v>
      </c>
      <c r="U54" s="221">
        <f t="shared" si="38"/>
        <v>4.9999999999999822</v>
      </c>
      <c r="V54" s="229">
        <f t="shared" si="37"/>
        <v>46.999999999999993</v>
      </c>
      <c r="W54" s="17"/>
      <c r="X54" s="17"/>
      <c r="Y54" s="20"/>
      <c r="Z54" s="20"/>
      <c r="AA54" s="610"/>
      <c r="AB54" s="610"/>
      <c r="AC54" s="19"/>
      <c r="AD54" s="19"/>
      <c r="AE54" s="15">
        <f t="shared" si="8"/>
        <v>-88.936170212765546</v>
      </c>
      <c r="AF54" s="226">
        <f t="shared" si="9"/>
        <v>0.95553191489361722</v>
      </c>
      <c r="AG54" s="619"/>
    </row>
    <row r="55" spans="1:33" ht="15.75" customHeight="1">
      <c r="A55" s="623" t="s">
        <v>985</v>
      </c>
      <c r="B55" s="33" t="s">
        <v>10</v>
      </c>
      <c r="C55" s="222" t="s">
        <v>42</v>
      </c>
      <c r="D55" s="223"/>
      <c r="E55" s="33">
        <v>46</v>
      </c>
      <c r="F55" s="35">
        <v>1313</v>
      </c>
      <c r="G55" s="221">
        <f t="shared" si="35"/>
        <v>60398</v>
      </c>
      <c r="H55" s="29" t="s">
        <v>5</v>
      </c>
      <c r="I55" s="228">
        <v>16</v>
      </c>
      <c r="J55" s="30">
        <v>2000</v>
      </c>
      <c r="K55" s="13">
        <f t="shared" si="1"/>
        <v>125</v>
      </c>
      <c r="L55" s="228">
        <v>16</v>
      </c>
      <c r="M55" s="14">
        <f t="shared" si="39"/>
        <v>1921.4634146341459</v>
      </c>
      <c r="N55" s="14">
        <f t="shared" si="3"/>
        <v>120.09146341463412</v>
      </c>
      <c r="O55" s="15">
        <f t="shared" si="4"/>
        <v>0</v>
      </c>
      <c r="P55" s="16">
        <f t="shared" si="5"/>
        <v>-4.90853658536588</v>
      </c>
      <c r="Q55" s="226">
        <f t="shared" si="6"/>
        <v>0.96073170731707291</v>
      </c>
      <c r="R55" s="619"/>
      <c r="S55" s="31">
        <v>0.33263888888888887</v>
      </c>
      <c r="T55" s="31">
        <v>0.3611111111111111</v>
      </c>
      <c r="U55" s="221">
        <f t="shared" si="38"/>
        <v>7.9999999999999716</v>
      </c>
      <c r="V55" s="229">
        <f t="shared" si="37"/>
        <v>41.000000000000014</v>
      </c>
      <c r="W55" s="17"/>
      <c r="X55" s="17"/>
      <c r="Y55" s="20"/>
      <c r="Z55" s="20"/>
      <c r="AA55" s="610"/>
      <c r="AB55" s="610"/>
      <c r="AC55" s="19"/>
      <c r="AD55" s="19"/>
      <c r="AE55" s="15">
        <f t="shared" si="8"/>
        <v>-78.53658536585408</v>
      </c>
      <c r="AF55" s="226">
        <f t="shared" si="9"/>
        <v>0.96073170731707291</v>
      </c>
      <c r="AG55" s="619"/>
    </row>
    <row r="56" spans="1:33" ht="15.75" customHeight="1">
      <c r="A56" s="623" t="s">
        <v>986</v>
      </c>
      <c r="B56" s="33" t="s">
        <v>10</v>
      </c>
      <c r="C56" s="222" t="s">
        <v>43</v>
      </c>
      <c r="D56" s="223"/>
      <c r="E56" s="33">
        <v>46</v>
      </c>
      <c r="F56" s="35">
        <v>1489</v>
      </c>
      <c r="G56" s="221">
        <f t="shared" si="35"/>
        <v>68494</v>
      </c>
      <c r="H56" s="29" t="s">
        <v>5</v>
      </c>
      <c r="I56" s="228">
        <v>17</v>
      </c>
      <c r="J56" s="30">
        <v>2000</v>
      </c>
      <c r="K56" s="13">
        <f t="shared" si="1"/>
        <v>117.64705882352941</v>
      </c>
      <c r="L56" s="228">
        <v>17</v>
      </c>
      <c r="M56" s="14">
        <f t="shared" si="39"/>
        <v>1900.8510638297876</v>
      </c>
      <c r="N56" s="14">
        <f t="shared" si="3"/>
        <v>111.81476846057573</v>
      </c>
      <c r="O56" s="15">
        <f t="shared" si="4"/>
        <v>0</v>
      </c>
      <c r="P56" s="16">
        <f t="shared" si="5"/>
        <v>-5.8322903629536711</v>
      </c>
      <c r="Q56" s="226">
        <f t="shared" si="6"/>
        <v>0.95042553191489376</v>
      </c>
      <c r="R56" s="619"/>
      <c r="S56" s="31">
        <v>0.36666666666666664</v>
      </c>
      <c r="T56" s="31">
        <v>0.39930555555555552</v>
      </c>
      <c r="U56" s="221">
        <f t="shared" si="38"/>
        <v>7.9999999999999716</v>
      </c>
      <c r="V56" s="229">
        <f t="shared" si="37"/>
        <v>46.999999999999993</v>
      </c>
      <c r="W56" s="17"/>
      <c r="X56" s="17"/>
      <c r="Y56" s="20"/>
      <c r="Z56" s="20"/>
      <c r="AA56" s="610"/>
      <c r="AB56" s="610"/>
      <c r="AC56" s="19"/>
      <c r="AD56" s="19"/>
      <c r="AE56" s="15">
        <f t="shared" si="8"/>
        <v>-99.148936170212437</v>
      </c>
      <c r="AF56" s="226">
        <f t="shared" si="9"/>
        <v>0.95042553191489376</v>
      </c>
      <c r="AG56" s="619"/>
    </row>
    <row r="57" spans="1:33" ht="15.75" customHeight="1">
      <c r="A57" s="623" t="s">
        <v>985</v>
      </c>
      <c r="B57" s="33" t="s">
        <v>6</v>
      </c>
      <c r="C57" s="612" t="s">
        <v>44</v>
      </c>
      <c r="D57" s="613"/>
      <c r="E57" s="33">
        <v>55.56</v>
      </c>
      <c r="F57" s="35">
        <v>1000</v>
      </c>
      <c r="G57" s="221">
        <f t="shared" si="35"/>
        <v>55560</v>
      </c>
      <c r="H57" s="29">
        <v>2</v>
      </c>
      <c r="I57" s="228">
        <v>17</v>
      </c>
      <c r="J57" s="30">
        <v>2000</v>
      </c>
      <c r="K57" s="13">
        <f t="shared" si="1"/>
        <v>117.64705882352941</v>
      </c>
      <c r="L57" s="228">
        <v>17</v>
      </c>
      <c r="M57" s="14">
        <f t="shared" si="39"/>
        <v>1935.483870967739</v>
      </c>
      <c r="N57" s="14">
        <f t="shared" si="3"/>
        <v>113.85199240986699</v>
      </c>
      <c r="O57" s="15">
        <f t="shared" si="4"/>
        <v>0</v>
      </c>
      <c r="P57" s="16">
        <f t="shared" si="5"/>
        <v>-3.7950664136624113</v>
      </c>
      <c r="Q57" s="226">
        <f t="shared" si="6"/>
        <v>0.96774193548386955</v>
      </c>
      <c r="R57" s="619"/>
      <c r="S57" s="31">
        <v>0.70833333333333337</v>
      </c>
      <c r="T57" s="31">
        <v>0.72986111111111118</v>
      </c>
      <c r="U57" s="221" t="str">
        <f t="shared" si="38"/>
        <v/>
      </c>
      <c r="V57" s="229">
        <f t="shared" si="37"/>
        <v>31.00000000000005</v>
      </c>
      <c r="W57" s="17"/>
      <c r="X57" s="17"/>
      <c r="Y57" s="20"/>
      <c r="Z57" s="20"/>
      <c r="AA57" s="614"/>
      <c r="AB57" s="615"/>
      <c r="AC57" s="19"/>
      <c r="AD57" s="19"/>
      <c r="AE57" s="15">
        <f t="shared" si="8"/>
        <v>-64.516129032261006</v>
      </c>
      <c r="AF57" s="226">
        <f t="shared" si="9"/>
        <v>0.96774193548386944</v>
      </c>
      <c r="AG57" s="619"/>
    </row>
    <row r="58" spans="1:33" ht="15.75" customHeight="1">
      <c r="A58" s="623" t="s">
        <v>985</v>
      </c>
      <c r="B58" s="33" t="s">
        <v>6</v>
      </c>
      <c r="C58" s="612" t="s">
        <v>72</v>
      </c>
      <c r="D58" s="613"/>
      <c r="E58" s="33">
        <v>58.17</v>
      </c>
      <c r="F58" s="35">
        <v>2085</v>
      </c>
      <c r="G58" s="221">
        <f t="shared" si="35"/>
        <v>121284.45</v>
      </c>
      <c r="H58" s="29" t="s">
        <v>5</v>
      </c>
      <c r="I58" s="228">
        <v>13</v>
      </c>
      <c r="J58" s="30">
        <v>2000</v>
      </c>
      <c r="K58" s="13">
        <f t="shared" si="1"/>
        <v>153.84615384615384</v>
      </c>
      <c r="L58" s="228">
        <v>13</v>
      </c>
      <c r="M58" s="14">
        <f t="shared" si="39"/>
        <v>1924.6153846153866</v>
      </c>
      <c r="N58" s="14">
        <f t="shared" si="3"/>
        <v>148.04733727810665</v>
      </c>
      <c r="O58" s="15">
        <f t="shared" si="4"/>
        <v>0</v>
      </c>
      <c r="P58" s="16">
        <f t="shared" si="5"/>
        <v>-5.7988165680471866</v>
      </c>
      <c r="Q58" s="226">
        <f t="shared" si="6"/>
        <v>0.96230769230769331</v>
      </c>
      <c r="R58" s="619"/>
      <c r="S58" s="31">
        <v>0.73472222222222228</v>
      </c>
      <c r="T58" s="31">
        <v>0.77986111111111112</v>
      </c>
      <c r="U58" s="221">
        <f t="shared" si="38"/>
        <v>6.9999999999999751</v>
      </c>
      <c r="V58" s="229">
        <f t="shared" si="37"/>
        <v>64.999999999999929</v>
      </c>
      <c r="W58" s="17"/>
      <c r="X58" s="17"/>
      <c r="Y58" s="20"/>
      <c r="Z58" s="20"/>
      <c r="AA58" s="614"/>
      <c r="AB58" s="615"/>
      <c r="AC58" s="19"/>
      <c r="AD58" s="19"/>
      <c r="AE58" s="15">
        <f t="shared" si="8"/>
        <v>-75.384615384613426</v>
      </c>
      <c r="AF58" s="226">
        <f t="shared" si="9"/>
        <v>0.96230769230769331</v>
      </c>
      <c r="AG58" s="619"/>
    </row>
    <row r="59" spans="1:33" ht="15.75" customHeight="1">
      <c r="A59" s="623" t="s">
        <v>987</v>
      </c>
      <c r="B59" s="33" t="s">
        <v>6</v>
      </c>
      <c r="C59" s="612" t="s">
        <v>82</v>
      </c>
      <c r="D59" s="613"/>
      <c r="E59" s="33">
        <v>54.09</v>
      </c>
      <c r="F59" s="35">
        <v>2127</v>
      </c>
      <c r="G59" s="221">
        <f t="shared" si="35"/>
        <v>115049.43000000001</v>
      </c>
      <c r="H59" s="29" t="s">
        <v>5</v>
      </c>
      <c r="I59" s="228">
        <v>14</v>
      </c>
      <c r="J59" s="30">
        <v>2000</v>
      </c>
      <c r="K59" s="13">
        <f t="shared" si="1"/>
        <v>142.85714285714286</v>
      </c>
      <c r="L59" s="228">
        <v>14</v>
      </c>
      <c r="M59" s="14">
        <f t="shared" si="39"/>
        <v>1933.6363636363658</v>
      </c>
      <c r="N59" s="14">
        <f t="shared" si="3"/>
        <v>138.11688311688326</v>
      </c>
      <c r="O59" s="15">
        <f t="shared" si="4"/>
        <v>0</v>
      </c>
      <c r="P59" s="16">
        <f t="shared" si="5"/>
        <v>-4.7402597402596029</v>
      </c>
      <c r="Q59" s="226">
        <f t="shared" si="6"/>
        <v>0.9668181818181828</v>
      </c>
      <c r="R59" s="619"/>
      <c r="S59" s="31">
        <v>0.78472222222222221</v>
      </c>
      <c r="T59" s="31">
        <v>0.83055555555555549</v>
      </c>
      <c r="U59" s="221">
        <f t="shared" si="38"/>
        <v>6.9999999999999751</v>
      </c>
      <c r="V59" s="229">
        <f t="shared" si="37"/>
        <v>65.999999999999929</v>
      </c>
      <c r="W59" s="17">
        <f>T59</f>
        <v>0.83055555555555549</v>
      </c>
      <c r="X59" s="17">
        <f>S60</f>
        <v>0.86944444444444435</v>
      </c>
      <c r="Y59" s="20"/>
      <c r="Z59" s="20"/>
      <c r="AA59" s="614"/>
      <c r="AB59" s="615"/>
      <c r="AC59" s="19"/>
      <c r="AD59" s="19"/>
      <c r="AE59" s="15">
        <f t="shared" si="8"/>
        <v>-66.363636363634214</v>
      </c>
      <c r="AF59" s="226">
        <f t="shared" si="9"/>
        <v>0.96681818181818291</v>
      </c>
      <c r="AG59" s="619"/>
    </row>
    <row r="60" spans="1:33">
      <c r="A60" s="623" t="s">
        <v>985</v>
      </c>
      <c r="B60" s="33" t="s">
        <v>6</v>
      </c>
      <c r="C60" s="222" t="s">
        <v>44</v>
      </c>
      <c r="D60" s="223"/>
      <c r="E60" s="33">
        <v>55.56</v>
      </c>
      <c r="F60" s="35">
        <v>1475</v>
      </c>
      <c r="G60" s="221">
        <f t="shared" si="35"/>
        <v>81951</v>
      </c>
      <c r="H60" s="29" t="s">
        <v>5</v>
      </c>
      <c r="I60" s="228">
        <v>17</v>
      </c>
      <c r="J60" s="30">
        <v>2000</v>
      </c>
      <c r="K60" s="13">
        <f t="shared" si="1"/>
        <v>117.64705882352941</v>
      </c>
      <c r="L60" s="228">
        <v>17</v>
      </c>
      <c r="M60" s="14">
        <f t="shared" si="39"/>
        <v>1923.913043478261</v>
      </c>
      <c r="N60" s="14">
        <f t="shared" si="3"/>
        <v>113.17135549872124</v>
      </c>
      <c r="O60" s="15">
        <f t="shared" si="4"/>
        <v>0</v>
      </c>
      <c r="P60" s="16">
        <f t="shared" si="5"/>
        <v>-4.4757033248081655</v>
      </c>
      <c r="Q60" s="226">
        <f t="shared" si="6"/>
        <v>0.9619565217391306</v>
      </c>
      <c r="R60" s="619"/>
      <c r="S60" s="31">
        <v>0.86944444444444435</v>
      </c>
      <c r="T60" s="31">
        <v>0.9013888888888888</v>
      </c>
      <c r="U60" s="221">
        <f t="shared" si="38"/>
        <v>55.999999999999957</v>
      </c>
      <c r="V60" s="229">
        <f t="shared" si="37"/>
        <v>46</v>
      </c>
      <c r="W60" s="17"/>
      <c r="X60" s="17"/>
      <c r="Y60" s="20"/>
      <c r="Z60" s="20"/>
      <c r="AA60" s="224"/>
      <c r="AB60" s="225"/>
      <c r="AC60" s="19"/>
      <c r="AD60" s="19"/>
      <c r="AE60" s="15">
        <f t="shared" si="8"/>
        <v>-76.086956521739012</v>
      </c>
      <c r="AF60" s="226">
        <f t="shared" si="9"/>
        <v>0.96195652173913049</v>
      </c>
      <c r="AG60" s="619"/>
    </row>
    <row r="61" spans="1:33">
      <c r="A61" s="624" t="s">
        <v>988</v>
      </c>
      <c r="B61" s="33" t="s">
        <v>981</v>
      </c>
      <c r="C61" s="620"/>
      <c r="D61" s="620"/>
      <c r="E61" s="227"/>
      <c r="F61" s="34"/>
      <c r="G61" s="13"/>
      <c r="H61" s="230"/>
      <c r="I61" s="23">
        <v>18.555555555555557</v>
      </c>
      <c r="J61" s="30">
        <v>2000</v>
      </c>
      <c r="K61" s="13">
        <f t="shared" si="1"/>
        <v>107.78443113772454</v>
      </c>
      <c r="L61" s="23">
        <v>18.555555555555557</v>
      </c>
      <c r="M61" s="14">
        <f>AVERAGE(M52:M60)</f>
        <v>1919.3060270751328</v>
      </c>
      <c r="N61" s="13">
        <f t="shared" si="3"/>
        <v>103.43565415374967</v>
      </c>
      <c r="O61" s="15">
        <f t="shared" si="4"/>
        <v>0</v>
      </c>
      <c r="P61" s="16">
        <f t="shared" si="5"/>
        <v>-4.3487769839748722</v>
      </c>
      <c r="Q61" s="226">
        <f t="shared" si="6"/>
        <v>0.95965301353756649</v>
      </c>
      <c r="R61" s="619"/>
      <c r="S61" s="31"/>
      <c r="T61" s="31"/>
      <c r="U61" s="221"/>
      <c r="V61" s="229"/>
      <c r="W61" s="13"/>
      <c r="X61" s="13"/>
      <c r="Y61" s="24">
        <f>SUM(Y52:Y60)</f>
        <v>0</v>
      </c>
      <c r="Z61" s="24">
        <f>SUM(Z52:Z60)</f>
        <v>0</v>
      </c>
      <c r="AA61" s="609"/>
      <c r="AB61" s="609"/>
      <c r="AC61" s="24">
        <v>9</v>
      </c>
      <c r="AD61" s="24">
        <f>SUM(AD52:AD60)</f>
        <v>0</v>
      </c>
      <c r="AE61" s="15">
        <f>M61-J61</f>
        <v>-80.693972924867239</v>
      </c>
      <c r="AF61" s="226">
        <f t="shared" si="9"/>
        <v>0.95965301353756638</v>
      </c>
      <c r="AG61" s="619"/>
    </row>
    <row r="62" spans="1:33" ht="15.75" customHeight="1">
      <c r="A62" s="621" t="s">
        <v>989</v>
      </c>
      <c r="B62" s="230" t="s">
        <v>36</v>
      </c>
      <c r="C62" s="611" t="s">
        <v>46</v>
      </c>
      <c r="D62" s="611"/>
      <c r="E62" s="33">
        <v>35.119999999999997</v>
      </c>
      <c r="F62" s="35">
        <v>5431</v>
      </c>
      <c r="G62" s="221">
        <f t="shared" ref="G62:G65" si="40">E62*F62</f>
        <v>190736.71999999997</v>
      </c>
      <c r="H62" s="29" t="s">
        <v>5</v>
      </c>
      <c r="I62" s="228">
        <v>10</v>
      </c>
      <c r="J62" s="30">
        <v>3000</v>
      </c>
      <c r="K62" s="13">
        <f t="shared" si="1"/>
        <v>300</v>
      </c>
      <c r="L62" s="228">
        <v>10</v>
      </c>
      <c r="M62" s="14">
        <f t="shared" ref="M62:M65" si="41">F62/V62*60</f>
        <v>2858.4210526315801</v>
      </c>
      <c r="N62" s="13">
        <f t="shared" si="3"/>
        <v>285.84210526315803</v>
      </c>
      <c r="O62" s="15">
        <f t="shared" si="4"/>
        <v>0</v>
      </c>
      <c r="P62" s="16">
        <f t="shared" si="5"/>
        <v>-14.157894736841968</v>
      </c>
      <c r="Q62" s="226">
        <f t="shared" si="6"/>
        <v>0.9528070175438601</v>
      </c>
      <c r="R62" s="619">
        <f>Q66</f>
        <v>0.95710646236808716</v>
      </c>
      <c r="S62" s="31">
        <v>0.20833333333333334</v>
      </c>
      <c r="T62" s="31">
        <v>0.28749999999999998</v>
      </c>
      <c r="U62" s="221"/>
      <c r="V62" s="229">
        <f t="shared" ref="V62:V65" si="42">(T62-S62)*24*60</f>
        <v>113.99999999999996</v>
      </c>
      <c r="W62" s="17"/>
      <c r="X62" s="17"/>
      <c r="Y62" s="22"/>
      <c r="Z62" s="22"/>
      <c r="AA62" s="610"/>
      <c r="AB62" s="610"/>
      <c r="AC62" s="19">
        <v>4</v>
      </c>
      <c r="AD62" s="19"/>
      <c r="AE62" s="15">
        <f t="shared" ref="AE62:AE76" si="43">M62-J62</f>
        <v>-141.5789473684199</v>
      </c>
      <c r="AF62" s="226">
        <f t="shared" si="9"/>
        <v>0.95280701754385999</v>
      </c>
      <c r="AG62" s="619">
        <f>AF66</f>
        <v>0.95710646236808727</v>
      </c>
    </row>
    <row r="63" spans="1:33" ht="15.75" customHeight="1">
      <c r="A63" s="621" t="s">
        <v>85</v>
      </c>
      <c r="B63" s="230" t="s">
        <v>36</v>
      </c>
      <c r="C63" s="611" t="s">
        <v>47</v>
      </c>
      <c r="D63" s="611"/>
      <c r="E63" s="33">
        <v>26.78</v>
      </c>
      <c r="F63" s="35">
        <v>2567</v>
      </c>
      <c r="G63" s="221">
        <f t="shared" si="40"/>
        <v>68744.260000000009</v>
      </c>
      <c r="H63" s="29" t="s">
        <v>5</v>
      </c>
      <c r="I63" s="228">
        <v>10</v>
      </c>
      <c r="J63" s="30">
        <v>3000</v>
      </c>
      <c r="K63" s="13">
        <f t="shared" si="1"/>
        <v>300</v>
      </c>
      <c r="L63" s="228">
        <v>10</v>
      </c>
      <c r="M63" s="14">
        <f t="shared" si="41"/>
        <v>2906.0377358490582</v>
      </c>
      <c r="N63" s="13">
        <f t="shared" si="3"/>
        <v>290.60377358490581</v>
      </c>
      <c r="O63" s="15">
        <f t="shared" si="4"/>
        <v>0</v>
      </c>
      <c r="P63" s="16">
        <f t="shared" si="5"/>
        <v>-9.3962264150941905</v>
      </c>
      <c r="Q63" s="226">
        <f t="shared" si="6"/>
        <v>0.96867924528301941</v>
      </c>
      <c r="R63" s="619"/>
      <c r="S63" s="31">
        <v>0.29236111111111107</v>
      </c>
      <c r="T63" s="31">
        <v>0.32916666666666661</v>
      </c>
      <c r="U63" s="221">
        <f t="shared" ref="U63:U65" si="44">(S63-T62)*24*60</f>
        <v>6.9999999999999751</v>
      </c>
      <c r="V63" s="229">
        <f t="shared" si="42"/>
        <v>52.999999999999972</v>
      </c>
      <c r="W63" s="221"/>
      <c r="X63" s="221"/>
      <c r="Y63" s="221"/>
      <c r="Z63" s="221"/>
      <c r="AA63" s="610"/>
      <c r="AB63" s="610"/>
      <c r="AC63" s="19"/>
      <c r="AD63" s="19"/>
      <c r="AE63" s="15">
        <f t="shared" si="43"/>
        <v>-93.962264150941792</v>
      </c>
      <c r="AF63" s="226">
        <f t="shared" si="9"/>
        <v>0.96867924528301941</v>
      </c>
      <c r="AG63" s="619"/>
    </row>
    <row r="64" spans="1:33" ht="15.75" customHeight="1">
      <c r="A64" s="621" t="s">
        <v>85</v>
      </c>
      <c r="B64" s="230" t="s">
        <v>36</v>
      </c>
      <c r="C64" s="611" t="s">
        <v>49</v>
      </c>
      <c r="D64" s="611"/>
      <c r="E64" s="33">
        <v>35.869999999999997</v>
      </c>
      <c r="F64" s="35">
        <v>3249</v>
      </c>
      <c r="G64" s="221">
        <f t="shared" si="40"/>
        <v>116541.62999999999</v>
      </c>
      <c r="H64" s="29" t="s">
        <v>5</v>
      </c>
      <c r="I64" s="228">
        <v>10</v>
      </c>
      <c r="J64" s="30">
        <v>3000</v>
      </c>
      <c r="K64" s="13">
        <f t="shared" si="1"/>
        <v>300</v>
      </c>
      <c r="L64" s="228">
        <v>10</v>
      </c>
      <c r="M64" s="14">
        <f t="shared" si="41"/>
        <v>2866.7647058823532</v>
      </c>
      <c r="N64" s="13">
        <f t="shared" si="3"/>
        <v>286.6764705882353</v>
      </c>
      <c r="O64" s="15">
        <f t="shared" si="4"/>
        <v>0</v>
      </c>
      <c r="P64" s="16">
        <f t="shared" si="5"/>
        <v>-13.323529411764696</v>
      </c>
      <c r="Q64" s="226">
        <f t="shared" si="6"/>
        <v>0.95558823529411763</v>
      </c>
      <c r="R64" s="619"/>
      <c r="S64" s="31">
        <v>0.33333333333333326</v>
      </c>
      <c r="T64" s="31">
        <v>0.38055555555555548</v>
      </c>
      <c r="U64" s="221">
        <f t="shared" si="44"/>
        <v>5.9999999999999787</v>
      </c>
      <c r="V64" s="229">
        <f t="shared" si="42"/>
        <v>68</v>
      </c>
      <c r="W64" s="221"/>
      <c r="X64" s="221"/>
      <c r="Y64" s="221"/>
      <c r="Z64" s="221"/>
      <c r="AA64" s="610"/>
      <c r="AB64" s="610"/>
      <c r="AC64" s="19"/>
      <c r="AD64" s="19"/>
      <c r="AE64" s="15">
        <f t="shared" si="43"/>
        <v>-133.23529411764684</v>
      </c>
      <c r="AF64" s="226">
        <f t="shared" si="9"/>
        <v>0.95558823529411774</v>
      </c>
      <c r="AG64" s="619"/>
    </row>
    <row r="65" spans="1:33" ht="15.75" customHeight="1">
      <c r="A65" s="621" t="s">
        <v>85</v>
      </c>
      <c r="B65" s="230" t="s">
        <v>36</v>
      </c>
      <c r="C65" s="611" t="s">
        <v>74</v>
      </c>
      <c r="D65" s="611"/>
      <c r="E65" s="33">
        <v>33.770000000000003</v>
      </c>
      <c r="F65" s="35">
        <v>3520</v>
      </c>
      <c r="G65" s="221">
        <f t="shared" si="40"/>
        <v>118870.40000000001</v>
      </c>
      <c r="H65" s="29" t="s">
        <v>5</v>
      </c>
      <c r="I65" s="228">
        <v>12</v>
      </c>
      <c r="J65" s="30">
        <v>3000</v>
      </c>
      <c r="K65" s="13">
        <f t="shared" si="1"/>
        <v>250</v>
      </c>
      <c r="L65" s="228">
        <v>12</v>
      </c>
      <c r="M65" s="14">
        <f t="shared" si="41"/>
        <v>2854.0540540540551</v>
      </c>
      <c r="N65" s="13">
        <f t="shared" si="3"/>
        <v>237.83783783783792</v>
      </c>
      <c r="O65" s="15">
        <f t="shared" si="4"/>
        <v>0</v>
      </c>
      <c r="P65" s="16">
        <f t="shared" si="5"/>
        <v>-12.162162162162076</v>
      </c>
      <c r="Q65" s="226">
        <f t="shared" si="6"/>
        <v>0.95135135135135174</v>
      </c>
      <c r="R65" s="619"/>
      <c r="S65" s="31">
        <v>0.38541666666666657</v>
      </c>
      <c r="T65" s="31">
        <v>0.43680555555555545</v>
      </c>
      <c r="U65" s="221">
        <f t="shared" si="44"/>
        <v>6.9999999999999751</v>
      </c>
      <c r="V65" s="229">
        <f t="shared" si="42"/>
        <v>73.999999999999972</v>
      </c>
      <c r="W65" s="221"/>
      <c r="X65" s="221"/>
      <c r="Y65" s="221"/>
      <c r="Z65" s="221"/>
      <c r="AA65" s="610"/>
      <c r="AB65" s="610"/>
      <c r="AC65" s="19"/>
      <c r="AD65" s="19"/>
      <c r="AE65" s="15">
        <f t="shared" si="43"/>
        <v>-145.94594594594491</v>
      </c>
      <c r="AF65" s="226">
        <f t="shared" si="9"/>
        <v>0.95135135135135174</v>
      </c>
      <c r="AG65" s="619"/>
    </row>
    <row r="66" spans="1:33">
      <c r="A66" s="622" t="s">
        <v>85</v>
      </c>
      <c r="B66" s="33" t="s">
        <v>990</v>
      </c>
      <c r="C66" s="620"/>
      <c r="D66" s="620"/>
      <c r="E66" s="227"/>
      <c r="F66" s="34"/>
      <c r="G66" s="13"/>
      <c r="H66" s="230"/>
      <c r="I66" s="23">
        <v>10.5</v>
      </c>
      <c r="J66" s="30">
        <v>3000</v>
      </c>
      <c r="K66" s="13">
        <f t="shared" si="1"/>
        <v>285.71428571428572</v>
      </c>
      <c r="L66" s="23">
        <v>10.5</v>
      </c>
      <c r="M66" s="14">
        <f>AVERAGE(M62:M65)</f>
        <v>2871.3193871042618</v>
      </c>
      <c r="N66" s="13">
        <f t="shared" si="3"/>
        <v>273.45898924802492</v>
      </c>
      <c r="O66" s="15">
        <f t="shared" si="4"/>
        <v>0</v>
      </c>
      <c r="P66" s="16">
        <f t="shared" si="5"/>
        <v>-12.255296466260802</v>
      </c>
      <c r="Q66" s="226">
        <f t="shared" si="6"/>
        <v>0.95710646236808716</v>
      </c>
      <c r="R66" s="619"/>
      <c r="S66" s="31"/>
      <c r="T66" s="31"/>
      <c r="U66" s="13"/>
      <c r="V66" s="229"/>
      <c r="W66" s="13"/>
      <c r="X66" s="13"/>
      <c r="Y66" s="24">
        <f>SUM(Y62:Y65)</f>
        <v>0</v>
      </c>
      <c r="Z66" s="24">
        <f>SUM(Z62:Z65)</f>
        <v>0</v>
      </c>
      <c r="AA66" s="609"/>
      <c r="AB66" s="609"/>
      <c r="AC66" s="24">
        <v>4</v>
      </c>
      <c r="AD66" s="24">
        <f>SUM(AD62:AD65)</f>
        <v>0</v>
      </c>
      <c r="AE66" s="15">
        <f t="shared" si="43"/>
        <v>-128.68061289573825</v>
      </c>
      <c r="AF66" s="226">
        <f t="shared" si="9"/>
        <v>0.95710646236808727</v>
      </c>
      <c r="AG66" s="619"/>
    </row>
    <row r="67" spans="1:33" ht="15.75" customHeight="1">
      <c r="A67" s="616" t="s">
        <v>991</v>
      </c>
      <c r="B67" s="230" t="s">
        <v>27</v>
      </c>
      <c r="C67" s="611" t="s">
        <v>50</v>
      </c>
      <c r="D67" s="611"/>
      <c r="E67" s="33">
        <v>19.02</v>
      </c>
      <c r="F67" s="230">
        <v>6000</v>
      </c>
      <c r="G67" s="221">
        <f t="shared" ref="G67:G75" si="45">E67*F67</f>
        <v>114120</v>
      </c>
      <c r="H67" s="29">
        <v>2</v>
      </c>
      <c r="I67" s="228">
        <v>14</v>
      </c>
      <c r="J67" s="30">
        <v>2400</v>
      </c>
      <c r="K67" s="13">
        <f t="shared" si="1"/>
        <v>171.42857142857142</v>
      </c>
      <c r="L67" s="228">
        <v>14</v>
      </c>
      <c r="M67" s="14">
        <f t="shared" ref="M67:M75" si="46">F67/V67*60</f>
        <v>2292.993630573249</v>
      </c>
      <c r="N67" s="13">
        <f t="shared" si="3"/>
        <v>163.78525932666065</v>
      </c>
      <c r="O67" s="15">
        <f t="shared" si="4"/>
        <v>0</v>
      </c>
      <c r="P67" s="16">
        <f t="shared" si="5"/>
        <v>-7.6433121019107659</v>
      </c>
      <c r="Q67" s="226">
        <f t="shared" si="6"/>
        <v>0.95541401273885385</v>
      </c>
      <c r="R67" s="619">
        <f>Q76</f>
        <v>0.96063553085313524</v>
      </c>
      <c r="S67" s="31">
        <v>8.3333333333333329E-2</v>
      </c>
      <c r="T67" s="31">
        <v>0.19236111111111109</v>
      </c>
      <c r="U67" s="22"/>
      <c r="V67" s="229">
        <f t="shared" ref="V67:V75" si="47">(T67-S67)*24*60</f>
        <v>156.99999999999997</v>
      </c>
      <c r="W67" s="17">
        <f>T67</f>
        <v>0.19236111111111109</v>
      </c>
      <c r="X67" s="17">
        <f>S68</f>
        <v>0.21111111111111108</v>
      </c>
      <c r="Y67" s="17"/>
      <c r="Z67" s="17"/>
      <c r="AA67" s="610"/>
      <c r="AB67" s="610"/>
      <c r="AC67" s="19">
        <v>9</v>
      </c>
      <c r="AD67" s="19"/>
      <c r="AE67" s="15">
        <f t="shared" si="43"/>
        <v>-107.00636942675101</v>
      </c>
      <c r="AF67" s="226">
        <f t="shared" si="9"/>
        <v>0.95541401273885374</v>
      </c>
      <c r="AG67" s="619">
        <f>AF76</f>
        <v>0.96063553085313513</v>
      </c>
    </row>
    <row r="68" spans="1:33" ht="15.75" customHeight="1">
      <c r="A68" s="617" t="s">
        <v>992</v>
      </c>
      <c r="B68" s="230" t="s">
        <v>27</v>
      </c>
      <c r="C68" s="611" t="s">
        <v>51</v>
      </c>
      <c r="D68" s="611"/>
      <c r="E68" s="33">
        <v>20.36</v>
      </c>
      <c r="F68" s="230">
        <v>4713</v>
      </c>
      <c r="G68" s="221">
        <f t="shared" si="45"/>
        <v>95956.68</v>
      </c>
      <c r="H68" s="29" t="s">
        <v>5</v>
      </c>
      <c r="I68" s="228">
        <v>17</v>
      </c>
      <c r="J68" s="30">
        <v>2400</v>
      </c>
      <c r="K68" s="13">
        <f t="shared" si="1"/>
        <v>141.1764705882353</v>
      </c>
      <c r="L68" s="228">
        <v>17</v>
      </c>
      <c r="M68" s="14">
        <f t="shared" si="46"/>
        <v>2299.0243902439029</v>
      </c>
      <c r="N68" s="13">
        <f t="shared" si="3"/>
        <v>135.23672883787663</v>
      </c>
      <c r="O68" s="15">
        <f t="shared" si="4"/>
        <v>0</v>
      </c>
      <c r="P68" s="16">
        <f t="shared" si="5"/>
        <v>-5.939741750358678</v>
      </c>
      <c r="Q68" s="226">
        <f t="shared" si="6"/>
        <v>0.95792682926829265</v>
      </c>
      <c r="R68" s="619"/>
      <c r="S68" s="31">
        <v>0.21111111111111108</v>
      </c>
      <c r="T68" s="31">
        <v>0.29652777777777772</v>
      </c>
      <c r="U68" s="221">
        <f t="shared" ref="U68:U75" si="48">(S68-T67)*24*60</f>
        <v>26.999999999999986</v>
      </c>
      <c r="V68" s="229">
        <f t="shared" si="47"/>
        <v>122.99999999999996</v>
      </c>
      <c r="W68" s="17"/>
      <c r="X68" s="17"/>
      <c r="Y68" s="17"/>
      <c r="Z68" s="17"/>
      <c r="AA68" s="610"/>
      <c r="AB68" s="610"/>
      <c r="AC68" s="19"/>
      <c r="AD68" s="19"/>
      <c r="AE68" s="15">
        <f t="shared" si="43"/>
        <v>-100.97560975609713</v>
      </c>
      <c r="AF68" s="226">
        <f t="shared" si="9"/>
        <v>0.95792682926829287</v>
      </c>
      <c r="AG68" s="619"/>
    </row>
    <row r="69" spans="1:33" ht="15.75" customHeight="1">
      <c r="A69" s="617" t="s">
        <v>992</v>
      </c>
      <c r="B69" s="230" t="s">
        <v>27</v>
      </c>
      <c r="C69" s="611" t="s">
        <v>876</v>
      </c>
      <c r="D69" s="611"/>
      <c r="E69" s="33">
        <v>23.8</v>
      </c>
      <c r="F69" s="230">
        <v>4400</v>
      </c>
      <c r="G69" s="221">
        <f t="shared" si="45"/>
        <v>104720</v>
      </c>
      <c r="H69" s="29">
        <v>2</v>
      </c>
      <c r="I69" s="228">
        <v>16</v>
      </c>
      <c r="J69" s="30">
        <v>2400</v>
      </c>
      <c r="K69" s="13">
        <f t="shared" ref="K69:K76" si="49">J69/I69</f>
        <v>150</v>
      </c>
      <c r="L69" s="228">
        <v>16</v>
      </c>
      <c r="M69" s="14">
        <f t="shared" si="46"/>
        <v>2295.652173913044</v>
      </c>
      <c r="N69" s="13">
        <f t="shared" ref="N69:N76" si="50">M69/L69</f>
        <v>143.47826086956525</v>
      </c>
      <c r="O69" s="15">
        <f t="shared" ref="O69:O76" si="51">L69-I69</f>
        <v>0</v>
      </c>
      <c r="P69" s="16">
        <f t="shared" ref="P69:P76" si="52">N69-K69</f>
        <v>-6.521739130434753</v>
      </c>
      <c r="Q69" s="226">
        <f t="shared" ref="Q69:Q76" si="53">N69/K69</f>
        <v>0.95652173913043503</v>
      </c>
      <c r="R69" s="619"/>
      <c r="S69" s="31">
        <v>0.29999999999999993</v>
      </c>
      <c r="T69" s="31">
        <v>0.37986111111111104</v>
      </c>
      <c r="U69" s="221">
        <f t="shared" si="48"/>
        <v>4.9999999999999822</v>
      </c>
      <c r="V69" s="229">
        <f t="shared" si="47"/>
        <v>114.99999999999999</v>
      </c>
      <c r="W69" s="17"/>
      <c r="X69" s="17"/>
      <c r="Y69" s="17"/>
      <c r="Z69" s="17"/>
      <c r="AA69" s="610"/>
      <c r="AB69" s="610"/>
      <c r="AC69" s="19"/>
      <c r="AD69" s="19"/>
      <c r="AE69" s="15">
        <f t="shared" si="43"/>
        <v>-104.34782608695605</v>
      </c>
      <c r="AF69" s="226">
        <f t="shared" ref="AF69:AF76" si="54">M69/J69</f>
        <v>0.95652173913043503</v>
      </c>
      <c r="AG69" s="619"/>
    </row>
    <row r="70" spans="1:33" ht="15.75" customHeight="1">
      <c r="A70" s="617" t="s">
        <v>993</v>
      </c>
      <c r="B70" s="230" t="s">
        <v>27</v>
      </c>
      <c r="C70" s="611" t="s">
        <v>31</v>
      </c>
      <c r="D70" s="611"/>
      <c r="E70" s="33">
        <v>25.99</v>
      </c>
      <c r="F70" s="230">
        <v>1352</v>
      </c>
      <c r="G70" s="221">
        <f t="shared" si="45"/>
        <v>35138.479999999996</v>
      </c>
      <c r="H70" s="29" t="s">
        <v>5</v>
      </c>
      <c r="I70" s="228">
        <v>18</v>
      </c>
      <c r="J70" s="30">
        <v>2400</v>
      </c>
      <c r="K70" s="13">
        <f t="shared" si="49"/>
        <v>133.33333333333334</v>
      </c>
      <c r="L70" s="228">
        <v>18</v>
      </c>
      <c r="M70" s="14">
        <f t="shared" si="46"/>
        <v>2317.7142857142835</v>
      </c>
      <c r="N70" s="13">
        <f t="shared" si="50"/>
        <v>128.76190476190465</v>
      </c>
      <c r="O70" s="15">
        <f t="shared" si="51"/>
        <v>0</v>
      </c>
      <c r="P70" s="16">
        <f t="shared" si="52"/>
        <v>-4.5714285714286973</v>
      </c>
      <c r="Q70" s="226">
        <f t="shared" si="53"/>
        <v>0.96571428571428475</v>
      </c>
      <c r="R70" s="619"/>
      <c r="S70" s="31">
        <v>0.38472222222222213</v>
      </c>
      <c r="T70" s="31">
        <v>0.40902777777777771</v>
      </c>
      <c r="U70" s="221">
        <f t="shared" si="48"/>
        <v>6.9999999999999751</v>
      </c>
      <c r="V70" s="229">
        <f t="shared" si="47"/>
        <v>35.000000000000036</v>
      </c>
      <c r="W70" s="17"/>
      <c r="X70" s="17"/>
      <c r="Y70" s="17"/>
      <c r="Z70" s="17"/>
      <c r="AA70" s="610"/>
      <c r="AB70" s="610"/>
      <c r="AC70" s="19"/>
      <c r="AD70" s="19"/>
      <c r="AE70" s="15">
        <f t="shared" si="43"/>
        <v>-82.285714285716494</v>
      </c>
      <c r="AF70" s="226">
        <f t="shared" si="54"/>
        <v>0.96571428571428475</v>
      </c>
      <c r="AG70" s="619"/>
    </row>
    <row r="71" spans="1:33" ht="15.75" customHeight="1">
      <c r="A71" s="617" t="s">
        <v>200</v>
      </c>
      <c r="B71" s="230" t="s">
        <v>27</v>
      </c>
      <c r="C71" s="611" t="s">
        <v>53</v>
      </c>
      <c r="D71" s="611"/>
      <c r="E71" s="33">
        <v>28.29</v>
      </c>
      <c r="F71" s="230">
        <v>3064</v>
      </c>
      <c r="G71" s="221">
        <f t="shared" si="45"/>
        <v>86680.56</v>
      </c>
      <c r="H71" s="29" t="s">
        <v>5</v>
      </c>
      <c r="I71" s="228">
        <v>19</v>
      </c>
      <c r="J71" s="30">
        <v>2400</v>
      </c>
      <c r="K71" s="13">
        <f t="shared" si="49"/>
        <v>126.31578947368421</v>
      </c>
      <c r="L71" s="228">
        <v>19</v>
      </c>
      <c r="M71" s="14">
        <f t="shared" si="46"/>
        <v>2298.0000000000009</v>
      </c>
      <c r="N71" s="13">
        <f t="shared" si="50"/>
        <v>120.94736842105267</v>
      </c>
      <c r="O71" s="15">
        <f t="shared" si="51"/>
        <v>0</v>
      </c>
      <c r="P71" s="16">
        <f t="shared" si="52"/>
        <v>-5.3684210526315326</v>
      </c>
      <c r="Q71" s="226">
        <f t="shared" si="53"/>
        <v>0.95750000000000035</v>
      </c>
      <c r="R71" s="619"/>
      <c r="S71" s="31">
        <v>0.41319444444444436</v>
      </c>
      <c r="T71" s="31">
        <v>0.46874999999999989</v>
      </c>
      <c r="U71" s="221">
        <f t="shared" si="48"/>
        <v>5.9999999999999787</v>
      </c>
      <c r="V71" s="229">
        <f t="shared" si="47"/>
        <v>79.999999999999957</v>
      </c>
      <c r="W71" s="17"/>
      <c r="X71" s="17"/>
      <c r="Y71" s="17"/>
      <c r="Z71" s="17"/>
      <c r="AA71" s="610"/>
      <c r="AB71" s="610"/>
      <c r="AC71" s="19"/>
      <c r="AD71" s="19"/>
      <c r="AE71" s="15">
        <f t="shared" si="43"/>
        <v>-101.99999999999909</v>
      </c>
      <c r="AF71" s="226">
        <f t="shared" si="54"/>
        <v>0.95750000000000035</v>
      </c>
      <c r="AG71" s="619"/>
    </row>
    <row r="72" spans="1:33" ht="15.75" customHeight="1">
      <c r="A72" s="617" t="s">
        <v>200</v>
      </c>
      <c r="B72" s="230" t="s">
        <v>27</v>
      </c>
      <c r="C72" s="611" t="s">
        <v>55</v>
      </c>
      <c r="D72" s="611"/>
      <c r="E72" s="33">
        <v>23.89</v>
      </c>
      <c r="F72" s="230">
        <v>973</v>
      </c>
      <c r="G72" s="221">
        <f t="shared" si="45"/>
        <v>23244.97</v>
      </c>
      <c r="H72" s="29" t="s">
        <v>5</v>
      </c>
      <c r="I72" s="228">
        <v>13</v>
      </c>
      <c r="J72" s="30">
        <v>2400</v>
      </c>
      <c r="K72" s="13">
        <f t="shared" si="49"/>
        <v>184.61538461538461</v>
      </c>
      <c r="L72" s="228">
        <v>13</v>
      </c>
      <c r="M72" s="14">
        <f t="shared" si="46"/>
        <v>2335.2000000000007</v>
      </c>
      <c r="N72" s="13">
        <f t="shared" si="50"/>
        <v>179.63076923076929</v>
      </c>
      <c r="O72" s="15">
        <f t="shared" si="51"/>
        <v>0</v>
      </c>
      <c r="P72" s="16">
        <f t="shared" si="52"/>
        <v>-4.9846153846153243</v>
      </c>
      <c r="Q72" s="226">
        <f t="shared" si="53"/>
        <v>0.97300000000000031</v>
      </c>
      <c r="R72" s="619"/>
      <c r="S72" s="31">
        <v>0.47291666666666654</v>
      </c>
      <c r="T72" s="31">
        <v>0.49027777777777765</v>
      </c>
      <c r="U72" s="221">
        <f t="shared" si="48"/>
        <v>5.9999999999999787</v>
      </c>
      <c r="V72" s="229">
        <f t="shared" si="47"/>
        <v>24.999999999999993</v>
      </c>
      <c r="W72" s="17">
        <f>T72</f>
        <v>0.49027777777777765</v>
      </c>
      <c r="X72" s="17">
        <f>S73</f>
        <v>0.53194444444444433</v>
      </c>
      <c r="Y72" s="17"/>
      <c r="Z72" s="17"/>
      <c r="AA72" s="610"/>
      <c r="AB72" s="610"/>
      <c r="AC72" s="19"/>
      <c r="AD72" s="19"/>
      <c r="AE72" s="15">
        <f t="shared" si="43"/>
        <v>-64.799999999999272</v>
      </c>
      <c r="AF72" s="226">
        <f t="shared" si="54"/>
        <v>0.97300000000000031</v>
      </c>
      <c r="AG72" s="619"/>
    </row>
    <row r="73" spans="1:33" ht="15.75" customHeight="1">
      <c r="A73" s="617" t="s">
        <v>992</v>
      </c>
      <c r="B73" s="230" t="s">
        <v>27</v>
      </c>
      <c r="C73" s="612" t="s">
        <v>50</v>
      </c>
      <c r="D73" s="613"/>
      <c r="E73" s="33">
        <v>19.02</v>
      </c>
      <c r="F73" s="230">
        <v>4963</v>
      </c>
      <c r="G73" s="221">
        <f t="shared" si="45"/>
        <v>94396.26</v>
      </c>
      <c r="H73" s="29" t="s">
        <v>5</v>
      </c>
      <c r="I73" s="228">
        <v>14</v>
      </c>
      <c r="J73" s="30">
        <v>2400</v>
      </c>
      <c r="K73" s="13">
        <f t="shared" si="49"/>
        <v>171.42857142857142</v>
      </c>
      <c r="L73" s="228">
        <v>14</v>
      </c>
      <c r="M73" s="14">
        <f t="shared" si="46"/>
        <v>2290.6153846153838</v>
      </c>
      <c r="N73" s="13">
        <f t="shared" si="50"/>
        <v>163.61538461538456</v>
      </c>
      <c r="O73" s="15">
        <f t="shared" si="51"/>
        <v>0</v>
      </c>
      <c r="P73" s="16">
        <f t="shared" si="52"/>
        <v>-7.81318681318686</v>
      </c>
      <c r="Q73" s="226">
        <f t="shared" si="53"/>
        <v>0.9544230769230766</v>
      </c>
      <c r="R73" s="619"/>
      <c r="S73" s="31">
        <v>0.53194444444444433</v>
      </c>
      <c r="T73" s="31">
        <v>0.62222222222222212</v>
      </c>
      <c r="U73" s="221">
        <f t="shared" si="48"/>
        <v>60.000000000000028</v>
      </c>
      <c r="V73" s="229">
        <f t="shared" si="47"/>
        <v>130.00000000000003</v>
      </c>
      <c r="W73" s="17"/>
      <c r="X73" s="17"/>
      <c r="Y73" s="20"/>
      <c r="Z73" s="20"/>
      <c r="AA73" s="614"/>
      <c r="AB73" s="615"/>
      <c r="AC73" s="19"/>
      <c r="AD73" s="19"/>
      <c r="AE73" s="15">
        <f t="shared" si="43"/>
        <v>-109.38461538461615</v>
      </c>
      <c r="AF73" s="226">
        <f t="shared" si="54"/>
        <v>0.9544230769230766</v>
      </c>
      <c r="AG73" s="619"/>
    </row>
    <row r="74" spans="1:33" ht="15.75" customHeight="1">
      <c r="A74" s="617" t="s">
        <v>200</v>
      </c>
      <c r="B74" s="230" t="s">
        <v>27</v>
      </c>
      <c r="C74" s="612" t="s">
        <v>876</v>
      </c>
      <c r="D74" s="613"/>
      <c r="E74" s="33">
        <v>23.8</v>
      </c>
      <c r="F74" s="230">
        <v>3406</v>
      </c>
      <c r="G74" s="221">
        <f t="shared" si="45"/>
        <v>81062.8</v>
      </c>
      <c r="H74" s="29" t="s">
        <v>5</v>
      </c>
      <c r="I74" s="228">
        <v>16</v>
      </c>
      <c r="J74" s="30">
        <v>2400</v>
      </c>
      <c r="K74" s="13">
        <f t="shared" si="49"/>
        <v>150</v>
      </c>
      <c r="L74" s="228">
        <v>16</v>
      </c>
      <c r="M74" s="14">
        <f t="shared" si="46"/>
        <v>2296.1797752808989</v>
      </c>
      <c r="N74" s="13">
        <f t="shared" si="50"/>
        <v>143.51123595505618</v>
      </c>
      <c r="O74" s="15">
        <f t="shared" si="51"/>
        <v>0</v>
      </c>
      <c r="P74" s="16">
        <f t="shared" si="52"/>
        <v>-6.4887640449438209</v>
      </c>
      <c r="Q74" s="226">
        <f t="shared" si="53"/>
        <v>0.95674157303370788</v>
      </c>
      <c r="R74" s="619"/>
      <c r="S74" s="31">
        <v>0.62708333333333321</v>
      </c>
      <c r="T74" s="31">
        <v>0.68888888888888877</v>
      </c>
      <c r="U74" s="221">
        <f t="shared" si="48"/>
        <v>6.9999999999999751</v>
      </c>
      <c r="V74" s="229">
        <f t="shared" si="47"/>
        <v>89</v>
      </c>
      <c r="W74" s="17"/>
      <c r="X74" s="17"/>
      <c r="Y74" s="20"/>
      <c r="Z74" s="20"/>
      <c r="AA74" s="614"/>
      <c r="AB74" s="615"/>
      <c r="AC74" s="19"/>
      <c r="AD74" s="19"/>
      <c r="AE74" s="15">
        <f t="shared" si="43"/>
        <v>-103.82022471910113</v>
      </c>
      <c r="AF74" s="226">
        <f t="shared" si="54"/>
        <v>0.95674157303370788</v>
      </c>
      <c r="AG74" s="619"/>
    </row>
    <row r="75" spans="1:33" ht="15.75" customHeight="1">
      <c r="A75" s="617" t="s">
        <v>200</v>
      </c>
      <c r="B75" s="230" t="s">
        <v>27</v>
      </c>
      <c r="C75" s="612" t="s">
        <v>75</v>
      </c>
      <c r="D75" s="613"/>
      <c r="E75" s="33">
        <v>25.98</v>
      </c>
      <c r="F75" s="230">
        <v>1782</v>
      </c>
      <c r="G75" s="221">
        <f t="shared" si="45"/>
        <v>46296.36</v>
      </c>
      <c r="H75" s="29" t="s">
        <v>5</v>
      </c>
      <c r="I75" s="228">
        <v>19</v>
      </c>
      <c r="J75" s="30">
        <v>2400</v>
      </c>
      <c r="K75" s="13">
        <f t="shared" si="49"/>
        <v>126.31578947368421</v>
      </c>
      <c r="L75" s="228">
        <v>19</v>
      </c>
      <c r="M75" s="14">
        <f t="shared" si="46"/>
        <v>2324.3478260869565</v>
      </c>
      <c r="N75" s="13">
        <f t="shared" si="50"/>
        <v>122.33409610983982</v>
      </c>
      <c r="O75" s="15">
        <f t="shared" si="51"/>
        <v>0</v>
      </c>
      <c r="P75" s="16">
        <f t="shared" si="52"/>
        <v>-3.9816933638443857</v>
      </c>
      <c r="Q75" s="226">
        <f t="shared" si="53"/>
        <v>0.96847826086956523</v>
      </c>
      <c r="R75" s="619"/>
      <c r="S75" s="31">
        <v>0.69305555555555542</v>
      </c>
      <c r="T75" s="31">
        <v>0.72499999999999987</v>
      </c>
      <c r="U75" s="221">
        <f t="shared" si="48"/>
        <v>5.9999999999999787</v>
      </c>
      <c r="V75" s="229">
        <f t="shared" si="47"/>
        <v>46</v>
      </c>
      <c r="W75" s="17"/>
      <c r="X75" s="17"/>
      <c r="Y75" s="20"/>
      <c r="Z75" s="20"/>
      <c r="AA75" s="614"/>
      <c r="AB75" s="615"/>
      <c r="AC75" s="19"/>
      <c r="AD75" s="19"/>
      <c r="AE75" s="15">
        <f t="shared" si="43"/>
        <v>-75.652173913043498</v>
      </c>
      <c r="AF75" s="226">
        <f t="shared" si="54"/>
        <v>0.96847826086956523</v>
      </c>
      <c r="AG75" s="619"/>
    </row>
    <row r="76" spans="1:33" ht="16.5" customHeight="1">
      <c r="A76" s="618" t="s">
        <v>200</v>
      </c>
      <c r="B76" s="33" t="s">
        <v>994</v>
      </c>
      <c r="C76" s="607"/>
      <c r="D76" s="608"/>
      <c r="E76" s="227"/>
      <c r="F76" s="34"/>
      <c r="G76" s="13"/>
      <c r="H76" s="230"/>
      <c r="I76" s="23">
        <v>16.222222222222221</v>
      </c>
      <c r="J76" s="30">
        <v>2400</v>
      </c>
      <c r="K76" s="13">
        <f t="shared" si="49"/>
        <v>147.94520547945206</v>
      </c>
      <c r="L76" s="23">
        <v>16.222222222222221</v>
      </c>
      <c r="M76" s="14">
        <f>AVERAGE(M67:M75)</f>
        <v>2305.5252740475244</v>
      </c>
      <c r="N76" s="13">
        <f t="shared" si="50"/>
        <v>142.12142100292959</v>
      </c>
      <c r="O76" s="15">
        <f t="shared" si="51"/>
        <v>0</v>
      </c>
      <c r="P76" s="16">
        <f t="shared" si="52"/>
        <v>-5.8237844765224622</v>
      </c>
      <c r="Q76" s="226">
        <f t="shared" si="53"/>
        <v>0.96063553085313524</v>
      </c>
      <c r="R76" s="619"/>
      <c r="S76" s="31"/>
      <c r="T76" s="31"/>
      <c r="U76" s="13"/>
      <c r="V76" s="229"/>
      <c r="W76" s="13"/>
      <c r="X76" s="13"/>
      <c r="Y76" s="24">
        <f>SUM(Y67:Y75)</f>
        <v>0</v>
      </c>
      <c r="Z76" s="24">
        <f>SUM(Z67:Z75)</f>
        <v>0</v>
      </c>
      <c r="AA76" s="609"/>
      <c r="AB76" s="609"/>
      <c r="AC76" s="24">
        <v>9</v>
      </c>
      <c r="AD76" s="24">
        <f>SUM(AD67:AD75)</f>
        <v>0</v>
      </c>
      <c r="AE76" s="15">
        <f t="shared" si="43"/>
        <v>-94.474725952475637</v>
      </c>
      <c r="AF76" s="226">
        <f t="shared" si="54"/>
        <v>0.96063553085313513</v>
      </c>
      <c r="AG76" s="619"/>
    </row>
    <row r="77" spans="1:33">
      <c r="D77" s="25"/>
      <c r="E77" s="25"/>
    </row>
  </sheetData>
  <mergeCells count="195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A36:AB36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6"/>
    <mergeCell ref="C28:D28"/>
    <mergeCell ref="R28:R36"/>
    <mergeCell ref="AA28:AB28"/>
    <mergeCell ref="AA33:AB33"/>
    <mergeCell ref="C34:D34"/>
    <mergeCell ref="AA34:AB34"/>
    <mergeCell ref="C36:D36"/>
    <mergeCell ref="AG37:AG47"/>
    <mergeCell ref="C38:D38"/>
    <mergeCell ref="AA38:AB38"/>
    <mergeCell ref="C39:D39"/>
    <mergeCell ref="AA39:AB39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0:D40"/>
    <mergeCell ref="A48:A51"/>
    <mergeCell ref="C48:D48"/>
    <mergeCell ref="R48:R51"/>
    <mergeCell ref="AA48:AB48"/>
    <mergeCell ref="C43:D43"/>
    <mergeCell ref="AA43:AB43"/>
    <mergeCell ref="C44:D44"/>
    <mergeCell ref="AA44:AB44"/>
    <mergeCell ref="C45:D45"/>
    <mergeCell ref="C46:D46"/>
    <mergeCell ref="A37:A47"/>
    <mergeCell ref="C37:D37"/>
    <mergeCell ref="R37:R47"/>
    <mergeCell ref="AA37:AB37"/>
    <mergeCell ref="C47:D47"/>
    <mergeCell ref="AA47:AB47"/>
    <mergeCell ref="AA40:AB40"/>
    <mergeCell ref="C41:D41"/>
    <mergeCell ref="AA41:AB41"/>
    <mergeCell ref="C42:D42"/>
    <mergeCell ref="AA42:AB42"/>
    <mergeCell ref="AG52:AG61"/>
    <mergeCell ref="C53:D53"/>
    <mergeCell ref="AA53:AB53"/>
    <mergeCell ref="C54:D54"/>
    <mergeCell ref="AA54:AB54"/>
    <mergeCell ref="AA55:AB55"/>
    <mergeCell ref="AG48:AG51"/>
    <mergeCell ref="C49:D49"/>
    <mergeCell ref="AA49:AB49"/>
    <mergeCell ref="C50:D50"/>
    <mergeCell ref="AA50:AB50"/>
    <mergeCell ref="C51:D51"/>
    <mergeCell ref="AA51:AB51"/>
    <mergeCell ref="C61:D61"/>
    <mergeCell ref="AA61:AB61"/>
    <mergeCell ref="A62:A66"/>
    <mergeCell ref="C62:D62"/>
    <mergeCell ref="R62:R66"/>
    <mergeCell ref="AA62:AB62"/>
    <mergeCell ref="AA56:AB56"/>
    <mergeCell ref="C57:D57"/>
    <mergeCell ref="AA57:AB57"/>
    <mergeCell ref="C58:D58"/>
    <mergeCell ref="AA58:AB58"/>
    <mergeCell ref="C59:D59"/>
    <mergeCell ref="AA59:AB59"/>
    <mergeCell ref="A52:A61"/>
    <mergeCell ref="C52:D52"/>
    <mergeCell ref="R52:R61"/>
    <mergeCell ref="AA52:AB52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67:A76"/>
    <mergeCell ref="C67:D67"/>
    <mergeCell ref="R67:R76"/>
    <mergeCell ref="AA67:AB67"/>
    <mergeCell ref="AG67:AG76"/>
    <mergeCell ref="C68:D68"/>
    <mergeCell ref="AA68:AB68"/>
    <mergeCell ref="C69:D69"/>
    <mergeCell ref="AA69:AB69"/>
    <mergeCell ref="C70:D70"/>
    <mergeCell ref="C74:D74"/>
    <mergeCell ref="AA74:AB74"/>
    <mergeCell ref="C75:D75"/>
    <mergeCell ref="AA75:AB75"/>
    <mergeCell ref="C76:D76"/>
    <mergeCell ref="AA76:AB76"/>
    <mergeCell ref="AA70:AB70"/>
    <mergeCell ref="C71:D71"/>
    <mergeCell ref="AA71:AB71"/>
    <mergeCell ref="C72:D72"/>
    <mergeCell ref="AA72:AB72"/>
    <mergeCell ref="C73:D73"/>
    <mergeCell ref="AA73:AB73"/>
  </mergeCells>
  <phoneticPr fontId="3" type="noConversion"/>
  <conditionalFormatting sqref="O65:O72 O61:O62 O76 O5:O9 O12:O14 O20:O57">
    <cfRule type="cellIs" dxfId="783" priority="75" operator="greaterThan">
      <formula>0</formula>
    </cfRule>
  </conditionalFormatting>
  <conditionalFormatting sqref="P5:P7 P65 AE65 P67:P72 P28:P35 P62 P9 P12:P14 P21:P26 P52:P57 P37:P50 AE5:AE62 AE67:AE76">
    <cfRule type="cellIs" dxfId="782" priority="79" operator="lessThan">
      <formula>0</formula>
    </cfRule>
  </conditionalFormatting>
  <conditionalFormatting sqref="AF65 Q65:Q72 Q61:Q62 Q76 Q5:Q9 Q12:Q14 Q20:Q57 AF5:AF62 AF67:AF76">
    <cfRule type="cellIs" dxfId="781" priority="76" operator="greaterThan">
      <formula>1</formula>
    </cfRule>
    <cfRule type="cellIs" dxfId="780" priority="77" operator="lessThan">
      <formula>0.8</formula>
    </cfRule>
  </conditionalFormatting>
  <conditionalFormatting sqref="AG13:AG14 R13:R14 AG65 R65:R72 R20:R44 AG20:AG44 AG61:AG62 R61:R62 R76 AG5:AG9 R5:R9 AG47:AG57 R47:R57">
    <cfRule type="cellIs" dxfId="779" priority="81" operator="lessThan">
      <formula>0.8</formula>
    </cfRule>
  </conditionalFormatting>
  <conditionalFormatting sqref="AG48">
    <cfRule type="cellIs" dxfId="778" priority="83" operator="lessThan">
      <formula>0.8</formula>
    </cfRule>
  </conditionalFormatting>
  <conditionalFormatting sqref="AG21:AG26">
    <cfRule type="cellIs" dxfId="777" priority="80" operator="lessThan">
      <formula>0.8</formula>
    </cfRule>
  </conditionalFormatting>
  <conditionalFormatting sqref="AG28">
    <cfRule type="cellIs" dxfId="776" priority="82" operator="lessThan">
      <formula>0.8</formula>
    </cfRule>
  </conditionalFormatting>
  <conditionalFormatting sqref="AG37:AG44">
    <cfRule type="cellIs" dxfId="775" priority="78" operator="lessThan">
      <formula>0.8</formula>
    </cfRule>
  </conditionalFormatting>
  <conditionalFormatting sqref="AE66">
    <cfRule type="cellIs" dxfId="774" priority="74" operator="lessThan">
      <formula>0</formula>
    </cfRule>
  </conditionalFormatting>
  <conditionalFormatting sqref="AF66">
    <cfRule type="cellIs" dxfId="773" priority="72" operator="greaterThan">
      <formula>1</formula>
    </cfRule>
    <cfRule type="cellIs" dxfId="772" priority="73" operator="lessThan">
      <formula>0.8</formula>
    </cfRule>
  </conditionalFormatting>
  <conditionalFormatting sqref="O15:O16">
    <cfRule type="cellIs" dxfId="771" priority="67" operator="greaterThan">
      <formula>0</formula>
    </cfRule>
  </conditionalFormatting>
  <conditionalFormatting sqref="P15:P16">
    <cfRule type="cellIs" dxfId="770" priority="70" operator="lessThan">
      <formula>0</formula>
    </cfRule>
  </conditionalFormatting>
  <conditionalFormatting sqref="Q15:Q16">
    <cfRule type="cellIs" dxfId="769" priority="68" operator="greaterThan">
      <formula>1</formula>
    </cfRule>
    <cfRule type="cellIs" dxfId="768" priority="69" operator="lessThan">
      <formula>0.8</formula>
    </cfRule>
  </conditionalFormatting>
  <conditionalFormatting sqref="R15:R16 AG15:AG16">
    <cfRule type="cellIs" dxfId="767" priority="71" operator="lessThan">
      <formula>0.8</formula>
    </cfRule>
  </conditionalFormatting>
  <conditionalFormatting sqref="O10:O11">
    <cfRule type="cellIs" dxfId="766" priority="63" operator="greaterThan">
      <formula>0</formula>
    </cfRule>
  </conditionalFormatting>
  <conditionalFormatting sqref="P10:P11">
    <cfRule type="cellIs" dxfId="765" priority="66" operator="lessThan">
      <formula>0</formula>
    </cfRule>
  </conditionalFormatting>
  <conditionalFormatting sqref="Q10:Q11">
    <cfRule type="cellIs" dxfId="764" priority="64" operator="greaterThan">
      <formula>1</formula>
    </cfRule>
    <cfRule type="cellIs" dxfId="763" priority="65" operator="lessThan">
      <formula>0.8</formula>
    </cfRule>
  </conditionalFormatting>
  <conditionalFormatting sqref="O58">
    <cfRule type="cellIs" dxfId="762" priority="58" operator="greaterThan">
      <formula>0</formula>
    </cfRule>
  </conditionalFormatting>
  <conditionalFormatting sqref="P58">
    <cfRule type="cellIs" dxfId="761" priority="61" operator="lessThan">
      <formula>0</formula>
    </cfRule>
  </conditionalFormatting>
  <conditionalFormatting sqref="Q58">
    <cfRule type="cellIs" dxfId="760" priority="59" operator="greaterThan">
      <formula>1</formula>
    </cfRule>
    <cfRule type="cellIs" dxfId="759" priority="60" operator="lessThan">
      <formula>0.8</formula>
    </cfRule>
  </conditionalFormatting>
  <conditionalFormatting sqref="R58 AG58">
    <cfRule type="cellIs" dxfId="758" priority="62" operator="lessThan">
      <formula>0.8</formula>
    </cfRule>
  </conditionalFormatting>
  <conditionalFormatting sqref="R45 AG45">
    <cfRule type="cellIs" dxfId="757" priority="57" operator="lessThan">
      <formula>0.8</formula>
    </cfRule>
  </conditionalFormatting>
  <conditionalFormatting sqref="AG45">
    <cfRule type="cellIs" dxfId="756" priority="56" operator="lessThan">
      <formula>0.8</formula>
    </cfRule>
  </conditionalFormatting>
  <conditionalFormatting sqref="O64">
    <cfRule type="cellIs" dxfId="755" priority="51" operator="greaterThan">
      <formula>0</formula>
    </cfRule>
  </conditionalFormatting>
  <conditionalFormatting sqref="P64 AE64">
    <cfRule type="cellIs" dxfId="754" priority="54" operator="lessThan">
      <formula>0</formula>
    </cfRule>
  </conditionalFormatting>
  <conditionalFormatting sqref="Q64 AF64">
    <cfRule type="cellIs" dxfId="753" priority="52" operator="greaterThan">
      <formula>1</formula>
    </cfRule>
    <cfRule type="cellIs" dxfId="752" priority="53" operator="lessThan">
      <formula>0.8</formula>
    </cfRule>
  </conditionalFormatting>
  <conditionalFormatting sqref="R64 AG64">
    <cfRule type="cellIs" dxfId="751" priority="55" operator="lessThan">
      <formula>0.8</formula>
    </cfRule>
  </conditionalFormatting>
  <conditionalFormatting sqref="O73">
    <cfRule type="cellIs" dxfId="750" priority="46" operator="greaterThan">
      <formula>0</formula>
    </cfRule>
  </conditionalFormatting>
  <conditionalFormatting sqref="P73">
    <cfRule type="cellIs" dxfId="749" priority="49" operator="lessThan">
      <formula>0</formula>
    </cfRule>
  </conditionalFormatting>
  <conditionalFormatting sqref="Q73">
    <cfRule type="cellIs" dxfId="748" priority="47" operator="greaterThan">
      <formula>1</formula>
    </cfRule>
    <cfRule type="cellIs" dxfId="747" priority="48" operator="lessThan">
      <formula>0.8</formula>
    </cfRule>
  </conditionalFormatting>
  <conditionalFormatting sqref="R73">
    <cfRule type="cellIs" dxfId="746" priority="50" operator="lessThan">
      <formula>0.8</formula>
    </cfRule>
  </conditionalFormatting>
  <conditionalFormatting sqref="O17:O18">
    <cfRule type="cellIs" dxfId="745" priority="41" operator="greaterThan">
      <formula>0</formula>
    </cfRule>
  </conditionalFormatting>
  <conditionalFormatting sqref="P17:P18">
    <cfRule type="cellIs" dxfId="744" priority="44" operator="lessThan">
      <formula>0</formula>
    </cfRule>
  </conditionalFormatting>
  <conditionalFormatting sqref="Q17:Q18">
    <cfRule type="cellIs" dxfId="743" priority="42" operator="greaterThan">
      <formula>1</formula>
    </cfRule>
    <cfRule type="cellIs" dxfId="742" priority="43" operator="lessThan">
      <formula>0.8</formula>
    </cfRule>
  </conditionalFormatting>
  <conditionalFormatting sqref="R17:R18 AG17:AG18">
    <cfRule type="cellIs" dxfId="741" priority="45" operator="lessThan">
      <formula>0.8</formula>
    </cfRule>
  </conditionalFormatting>
  <conditionalFormatting sqref="O59">
    <cfRule type="cellIs" dxfId="740" priority="36" operator="greaterThan">
      <formula>0</formula>
    </cfRule>
  </conditionalFormatting>
  <conditionalFormatting sqref="P59">
    <cfRule type="cellIs" dxfId="739" priority="39" operator="lessThan">
      <formula>0</formula>
    </cfRule>
  </conditionalFormatting>
  <conditionalFormatting sqref="Q59">
    <cfRule type="cellIs" dxfId="738" priority="37" operator="greaterThan">
      <formula>1</formula>
    </cfRule>
    <cfRule type="cellIs" dxfId="737" priority="38" operator="lessThan">
      <formula>0.8</formula>
    </cfRule>
  </conditionalFormatting>
  <conditionalFormatting sqref="AG59 R59">
    <cfRule type="cellIs" dxfId="736" priority="40" operator="lessThan">
      <formula>0.8</formula>
    </cfRule>
  </conditionalFormatting>
  <conditionalFormatting sqref="O63">
    <cfRule type="cellIs" dxfId="735" priority="31" operator="greaterThan">
      <formula>0</formula>
    </cfRule>
  </conditionalFormatting>
  <conditionalFormatting sqref="P63 AE63">
    <cfRule type="cellIs" dxfId="734" priority="34" operator="lessThan">
      <formula>0</formula>
    </cfRule>
  </conditionalFormatting>
  <conditionalFormatting sqref="Q63 AF63">
    <cfRule type="cellIs" dxfId="733" priority="32" operator="greaterThan">
      <formula>1</formula>
    </cfRule>
    <cfRule type="cellIs" dxfId="732" priority="33" operator="lessThan">
      <formula>0.8</formula>
    </cfRule>
  </conditionalFormatting>
  <conditionalFormatting sqref="R63 AG63">
    <cfRule type="cellIs" dxfId="731" priority="35" operator="lessThan">
      <formula>0.8</formula>
    </cfRule>
  </conditionalFormatting>
  <conditionalFormatting sqref="O19">
    <cfRule type="cellIs" dxfId="730" priority="26" operator="greaterThan">
      <formula>0</formula>
    </cfRule>
  </conditionalFormatting>
  <conditionalFormatting sqref="P19">
    <cfRule type="cellIs" dxfId="729" priority="29" operator="lessThan">
      <formula>0</formula>
    </cfRule>
  </conditionalFormatting>
  <conditionalFormatting sqref="Q19">
    <cfRule type="cellIs" dxfId="728" priority="27" operator="greaterThan">
      <formula>1</formula>
    </cfRule>
    <cfRule type="cellIs" dxfId="727" priority="28" operator="lessThan">
      <formula>0.8</formula>
    </cfRule>
  </conditionalFormatting>
  <conditionalFormatting sqref="AG19 R19">
    <cfRule type="cellIs" dxfId="726" priority="30" operator="lessThan">
      <formula>0.8</formula>
    </cfRule>
  </conditionalFormatting>
  <conditionalFormatting sqref="P8">
    <cfRule type="cellIs" dxfId="725" priority="25" operator="lessThan">
      <formula>0</formula>
    </cfRule>
  </conditionalFormatting>
  <conditionalFormatting sqref="P20">
    <cfRule type="cellIs" dxfId="724" priority="24" operator="lessThan">
      <formula>0</formula>
    </cfRule>
  </conditionalFormatting>
  <conditionalFormatting sqref="P27">
    <cfRule type="cellIs" dxfId="723" priority="23" operator="lessThan">
      <formula>0</formula>
    </cfRule>
  </conditionalFormatting>
  <conditionalFormatting sqref="P36">
    <cfRule type="cellIs" dxfId="722" priority="22" operator="lessThan">
      <formula>0</formula>
    </cfRule>
  </conditionalFormatting>
  <conditionalFormatting sqref="P51">
    <cfRule type="cellIs" dxfId="721" priority="21" operator="lessThan">
      <formula>0</formula>
    </cfRule>
  </conditionalFormatting>
  <conditionalFormatting sqref="P61">
    <cfRule type="cellIs" dxfId="720" priority="20" operator="lessThan">
      <formula>0</formula>
    </cfRule>
  </conditionalFormatting>
  <conditionalFormatting sqref="P66">
    <cfRule type="cellIs" dxfId="719" priority="19" operator="lessThan">
      <formula>0</formula>
    </cfRule>
  </conditionalFormatting>
  <conditionalFormatting sqref="P76">
    <cfRule type="cellIs" dxfId="718" priority="18" operator="lessThan">
      <formula>0</formula>
    </cfRule>
  </conditionalFormatting>
  <conditionalFormatting sqref="R46 AG46">
    <cfRule type="cellIs" dxfId="717" priority="17" operator="lessThan">
      <formula>0.8</formula>
    </cfRule>
  </conditionalFormatting>
  <conditionalFormatting sqref="AG46">
    <cfRule type="cellIs" dxfId="716" priority="16" operator="lessThan">
      <formula>0.8</formula>
    </cfRule>
  </conditionalFormatting>
  <conditionalFormatting sqref="O74">
    <cfRule type="cellIs" dxfId="715" priority="11" operator="greaterThan">
      <formula>0</formula>
    </cfRule>
  </conditionalFormatting>
  <conditionalFormatting sqref="P74">
    <cfRule type="cellIs" dxfId="714" priority="14" operator="lessThan">
      <formula>0</formula>
    </cfRule>
  </conditionalFormatting>
  <conditionalFormatting sqref="Q74">
    <cfRule type="cellIs" dxfId="713" priority="12" operator="greaterThan">
      <formula>1</formula>
    </cfRule>
    <cfRule type="cellIs" dxfId="712" priority="13" operator="lessThan">
      <formula>0.8</formula>
    </cfRule>
  </conditionalFormatting>
  <conditionalFormatting sqref="R74">
    <cfRule type="cellIs" dxfId="711" priority="15" operator="lessThan">
      <formula>0.8</formula>
    </cfRule>
  </conditionalFormatting>
  <conditionalFormatting sqref="O75">
    <cfRule type="cellIs" dxfId="710" priority="6" operator="greaterThan">
      <formula>0</formula>
    </cfRule>
  </conditionalFormatting>
  <conditionalFormatting sqref="P75">
    <cfRule type="cellIs" dxfId="709" priority="9" operator="lessThan">
      <formula>0</formula>
    </cfRule>
  </conditionalFormatting>
  <conditionalFormatting sqref="Q75">
    <cfRule type="cellIs" dxfId="708" priority="7" operator="greaterThan">
      <formula>1</formula>
    </cfRule>
    <cfRule type="cellIs" dxfId="707" priority="8" operator="lessThan">
      <formula>0.8</formula>
    </cfRule>
  </conditionalFormatting>
  <conditionalFormatting sqref="R75">
    <cfRule type="cellIs" dxfId="706" priority="10" operator="lessThan">
      <formula>0.8</formula>
    </cfRule>
  </conditionalFormatting>
  <conditionalFormatting sqref="O60">
    <cfRule type="cellIs" dxfId="705" priority="1" operator="greaterThan">
      <formula>0</formula>
    </cfRule>
  </conditionalFormatting>
  <conditionalFormatting sqref="P60">
    <cfRule type="cellIs" dxfId="704" priority="4" operator="lessThan">
      <formula>0</formula>
    </cfRule>
  </conditionalFormatting>
  <conditionalFormatting sqref="Q60">
    <cfRule type="cellIs" dxfId="703" priority="2" operator="greaterThan">
      <formula>1</formula>
    </cfRule>
    <cfRule type="cellIs" dxfId="702" priority="3" operator="lessThan">
      <formula>0.8</formula>
    </cfRule>
  </conditionalFormatting>
  <conditionalFormatting sqref="AG60 R60">
    <cfRule type="cellIs" dxfId="701" priority="5" operator="lessThan">
      <formula>0.8</formula>
    </cfRule>
  </conditionalFormatting>
  <dataValidations count="1">
    <dataValidation type="list" allowBlank="1" showInputMessage="1" showErrorMessage="1" sqref="AB8 AA5:AB7 AA8:AA65 AB10:AB62 AA66:AB7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12" sqref="P12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773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774</v>
      </c>
      <c r="C3" s="596" t="str">
        <f>TEXT('0908 4度C'!A2,"yyyy.mm.ddaaaa")</f>
        <v>2026.09.08星期二</v>
      </c>
      <c r="D3" s="597"/>
      <c r="E3" s="39" t="s">
        <v>775</v>
      </c>
      <c r="F3" s="598">
        <f>'0908 4度C'!D1</f>
        <v>196153</v>
      </c>
      <c r="G3" s="599"/>
      <c r="H3" s="39" t="s">
        <v>776</v>
      </c>
      <c r="I3" s="600">
        <f>'0908 4度C'!F1</f>
        <v>6681298.9899999993</v>
      </c>
      <c r="J3" s="601"/>
      <c r="K3" s="40"/>
      <c r="L3" s="41"/>
      <c r="M3" s="42"/>
      <c r="N3" s="42"/>
    </row>
    <row r="4" spans="2:17" ht="28.5" customHeight="1">
      <c r="B4" s="602" t="s">
        <v>777</v>
      </c>
      <c r="C4" s="588" t="s">
        <v>778</v>
      </c>
      <c r="D4" s="589"/>
      <c r="E4" s="605" t="s">
        <v>779</v>
      </c>
      <c r="F4" s="606"/>
      <c r="G4" s="605" t="s">
        <v>780</v>
      </c>
      <c r="H4" s="606"/>
      <c r="I4" s="605" t="s">
        <v>781</v>
      </c>
      <c r="J4" s="606"/>
      <c r="K4" s="586" t="s">
        <v>782</v>
      </c>
      <c r="L4" s="587"/>
      <c r="M4" s="587" t="s">
        <v>783</v>
      </c>
      <c r="N4" s="587"/>
    </row>
    <row r="5" spans="2:17" ht="28.5" customHeight="1">
      <c r="B5" s="603"/>
      <c r="C5" s="588" t="s">
        <v>784</v>
      </c>
      <c r="D5" s="589"/>
      <c r="E5" s="588" t="s">
        <v>785</v>
      </c>
      <c r="F5" s="589"/>
      <c r="G5" s="590" t="s">
        <v>786</v>
      </c>
      <c r="H5" s="591"/>
      <c r="I5" s="592" t="s">
        <v>787</v>
      </c>
      <c r="J5" s="593"/>
      <c r="K5" s="43" t="s">
        <v>788</v>
      </c>
      <c r="L5" s="44" t="s">
        <v>789</v>
      </c>
      <c r="M5" s="43" t="s">
        <v>788</v>
      </c>
      <c r="N5" s="44" t="s">
        <v>790</v>
      </c>
    </row>
    <row r="6" spans="2:17" ht="28.5" customHeight="1">
      <c r="B6" s="603"/>
      <c r="C6" s="588" t="s">
        <v>56</v>
      </c>
      <c r="D6" s="589"/>
      <c r="E6" s="580">
        <f>AVERAGE(D13:M13)</f>
        <v>156.43933015612018</v>
      </c>
      <c r="F6" s="581">
        <f>AVERAGE(D31:O31,D13:J13)</f>
        <v>163.48773188576484</v>
      </c>
      <c r="G6" s="582">
        <f>AVERAGE(D13:J13)</f>
        <v>163.48773188576484</v>
      </c>
      <c r="H6" s="583"/>
      <c r="I6" s="582">
        <f>AVERAGE(K13:M13)</f>
        <v>139.99305945361587</v>
      </c>
      <c r="J6" s="583"/>
      <c r="K6" s="584">
        <f>'0908 4度C'!Y2</f>
        <v>0</v>
      </c>
      <c r="L6" s="569">
        <f>'0908 4度C'!Z2</f>
        <v>0</v>
      </c>
      <c r="M6" s="585">
        <f>'0908 4度C'!AC2</f>
        <v>66</v>
      </c>
      <c r="N6" s="569">
        <f>'0908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149.79942101522531</v>
      </c>
      <c r="F7" s="573">
        <f>AVERAGE(D32:O32,D14:J14)</f>
        <v>156.58766740283477</v>
      </c>
      <c r="G7" s="574">
        <f>AVERAGE(D14:J14)</f>
        <v>156.58766740283477</v>
      </c>
      <c r="H7" s="575"/>
      <c r="I7" s="574">
        <f>AVERAGE(K14:M14)</f>
        <v>133.96017944413657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0.95800948584429069</v>
      </c>
      <c r="F8" s="577">
        <f>AVERAGE(D15:J15,D33:O33)</f>
        <v>0.95847185288130954</v>
      </c>
      <c r="G8" s="578">
        <f>AVERAGE(D15:J15)</f>
        <v>0.95847185288130954</v>
      </c>
      <c r="H8" s="579"/>
      <c r="I8" s="578">
        <f>AVERAGE(K15:M15)</f>
        <v>0.95693062942458018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791</v>
      </c>
      <c r="N9" s="42"/>
      <c r="O9" s="42"/>
      <c r="P9" s="42"/>
      <c r="Q9" s="42"/>
    </row>
    <row r="10" spans="2:17" ht="30" customHeight="1">
      <c r="B10" s="552" t="s">
        <v>792</v>
      </c>
      <c r="C10" s="553"/>
      <c r="D10" s="554" t="s">
        <v>793</v>
      </c>
      <c r="E10" s="555"/>
      <c r="F10" s="555"/>
      <c r="G10" s="555"/>
      <c r="H10" s="555"/>
      <c r="I10" s="555"/>
      <c r="J10" s="556"/>
      <c r="K10" s="557" t="s">
        <v>794</v>
      </c>
      <c r="L10" s="558"/>
      <c r="M10" s="559"/>
      <c r="P10" s="48"/>
      <c r="Q10" s="48"/>
    </row>
    <row r="11" spans="2:17" ht="17.25" customHeight="1">
      <c r="B11" s="560" t="s">
        <v>223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110</v>
      </c>
      <c r="C13" s="55" t="s">
        <v>111</v>
      </c>
      <c r="D13" s="56">
        <f>SUMIFS('0908 4度C'!$K:$K,'0908 4度C'!$A:$A,"新豐6線",'0908 4度C'!$B:$B,"平均")</f>
        <v>129.03225806451613</v>
      </c>
      <c r="E13" s="57">
        <f>SUMIFS('0908 4度C'!$K:$K,'0908 4度C'!$A:$A,"新豐2線",'0908 4度C'!$B:$B,"平均")</f>
        <v>81.081081081081081</v>
      </c>
      <c r="F13" s="58">
        <f>SUMIFS('0908 4度C'!$K:$K,'0908 4度C'!$A:$A,"新豐5線",'0908 4度C'!$B:$B,"平均")</f>
        <v>109.02255639097744</v>
      </c>
      <c r="G13" s="58">
        <f>SUMIFS('0908 4度C'!$K:$K,'0908 4度C'!$A:$A,"新豐7線",'0908 4度C'!$B:$B,"平均")</f>
        <v>129.03225806451613</v>
      </c>
      <c r="H13" s="58">
        <f>SUMIFS('0908 4度C'!$K:$K,'0908 4度C'!$A:$A,"新豐3線",'0908 4度C'!$B:$B,"平均")</f>
        <v>300</v>
      </c>
      <c r="I13" s="58">
        <f>SUMIFS('0908 4度C'!$K:$K,'0908 4度C'!$A:$A,"新豐1線",'0908 4度C'!$B:$B,"平均")</f>
        <v>107.78443113772454</v>
      </c>
      <c r="J13" s="59">
        <f>SUMIFS('0908 4度C'!$K:$K,'0908 4度C'!$A:$A,"新豐10線",'0908 4度C'!$B:$B,"平均")</f>
        <v>288.46153846153845</v>
      </c>
      <c r="K13" s="60">
        <f>SUMIFS('0908 4度C'!$K:$K,'0908 4度C'!$A:$A,"新豐8線",'0908 4度C'!$B:$B,"平均")</f>
        <v>141.1764705882353</v>
      </c>
      <c r="L13" s="61">
        <f>SUMIFS('0908 4度C'!$K:$K,'0908 4度C'!$A:$A,"新豐9線",'0908 4度C'!$B:$B,"平均")</f>
        <v>135.51912568306011</v>
      </c>
      <c r="M13" s="59">
        <f>SUMIFS('0908 4度C'!$K:$K,'0908 4度C'!$A:$A,"新豐4線",'0908 4度C'!$B:$B,"平均")</f>
        <v>143.28358208955223</v>
      </c>
    </row>
    <row r="14" spans="2:17" ht="39.6" customHeight="1">
      <c r="B14" s="565"/>
      <c r="C14" s="62" t="s">
        <v>795</v>
      </c>
      <c r="D14" s="63">
        <f>SUMIFS('0908 4度C'!$N:$N,'0908 4度C'!$A:$A,"新豐6線",'0908 4度C'!$B:$B,"平均")</f>
        <v>123.72156046913975</v>
      </c>
      <c r="E14" s="64">
        <f>SUMIFS('0908 4度C'!$N:$N,'0908 4度C'!$A:$A,"新豐2線",'0908 4度C'!$B:$B,"平均")</f>
        <v>77.448262330089207</v>
      </c>
      <c r="F14" s="64">
        <f>SUMIFS('0908 4度C'!$N:$N,'0908 4度C'!$A:$A,"新豐5線",'0908 4度C'!$B:$B,"平均")</f>
        <v>104.76436165279698</v>
      </c>
      <c r="G14" s="64">
        <f>SUMIFS('0908 4度C'!$N:$N,'0908 4度C'!$A:$A,"新豐7線",'0908 4度C'!$B:$B,"平均")</f>
        <v>123.94857969535445</v>
      </c>
      <c r="H14" s="64">
        <f>SUMIFS('0908 4度C'!$N:$N,'0908 4度C'!$A:$A,"新豐3線",'0908 4度C'!$B:$B,"平均")</f>
        <v>286.51040477907094</v>
      </c>
      <c r="I14" s="64">
        <f>SUMIFS('0908 4度C'!$N:$N,'0908 4度C'!$A:$A,"新豐1線",'0908 4度C'!$B:$B,"平均")</f>
        <v>103.65022600602337</v>
      </c>
      <c r="J14" s="65">
        <f>SUMIFS('0908 4度C'!$N:$N,'0908 4度C'!$A:$A,"新豐10線",'0908 4度C'!$B:$B,"平均")</f>
        <v>276.07027688736872</v>
      </c>
      <c r="K14" s="66">
        <f>SUMIFS('0908 4度C'!$N:$N,'0908 4度C'!$A:$A,"新豐8線",'0908 4度C'!$B:$B,"平均")</f>
        <v>135.05869169778987</v>
      </c>
      <c r="L14" s="67">
        <f>SUMIFS('0908 4度C'!$N:$N,'0908 4度C'!$A:$A,"新豐9線",'0908 4度C'!$B:$B,"平均")</f>
        <v>129.87368395981926</v>
      </c>
      <c r="M14" s="65">
        <f>SUMIFS('0908 4度C'!$N:$N,'0908 4度C'!$A:$A,"新豐4線",'0908 4度C'!$B:$B,"平均")</f>
        <v>136.94816267480067</v>
      </c>
    </row>
    <row r="15" spans="2:17" ht="40.15" customHeight="1">
      <c r="B15" s="566"/>
      <c r="C15" s="68" t="s">
        <v>796</v>
      </c>
      <c r="D15" s="69">
        <f t="shared" ref="D15:M15" si="0">D14/D13</f>
        <v>0.95884209363583306</v>
      </c>
      <c r="E15" s="70">
        <f t="shared" si="0"/>
        <v>0.95519523540443352</v>
      </c>
      <c r="F15" s="70">
        <f t="shared" si="0"/>
        <v>0.96094207584979296</v>
      </c>
      <c r="G15" s="70">
        <f t="shared" si="0"/>
        <v>0.96060149263899697</v>
      </c>
      <c r="H15" s="70">
        <f t="shared" si="0"/>
        <v>0.95503468259690316</v>
      </c>
      <c r="I15" s="70">
        <f t="shared" si="0"/>
        <v>0.9616437635003281</v>
      </c>
      <c r="J15" s="71">
        <f t="shared" si="0"/>
        <v>0.95704362654287822</v>
      </c>
      <c r="K15" s="69">
        <f t="shared" si="0"/>
        <v>0.95666573285934486</v>
      </c>
      <c r="L15" s="70">
        <f t="shared" si="0"/>
        <v>0.95834210341318249</v>
      </c>
      <c r="M15" s="71">
        <f t="shared" si="0"/>
        <v>0.95578405200121308</v>
      </c>
    </row>
    <row r="16" spans="2:17" ht="17.25" customHeight="1">
      <c r="B16" s="567" t="s">
        <v>797</v>
      </c>
      <c r="C16" s="72" t="s">
        <v>798</v>
      </c>
      <c r="D16" s="73">
        <f>VLOOKUP("新豐6線",'0908 4度C'!$A:$T,19,0)</f>
        <v>0.70833333333333337</v>
      </c>
      <c r="E16" s="74">
        <f>VLOOKUP("新豐2線",'0908 4度C'!$A:$T,19,0)</f>
        <v>8.3333333333333329E-2</v>
      </c>
      <c r="F16" s="74">
        <f>VLOOKUP("新豐5線",'0908 4度C'!$A:$T,19,0)</f>
        <v>0.20833333333333334</v>
      </c>
      <c r="G16" s="74">
        <f>VLOOKUP("新豐7線",'0908 4度C'!$A:$T,19,0)</f>
        <v>0.20833333333333334</v>
      </c>
      <c r="H16" s="74">
        <f>VLOOKUP("新豐3線",'0908 4度C'!$A:$T,19,0)</f>
        <v>0.20833333333333334</v>
      </c>
      <c r="I16" s="74">
        <f>VLOOKUP("新豐1線",'0908 4度C'!$A:$T,19,0)</f>
        <v>0.20833333333333334</v>
      </c>
      <c r="J16" s="75">
        <f>VLOOKUP("新豐10線",'0908 4度C'!$A:$T,19,0)</f>
        <v>0.20833333333333334</v>
      </c>
      <c r="K16" s="76">
        <f>VLOOKUP("新豐8線",'0908 4度C'!$A:$T,19,0)</f>
        <v>8.3333333333333329E-2</v>
      </c>
      <c r="L16" s="77">
        <f>VLOOKUP("新豐9線",'0908 4度C'!$A:$T,19,0)</f>
        <v>8.3333333333333329E-2</v>
      </c>
      <c r="M16" s="78">
        <f>VLOOKUP("新豐4線",'0908 4度C'!$A:$T,19,0)</f>
        <v>8.3333333333333329E-2</v>
      </c>
    </row>
    <row r="17" spans="2:13" ht="17.25" customHeight="1">
      <c r="B17" s="568"/>
      <c r="C17" s="72" t="s">
        <v>799</v>
      </c>
      <c r="D17" s="76">
        <f>LOOKUP(2,1/(('0908 4度C'!$A:$A="新豐6線")*('0908 4度C'!$T:$T&lt;&gt;"")),'0908 4度C'!$T:$T)</f>
        <v>0.92430555555555549</v>
      </c>
      <c r="E17" s="74">
        <f>LOOKUP(2,1/(('0908 4度C'!$A:$A="新豐2線")*('0908 4度C'!$T:$T&lt;&gt;"")),'0908 4度C'!$T:$T)</f>
        <v>0.60763888888888884</v>
      </c>
      <c r="F17" s="74">
        <f>LOOKUP(2,1/(('0908 4度C'!$A:$A="新豐5線")*('0908 4度C'!$T:$T&lt;&gt;"")),'0908 4度C'!$T:$T)</f>
        <v>0.91527777777777775</v>
      </c>
      <c r="G17" s="74">
        <f>LOOKUP(2,1/(('0908 4度C'!$A:$A="新豐7線")*('0908 4度C'!$T:$T&lt;&gt;"")),'0908 4度C'!$T:$T)</f>
        <v>0.8534722222222223</v>
      </c>
      <c r="H17" s="74">
        <f>LOOKUP(2,1/(('0908 4度C'!$A:$A="新豐3線")*('0908 4度C'!$T:$T&lt;&gt;"")),'0908 4度C'!$T:$T)</f>
        <v>0.46458333333333335</v>
      </c>
      <c r="I17" s="74">
        <f>LOOKUP(2,1/(('0908 4度C'!$A:$A="新豐1線")*('0908 4度C'!$T:$T&lt;&gt;"")),'0908 4度C'!$T:$T)</f>
        <v>0.92569444444444449</v>
      </c>
      <c r="J17" s="75">
        <f>LOOKUP(2,1/(('0908 4度C'!$A:$A="新豐10線")*('0908 4度C'!$T:$T&lt;&gt;"")),'0908 4度C'!$T:$T)</f>
        <v>0.44374999999999998</v>
      </c>
      <c r="K17" s="73">
        <f>LOOKUP(2,1/(('0908 4度C'!$A:$A="新豐8線")*('0908 4度C'!$T:$T&lt;&gt;"")),'0908 4度C'!$T:$T)</f>
        <v>0.7618055555555554</v>
      </c>
      <c r="L17" s="74">
        <f>LOOKUP(2,1/(('0908 4度C'!$A:$A="新豐9線")*('0908 4度C'!$T:$T&lt;&gt;"")),'0908 4度C'!$T:$T)</f>
        <v>0.78055555555555534</v>
      </c>
      <c r="M17" s="75">
        <f>LOOKUP(2,1/(('0908 4度C'!$A:$A="新豐4線")*('0908 4度C'!$T:$T&lt;&gt;"")),'0908 4度C'!$T:$T)</f>
        <v>0.78194444444444433</v>
      </c>
    </row>
    <row r="18" spans="2:13" ht="17.25" customHeight="1">
      <c r="B18" s="546" t="s">
        <v>800</v>
      </c>
      <c r="C18" s="79" t="s">
        <v>801</v>
      </c>
      <c r="D18" s="80">
        <f>SUMIFS('0908 4度C'!$Y:$Y,'0908 4度C'!$A:$A,"新豐6線",'0908 4度C'!$B:$B,"平均")</f>
        <v>0</v>
      </c>
      <c r="E18" s="81">
        <f>SUMIFS('0908 4度C'!$Y:$Y,'0908 4度C'!$A:$A,"新豐2線",'0908 4度C'!$B:$B,"平均")</f>
        <v>0</v>
      </c>
      <c r="F18" s="81">
        <f>SUMIFS('0908 4度C'!$Y:$Y,'0908 4度C'!$A:$A,"新豐5線",'0908 4度C'!$B:$B,"平均")</f>
        <v>0</v>
      </c>
      <c r="G18" s="81">
        <f>SUMIFS('0908 4度C'!$Y:$Y,'0908 4度C'!$A:$A,"新豐7線",'0908 4度C'!$B:$B,"平均")</f>
        <v>0</v>
      </c>
      <c r="H18" s="81">
        <f>SUMIFS('0908 4度C'!$Y:$Y,'0908 4度C'!$A:$A,"新豐3線",'0908 4度C'!$B:$B,"平均")</f>
        <v>0</v>
      </c>
      <c r="I18" s="81">
        <f>SUMIFS('0908 4度C'!$Y:$Y,'0908 4度C'!$A:$A,"新豐1線",'0908 4度C'!$B:$B,"平均")</f>
        <v>0</v>
      </c>
      <c r="J18" s="82">
        <f>SUMIFS('0908 4度C'!$Y:$Y,'0908 4度C'!$A:$A,"新豐10線",'0908 4度C'!$B:$B,"平均")</f>
        <v>0</v>
      </c>
      <c r="K18" s="83">
        <f>SUMIFS('0908 4度C'!$Y:$Y,'0908 4度C'!$A:$A,"新豐8線",'0908 4度C'!$B:$B,"平均")</f>
        <v>0</v>
      </c>
      <c r="L18" s="81">
        <f>SUMIFS('0908 4度C'!$Y:$Y,'0908 4度C'!$A:$A,"新豐9線",'0908 4度C'!$B:$B,"平均")</f>
        <v>0</v>
      </c>
      <c r="M18" s="82">
        <f>SUMIFS('0908 4度C'!$Y:$Y,'0908 4度C'!$A:$A,"新豐4線",'0908 4度C'!$B:$B,"平均")</f>
        <v>0</v>
      </c>
    </row>
    <row r="19" spans="2:13" ht="17.25" customHeight="1">
      <c r="B19" s="547"/>
      <c r="C19" s="79" t="s">
        <v>802</v>
      </c>
      <c r="D19" s="80">
        <f>SUMIFS('0908 4度C'!$Z:$Z,'0908 4度C'!$A:$A,"新豐6線",'0908 4度C'!$B:$B,"平均")</f>
        <v>0</v>
      </c>
      <c r="E19" s="81">
        <f>SUMIFS('0908 4度C'!$Z:$Z,'0908 4度C'!$A:$A,"新豐2線",'0908 4度C'!$B:$B,"平均")</f>
        <v>0</v>
      </c>
      <c r="F19" s="81">
        <f>SUMIFS('0908 4度C'!$Z:$Z,'0908 4度C'!$A:$A,"新豐5線",'0908 4度C'!$B:$B,"平均")</f>
        <v>0</v>
      </c>
      <c r="G19" s="81">
        <f>SUMIFS('0908 4度C'!$Z:$Z,'0908 4度C'!$A:$A,"新豐7線",'0908 4度C'!$B:$B,"平均")</f>
        <v>0</v>
      </c>
      <c r="H19" s="81">
        <f>SUMIFS('0908 4度C'!$Z:$Z,'0908 4度C'!$A:$A,"新豐3線",'0908 4度C'!$B:$B,"平均")</f>
        <v>0</v>
      </c>
      <c r="I19" s="81">
        <f>SUMIFS('0908 4度C'!$Z:$Z,'0908 4度C'!$A:$A,"新豐1線",'0908 4度C'!$B:$B,"平均")</f>
        <v>0</v>
      </c>
      <c r="J19" s="82">
        <f>SUMIFS('0908 4度C'!$Z:$Z,'0908 4度C'!$A:$A,"新豐10線",'0908 4度C'!$B:$B,"平均")</f>
        <v>0</v>
      </c>
      <c r="K19" s="83">
        <f>SUMIFS('0908 4度C'!$Z:$Z,'0908 4度C'!$A:$A,"新豐8線",'0908 4度C'!$B:$B,"平均")</f>
        <v>0</v>
      </c>
      <c r="L19" s="81">
        <f>SUMIFS('0908 4度C'!$Z:$Z,'0908 4度C'!$A:$A,"新豐9線",'0908 4度C'!$B:$B,"平均")</f>
        <v>0</v>
      </c>
      <c r="M19" s="82">
        <f>SUMIFS('0908 4度C'!$Z:$Z,'0908 4度C'!$A:$A,"新豐4線",'0908 4度C'!$B:$B,"平均")</f>
        <v>0</v>
      </c>
    </row>
    <row r="20" spans="2:13" ht="17.25" customHeight="1">
      <c r="B20" s="546" t="s">
        <v>803</v>
      </c>
      <c r="C20" s="79" t="s">
        <v>804</v>
      </c>
      <c r="D20" s="80">
        <f>SUMIFS('0908 4度C'!$AC:$AC,'0908 4度C'!$A:$A,"新豐6線",'0908 4度C'!$B:$B,"平均")</f>
        <v>4</v>
      </c>
      <c r="E20" s="81">
        <f>SUMIFS('0908 4度C'!$AC:$AC,'0908 4度C'!$A:$A,"新豐2線",'0908 4度C'!$B:$B,"平均")</f>
        <v>4</v>
      </c>
      <c r="F20" s="81">
        <f>SUMIFS('0908 4度C'!$AC:$AC,'0908 4度C'!$A:$A,"新豐5線",'0908 4度C'!$B:$B,"平均")</f>
        <v>8</v>
      </c>
      <c r="G20" s="81">
        <f>SUMIFS('0908 4度C'!$AC:$AC,'0908 4度C'!$A:$A,"新豐7線",'0908 4度C'!$B:$B,"平均")</f>
        <v>6</v>
      </c>
      <c r="H20" s="81">
        <f>SUMIFS('0908 4度C'!$AC:$AC,'0908 4度C'!$A:$A,"新豐3線",'0908 4度C'!$B:$B,"平均")</f>
        <v>3</v>
      </c>
      <c r="I20" s="81">
        <f>SUMIFS('0908 4度C'!$AC:$AC,'0908 4度C'!$A:$A,"新豐1線",'0908 4度C'!$B:$B,"平均")</f>
        <v>9</v>
      </c>
      <c r="J20" s="82">
        <f>SUMIFS('0908 4度C'!$AC:$AC,'0908 4度C'!$A:$A,"新豐10線",'0908 4度C'!$B:$B,"平均")</f>
        <v>5</v>
      </c>
      <c r="K20" s="83">
        <f>SUMIFS('0908 4度C'!$AC:$AC,'0908 4度C'!$A:$A,"新豐8線",'0908 4度C'!$B:$B,"平均")</f>
        <v>8</v>
      </c>
      <c r="L20" s="81">
        <f>SUMIFS('0908 4度C'!$AC:$AC,'0908 4度C'!$A:$A,"新豐9線",'0908 4度C'!$B:$B,"平均")</f>
        <v>11</v>
      </c>
      <c r="M20" s="82">
        <f>SUMIFS('0908 4度C'!$AC:$AC,'0908 4度C'!$A:$A,"新豐4線",'0908 4度C'!$B:$B,"平均")</f>
        <v>8</v>
      </c>
    </row>
    <row r="21" spans="2:13" ht="17.25" customHeight="1">
      <c r="B21" s="547"/>
      <c r="C21" s="79" t="s">
        <v>805</v>
      </c>
      <c r="D21" s="80">
        <f>SUMIFS('0908 4度C'!$AD:$AD,'0908 4度C'!$A:$A,"新豐6線",'0908 4度C'!$B:$B,"平均")</f>
        <v>0</v>
      </c>
      <c r="E21" s="81">
        <f>SUMIFS('0908 4度C'!$AD:$AD,'0908 4度C'!$A:$A,"新豐2線",'0908 4度C'!$B:$B,"平均")</f>
        <v>0</v>
      </c>
      <c r="F21" s="81">
        <f>SUMIFS('0908 4度C'!$AD:$AD,'0908 4度C'!$A:$A,"新豐5線",'0908 4度C'!$B:$B,"平均")</f>
        <v>0</v>
      </c>
      <c r="G21" s="81">
        <f>SUMIFS('0908 4度C'!$AD:$AD,'0908 4度C'!$A:$A,"新豐7線",'0908 4度C'!$B:$B,"平均")</f>
        <v>0</v>
      </c>
      <c r="H21" s="81">
        <f>SUMIFS('0908 4度C'!$AD:$AD,'0908 4度C'!$A:$A,"新豐3線",'0908 4度C'!$B:$B,"平均")</f>
        <v>0</v>
      </c>
      <c r="I21" s="81">
        <f>SUMIFS('0908 4度C'!$AD:$AD,'0908 4度C'!$A:$A,"新豐1線",'0908 4度C'!$B:$B,"平均")</f>
        <v>0</v>
      </c>
      <c r="J21" s="82">
        <f>SUMIFS('0908 4度C'!$AD:$AD,'0908 4度C'!$A:$A,"新豐10線",'0908 4度C'!$B:$B,"平均")</f>
        <v>0</v>
      </c>
      <c r="K21" s="83">
        <f>SUMIFS('0908 4度C'!$AD:$AD,'0908 4度C'!$A:$A,"新豐8線",'0908 4度C'!$B:$B,"平均")</f>
        <v>0</v>
      </c>
      <c r="L21" s="81">
        <f>SUMIFS('0908 4度C'!$AD:$AD,'0908 4度C'!$A:$A,"新豐9線",'0908 4度C'!$B:$B,"平均")</f>
        <v>0</v>
      </c>
      <c r="M21" s="82">
        <f>SUMIFS('0908 4度C'!$AD:$AD,'0908 4度C'!$A:$A,"新豐4線",'0908 4度C'!$B:$B,"平均")</f>
        <v>0</v>
      </c>
    </row>
    <row r="22" spans="2:13" ht="17.25" customHeight="1">
      <c r="B22" s="548" t="s">
        <v>121</v>
      </c>
      <c r="C22" s="549"/>
      <c r="D22" s="84">
        <f>SUMIFS('0908 4度C'!$I:$I,'0908 4度C'!$A:$A,"新豐6線",'0908 4度C'!$B:$B,"平均")</f>
        <v>15.5</v>
      </c>
      <c r="E22" s="85">
        <f>SUMIFS('0908 4度C'!$I:$I,'0908 4度C'!$A:$A,"新豐2線",'0908 4度C'!$B:$B,"平均")</f>
        <v>18.5</v>
      </c>
      <c r="F22" s="85">
        <f>SUMIFS('0908 4度C'!$I:$I,'0908 4度C'!$A:$A,"新豐5線",'0908 4度C'!$B:$B,"平均")</f>
        <v>16.625</v>
      </c>
      <c r="G22" s="85">
        <f>SUMIFS('0908 4度C'!$I:$I,'0908 4度C'!$A:$A,"新豐7線",'0908 4度C'!$B:$B,"平均")</f>
        <v>15.5</v>
      </c>
      <c r="H22" s="85">
        <f>SUMIFS('0908 4度C'!$I:$I,'0908 4度C'!$A:$A,"新豐3線",'0908 4度C'!$B:$B,"平均")</f>
        <v>10</v>
      </c>
      <c r="I22" s="85">
        <f>SUMIFS('0908 4度C'!$I:$I,'0908 4度C'!$A:$A,"新豐1線",'0908 4度C'!$B:$B,"平均")</f>
        <v>18.555555555555557</v>
      </c>
      <c r="J22" s="86">
        <f>SUMIFS('0908 4度C'!$I:$I,'0908 4度C'!$A:$A,"新豐10線",'0908 4度C'!$B:$B,"平均")</f>
        <v>10.4</v>
      </c>
      <c r="K22" s="84">
        <f>SUMIFS('0908 4度C'!$I:$I,'0908 4度C'!$A:$A,"新豐8線",'0908 4度C'!$B:$B,"平均")</f>
        <v>17</v>
      </c>
      <c r="L22" s="85">
        <f>SUMIFS('0908 4度C'!$I:$I,'0908 4度C'!$A:$A,"新豐9線",'0908 4度C'!$B:$B,"平均")</f>
        <v>16.636363636363637</v>
      </c>
      <c r="M22" s="86">
        <f>SUMIFS('0908 4度C'!$I:$I,'0908 4度C'!$A:$A,"新豐4線",'0908 4度C'!$B:$B,"平均")</f>
        <v>16.75</v>
      </c>
    </row>
    <row r="23" spans="2:13" ht="17.25" customHeight="1">
      <c r="B23" s="548" t="s">
        <v>806</v>
      </c>
      <c r="C23" s="549"/>
      <c r="D23" s="87" t="s">
        <v>69</v>
      </c>
      <c r="E23" s="88" t="s">
        <v>70</v>
      </c>
      <c r="F23" s="88" t="s">
        <v>807</v>
      </c>
      <c r="G23" s="88" t="s">
        <v>807</v>
      </c>
      <c r="H23" s="88" t="s">
        <v>71</v>
      </c>
      <c r="I23" s="88" t="s">
        <v>69</v>
      </c>
      <c r="J23" s="89" t="s">
        <v>71</v>
      </c>
      <c r="K23" s="87" t="s">
        <v>808</v>
      </c>
      <c r="L23" s="88" t="s">
        <v>808</v>
      </c>
      <c r="M23" s="89" t="s">
        <v>809</v>
      </c>
    </row>
    <row r="24" spans="2:13" ht="17.25" customHeight="1">
      <c r="B24" s="548" t="s">
        <v>125</v>
      </c>
      <c r="C24" s="549"/>
      <c r="D24" s="87"/>
      <c r="E24" s="88"/>
      <c r="F24" s="88" t="s">
        <v>810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811</v>
      </c>
      <c r="C25" s="551"/>
      <c r="D25" s="90"/>
      <c r="E25" s="91" t="s">
        <v>812</v>
      </c>
      <c r="F25" s="544" t="s">
        <v>813</v>
      </c>
      <c r="G25" s="545"/>
      <c r="H25" s="91" t="s">
        <v>814</v>
      </c>
      <c r="I25" s="91" t="s">
        <v>815</v>
      </c>
      <c r="J25" s="92" t="s">
        <v>814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0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topLeftCell="G1" zoomScale="80" zoomScaleNormal="80" workbookViewId="0">
      <pane ySplit="4" topLeftCell="A5" activePane="bottomLeft" state="frozen"/>
      <selection activeCell="P12" sqref="P12"/>
      <selection pane="bottomLeft" activeCell="W12" sqref="W12:X1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816</v>
      </c>
      <c r="B1" s="1"/>
      <c r="C1" s="2" t="s">
        <v>817</v>
      </c>
      <c r="D1" s="3">
        <f>SUM(F5:F80)</f>
        <v>196153</v>
      </c>
      <c r="E1" s="206" t="s">
        <v>818</v>
      </c>
      <c r="F1" s="1">
        <f>SUM(G5:G80)</f>
        <v>6681298.9899999993</v>
      </c>
      <c r="G1" s="1" t="s">
        <v>819</v>
      </c>
      <c r="H1" s="4">
        <f>L9+L14+L55+L65+L23+L71+L39+L51+L30+L80</f>
        <v>155.4669191919192</v>
      </c>
      <c r="I1" s="660" t="s">
        <v>820</v>
      </c>
      <c r="J1" s="660"/>
      <c r="K1" s="660"/>
      <c r="L1" s="660" t="s">
        <v>821</v>
      </c>
      <c r="M1" s="660"/>
      <c r="N1" s="660"/>
      <c r="O1" s="660" t="s">
        <v>822</v>
      </c>
      <c r="P1" s="660"/>
      <c r="Q1" s="660"/>
      <c r="R1" s="660"/>
      <c r="S1" s="660" t="s">
        <v>823</v>
      </c>
      <c r="T1" s="660"/>
      <c r="U1" s="660"/>
      <c r="V1" s="660"/>
      <c r="W1" s="660"/>
      <c r="X1" s="660"/>
      <c r="Y1" s="5" t="s">
        <v>824</v>
      </c>
      <c r="Z1" s="6" t="s">
        <v>825</v>
      </c>
      <c r="AA1" s="661" t="s">
        <v>826</v>
      </c>
      <c r="AB1" s="661"/>
      <c r="AC1" s="7" t="s">
        <v>824</v>
      </c>
      <c r="AD1" s="6" t="s">
        <v>827</v>
      </c>
      <c r="AE1" s="660" t="s">
        <v>828</v>
      </c>
      <c r="AF1" s="662"/>
      <c r="AG1" s="662"/>
    </row>
    <row r="2" spans="1:33" ht="26.25" customHeight="1">
      <c r="A2" s="27">
        <v>46273</v>
      </c>
      <c r="B2" s="28" t="s">
        <v>146</v>
      </c>
      <c r="C2" s="2" t="s">
        <v>829</v>
      </c>
      <c r="D2" s="9">
        <f>AVERAGE(N9,N14,N55,N65,N23,N71,N30,N39,N51,N80)</f>
        <v>149.79942101522531</v>
      </c>
      <c r="E2" s="10" t="s">
        <v>0</v>
      </c>
      <c r="F2" s="11">
        <f>F1/D1</f>
        <v>34.061671195444369</v>
      </c>
      <c r="G2" s="1" t="s">
        <v>830</v>
      </c>
      <c r="H2" s="204">
        <f>COUNT(H5:H80)</f>
        <v>14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SUM(Y9+Y14+Y23+Y30+Y39+Y51+Y55+Y65+Y71+Y80)</f>
        <v>0</v>
      </c>
      <c r="Z2" s="12">
        <f>SUM(Z9+Z14+Z23+Z30+Z39+Z51+Z55+Z65+Z71+Z80)</f>
        <v>0</v>
      </c>
      <c r="AA2" s="661"/>
      <c r="AB2" s="661"/>
      <c r="AC2" s="12">
        <v>66</v>
      </c>
      <c r="AD2" s="12">
        <f>SUM(AD9+AD14+AD23+AD30+AD39+AD51+AD55+AD65+AD71+AD80)</f>
        <v>0</v>
      </c>
      <c r="AE2" s="662"/>
      <c r="AF2" s="662"/>
      <c r="AG2" s="662"/>
    </row>
    <row r="3" spans="1:33" ht="40.5" customHeight="1">
      <c r="A3" s="610" t="s">
        <v>831</v>
      </c>
      <c r="B3" s="610" t="s">
        <v>832</v>
      </c>
      <c r="C3" s="610" t="s">
        <v>833</v>
      </c>
      <c r="D3" s="610"/>
      <c r="E3" s="658" t="s">
        <v>834</v>
      </c>
      <c r="F3" s="610" t="s">
        <v>835</v>
      </c>
      <c r="G3" s="658" t="s">
        <v>836</v>
      </c>
      <c r="H3" s="651" t="s">
        <v>837</v>
      </c>
      <c r="I3" s="649" t="s">
        <v>838</v>
      </c>
      <c r="J3" s="646" t="s">
        <v>839</v>
      </c>
      <c r="K3" s="656" t="s">
        <v>829</v>
      </c>
      <c r="L3" s="649" t="s">
        <v>838</v>
      </c>
      <c r="M3" s="646" t="s">
        <v>839</v>
      </c>
      <c r="N3" s="656" t="s">
        <v>829</v>
      </c>
      <c r="O3" s="649" t="s">
        <v>838</v>
      </c>
      <c r="P3" s="656" t="s">
        <v>829</v>
      </c>
      <c r="Q3" s="647" t="s">
        <v>840</v>
      </c>
      <c r="R3" s="623" t="s">
        <v>841</v>
      </c>
      <c r="S3" s="657" t="s">
        <v>1</v>
      </c>
      <c r="T3" s="657"/>
      <c r="U3" s="651" t="s">
        <v>2</v>
      </c>
      <c r="V3" s="651" t="s">
        <v>842</v>
      </c>
      <c r="W3" s="610" t="s">
        <v>843</v>
      </c>
      <c r="X3" s="610"/>
      <c r="Y3" s="652" t="s">
        <v>844</v>
      </c>
      <c r="Z3" s="609"/>
      <c r="AA3" s="653" t="s">
        <v>845</v>
      </c>
      <c r="AB3" s="654"/>
      <c r="AC3" s="652" t="s">
        <v>846</v>
      </c>
      <c r="AD3" s="609"/>
      <c r="AE3" s="646" t="s">
        <v>839</v>
      </c>
      <c r="AF3" s="647" t="s">
        <v>840</v>
      </c>
      <c r="AG3" s="623" t="s">
        <v>847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210" t="s">
        <v>3</v>
      </c>
      <c r="T4" s="210" t="s">
        <v>4</v>
      </c>
      <c r="U4" s="651"/>
      <c r="V4" s="651"/>
      <c r="W4" s="206" t="s">
        <v>848</v>
      </c>
      <c r="X4" s="206" t="s">
        <v>849</v>
      </c>
      <c r="Y4" s="209" t="s">
        <v>850</v>
      </c>
      <c r="Z4" s="209" t="s">
        <v>851</v>
      </c>
      <c r="AA4" s="655"/>
      <c r="AB4" s="654"/>
      <c r="AC4" s="209" t="s">
        <v>852</v>
      </c>
      <c r="AD4" s="209" t="s">
        <v>853</v>
      </c>
      <c r="AE4" s="646"/>
      <c r="AF4" s="647"/>
      <c r="AG4" s="623"/>
    </row>
    <row r="5" spans="1:33">
      <c r="A5" s="648" t="s">
        <v>854</v>
      </c>
      <c r="B5" s="33" t="s">
        <v>6</v>
      </c>
      <c r="C5" s="650" t="s">
        <v>7</v>
      </c>
      <c r="D5" s="650"/>
      <c r="E5" s="33">
        <v>50.92</v>
      </c>
      <c r="F5" s="210">
        <v>2822</v>
      </c>
      <c r="G5" s="206">
        <f t="shared" ref="G5:G8" si="0">E5*F5</f>
        <v>143696.24</v>
      </c>
      <c r="H5" s="29" t="s">
        <v>5</v>
      </c>
      <c r="I5" s="205">
        <v>15</v>
      </c>
      <c r="J5" s="30">
        <v>2000</v>
      </c>
      <c r="K5" s="13">
        <f t="shared" ref="K5:K68" si="1">J5/I5</f>
        <v>133.33333333333334</v>
      </c>
      <c r="L5" s="205">
        <v>15</v>
      </c>
      <c r="M5" s="14">
        <f t="shared" ref="M5:M8" si="2">F5/V5*60</f>
        <v>1902.4719101123594</v>
      </c>
      <c r="N5" s="13">
        <f t="shared" ref="N5:N68" si="3">M5/L5</f>
        <v>126.8314606741573</v>
      </c>
      <c r="O5" s="15">
        <f t="shared" ref="O5:O68" si="4">L5-I5</f>
        <v>0</v>
      </c>
      <c r="P5" s="16">
        <f t="shared" ref="P5:P68" si="5">N5-K5</f>
        <v>-6.5018726591760441</v>
      </c>
      <c r="Q5" s="207">
        <f t="shared" ref="Q5:Q68" si="6">N5/K5</f>
        <v>0.95123595505617964</v>
      </c>
      <c r="R5" s="619">
        <f>Q9</f>
        <v>0.95884209363583306</v>
      </c>
      <c r="S5" s="31">
        <v>0.70833333333333337</v>
      </c>
      <c r="T5" s="31">
        <v>0.77013888888888893</v>
      </c>
      <c r="U5" s="206"/>
      <c r="V5" s="208">
        <f t="shared" ref="V5:V8" si="7">(T5-S5)*24*60</f>
        <v>89</v>
      </c>
      <c r="W5" s="17"/>
      <c r="X5" s="17"/>
      <c r="Y5" s="18"/>
      <c r="Z5" s="18"/>
      <c r="AA5" s="610"/>
      <c r="AB5" s="610"/>
      <c r="AC5" s="19">
        <v>4</v>
      </c>
      <c r="AD5" s="19"/>
      <c r="AE5" s="15">
        <f t="shared" ref="AE5:AE64" si="8">M5-J5</f>
        <v>-97.52808988764059</v>
      </c>
      <c r="AF5" s="207">
        <f t="shared" ref="AF5:AF68" si="9">M5/J5</f>
        <v>0.95123595505617975</v>
      </c>
      <c r="AG5" s="619">
        <f>AF9</f>
        <v>0.95884209363583306</v>
      </c>
    </row>
    <row r="6" spans="1:33">
      <c r="A6" s="649" t="s">
        <v>855</v>
      </c>
      <c r="B6" s="33" t="s">
        <v>6</v>
      </c>
      <c r="C6" s="650" t="s">
        <v>8</v>
      </c>
      <c r="D6" s="650"/>
      <c r="E6" s="33">
        <v>50.98</v>
      </c>
      <c r="F6" s="210">
        <v>1000</v>
      </c>
      <c r="G6" s="206">
        <f t="shared" si="0"/>
        <v>50980</v>
      </c>
      <c r="H6" s="29">
        <v>2</v>
      </c>
      <c r="I6" s="205">
        <v>16</v>
      </c>
      <c r="J6" s="30">
        <v>2000</v>
      </c>
      <c r="K6" s="13">
        <f t="shared" si="1"/>
        <v>125</v>
      </c>
      <c r="L6" s="205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207">
        <f t="shared" si="6"/>
        <v>0.96774193548386944</v>
      </c>
      <c r="R6" s="619"/>
      <c r="S6" s="31">
        <v>0.77361111111111114</v>
      </c>
      <c r="T6" s="31">
        <v>0.79513888888888895</v>
      </c>
      <c r="U6" s="206">
        <f t="shared" ref="U6:U8" si="10">IF(S6=TIME(17,0,0),"",(S6-T5)*24*60)</f>
        <v>4.9999999999999822</v>
      </c>
      <c r="V6" s="208">
        <f t="shared" si="7"/>
        <v>31.00000000000005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-64.516129032261006</v>
      </c>
      <c r="AF6" s="207">
        <f t="shared" si="9"/>
        <v>0.96774193548386944</v>
      </c>
      <c r="AG6" s="619"/>
    </row>
    <row r="7" spans="1:33">
      <c r="A7" s="649" t="s">
        <v>854</v>
      </c>
      <c r="B7" s="33" t="s">
        <v>6</v>
      </c>
      <c r="C7" s="641" t="s">
        <v>9</v>
      </c>
      <c r="D7" s="642"/>
      <c r="E7" s="33">
        <v>50.67</v>
      </c>
      <c r="F7" s="210">
        <v>1695</v>
      </c>
      <c r="G7" s="206">
        <f t="shared" si="0"/>
        <v>85885.650000000009</v>
      </c>
      <c r="H7" s="29" t="s">
        <v>5</v>
      </c>
      <c r="I7" s="205">
        <v>15</v>
      </c>
      <c r="J7" s="30">
        <v>2000</v>
      </c>
      <c r="K7" s="13">
        <f t="shared" si="1"/>
        <v>133.33333333333334</v>
      </c>
      <c r="L7" s="205">
        <v>15</v>
      </c>
      <c r="M7" s="14">
        <f t="shared" si="2"/>
        <v>1918.8679245283031</v>
      </c>
      <c r="N7" s="13">
        <f t="shared" si="3"/>
        <v>127.92452830188687</v>
      </c>
      <c r="O7" s="15">
        <f t="shared" si="4"/>
        <v>0</v>
      </c>
      <c r="P7" s="16">
        <f t="shared" si="5"/>
        <v>-5.4088050314464766</v>
      </c>
      <c r="Q7" s="207">
        <f t="shared" si="6"/>
        <v>0.95943396226415145</v>
      </c>
      <c r="R7" s="619"/>
      <c r="S7" s="31">
        <v>0.79861111111111116</v>
      </c>
      <c r="T7" s="31">
        <v>0.8354166666666667</v>
      </c>
      <c r="U7" s="206">
        <f t="shared" si="10"/>
        <v>4.9999999999999822</v>
      </c>
      <c r="V7" s="208">
        <f t="shared" si="7"/>
        <v>52.999999999999972</v>
      </c>
      <c r="W7" s="17">
        <f>T7</f>
        <v>0.8354166666666667</v>
      </c>
      <c r="X7" s="17">
        <f>S8</f>
        <v>0.87638888888888888</v>
      </c>
      <c r="Y7" s="20"/>
      <c r="Z7" s="20"/>
      <c r="AA7" s="614"/>
      <c r="AB7" s="615"/>
      <c r="AC7" s="21"/>
      <c r="AD7" s="21"/>
      <c r="AE7" s="15">
        <f t="shared" si="8"/>
        <v>-81.132075471696908</v>
      </c>
      <c r="AF7" s="207">
        <f t="shared" si="9"/>
        <v>0.95943396226415156</v>
      </c>
      <c r="AG7" s="619"/>
    </row>
    <row r="8" spans="1:33">
      <c r="A8" s="649" t="s">
        <v>854</v>
      </c>
      <c r="B8" s="33" t="s">
        <v>6</v>
      </c>
      <c r="C8" s="641" t="s">
        <v>8</v>
      </c>
      <c r="D8" s="642"/>
      <c r="E8" s="33">
        <v>50.98</v>
      </c>
      <c r="F8" s="210">
        <v>2201</v>
      </c>
      <c r="G8" s="206">
        <f t="shared" si="0"/>
        <v>112206.98</v>
      </c>
      <c r="H8" s="29" t="s">
        <v>5</v>
      </c>
      <c r="I8" s="205">
        <v>16</v>
      </c>
      <c r="J8" s="30">
        <v>2000</v>
      </c>
      <c r="K8" s="13">
        <f t="shared" si="1"/>
        <v>125</v>
      </c>
      <c r="L8" s="205">
        <v>16</v>
      </c>
      <c r="M8" s="14">
        <f t="shared" si="2"/>
        <v>1913.913043478263</v>
      </c>
      <c r="N8" s="13">
        <f t="shared" si="3"/>
        <v>119.61956521739144</v>
      </c>
      <c r="O8" s="15">
        <f t="shared" si="4"/>
        <v>0</v>
      </c>
      <c r="P8" s="16">
        <f t="shared" si="5"/>
        <v>-5.3804347826085603</v>
      </c>
      <c r="Q8" s="207">
        <f t="shared" si="6"/>
        <v>0.95695652173913148</v>
      </c>
      <c r="R8" s="619"/>
      <c r="S8" s="31">
        <v>0.87638888888888888</v>
      </c>
      <c r="T8" s="31">
        <v>0.92430555555555549</v>
      </c>
      <c r="U8" s="206">
        <f t="shared" si="10"/>
        <v>58.99999999999995</v>
      </c>
      <c r="V8" s="208">
        <f t="shared" si="7"/>
        <v>68.999999999999915</v>
      </c>
      <c r="W8" s="22"/>
      <c r="X8" s="22"/>
      <c r="Y8" s="94"/>
      <c r="Z8" s="94"/>
      <c r="AA8" s="614"/>
      <c r="AB8" s="615"/>
      <c r="AC8" s="21"/>
      <c r="AD8" s="21"/>
      <c r="AE8" s="15">
        <f t="shared" si="8"/>
        <v>-86.086956521736965</v>
      </c>
      <c r="AF8" s="207">
        <f t="shared" si="9"/>
        <v>0.95695652173913148</v>
      </c>
      <c r="AG8" s="619"/>
    </row>
    <row r="9" spans="1:33">
      <c r="A9" s="649" t="s">
        <v>854</v>
      </c>
      <c r="B9" s="33" t="s">
        <v>856</v>
      </c>
      <c r="C9" s="620"/>
      <c r="D9" s="620"/>
      <c r="E9" s="213"/>
      <c r="F9" s="34"/>
      <c r="G9" s="13"/>
      <c r="H9" s="210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1917.6841872716661</v>
      </c>
      <c r="N9" s="13">
        <f t="shared" si="3"/>
        <v>123.72156046913975</v>
      </c>
      <c r="O9" s="15">
        <f t="shared" si="4"/>
        <v>0</v>
      </c>
      <c r="P9" s="16">
        <f t="shared" si="5"/>
        <v>-5.3106975953763822</v>
      </c>
      <c r="Q9" s="207">
        <f t="shared" si="6"/>
        <v>0.95884209363583306</v>
      </c>
      <c r="R9" s="619"/>
      <c r="S9" s="31"/>
      <c r="T9" s="31"/>
      <c r="U9" s="206"/>
      <c r="V9" s="208"/>
      <c r="W9" s="13"/>
      <c r="X9" s="13"/>
      <c r="Y9" s="24">
        <f>SUM(Y5:Y8)</f>
        <v>0</v>
      </c>
      <c r="Z9" s="24">
        <f>SUM(Z5:Z8)</f>
        <v>0</v>
      </c>
      <c r="AA9" s="609"/>
      <c r="AB9" s="609"/>
      <c r="AC9" s="24">
        <v>4</v>
      </c>
      <c r="AD9" s="24">
        <f>SUM(AD5:AD8)</f>
        <v>0</v>
      </c>
      <c r="AE9" s="15">
        <f t="shared" si="8"/>
        <v>-82.315812728333867</v>
      </c>
      <c r="AF9" s="207">
        <f t="shared" si="9"/>
        <v>0.95884209363583306</v>
      </c>
      <c r="AG9" s="619"/>
    </row>
    <row r="10" spans="1:33" ht="15.75" customHeight="1">
      <c r="A10" s="645" t="s">
        <v>857</v>
      </c>
      <c r="B10" s="33" t="s">
        <v>10</v>
      </c>
      <c r="C10" s="641" t="s">
        <v>14</v>
      </c>
      <c r="D10" s="642"/>
      <c r="E10" s="33">
        <v>39.619999999999997</v>
      </c>
      <c r="F10" s="210">
        <v>3000</v>
      </c>
      <c r="G10" s="206">
        <f t="shared" ref="G10:G13" si="11">E10*F10</f>
        <v>118859.99999999999</v>
      </c>
      <c r="H10" s="29">
        <v>2</v>
      </c>
      <c r="I10" s="205">
        <v>19</v>
      </c>
      <c r="J10" s="30">
        <v>1500</v>
      </c>
      <c r="K10" s="13">
        <f t="shared" si="1"/>
        <v>78.94736842105263</v>
      </c>
      <c r="L10" s="205">
        <v>19</v>
      </c>
      <c r="M10" s="14">
        <f t="shared" ref="M10:M13" si="12">F10/V10*60</f>
        <v>1439.9999999999998</v>
      </c>
      <c r="N10" s="13">
        <f t="shared" si="3"/>
        <v>75.78947368421052</v>
      </c>
      <c r="O10" s="15">
        <f t="shared" si="4"/>
        <v>0</v>
      </c>
      <c r="P10" s="16">
        <f t="shared" si="5"/>
        <v>-3.1578947368421098</v>
      </c>
      <c r="Q10" s="207">
        <f t="shared" si="6"/>
        <v>0.96</v>
      </c>
      <c r="R10" s="619">
        <f>Q14</f>
        <v>0.95519523540443352</v>
      </c>
      <c r="S10" s="31">
        <v>8.3333333333333329E-2</v>
      </c>
      <c r="T10" s="31">
        <v>0.1701388888888889</v>
      </c>
      <c r="U10" s="206"/>
      <c r="V10" s="208">
        <f t="shared" ref="V10:V13" si="13">(T10-S10)*24*60</f>
        <v>125.00000000000001</v>
      </c>
      <c r="W10" s="17">
        <f>T10</f>
        <v>0.1701388888888889</v>
      </c>
      <c r="X10" s="17">
        <f>S11</f>
        <v>0.19166666666666668</v>
      </c>
      <c r="Y10" s="17"/>
      <c r="Z10" s="17"/>
      <c r="AA10" s="610"/>
      <c r="AB10" s="610"/>
      <c r="AC10" s="19">
        <v>4</v>
      </c>
      <c r="AD10" s="19"/>
      <c r="AE10" s="15">
        <f t="shared" si="8"/>
        <v>-60.000000000000227</v>
      </c>
      <c r="AF10" s="207">
        <f t="shared" si="9"/>
        <v>0.95999999999999985</v>
      </c>
      <c r="AG10" s="619">
        <f>AF14</f>
        <v>0.95519523540443363</v>
      </c>
    </row>
    <row r="11" spans="1:33" ht="15.75" customHeight="1">
      <c r="A11" s="645" t="s">
        <v>857</v>
      </c>
      <c r="B11" s="33" t="s">
        <v>10</v>
      </c>
      <c r="C11" s="641" t="s">
        <v>11</v>
      </c>
      <c r="D11" s="642"/>
      <c r="E11" s="33">
        <v>39.799999999999997</v>
      </c>
      <c r="F11" s="210">
        <v>7211</v>
      </c>
      <c r="G11" s="206">
        <f t="shared" si="11"/>
        <v>286997.8</v>
      </c>
      <c r="H11" s="29" t="s">
        <v>5</v>
      </c>
      <c r="I11" s="205">
        <v>17</v>
      </c>
      <c r="J11" s="30">
        <v>1500</v>
      </c>
      <c r="K11" s="13">
        <f t="shared" si="1"/>
        <v>88.235294117647058</v>
      </c>
      <c r="L11" s="205">
        <v>17</v>
      </c>
      <c r="M11" s="14">
        <f t="shared" si="12"/>
        <v>1427.920792079208</v>
      </c>
      <c r="N11" s="13">
        <f t="shared" si="3"/>
        <v>83.995340710541655</v>
      </c>
      <c r="O11" s="15">
        <f t="shared" si="4"/>
        <v>0</v>
      </c>
      <c r="P11" s="16">
        <f t="shared" si="5"/>
        <v>-4.2399534071054035</v>
      </c>
      <c r="Q11" s="207">
        <f t="shared" si="6"/>
        <v>0.95194719471947209</v>
      </c>
      <c r="R11" s="619"/>
      <c r="S11" s="31">
        <v>0.19166666666666668</v>
      </c>
      <c r="T11" s="31">
        <v>0.40208333333333335</v>
      </c>
      <c r="U11" s="206">
        <f t="shared" ref="U11:U13" si="14">IF(S11=TIME(17,0,0),"",(S11-T10)*24*60)</f>
        <v>31.000000000000011</v>
      </c>
      <c r="V11" s="208">
        <f t="shared" si="13"/>
        <v>303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-72.079207920791987</v>
      </c>
      <c r="AF11" s="207">
        <f t="shared" si="9"/>
        <v>0.95194719471947198</v>
      </c>
      <c r="AG11" s="619"/>
    </row>
    <row r="12" spans="1:33" ht="15.75" customHeight="1">
      <c r="A12" s="645" t="s">
        <v>857</v>
      </c>
      <c r="B12" s="33" t="s">
        <v>10</v>
      </c>
      <c r="C12" s="641" t="s">
        <v>13</v>
      </c>
      <c r="D12" s="642"/>
      <c r="E12" s="33">
        <v>39.520000000000003</v>
      </c>
      <c r="F12" s="210">
        <v>2212</v>
      </c>
      <c r="G12" s="206">
        <f t="shared" si="11"/>
        <v>87418.240000000005</v>
      </c>
      <c r="H12" s="29" t="s">
        <v>5</v>
      </c>
      <c r="I12" s="205">
        <v>19</v>
      </c>
      <c r="J12" s="30">
        <v>1500</v>
      </c>
      <c r="K12" s="13">
        <f t="shared" si="1"/>
        <v>78.94736842105263</v>
      </c>
      <c r="L12" s="205">
        <v>19</v>
      </c>
      <c r="M12" s="14">
        <f t="shared" si="12"/>
        <v>1427.0967741935485</v>
      </c>
      <c r="N12" s="13">
        <f t="shared" si="3"/>
        <v>75.11035653650255</v>
      </c>
      <c r="O12" s="15">
        <f t="shared" si="4"/>
        <v>0</v>
      </c>
      <c r="P12" s="16">
        <f t="shared" si="5"/>
        <v>-3.8370118845500798</v>
      </c>
      <c r="Q12" s="207">
        <f t="shared" si="6"/>
        <v>0.95139784946236561</v>
      </c>
      <c r="R12" s="619"/>
      <c r="S12" s="31">
        <v>0.40763888888888888</v>
      </c>
      <c r="T12" s="31">
        <v>0.47222222222222221</v>
      </c>
      <c r="U12" s="206">
        <f t="shared" si="14"/>
        <v>7.9999999999999716</v>
      </c>
      <c r="V12" s="208">
        <f t="shared" si="13"/>
        <v>92.999999999999986</v>
      </c>
      <c r="W12" s="17">
        <f>T12</f>
        <v>0.47222222222222221</v>
      </c>
      <c r="X12" s="17">
        <f>S13</f>
        <v>0.55347222222222214</v>
      </c>
      <c r="Y12" s="17"/>
      <c r="Z12" s="17"/>
      <c r="AA12" s="610"/>
      <c r="AB12" s="610"/>
      <c r="AC12" s="19"/>
      <c r="AD12" s="19"/>
      <c r="AE12" s="15">
        <f t="shared" si="8"/>
        <v>-72.903225806451474</v>
      </c>
      <c r="AF12" s="207">
        <f t="shared" si="9"/>
        <v>0.95139784946236572</v>
      </c>
      <c r="AG12" s="619"/>
    </row>
    <row r="13" spans="1:33" ht="15.75" customHeight="1">
      <c r="A13" s="645" t="s">
        <v>857</v>
      </c>
      <c r="B13" s="33" t="s">
        <v>10</v>
      </c>
      <c r="C13" s="641" t="s">
        <v>14</v>
      </c>
      <c r="D13" s="642"/>
      <c r="E13" s="33">
        <v>39.619999999999997</v>
      </c>
      <c r="F13" s="210">
        <v>1867</v>
      </c>
      <c r="G13" s="206">
        <f t="shared" si="11"/>
        <v>73970.539999999994</v>
      </c>
      <c r="H13" s="29" t="s">
        <v>5</v>
      </c>
      <c r="I13" s="205">
        <v>19</v>
      </c>
      <c r="J13" s="30">
        <v>1500</v>
      </c>
      <c r="K13" s="13">
        <f t="shared" si="1"/>
        <v>78.94736842105263</v>
      </c>
      <c r="L13" s="205">
        <v>19</v>
      </c>
      <c r="M13" s="14">
        <f t="shared" si="12"/>
        <v>1436.1538461538455</v>
      </c>
      <c r="N13" s="13">
        <f t="shared" si="3"/>
        <v>75.587044534412925</v>
      </c>
      <c r="O13" s="15">
        <f t="shared" si="4"/>
        <v>0</v>
      </c>
      <c r="P13" s="16">
        <f t="shared" si="5"/>
        <v>-3.3603238866397049</v>
      </c>
      <c r="Q13" s="207">
        <f t="shared" si="6"/>
        <v>0.95743589743589708</v>
      </c>
      <c r="R13" s="619"/>
      <c r="S13" s="31">
        <v>0.55347222222222214</v>
      </c>
      <c r="T13" s="31">
        <v>0.60763888888888884</v>
      </c>
      <c r="U13" s="206">
        <f t="shared" si="14"/>
        <v>116.9999999999999</v>
      </c>
      <c r="V13" s="208">
        <f t="shared" si="13"/>
        <v>78.000000000000043</v>
      </c>
      <c r="W13" s="17"/>
      <c r="X13" s="17"/>
      <c r="Y13" s="17"/>
      <c r="Z13" s="17"/>
      <c r="AA13" s="614"/>
      <c r="AB13" s="615"/>
      <c r="AC13" s="19"/>
      <c r="AD13" s="19"/>
      <c r="AE13" s="15">
        <f t="shared" si="8"/>
        <v>-63.846153846154493</v>
      </c>
      <c r="AF13" s="207">
        <f t="shared" si="9"/>
        <v>0.95743589743589697</v>
      </c>
      <c r="AG13" s="619"/>
    </row>
    <row r="14" spans="1:33" ht="16.5" customHeight="1">
      <c r="A14" s="645" t="s">
        <v>857</v>
      </c>
      <c r="B14" s="33" t="s">
        <v>856</v>
      </c>
      <c r="C14" s="620"/>
      <c r="D14" s="620"/>
      <c r="E14" s="213"/>
      <c r="F14" s="30"/>
      <c r="G14" s="14"/>
      <c r="H14" s="210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1432.7928531066505</v>
      </c>
      <c r="N14" s="13">
        <f t="shared" si="3"/>
        <v>77.448262330089207</v>
      </c>
      <c r="O14" s="15">
        <f t="shared" si="4"/>
        <v>0</v>
      </c>
      <c r="P14" s="16">
        <f t="shared" si="5"/>
        <v>-3.6328187509918735</v>
      </c>
      <c r="Q14" s="207">
        <f t="shared" si="6"/>
        <v>0.95519523540443352</v>
      </c>
      <c r="R14" s="619"/>
      <c r="S14" s="31"/>
      <c r="T14" s="31"/>
      <c r="U14" s="13"/>
      <c r="V14" s="208"/>
      <c r="W14" s="13"/>
      <c r="X14" s="13"/>
      <c r="Y14" s="24">
        <f>SUM(Y10:Y13)</f>
        <v>0</v>
      </c>
      <c r="Z14" s="24">
        <f>SUM(Z10:Z13)</f>
        <v>0</v>
      </c>
      <c r="AA14" s="609"/>
      <c r="AB14" s="609"/>
      <c r="AC14" s="24">
        <v>4</v>
      </c>
      <c r="AD14" s="24">
        <f>SUM(AD10:AD13)</f>
        <v>0</v>
      </c>
      <c r="AE14" s="15">
        <f t="shared" si="8"/>
        <v>-67.207146893349545</v>
      </c>
      <c r="AF14" s="207">
        <f t="shared" si="9"/>
        <v>0.95519523540443363</v>
      </c>
      <c r="AG14" s="619"/>
    </row>
    <row r="15" spans="1:33" ht="16.5" customHeight="1">
      <c r="A15" s="643" t="s">
        <v>858</v>
      </c>
      <c r="B15" s="210" t="s">
        <v>15</v>
      </c>
      <c r="C15" s="635" t="s">
        <v>16</v>
      </c>
      <c r="D15" s="635"/>
      <c r="E15" s="33">
        <v>31.11</v>
      </c>
      <c r="F15" s="210">
        <v>2631</v>
      </c>
      <c r="G15" s="206">
        <f t="shared" ref="G15:G22" si="15">E15*F15</f>
        <v>81850.41</v>
      </c>
      <c r="H15" s="29" t="s">
        <v>5</v>
      </c>
      <c r="I15" s="205">
        <v>14</v>
      </c>
      <c r="J15" s="30">
        <v>2000</v>
      </c>
      <c r="K15" s="13">
        <f t="shared" si="1"/>
        <v>142.85714285714286</v>
      </c>
      <c r="L15" s="205">
        <v>14</v>
      </c>
      <c r="M15" s="14">
        <f t="shared" ref="M15:M22" si="16">F15/V15*60</f>
        <v>1925.1219512195125</v>
      </c>
      <c r="N15" s="13">
        <f t="shared" si="3"/>
        <v>137.50871080139376</v>
      </c>
      <c r="O15" s="15">
        <f t="shared" si="4"/>
        <v>0</v>
      </c>
      <c r="P15" s="16">
        <f t="shared" si="5"/>
        <v>-5.3484320557491003</v>
      </c>
      <c r="Q15" s="207">
        <f t="shared" si="6"/>
        <v>0.96256097560975629</v>
      </c>
      <c r="R15" s="619">
        <f>Q23</f>
        <v>0.96094207584979296</v>
      </c>
      <c r="S15" s="31">
        <v>0.20833333333333334</v>
      </c>
      <c r="T15" s="31">
        <v>0.26527777777777778</v>
      </c>
      <c r="U15" s="206"/>
      <c r="V15" s="208">
        <f t="shared" ref="V15:V22" si="17">(T15-S15)*24*60</f>
        <v>81.999999999999986</v>
      </c>
      <c r="W15" s="17"/>
      <c r="X15" s="17"/>
      <c r="Y15" s="22"/>
      <c r="Z15" s="22"/>
      <c r="AA15" s="610"/>
      <c r="AB15" s="610"/>
      <c r="AC15" s="19">
        <v>8</v>
      </c>
      <c r="AD15" s="19"/>
      <c r="AE15" s="15">
        <f t="shared" si="8"/>
        <v>-74.878048780487461</v>
      </c>
      <c r="AF15" s="207">
        <f t="shared" si="9"/>
        <v>0.96256097560975629</v>
      </c>
      <c r="AG15" s="619">
        <f>AF23</f>
        <v>0.96094207584979296</v>
      </c>
    </row>
    <row r="16" spans="1:33" ht="16.5" customHeight="1">
      <c r="A16" s="644" t="s">
        <v>185</v>
      </c>
      <c r="B16" s="210" t="s">
        <v>17</v>
      </c>
      <c r="C16" s="635" t="s">
        <v>18</v>
      </c>
      <c r="D16" s="635"/>
      <c r="E16" s="33">
        <v>41</v>
      </c>
      <c r="F16" s="210">
        <v>1817</v>
      </c>
      <c r="G16" s="206">
        <f t="shared" si="15"/>
        <v>74497</v>
      </c>
      <c r="H16" s="29" t="s">
        <v>5</v>
      </c>
      <c r="I16" s="205">
        <v>26</v>
      </c>
      <c r="J16" s="30">
        <v>1500</v>
      </c>
      <c r="K16" s="13">
        <f t="shared" si="1"/>
        <v>57.692307692307693</v>
      </c>
      <c r="L16" s="205">
        <v>26</v>
      </c>
      <c r="M16" s="14">
        <f t="shared" si="16"/>
        <v>1434.4736842105267</v>
      </c>
      <c r="N16" s="13">
        <f t="shared" si="3"/>
        <v>55.172064777327947</v>
      </c>
      <c r="O16" s="15">
        <f t="shared" si="4"/>
        <v>0</v>
      </c>
      <c r="P16" s="16">
        <f t="shared" si="5"/>
        <v>-2.5202429149797467</v>
      </c>
      <c r="Q16" s="207">
        <f t="shared" si="6"/>
        <v>0.95631578947368434</v>
      </c>
      <c r="R16" s="619"/>
      <c r="S16" s="31">
        <v>0.26874999999999999</v>
      </c>
      <c r="T16" s="31">
        <v>0.32152777777777775</v>
      </c>
      <c r="U16" s="206">
        <f t="shared" ref="U16:U22" si="18">IF(S16=TIME(17,0,0),"",(S16-T15)*24*60)</f>
        <v>4.9999999999999822</v>
      </c>
      <c r="V16" s="208">
        <f t="shared" si="17"/>
        <v>75.999999999999972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-65.526315789473301</v>
      </c>
      <c r="AF16" s="207">
        <f t="shared" si="9"/>
        <v>0.95631578947368445</v>
      </c>
      <c r="AG16" s="619"/>
    </row>
    <row r="17" spans="1:33" ht="16.5" customHeight="1">
      <c r="A17" s="644" t="s">
        <v>185</v>
      </c>
      <c r="B17" s="210" t="s">
        <v>15</v>
      </c>
      <c r="C17" s="635" t="s">
        <v>76</v>
      </c>
      <c r="D17" s="635"/>
      <c r="E17" s="33">
        <v>68.88</v>
      </c>
      <c r="F17" s="210">
        <v>1412</v>
      </c>
      <c r="G17" s="206">
        <f t="shared" si="15"/>
        <v>97258.559999999998</v>
      </c>
      <c r="H17" s="29" t="s">
        <v>5</v>
      </c>
      <c r="I17" s="205">
        <v>16</v>
      </c>
      <c r="J17" s="30">
        <v>2000</v>
      </c>
      <c r="K17" s="13">
        <f t="shared" si="1"/>
        <v>125</v>
      </c>
      <c r="L17" s="205">
        <v>16</v>
      </c>
      <c r="M17" s="14">
        <f t="shared" si="16"/>
        <v>1925.4545454545455</v>
      </c>
      <c r="N17" s="13">
        <f t="shared" si="3"/>
        <v>120.34090909090909</v>
      </c>
      <c r="O17" s="15">
        <f t="shared" si="4"/>
        <v>0</v>
      </c>
      <c r="P17" s="16">
        <f t="shared" si="5"/>
        <v>-4.6590909090909065</v>
      </c>
      <c r="Q17" s="207">
        <f t="shared" si="6"/>
        <v>0.96272727272727276</v>
      </c>
      <c r="R17" s="619"/>
      <c r="S17" s="31">
        <v>0.3256944444444444</v>
      </c>
      <c r="T17" s="31">
        <v>0.35624999999999996</v>
      </c>
      <c r="U17" s="206">
        <f t="shared" si="18"/>
        <v>5.9999999999999787</v>
      </c>
      <c r="V17" s="208">
        <f t="shared" si="17"/>
        <v>44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-74.545454545454504</v>
      </c>
      <c r="AF17" s="207">
        <f t="shared" si="9"/>
        <v>0.96272727272727276</v>
      </c>
      <c r="AG17" s="619"/>
    </row>
    <row r="18" spans="1:33" ht="16.5" customHeight="1">
      <c r="A18" s="644" t="s">
        <v>859</v>
      </c>
      <c r="B18" s="210" t="s">
        <v>10</v>
      </c>
      <c r="C18" s="635" t="s">
        <v>12</v>
      </c>
      <c r="D18" s="635"/>
      <c r="E18" s="33">
        <v>39.46</v>
      </c>
      <c r="F18" s="210">
        <v>2367</v>
      </c>
      <c r="G18" s="206">
        <f t="shared" si="15"/>
        <v>93401.82</v>
      </c>
      <c r="H18" s="29" t="s">
        <v>5</v>
      </c>
      <c r="I18" s="205">
        <v>15</v>
      </c>
      <c r="J18" s="30">
        <v>1500</v>
      </c>
      <c r="K18" s="13">
        <f t="shared" si="1"/>
        <v>100</v>
      </c>
      <c r="L18" s="205">
        <v>15</v>
      </c>
      <c r="M18" s="14">
        <f t="shared" si="16"/>
        <v>1434.545454545455</v>
      </c>
      <c r="N18" s="13">
        <f t="shared" si="3"/>
        <v>95.636363636363669</v>
      </c>
      <c r="O18" s="15">
        <f t="shared" si="4"/>
        <v>0</v>
      </c>
      <c r="P18" s="16">
        <f t="shared" si="5"/>
        <v>-4.3636363636363313</v>
      </c>
      <c r="Q18" s="207">
        <f t="shared" si="6"/>
        <v>0.95636363636363664</v>
      </c>
      <c r="R18" s="619"/>
      <c r="S18" s="31">
        <v>0.36111111111111105</v>
      </c>
      <c r="T18" s="31">
        <v>0.42986111111111103</v>
      </c>
      <c r="U18" s="206">
        <f t="shared" si="18"/>
        <v>6.9999999999999751</v>
      </c>
      <c r="V18" s="208">
        <f t="shared" si="17"/>
        <v>98.999999999999972</v>
      </c>
      <c r="W18" s="17"/>
      <c r="X18" s="17"/>
      <c r="Y18" s="17"/>
      <c r="Z18" s="17"/>
      <c r="AA18" s="610"/>
      <c r="AB18" s="610"/>
      <c r="AC18" s="19"/>
      <c r="AD18" s="19"/>
      <c r="AE18" s="15">
        <f t="shared" si="8"/>
        <v>-65.454545454545041</v>
      </c>
      <c r="AF18" s="207">
        <f t="shared" si="9"/>
        <v>0.95636363636363664</v>
      </c>
      <c r="AG18" s="619"/>
    </row>
    <row r="19" spans="1:33" ht="16.5" customHeight="1">
      <c r="A19" s="644" t="s">
        <v>185</v>
      </c>
      <c r="B19" s="210" t="s">
        <v>6</v>
      </c>
      <c r="C19" s="635" t="s">
        <v>20</v>
      </c>
      <c r="D19" s="635"/>
      <c r="E19" s="33">
        <v>54.5</v>
      </c>
      <c r="F19" s="210">
        <v>1224</v>
      </c>
      <c r="G19" s="206">
        <f t="shared" si="15"/>
        <v>66708</v>
      </c>
      <c r="H19" s="29" t="s">
        <v>5</v>
      </c>
      <c r="I19" s="205">
        <v>19</v>
      </c>
      <c r="J19" s="30">
        <v>1500</v>
      </c>
      <c r="K19" s="13">
        <f t="shared" si="1"/>
        <v>78.94736842105263</v>
      </c>
      <c r="L19" s="205">
        <v>19</v>
      </c>
      <c r="M19" s="14">
        <f t="shared" si="16"/>
        <v>1440.0000000000007</v>
      </c>
      <c r="N19" s="13">
        <f t="shared" si="3"/>
        <v>75.789473684210563</v>
      </c>
      <c r="O19" s="15">
        <f t="shared" si="4"/>
        <v>0</v>
      </c>
      <c r="P19" s="16">
        <f t="shared" si="5"/>
        <v>-3.1578947368420671</v>
      </c>
      <c r="Q19" s="207">
        <f t="shared" si="6"/>
        <v>0.96000000000000052</v>
      </c>
      <c r="R19" s="619"/>
      <c r="S19" s="31">
        <v>0.70833333333333337</v>
      </c>
      <c r="T19" s="31">
        <v>0.74375000000000002</v>
      </c>
      <c r="U19" s="206" t="str">
        <f t="shared" si="18"/>
        <v/>
      </c>
      <c r="V19" s="208">
        <f t="shared" si="17"/>
        <v>50.999999999999979</v>
      </c>
      <c r="W19" s="17"/>
      <c r="X19" s="17"/>
      <c r="Y19" s="17"/>
      <c r="Z19" s="17"/>
      <c r="AA19" s="610"/>
      <c r="AB19" s="610"/>
      <c r="AC19" s="19"/>
      <c r="AD19" s="19"/>
      <c r="AE19" s="15">
        <f t="shared" si="8"/>
        <v>-59.999999999999318</v>
      </c>
      <c r="AF19" s="207">
        <f t="shared" si="9"/>
        <v>0.96000000000000041</v>
      </c>
      <c r="AG19" s="619"/>
    </row>
    <row r="20" spans="1:33" ht="16.5" customHeight="1">
      <c r="A20" s="644" t="s">
        <v>859</v>
      </c>
      <c r="B20" s="210" t="s">
        <v>6</v>
      </c>
      <c r="C20" s="217" t="s">
        <v>19</v>
      </c>
      <c r="D20" s="218"/>
      <c r="E20" s="33">
        <v>50.67</v>
      </c>
      <c r="F20" s="210">
        <v>1858</v>
      </c>
      <c r="G20" s="206">
        <f t="shared" si="15"/>
        <v>94144.86</v>
      </c>
      <c r="H20" s="29" t="s">
        <v>5</v>
      </c>
      <c r="I20" s="205">
        <v>17</v>
      </c>
      <c r="J20" s="30">
        <v>2000</v>
      </c>
      <c r="K20" s="13">
        <f t="shared" si="1"/>
        <v>117.64705882352941</v>
      </c>
      <c r="L20" s="205">
        <v>17</v>
      </c>
      <c r="M20" s="14">
        <f t="shared" si="16"/>
        <v>1922.0689655172428</v>
      </c>
      <c r="N20" s="13">
        <f t="shared" si="3"/>
        <v>113.0628803245437</v>
      </c>
      <c r="O20" s="15">
        <f t="shared" si="4"/>
        <v>0</v>
      </c>
      <c r="P20" s="16">
        <f t="shared" si="5"/>
        <v>-4.5841784989857075</v>
      </c>
      <c r="Q20" s="207">
        <f t="shared" si="6"/>
        <v>0.96103448275862147</v>
      </c>
      <c r="R20" s="619"/>
      <c r="S20" s="31">
        <v>0.74861111111111112</v>
      </c>
      <c r="T20" s="31">
        <v>0.78888888888888886</v>
      </c>
      <c r="U20" s="206">
        <f t="shared" si="18"/>
        <v>6.9999999999999751</v>
      </c>
      <c r="V20" s="208">
        <f t="shared" si="17"/>
        <v>57.999999999999957</v>
      </c>
      <c r="W20" s="17"/>
      <c r="X20" s="17"/>
      <c r="Y20" s="20"/>
      <c r="Z20" s="20"/>
      <c r="AA20" s="211"/>
      <c r="AB20" s="212"/>
      <c r="AC20" s="19"/>
      <c r="AD20" s="19"/>
      <c r="AE20" s="15">
        <f t="shared" si="8"/>
        <v>-77.931034482757241</v>
      </c>
      <c r="AF20" s="207">
        <f t="shared" si="9"/>
        <v>0.96103448275862136</v>
      </c>
      <c r="AG20" s="619"/>
    </row>
    <row r="21" spans="1:33" ht="16.5" customHeight="1">
      <c r="A21" s="644" t="s">
        <v>858</v>
      </c>
      <c r="B21" s="210" t="s">
        <v>6</v>
      </c>
      <c r="C21" s="217" t="s">
        <v>45</v>
      </c>
      <c r="D21" s="218"/>
      <c r="E21" s="33">
        <v>51.06</v>
      </c>
      <c r="F21" s="210">
        <v>1000</v>
      </c>
      <c r="G21" s="206">
        <f t="shared" si="15"/>
        <v>51060</v>
      </c>
      <c r="H21" s="29">
        <v>2</v>
      </c>
      <c r="I21" s="205">
        <v>13</v>
      </c>
      <c r="J21" s="30">
        <v>2000</v>
      </c>
      <c r="K21" s="13">
        <f t="shared" si="1"/>
        <v>153.84615384615384</v>
      </c>
      <c r="L21" s="205">
        <v>13</v>
      </c>
      <c r="M21" s="14">
        <f t="shared" si="16"/>
        <v>1935.483870967739</v>
      </c>
      <c r="N21" s="13">
        <f t="shared" si="3"/>
        <v>148.88337468982607</v>
      </c>
      <c r="O21" s="15">
        <f t="shared" si="4"/>
        <v>0</v>
      </c>
      <c r="P21" s="16">
        <f t="shared" si="5"/>
        <v>-4.9627791563277697</v>
      </c>
      <c r="Q21" s="207">
        <f t="shared" si="6"/>
        <v>0.96774193548386944</v>
      </c>
      <c r="R21" s="619"/>
      <c r="S21" s="31">
        <v>0.79305555555555551</v>
      </c>
      <c r="T21" s="31">
        <v>0.81458333333333333</v>
      </c>
      <c r="U21" s="206">
        <f t="shared" si="18"/>
        <v>5.9999999999999787</v>
      </c>
      <c r="V21" s="208">
        <f t="shared" si="17"/>
        <v>31.00000000000005</v>
      </c>
      <c r="W21" s="17">
        <f>T21</f>
        <v>0.81458333333333333</v>
      </c>
      <c r="X21" s="17">
        <f>S22</f>
        <v>0.85555555555555551</v>
      </c>
      <c r="Y21" s="20"/>
      <c r="Z21" s="20"/>
      <c r="AA21" s="211"/>
      <c r="AB21" s="212"/>
      <c r="AC21" s="19"/>
      <c r="AD21" s="19"/>
      <c r="AE21" s="15">
        <f t="shared" si="8"/>
        <v>-64.516129032261006</v>
      </c>
      <c r="AF21" s="207">
        <f t="shared" si="9"/>
        <v>0.96774193548386944</v>
      </c>
      <c r="AG21" s="619"/>
    </row>
    <row r="22" spans="1:33" ht="16.5" customHeight="1">
      <c r="A22" s="644" t="s">
        <v>858</v>
      </c>
      <c r="B22" s="210" t="s">
        <v>6</v>
      </c>
      <c r="C22" s="217" t="s">
        <v>45</v>
      </c>
      <c r="D22" s="218"/>
      <c r="E22" s="33">
        <v>51.06</v>
      </c>
      <c r="F22" s="210">
        <v>2747</v>
      </c>
      <c r="G22" s="206">
        <f t="shared" si="15"/>
        <v>140261.82</v>
      </c>
      <c r="H22" s="29" t="s">
        <v>5</v>
      </c>
      <c r="I22" s="205">
        <v>13</v>
      </c>
      <c r="J22" s="30">
        <v>2000</v>
      </c>
      <c r="K22" s="13">
        <f t="shared" si="1"/>
        <v>153.84615384615384</v>
      </c>
      <c r="L22" s="205">
        <v>13</v>
      </c>
      <c r="M22" s="14">
        <f t="shared" si="16"/>
        <v>1916.5116279069764</v>
      </c>
      <c r="N22" s="13">
        <f t="shared" si="3"/>
        <v>147.42397137745974</v>
      </c>
      <c r="O22" s="15">
        <f t="shared" si="4"/>
        <v>0</v>
      </c>
      <c r="P22" s="16">
        <f t="shared" si="5"/>
        <v>-6.4221824686941034</v>
      </c>
      <c r="Q22" s="207">
        <f t="shared" si="6"/>
        <v>0.95825581395348836</v>
      </c>
      <c r="R22" s="619"/>
      <c r="S22" s="31">
        <v>0.85555555555555551</v>
      </c>
      <c r="T22" s="31">
        <v>0.91527777777777775</v>
      </c>
      <c r="U22" s="206">
        <f t="shared" si="18"/>
        <v>58.99999999999995</v>
      </c>
      <c r="V22" s="208">
        <f t="shared" si="17"/>
        <v>86.000000000000014</v>
      </c>
      <c r="W22" s="17"/>
      <c r="X22" s="17"/>
      <c r="Y22" s="20"/>
      <c r="Z22" s="20"/>
      <c r="AA22" s="211"/>
      <c r="AB22" s="212"/>
      <c r="AC22" s="19"/>
      <c r="AD22" s="19"/>
      <c r="AE22" s="15">
        <f t="shared" si="8"/>
        <v>-83.4883720930236</v>
      </c>
      <c r="AF22" s="207">
        <f t="shared" si="9"/>
        <v>0.95825581395348824</v>
      </c>
      <c r="AG22" s="619"/>
    </row>
    <row r="23" spans="1:33" ht="16.5" customHeight="1">
      <c r="A23" s="644" t="s">
        <v>185</v>
      </c>
      <c r="B23" s="33" t="s">
        <v>180</v>
      </c>
      <c r="C23" s="620"/>
      <c r="D23" s="620"/>
      <c r="E23" s="213"/>
      <c r="F23" s="34"/>
      <c r="G23" s="13"/>
      <c r="H23" s="210"/>
      <c r="I23" s="23">
        <v>16.625</v>
      </c>
      <c r="J23" s="30">
        <v>1812.5</v>
      </c>
      <c r="K23" s="13">
        <f t="shared" si="1"/>
        <v>109.02255639097744</v>
      </c>
      <c r="L23" s="23">
        <v>16.625</v>
      </c>
      <c r="M23" s="14">
        <f>AVERAGE(M15:M22)</f>
        <v>1741.7075124777498</v>
      </c>
      <c r="N23" s="13">
        <f t="shared" si="3"/>
        <v>104.76436165279698</v>
      </c>
      <c r="O23" s="15">
        <f t="shared" si="4"/>
        <v>0</v>
      </c>
      <c r="P23" s="16">
        <f t="shared" si="5"/>
        <v>-4.2581947381804639</v>
      </c>
      <c r="Q23" s="207">
        <f t="shared" si="6"/>
        <v>0.96094207584979296</v>
      </c>
      <c r="R23" s="619"/>
      <c r="S23" s="31"/>
      <c r="T23" s="31"/>
      <c r="U23" s="206"/>
      <c r="V23" s="208"/>
      <c r="W23" s="13"/>
      <c r="X23" s="13"/>
      <c r="Y23" s="24">
        <f>SUM(Y15:Y22)</f>
        <v>0</v>
      </c>
      <c r="Z23" s="24">
        <f>SUM(Z15:Z22)</f>
        <v>0</v>
      </c>
      <c r="AA23" s="609"/>
      <c r="AB23" s="609"/>
      <c r="AC23" s="24">
        <v>8</v>
      </c>
      <c r="AD23" s="24">
        <f>SUM(AD15:AD22)</f>
        <v>0</v>
      </c>
      <c r="AE23" s="15">
        <f t="shared" si="8"/>
        <v>-70.792487522250212</v>
      </c>
      <c r="AF23" s="207">
        <f t="shared" si="9"/>
        <v>0.96094207584979296</v>
      </c>
      <c r="AG23" s="619"/>
    </row>
    <row r="24" spans="1:33" ht="15.75" customHeight="1">
      <c r="A24" s="637" t="s">
        <v>189</v>
      </c>
      <c r="B24" s="33" t="s">
        <v>6</v>
      </c>
      <c r="C24" s="635" t="s">
        <v>22</v>
      </c>
      <c r="D24" s="635"/>
      <c r="E24" s="33">
        <v>50.67</v>
      </c>
      <c r="F24" s="210">
        <v>1875</v>
      </c>
      <c r="G24" s="206">
        <f t="shared" ref="G24:G29" si="19">E24*F24</f>
        <v>95006.25</v>
      </c>
      <c r="H24" s="29" t="s">
        <v>5</v>
      </c>
      <c r="I24" s="205">
        <v>17</v>
      </c>
      <c r="J24" s="30">
        <v>2000</v>
      </c>
      <c r="K24" s="13">
        <f t="shared" si="1"/>
        <v>117.64705882352941</v>
      </c>
      <c r="L24" s="205">
        <v>17</v>
      </c>
      <c r="M24" s="14">
        <f t="shared" ref="M24:M29" si="20">F24/V24*60</f>
        <v>1906.7796610169494</v>
      </c>
      <c r="N24" s="13">
        <f t="shared" si="3"/>
        <v>112.16350947158526</v>
      </c>
      <c r="O24" s="15">
        <f t="shared" si="4"/>
        <v>0</v>
      </c>
      <c r="P24" s="16">
        <f t="shared" si="5"/>
        <v>-5.4835493519441485</v>
      </c>
      <c r="Q24" s="207">
        <f t="shared" si="6"/>
        <v>0.9533898305084747</v>
      </c>
      <c r="R24" s="619">
        <f>Q30</f>
        <v>0.96060149263899697</v>
      </c>
      <c r="S24" s="31">
        <v>0.20833333333333334</v>
      </c>
      <c r="T24" s="31">
        <v>0.24930555555555556</v>
      </c>
      <c r="U24" s="206"/>
      <c r="V24" s="208">
        <f t="shared" ref="V24:V29" si="21">(T24-S24)*24*60</f>
        <v>58.999999999999993</v>
      </c>
      <c r="W24" s="17"/>
      <c r="X24" s="17"/>
      <c r="Y24" s="22"/>
      <c r="Z24" s="22"/>
      <c r="AA24" s="610"/>
      <c r="AB24" s="610"/>
      <c r="AC24" s="19">
        <v>6</v>
      </c>
      <c r="AD24" s="19"/>
      <c r="AE24" s="15">
        <f t="shared" si="8"/>
        <v>-93.220338983050624</v>
      </c>
      <c r="AF24" s="207">
        <f t="shared" si="9"/>
        <v>0.9533898305084747</v>
      </c>
      <c r="AG24" s="619">
        <f>AF30</f>
        <v>0.96060149263899697</v>
      </c>
    </row>
    <row r="25" spans="1:33" ht="15.75" customHeight="1">
      <c r="A25" s="638" t="s">
        <v>860</v>
      </c>
      <c r="B25" s="33" t="s">
        <v>6</v>
      </c>
      <c r="C25" s="635" t="s">
        <v>23</v>
      </c>
      <c r="D25" s="635"/>
      <c r="E25" s="33">
        <v>57.73</v>
      </c>
      <c r="F25" s="210">
        <v>2913</v>
      </c>
      <c r="G25" s="206">
        <f t="shared" si="19"/>
        <v>168167.49</v>
      </c>
      <c r="H25" s="29" t="s">
        <v>5</v>
      </c>
      <c r="I25" s="205">
        <v>14</v>
      </c>
      <c r="J25" s="30">
        <v>2000</v>
      </c>
      <c r="K25" s="13">
        <f t="shared" si="1"/>
        <v>142.85714285714286</v>
      </c>
      <c r="L25" s="205">
        <v>14</v>
      </c>
      <c r="M25" s="14">
        <f t="shared" si="20"/>
        <v>1920.6593406593408</v>
      </c>
      <c r="N25" s="13">
        <f t="shared" si="3"/>
        <v>137.18995290423862</v>
      </c>
      <c r="O25" s="15">
        <f t="shared" si="4"/>
        <v>0</v>
      </c>
      <c r="P25" s="16">
        <f t="shared" si="5"/>
        <v>-5.6671899529042378</v>
      </c>
      <c r="Q25" s="207">
        <f t="shared" si="6"/>
        <v>0.96032967032967032</v>
      </c>
      <c r="R25" s="619"/>
      <c r="S25" s="31">
        <v>0.25486111111111109</v>
      </c>
      <c r="T25" s="31">
        <v>0.31805555555555554</v>
      </c>
      <c r="U25" s="206">
        <f t="shared" ref="U25:U29" si="22">IF(S25=TIME(17,0,0),"",(S25-T24)*24*60)</f>
        <v>7.9999999999999716</v>
      </c>
      <c r="V25" s="208">
        <f t="shared" si="21"/>
        <v>91</v>
      </c>
      <c r="W25" s="17"/>
      <c r="X25" s="206"/>
      <c r="Y25" s="206"/>
      <c r="Z25" s="206"/>
      <c r="AA25" s="610"/>
      <c r="AB25" s="610"/>
      <c r="AC25" s="19"/>
      <c r="AD25" s="19"/>
      <c r="AE25" s="15">
        <f t="shared" si="8"/>
        <v>-79.340659340659158</v>
      </c>
      <c r="AF25" s="207">
        <f t="shared" si="9"/>
        <v>0.96032967032967043</v>
      </c>
      <c r="AG25" s="619"/>
    </row>
    <row r="26" spans="1:33" ht="15.75" customHeight="1">
      <c r="A26" s="638" t="s">
        <v>861</v>
      </c>
      <c r="B26" s="33" t="s">
        <v>6</v>
      </c>
      <c r="C26" s="635" t="s">
        <v>24</v>
      </c>
      <c r="D26" s="635"/>
      <c r="E26" s="33">
        <v>53.27</v>
      </c>
      <c r="F26" s="210">
        <v>1770</v>
      </c>
      <c r="G26" s="206">
        <f t="shared" si="19"/>
        <v>94287.900000000009</v>
      </c>
      <c r="H26" s="29" t="s">
        <v>5</v>
      </c>
      <c r="I26" s="205">
        <v>16</v>
      </c>
      <c r="J26" s="30">
        <v>2000</v>
      </c>
      <c r="K26" s="13">
        <f t="shared" si="1"/>
        <v>125</v>
      </c>
      <c r="L26" s="205">
        <v>16</v>
      </c>
      <c r="M26" s="14">
        <f t="shared" si="20"/>
        <v>1930.9090909090921</v>
      </c>
      <c r="N26" s="13">
        <f t="shared" si="3"/>
        <v>120.68181818181826</v>
      </c>
      <c r="O26" s="15">
        <f t="shared" si="4"/>
        <v>0</v>
      </c>
      <c r="P26" s="16">
        <f t="shared" si="5"/>
        <v>-4.318181818181742</v>
      </c>
      <c r="Q26" s="207">
        <f t="shared" si="6"/>
        <v>0.96545454545454601</v>
      </c>
      <c r="R26" s="619"/>
      <c r="S26" s="31">
        <v>0.32291666666666663</v>
      </c>
      <c r="T26" s="31">
        <v>0.36111111111111105</v>
      </c>
      <c r="U26" s="206">
        <f t="shared" si="22"/>
        <v>6.9999999999999751</v>
      </c>
      <c r="V26" s="208">
        <f t="shared" si="21"/>
        <v>54.999999999999964</v>
      </c>
      <c r="W26" s="17"/>
      <c r="X26" s="206"/>
      <c r="Y26" s="206"/>
      <c r="Z26" s="206"/>
      <c r="AA26" s="610"/>
      <c r="AB26" s="610"/>
      <c r="AC26" s="19"/>
      <c r="AD26" s="19"/>
      <c r="AE26" s="15">
        <f t="shared" si="8"/>
        <v>-69.090909090907871</v>
      </c>
      <c r="AF26" s="207">
        <f t="shared" si="9"/>
        <v>0.96545454545454601</v>
      </c>
      <c r="AG26" s="619"/>
    </row>
    <row r="27" spans="1:33" ht="15.75" customHeight="1">
      <c r="A27" s="638" t="s">
        <v>189</v>
      </c>
      <c r="B27" s="33" t="s">
        <v>6</v>
      </c>
      <c r="C27" s="635" t="s">
        <v>21</v>
      </c>
      <c r="D27" s="635"/>
      <c r="E27" s="33">
        <v>50.49</v>
      </c>
      <c r="F27" s="210">
        <v>2481</v>
      </c>
      <c r="G27" s="206">
        <f t="shared" si="19"/>
        <v>125265.69</v>
      </c>
      <c r="H27" s="29" t="s">
        <v>5</v>
      </c>
      <c r="I27" s="205">
        <v>15</v>
      </c>
      <c r="J27" s="30">
        <v>2000</v>
      </c>
      <c r="K27" s="13">
        <f t="shared" si="1"/>
        <v>133.33333333333334</v>
      </c>
      <c r="L27" s="205">
        <v>15</v>
      </c>
      <c r="M27" s="14">
        <f t="shared" si="20"/>
        <v>1908.4615384615374</v>
      </c>
      <c r="N27" s="13">
        <f t="shared" si="3"/>
        <v>127.23076923076916</v>
      </c>
      <c r="O27" s="15">
        <f t="shared" si="4"/>
        <v>0</v>
      </c>
      <c r="P27" s="16">
        <f t="shared" si="5"/>
        <v>-6.1025641025641875</v>
      </c>
      <c r="Q27" s="207">
        <f t="shared" si="6"/>
        <v>0.95423076923076855</v>
      </c>
      <c r="R27" s="619"/>
      <c r="S27" s="31">
        <v>0.70833333333333337</v>
      </c>
      <c r="T27" s="31">
        <v>0.76250000000000007</v>
      </c>
      <c r="U27" s="206" t="str">
        <f t="shared" si="22"/>
        <v/>
      </c>
      <c r="V27" s="208">
        <f t="shared" si="21"/>
        <v>78.000000000000043</v>
      </c>
      <c r="W27" s="17"/>
      <c r="X27" s="206"/>
      <c r="Y27" s="206"/>
      <c r="Z27" s="206"/>
      <c r="AA27" s="610"/>
      <c r="AB27" s="610"/>
      <c r="AC27" s="19"/>
      <c r="AD27" s="19"/>
      <c r="AE27" s="15">
        <f t="shared" si="8"/>
        <v>-91.53846153846257</v>
      </c>
      <c r="AF27" s="207">
        <f t="shared" si="9"/>
        <v>0.95423076923076866</v>
      </c>
      <c r="AG27" s="619"/>
    </row>
    <row r="28" spans="1:33" ht="15.75" customHeight="1">
      <c r="A28" s="638" t="s">
        <v>189</v>
      </c>
      <c r="B28" s="33" t="s">
        <v>6</v>
      </c>
      <c r="C28" s="635" t="s">
        <v>26</v>
      </c>
      <c r="D28" s="635"/>
      <c r="E28" s="33">
        <v>54.09</v>
      </c>
      <c r="F28" s="210">
        <v>2379</v>
      </c>
      <c r="G28" s="206">
        <f t="shared" si="19"/>
        <v>128680.11000000002</v>
      </c>
      <c r="H28" s="29" t="s">
        <v>5</v>
      </c>
      <c r="I28" s="205">
        <v>18</v>
      </c>
      <c r="J28" s="30">
        <v>2000</v>
      </c>
      <c r="K28" s="13">
        <f t="shared" si="1"/>
        <v>111.11111111111111</v>
      </c>
      <c r="L28" s="205">
        <v>18</v>
      </c>
      <c r="M28" s="14">
        <f t="shared" si="20"/>
        <v>1928.9189189189174</v>
      </c>
      <c r="N28" s="13">
        <f t="shared" si="3"/>
        <v>107.16216216216208</v>
      </c>
      <c r="O28" s="15">
        <f t="shared" si="4"/>
        <v>0</v>
      </c>
      <c r="P28" s="16">
        <f t="shared" si="5"/>
        <v>-3.9489489489490381</v>
      </c>
      <c r="Q28" s="207">
        <f t="shared" si="6"/>
        <v>0.96445945945945866</v>
      </c>
      <c r="R28" s="619"/>
      <c r="S28" s="31">
        <v>0.76597222222222228</v>
      </c>
      <c r="T28" s="31">
        <v>0.8173611111111112</v>
      </c>
      <c r="U28" s="206">
        <f t="shared" si="22"/>
        <v>4.9999999999999822</v>
      </c>
      <c r="V28" s="208">
        <f t="shared" si="21"/>
        <v>74.000000000000057</v>
      </c>
      <c r="W28" s="17"/>
      <c r="X28" s="17"/>
      <c r="Y28" s="206"/>
      <c r="Z28" s="206"/>
      <c r="AA28" s="610"/>
      <c r="AB28" s="610"/>
      <c r="AC28" s="19"/>
      <c r="AD28" s="19"/>
      <c r="AE28" s="15">
        <f t="shared" si="8"/>
        <v>-71.08108108108263</v>
      </c>
      <c r="AF28" s="207">
        <f t="shared" si="9"/>
        <v>0.96445945945945866</v>
      </c>
      <c r="AG28" s="619"/>
    </row>
    <row r="29" spans="1:33" ht="15.75" customHeight="1">
      <c r="A29" s="638" t="s">
        <v>189</v>
      </c>
      <c r="B29" s="33" t="s">
        <v>6</v>
      </c>
      <c r="C29" s="635" t="s">
        <v>25</v>
      </c>
      <c r="D29" s="635"/>
      <c r="E29" s="33">
        <v>56.43</v>
      </c>
      <c r="F29" s="210">
        <v>1513</v>
      </c>
      <c r="G29" s="206">
        <f t="shared" si="19"/>
        <v>85378.59</v>
      </c>
      <c r="H29" s="29" t="s">
        <v>5</v>
      </c>
      <c r="I29" s="205">
        <v>13</v>
      </c>
      <c r="J29" s="30">
        <v>2000</v>
      </c>
      <c r="K29" s="13">
        <f t="shared" si="1"/>
        <v>153.84615384615384</v>
      </c>
      <c r="L29" s="205">
        <v>13</v>
      </c>
      <c r="M29" s="14">
        <f t="shared" si="20"/>
        <v>1931.489361702128</v>
      </c>
      <c r="N29" s="13">
        <f t="shared" si="3"/>
        <v>148.57610474631753</v>
      </c>
      <c r="O29" s="15">
        <f t="shared" si="4"/>
        <v>0</v>
      </c>
      <c r="P29" s="16">
        <f t="shared" si="5"/>
        <v>-5.2700490998363136</v>
      </c>
      <c r="Q29" s="207">
        <f t="shared" si="6"/>
        <v>0.96574468085106391</v>
      </c>
      <c r="R29" s="619"/>
      <c r="S29" s="31">
        <v>0.82083333333333341</v>
      </c>
      <c r="T29" s="31">
        <v>0.8534722222222223</v>
      </c>
      <c r="U29" s="206">
        <f t="shared" si="22"/>
        <v>4.9999999999999822</v>
      </c>
      <c r="V29" s="208">
        <f t="shared" si="21"/>
        <v>46.999999999999993</v>
      </c>
      <c r="W29" s="17"/>
      <c r="X29" s="22"/>
      <c r="Y29" s="22"/>
      <c r="Z29" s="22"/>
      <c r="AA29" s="610"/>
      <c r="AB29" s="610"/>
      <c r="AC29" s="19"/>
      <c r="AD29" s="19"/>
      <c r="AE29" s="15">
        <f t="shared" si="8"/>
        <v>-68.510638297871992</v>
      </c>
      <c r="AF29" s="207">
        <f t="shared" si="9"/>
        <v>0.96574468085106402</v>
      </c>
      <c r="AG29" s="619"/>
    </row>
    <row r="30" spans="1:33" ht="15.75" customHeight="1">
      <c r="A30" s="638" t="s">
        <v>861</v>
      </c>
      <c r="B30" s="33" t="s">
        <v>862</v>
      </c>
      <c r="C30" s="620"/>
      <c r="D30" s="620"/>
      <c r="E30" s="213"/>
      <c r="F30" s="210"/>
      <c r="G30" s="206"/>
      <c r="H30" s="210"/>
      <c r="I30" s="23">
        <v>15.5</v>
      </c>
      <c r="J30" s="30">
        <v>2000</v>
      </c>
      <c r="K30" s="13">
        <f t="shared" si="1"/>
        <v>129.03225806451613</v>
      </c>
      <c r="L30" s="23">
        <v>15.5</v>
      </c>
      <c r="M30" s="14">
        <f>AVERAGE(M24:M29)</f>
        <v>1921.202985277994</v>
      </c>
      <c r="N30" s="13">
        <f t="shared" si="3"/>
        <v>123.94857969535445</v>
      </c>
      <c r="O30" s="15">
        <f t="shared" si="4"/>
        <v>0</v>
      </c>
      <c r="P30" s="16">
        <f t="shared" si="5"/>
        <v>-5.0836783691616745</v>
      </c>
      <c r="Q30" s="207">
        <f t="shared" si="6"/>
        <v>0.96060149263899697</v>
      </c>
      <c r="R30" s="619"/>
      <c r="S30" s="31"/>
      <c r="T30" s="31"/>
      <c r="U30" s="13"/>
      <c r="V30" s="208"/>
      <c r="W30" s="13"/>
      <c r="X30" s="13"/>
      <c r="Y30" s="24">
        <f>SUM(Y24:Y29)</f>
        <v>0</v>
      </c>
      <c r="Z30" s="24">
        <f>SUM(Z24:Z29)</f>
        <v>0</v>
      </c>
      <c r="AA30" s="609"/>
      <c r="AB30" s="609"/>
      <c r="AC30" s="24">
        <v>6</v>
      </c>
      <c r="AD30" s="24">
        <f>SUM(AD24:AD29)</f>
        <v>0</v>
      </c>
      <c r="AE30" s="15">
        <f t="shared" si="8"/>
        <v>-78.797014722005997</v>
      </c>
      <c r="AF30" s="207">
        <f t="shared" si="9"/>
        <v>0.96060149263899697</v>
      </c>
      <c r="AG30" s="619"/>
    </row>
    <row r="31" spans="1:33" ht="15.75" customHeight="1">
      <c r="A31" s="636" t="s">
        <v>863</v>
      </c>
      <c r="B31" s="33" t="s">
        <v>27</v>
      </c>
      <c r="C31" s="635" t="s">
        <v>28</v>
      </c>
      <c r="D31" s="635"/>
      <c r="E31" s="33">
        <v>31.29</v>
      </c>
      <c r="F31" s="210">
        <v>6000</v>
      </c>
      <c r="G31" s="206">
        <f t="shared" ref="G31:G38" si="23">E31*F31</f>
        <v>187740</v>
      </c>
      <c r="H31" s="29">
        <v>2</v>
      </c>
      <c r="I31" s="205">
        <v>18</v>
      </c>
      <c r="J31" s="30">
        <v>2400</v>
      </c>
      <c r="K31" s="13">
        <f t="shared" si="1"/>
        <v>133.33333333333334</v>
      </c>
      <c r="L31" s="205">
        <v>18</v>
      </c>
      <c r="M31" s="14">
        <f t="shared" ref="M31:M38" si="24">F31/V31*60</f>
        <v>2292.993630573249</v>
      </c>
      <c r="N31" s="13">
        <f t="shared" si="3"/>
        <v>127.38853503184717</v>
      </c>
      <c r="O31" s="15">
        <f t="shared" si="4"/>
        <v>0</v>
      </c>
      <c r="P31" s="16">
        <f t="shared" si="5"/>
        <v>-5.9447983014861734</v>
      </c>
      <c r="Q31" s="207">
        <f t="shared" si="6"/>
        <v>0.95541401273885374</v>
      </c>
      <c r="R31" s="619">
        <f>Q39</f>
        <v>0.95666573285934486</v>
      </c>
      <c r="S31" s="31">
        <v>8.3333333333333329E-2</v>
      </c>
      <c r="T31" s="31">
        <v>0.19236111111111109</v>
      </c>
      <c r="U31" s="206"/>
      <c r="V31" s="208">
        <f t="shared" ref="V31:V38" si="25">(T31-S31)*24*60</f>
        <v>156.99999999999997</v>
      </c>
      <c r="W31" s="17">
        <f>T31</f>
        <v>0.19236111111111109</v>
      </c>
      <c r="X31" s="17">
        <f>S32</f>
        <v>0.21319444444444444</v>
      </c>
      <c r="Y31" s="17"/>
      <c r="Z31" s="17"/>
      <c r="AA31" s="610"/>
      <c r="AB31" s="610"/>
      <c r="AC31" s="19">
        <v>8</v>
      </c>
      <c r="AD31" s="19"/>
      <c r="AE31" s="15">
        <f t="shared" si="8"/>
        <v>-107.00636942675101</v>
      </c>
      <c r="AF31" s="207">
        <f t="shared" si="9"/>
        <v>0.95541401273885374</v>
      </c>
      <c r="AG31" s="619">
        <f>AF39</f>
        <v>0.95666573285934497</v>
      </c>
    </row>
    <row r="32" spans="1:33" ht="15.75" customHeight="1">
      <c r="A32" s="636" t="s">
        <v>192</v>
      </c>
      <c r="B32" s="33" t="s">
        <v>27</v>
      </c>
      <c r="C32" s="635" t="s">
        <v>29</v>
      </c>
      <c r="D32" s="635"/>
      <c r="E32" s="33">
        <v>26.37</v>
      </c>
      <c r="F32" s="210">
        <v>4300</v>
      </c>
      <c r="G32" s="206">
        <f t="shared" si="23"/>
        <v>113391</v>
      </c>
      <c r="H32" s="29">
        <v>2</v>
      </c>
      <c r="I32" s="205">
        <v>18</v>
      </c>
      <c r="J32" s="30">
        <v>2400</v>
      </c>
      <c r="K32" s="13">
        <f t="shared" si="1"/>
        <v>133.33333333333334</v>
      </c>
      <c r="L32" s="205">
        <v>18</v>
      </c>
      <c r="M32" s="14">
        <f t="shared" si="24"/>
        <v>2303.5714285714298</v>
      </c>
      <c r="N32" s="13">
        <f t="shared" si="3"/>
        <v>127.97619047619054</v>
      </c>
      <c r="O32" s="15">
        <f t="shared" si="4"/>
        <v>0</v>
      </c>
      <c r="P32" s="16">
        <f t="shared" si="5"/>
        <v>-5.3571428571428044</v>
      </c>
      <c r="Q32" s="207">
        <f t="shared" si="6"/>
        <v>0.95982142857142894</v>
      </c>
      <c r="R32" s="619"/>
      <c r="S32" s="31">
        <v>0.21319444444444444</v>
      </c>
      <c r="T32" s="31">
        <v>0.29097222222222219</v>
      </c>
      <c r="U32" s="206">
        <f t="shared" ref="U32:U38" si="26">(S32-T31)*24*60</f>
        <v>30.000000000000014</v>
      </c>
      <c r="V32" s="208">
        <f t="shared" si="25"/>
        <v>111.99999999999996</v>
      </c>
      <c r="W32" s="17"/>
      <c r="X32" s="17"/>
      <c r="Y32" s="17"/>
      <c r="Z32" s="17"/>
      <c r="AA32" s="610"/>
      <c r="AB32" s="610"/>
      <c r="AC32" s="19"/>
      <c r="AD32" s="19"/>
      <c r="AE32" s="15">
        <f t="shared" si="8"/>
        <v>-96.428571428570194</v>
      </c>
      <c r="AF32" s="207">
        <f t="shared" si="9"/>
        <v>0.95982142857142905</v>
      </c>
      <c r="AG32" s="619"/>
    </row>
    <row r="33" spans="1:33" ht="15.75" customHeight="1">
      <c r="A33" s="636" t="s">
        <v>192</v>
      </c>
      <c r="B33" s="33" t="s">
        <v>27</v>
      </c>
      <c r="C33" s="635" t="s">
        <v>34</v>
      </c>
      <c r="D33" s="635"/>
      <c r="E33" s="33">
        <v>24.43</v>
      </c>
      <c r="F33" s="210">
        <v>4400</v>
      </c>
      <c r="G33" s="206">
        <f t="shared" si="23"/>
        <v>107492</v>
      </c>
      <c r="H33" s="29">
        <v>2</v>
      </c>
      <c r="I33" s="205">
        <v>14</v>
      </c>
      <c r="J33" s="30">
        <v>2400</v>
      </c>
      <c r="K33" s="13">
        <f t="shared" si="1"/>
        <v>171.42857142857142</v>
      </c>
      <c r="L33" s="205">
        <v>14</v>
      </c>
      <c r="M33" s="14">
        <f t="shared" si="24"/>
        <v>2295.652173913044</v>
      </c>
      <c r="N33" s="13">
        <f t="shared" si="3"/>
        <v>163.97515527950313</v>
      </c>
      <c r="O33" s="15">
        <f t="shared" si="4"/>
        <v>0</v>
      </c>
      <c r="P33" s="16">
        <f t="shared" si="5"/>
        <v>-7.4534161490682891</v>
      </c>
      <c r="Q33" s="207">
        <f t="shared" si="6"/>
        <v>0.95652173913043492</v>
      </c>
      <c r="R33" s="619"/>
      <c r="S33" s="31">
        <v>0.2944444444444444</v>
      </c>
      <c r="T33" s="31">
        <v>0.3743055555555555</v>
      </c>
      <c r="U33" s="206">
        <f t="shared" si="26"/>
        <v>4.9999999999999822</v>
      </c>
      <c r="V33" s="208">
        <f t="shared" si="25"/>
        <v>114.99999999999999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-104.34782608695605</v>
      </c>
      <c r="AF33" s="207">
        <f t="shared" si="9"/>
        <v>0.95652173913043503</v>
      </c>
      <c r="AG33" s="619"/>
    </row>
    <row r="34" spans="1:33" ht="15.75" customHeight="1">
      <c r="A34" s="636" t="s">
        <v>192</v>
      </c>
      <c r="B34" s="33" t="s">
        <v>27</v>
      </c>
      <c r="C34" s="635" t="s">
        <v>75</v>
      </c>
      <c r="D34" s="635"/>
      <c r="E34" s="33">
        <v>25.98</v>
      </c>
      <c r="F34" s="210">
        <v>2700</v>
      </c>
      <c r="G34" s="206">
        <f t="shared" si="23"/>
        <v>70146</v>
      </c>
      <c r="H34" s="29">
        <v>2</v>
      </c>
      <c r="I34" s="205">
        <v>19</v>
      </c>
      <c r="J34" s="30">
        <v>2400</v>
      </c>
      <c r="K34" s="13">
        <f t="shared" si="1"/>
        <v>126.31578947368421</v>
      </c>
      <c r="L34" s="205">
        <v>19</v>
      </c>
      <c r="M34" s="14">
        <f t="shared" si="24"/>
        <v>2314.2857142857147</v>
      </c>
      <c r="N34" s="13">
        <f t="shared" si="3"/>
        <v>121.80451127819551</v>
      </c>
      <c r="O34" s="15">
        <f t="shared" si="4"/>
        <v>0</v>
      </c>
      <c r="P34" s="16">
        <f t="shared" si="5"/>
        <v>-4.5112781954886998</v>
      </c>
      <c r="Q34" s="207">
        <f t="shared" si="6"/>
        <v>0.96428571428571441</v>
      </c>
      <c r="R34" s="619"/>
      <c r="S34" s="31">
        <v>0.3791666666666666</v>
      </c>
      <c r="T34" s="31">
        <v>0.4277777777777777</v>
      </c>
      <c r="U34" s="206">
        <f t="shared" si="26"/>
        <v>6.9999999999999751</v>
      </c>
      <c r="V34" s="208">
        <f t="shared" si="25"/>
        <v>69.999999999999986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-85.714285714285325</v>
      </c>
      <c r="AF34" s="207">
        <f t="shared" si="9"/>
        <v>0.96428571428571441</v>
      </c>
      <c r="AG34" s="619"/>
    </row>
    <row r="35" spans="1:33" ht="15.75" customHeight="1">
      <c r="A35" s="636" t="s">
        <v>192</v>
      </c>
      <c r="B35" s="33" t="s">
        <v>27</v>
      </c>
      <c r="C35" s="635" t="s">
        <v>197</v>
      </c>
      <c r="D35" s="635"/>
      <c r="E35" s="33">
        <v>23.89</v>
      </c>
      <c r="F35" s="210">
        <v>3723</v>
      </c>
      <c r="G35" s="206">
        <f t="shared" si="23"/>
        <v>88942.47</v>
      </c>
      <c r="H35" s="29" t="s">
        <v>5</v>
      </c>
      <c r="I35" s="205">
        <v>17</v>
      </c>
      <c r="J35" s="30">
        <v>2400</v>
      </c>
      <c r="K35" s="13">
        <f t="shared" si="1"/>
        <v>141.1764705882353</v>
      </c>
      <c r="L35" s="205">
        <v>17</v>
      </c>
      <c r="M35" s="14">
        <f t="shared" si="24"/>
        <v>2302.8865979381449</v>
      </c>
      <c r="N35" s="13">
        <f t="shared" si="3"/>
        <v>135.46391752577324</v>
      </c>
      <c r="O35" s="15">
        <f t="shared" si="4"/>
        <v>0</v>
      </c>
      <c r="P35" s="16">
        <f t="shared" si="5"/>
        <v>-5.7125530624620637</v>
      </c>
      <c r="Q35" s="207">
        <f t="shared" si="6"/>
        <v>0.95953608247422706</v>
      </c>
      <c r="R35" s="619"/>
      <c r="S35" s="31">
        <v>0.4326388888888888</v>
      </c>
      <c r="T35" s="31">
        <v>0.49999999999999989</v>
      </c>
      <c r="U35" s="206">
        <f t="shared" si="26"/>
        <v>6.9999999999999751</v>
      </c>
      <c r="V35" s="208">
        <f t="shared" si="25"/>
        <v>96.999999999999972</v>
      </c>
      <c r="W35" s="17">
        <f>T35</f>
        <v>0.49999999999999989</v>
      </c>
      <c r="X35" s="17">
        <f>S36</f>
        <v>0.54097222222222208</v>
      </c>
      <c r="Y35" s="17"/>
      <c r="Z35" s="17"/>
      <c r="AA35" s="610"/>
      <c r="AB35" s="610"/>
      <c r="AC35" s="19"/>
      <c r="AD35" s="19"/>
      <c r="AE35" s="15">
        <f t="shared" si="8"/>
        <v>-97.11340206185514</v>
      </c>
      <c r="AF35" s="207">
        <f t="shared" si="9"/>
        <v>0.95953608247422706</v>
      </c>
      <c r="AG35" s="619"/>
    </row>
    <row r="36" spans="1:33" ht="15.75" customHeight="1">
      <c r="A36" s="636" t="s">
        <v>863</v>
      </c>
      <c r="B36" s="33" t="s">
        <v>27</v>
      </c>
      <c r="C36" s="635" t="s">
        <v>28</v>
      </c>
      <c r="D36" s="635"/>
      <c r="E36" s="33">
        <v>31.29</v>
      </c>
      <c r="F36" s="210">
        <v>4539</v>
      </c>
      <c r="G36" s="206">
        <f t="shared" si="23"/>
        <v>142025.31</v>
      </c>
      <c r="H36" s="29" t="s">
        <v>5</v>
      </c>
      <c r="I36" s="205">
        <v>18</v>
      </c>
      <c r="J36" s="30">
        <v>2400</v>
      </c>
      <c r="K36" s="13">
        <f t="shared" si="1"/>
        <v>133.33333333333334</v>
      </c>
      <c r="L36" s="205">
        <v>18</v>
      </c>
      <c r="M36" s="14">
        <f t="shared" si="24"/>
        <v>2288.5714285714275</v>
      </c>
      <c r="N36" s="13">
        <f t="shared" si="3"/>
        <v>127.14285714285708</v>
      </c>
      <c r="O36" s="15">
        <f t="shared" si="4"/>
        <v>0</v>
      </c>
      <c r="P36" s="16">
        <f t="shared" si="5"/>
        <v>-6.1904761904762609</v>
      </c>
      <c r="Q36" s="207">
        <f t="shared" si="6"/>
        <v>0.95357142857142807</v>
      </c>
      <c r="R36" s="619"/>
      <c r="S36" s="31">
        <v>0.54097222222222208</v>
      </c>
      <c r="T36" s="31">
        <v>0.62361111111111101</v>
      </c>
      <c r="U36" s="206">
        <f t="shared" si="26"/>
        <v>58.99999999999995</v>
      </c>
      <c r="V36" s="208">
        <f t="shared" si="25"/>
        <v>119.00000000000006</v>
      </c>
      <c r="W36" s="17"/>
      <c r="X36" s="17"/>
      <c r="Y36" s="17"/>
      <c r="Z36" s="17"/>
      <c r="AA36" s="610"/>
      <c r="AB36" s="610"/>
      <c r="AC36" s="19"/>
      <c r="AD36" s="19"/>
      <c r="AE36" s="15">
        <f t="shared" si="8"/>
        <v>-111.42857142857247</v>
      </c>
      <c r="AF36" s="207">
        <f t="shared" si="9"/>
        <v>0.95357142857142818</v>
      </c>
      <c r="AG36" s="619"/>
    </row>
    <row r="37" spans="1:33" ht="15.75" customHeight="1">
      <c r="A37" s="636" t="s">
        <v>192</v>
      </c>
      <c r="B37" s="33" t="s">
        <v>27</v>
      </c>
      <c r="C37" s="635" t="s">
        <v>34</v>
      </c>
      <c r="D37" s="635"/>
      <c r="E37" s="33">
        <v>24.43</v>
      </c>
      <c r="F37" s="210">
        <v>4107</v>
      </c>
      <c r="G37" s="206">
        <f t="shared" si="23"/>
        <v>100334.01</v>
      </c>
      <c r="H37" s="29" t="s">
        <v>5</v>
      </c>
      <c r="I37" s="205">
        <v>14</v>
      </c>
      <c r="J37" s="30">
        <v>2400</v>
      </c>
      <c r="K37" s="13">
        <f t="shared" si="1"/>
        <v>171.42857142857142</v>
      </c>
      <c r="L37" s="205">
        <v>14</v>
      </c>
      <c r="M37" s="14">
        <f t="shared" si="24"/>
        <v>2281.6666666666679</v>
      </c>
      <c r="N37" s="13">
        <f t="shared" si="3"/>
        <v>162.97619047619057</v>
      </c>
      <c r="O37" s="15">
        <f t="shared" si="4"/>
        <v>0</v>
      </c>
      <c r="P37" s="16">
        <f t="shared" si="5"/>
        <v>-8.4523809523808495</v>
      </c>
      <c r="Q37" s="207">
        <f t="shared" si="6"/>
        <v>0.95069444444444506</v>
      </c>
      <c r="R37" s="619"/>
      <c r="S37" s="31">
        <v>0.62708333333333321</v>
      </c>
      <c r="T37" s="31">
        <v>0.70208333333333317</v>
      </c>
      <c r="U37" s="206">
        <f t="shared" si="26"/>
        <v>4.9999999999999822</v>
      </c>
      <c r="V37" s="208">
        <f t="shared" si="25"/>
        <v>107.99999999999994</v>
      </c>
      <c r="W37" s="17"/>
      <c r="X37" s="17"/>
      <c r="Y37" s="17"/>
      <c r="Z37" s="17"/>
      <c r="AA37" s="610"/>
      <c r="AB37" s="610"/>
      <c r="AC37" s="19"/>
      <c r="AD37" s="19"/>
      <c r="AE37" s="15">
        <f t="shared" si="8"/>
        <v>-118.33333333333212</v>
      </c>
      <c r="AF37" s="207">
        <f t="shared" si="9"/>
        <v>0.95069444444444495</v>
      </c>
      <c r="AG37" s="619"/>
    </row>
    <row r="38" spans="1:33" ht="15.75" customHeight="1">
      <c r="A38" s="636" t="s">
        <v>864</v>
      </c>
      <c r="B38" s="33" t="s">
        <v>27</v>
      </c>
      <c r="C38" s="217" t="s">
        <v>29</v>
      </c>
      <c r="D38" s="218"/>
      <c r="E38" s="33">
        <v>26.37</v>
      </c>
      <c r="F38" s="210">
        <v>3013</v>
      </c>
      <c r="G38" s="206">
        <f t="shared" si="23"/>
        <v>79452.81</v>
      </c>
      <c r="H38" s="29" t="s">
        <v>5</v>
      </c>
      <c r="I38" s="205">
        <v>18</v>
      </c>
      <c r="J38" s="30">
        <v>2400</v>
      </c>
      <c r="K38" s="13">
        <f t="shared" si="1"/>
        <v>133.33333333333334</v>
      </c>
      <c r="L38" s="205">
        <v>18</v>
      </c>
      <c r="M38" s="14">
        <f t="shared" si="24"/>
        <v>2288.3544303797457</v>
      </c>
      <c r="N38" s="13">
        <f t="shared" si="3"/>
        <v>127.13080168776365</v>
      </c>
      <c r="O38" s="15">
        <f t="shared" si="4"/>
        <v>0</v>
      </c>
      <c r="P38" s="16">
        <f t="shared" si="5"/>
        <v>-6.2025316455696924</v>
      </c>
      <c r="Q38" s="207">
        <f t="shared" si="6"/>
        <v>0.95348101265822727</v>
      </c>
      <c r="R38" s="619"/>
      <c r="S38" s="31">
        <v>0.70694444444444426</v>
      </c>
      <c r="T38" s="31">
        <v>0.7618055555555554</v>
      </c>
      <c r="U38" s="206">
        <f t="shared" si="26"/>
        <v>6.9999999999999751</v>
      </c>
      <c r="V38" s="208">
        <f t="shared" si="25"/>
        <v>79.000000000000043</v>
      </c>
      <c r="W38" s="17"/>
      <c r="X38" s="17"/>
      <c r="Y38" s="17"/>
      <c r="Z38" s="17"/>
      <c r="AA38" s="211"/>
      <c r="AB38" s="212"/>
      <c r="AC38" s="19"/>
      <c r="AD38" s="19"/>
      <c r="AE38" s="15">
        <f t="shared" si="8"/>
        <v>-111.64556962025426</v>
      </c>
      <c r="AF38" s="207">
        <f t="shared" si="9"/>
        <v>0.95348101265822738</v>
      </c>
      <c r="AG38" s="619"/>
    </row>
    <row r="39" spans="1:33" ht="15.75" customHeight="1">
      <c r="A39" s="636" t="s">
        <v>192</v>
      </c>
      <c r="B39" s="33" t="s">
        <v>180</v>
      </c>
      <c r="C39" s="620"/>
      <c r="D39" s="620"/>
      <c r="E39" s="213"/>
      <c r="F39" s="210"/>
      <c r="G39" s="206"/>
      <c r="H39" s="210"/>
      <c r="I39" s="23">
        <v>17</v>
      </c>
      <c r="J39" s="30">
        <v>2400</v>
      </c>
      <c r="K39" s="13">
        <f t="shared" si="1"/>
        <v>141.1764705882353</v>
      </c>
      <c r="L39" s="23">
        <v>17</v>
      </c>
      <c r="M39" s="14">
        <f>AVERAGE(M31:M38)</f>
        <v>2295.9977588624279</v>
      </c>
      <c r="N39" s="13">
        <f t="shared" si="3"/>
        <v>135.05869169778987</v>
      </c>
      <c r="O39" s="15">
        <f t="shared" si="4"/>
        <v>0</v>
      </c>
      <c r="P39" s="16">
        <f t="shared" si="5"/>
        <v>-6.117778890445436</v>
      </c>
      <c r="Q39" s="207">
        <f t="shared" si="6"/>
        <v>0.95666573285934486</v>
      </c>
      <c r="R39" s="619"/>
      <c r="S39" s="31"/>
      <c r="T39" s="31"/>
      <c r="U39" s="206"/>
      <c r="V39" s="208"/>
      <c r="W39" s="206"/>
      <c r="X39" s="206"/>
      <c r="Y39" s="24">
        <f>SUM(Y31:Y38)</f>
        <v>0</v>
      </c>
      <c r="Z39" s="24">
        <f>SUM(Z31:Z38)</f>
        <v>0</v>
      </c>
      <c r="AA39" s="609"/>
      <c r="AB39" s="609"/>
      <c r="AC39" s="24">
        <v>8</v>
      </c>
      <c r="AD39" s="24">
        <f>SUM(AD31:AD38)</f>
        <v>0</v>
      </c>
      <c r="AE39" s="15">
        <f t="shared" si="8"/>
        <v>-104.00224113757213</v>
      </c>
      <c r="AF39" s="207">
        <f t="shared" si="9"/>
        <v>0.95666573285934497</v>
      </c>
      <c r="AG39" s="619"/>
    </row>
    <row r="40" spans="1:33" ht="15.75" customHeight="1">
      <c r="A40" s="633" t="s">
        <v>195</v>
      </c>
      <c r="B40" s="33" t="s">
        <v>27</v>
      </c>
      <c r="C40" s="611" t="s">
        <v>33</v>
      </c>
      <c r="D40" s="611"/>
      <c r="E40" s="33">
        <v>26.18</v>
      </c>
      <c r="F40" s="210">
        <v>3900</v>
      </c>
      <c r="G40" s="206">
        <f t="shared" ref="G40:G50" si="27">E40*F40</f>
        <v>102102</v>
      </c>
      <c r="H40" s="29">
        <v>2</v>
      </c>
      <c r="I40" s="205">
        <v>20</v>
      </c>
      <c r="J40" s="30">
        <v>2400</v>
      </c>
      <c r="K40" s="13">
        <f t="shared" si="1"/>
        <v>120</v>
      </c>
      <c r="L40" s="205">
        <v>20</v>
      </c>
      <c r="M40" s="14">
        <f t="shared" ref="M40:M50" si="28">F40/V40*60</f>
        <v>2294.117647058823</v>
      </c>
      <c r="N40" s="13">
        <f t="shared" si="3"/>
        <v>114.70588235294115</v>
      </c>
      <c r="O40" s="15">
        <f t="shared" si="4"/>
        <v>0</v>
      </c>
      <c r="P40" s="16">
        <f t="shared" si="5"/>
        <v>-5.2941176470588545</v>
      </c>
      <c r="Q40" s="207">
        <f t="shared" si="6"/>
        <v>0.95588235294117618</v>
      </c>
      <c r="R40" s="619">
        <f>Q51</f>
        <v>0.95834210341318249</v>
      </c>
      <c r="S40" s="31">
        <v>8.3333333333333329E-2</v>
      </c>
      <c r="T40" s="31">
        <v>0.15416666666666667</v>
      </c>
      <c r="U40" s="206"/>
      <c r="V40" s="208">
        <f t="shared" ref="V40:V50" si="29">(T40-S40)*24*60</f>
        <v>102.00000000000001</v>
      </c>
      <c r="W40" s="22">
        <f>T40</f>
        <v>0.15416666666666667</v>
      </c>
      <c r="X40" s="22">
        <f>S41</f>
        <v>0.17222222222222222</v>
      </c>
      <c r="Y40" s="22"/>
      <c r="Z40" s="22"/>
      <c r="AA40" s="610"/>
      <c r="AB40" s="610"/>
      <c r="AC40" s="19">
        <v>11</v>
      </c>
      <c r="AD40" s="19"/>
      <c r="AE40" s="15">
        <f t="shared" si="8"/>
        <v>-105.88235294117703</v>
      </c>
      <c r="AF40" s="207">
        <f t="shared" si="9"/>
        <v>0.95588235294117618</v>
      </c>
      <c r="AG40" s="619">
        <f>AF51</f>
        <v>0.9583421034131826</v>
      </c>
    </row>
    <row r="41" spans="1:33" ht="15.75" customHeight="1">
      <c r="A41" s="633" t="s">
        <v>865</v>
      </c>
      <c r="B41" s="33" t="s">
        <v>27</v>
      </c>
      <c r="C41" s="611" t="s">
        <v>30</v>
      </c>
      <c r="D41" s="611"/>
      <c r="E41" s="33">
        <v>26.18</v>
      </c>
      <c r="F41" s="210">
        <v>5200</v>
      </c>
      <c r="G41" s="206">
        <f t="shared" si="27"/>
        <v>136136</v>
      </c>
      <c r="H41" s="29">
        <v>2</v>
      </c>
      <c r="I41" s="205">
        <v>18</v>
      </c>
      <c r="J41" s="30">
        <v>2400</v>
      </c>
      <c r="K41" s="13">
        <f t="shared" si="1"/>
        <v>133.33333333333334</v>
      </c>
      <c r="L41" s="205">
        <v>18</v>
      </c>
      <c r="M41" s="14">
        <f t="shared" si="28"/>
        <v>2294.1176470588234</v>
      </c>
      <c r="N41" s="13">
        <f t="shared" si="3"/>
        <v>127.45098039215685</v>
      </c>
      <c r="O41" s="15">
        <f t="shared" si="4"/>
        <v>0</v>
      </c>
      <c r="P41" s="16">
        <f t="shared" si="5"/>
        <v>-5.8823529411764923</v>
      </c>
      <c r="Q41" s="207">
        <f t="shared" si="6"/>
        <v>0.95588235294117629</v>
      </c>
      <c r="R41" s="619"/>
      <c r="S41" s="31">
        <v>0.17222222222222222</v>
      </c>
      <c r="T41" s="31">
        <v>0.26666666666666666</v>
      </c>
      <c r="U41" s="206">
        <f t="shared" ref="U41:U50" si="30">(S41-T40)*24*60</f>
        <v>25.999999999999986</v>
      </c>
      <c r="V41" s="208">
        <f t="shared" si="29"/>
        <v>136</v>
      </c>
      <c r="W41" s="206"/>
      <c r="X41" s="206"/>
      <c r="Y41" s="206"/>
      <c r="Z41" s="206"/>
      <c r="AA41" s="610"/>
      <c r="AB41" s="610"/>
      <c r="AC41" s="19"/>
      <c r="AD41" s="19"/>
      <c r="AE41" s="15">
        <f t="shared" si="8"/>
        <v>-105.88235294117658</v>
      </c>
      <c r="AF41" s="207">
        <f t="shared" si="9"/>
        <v>0.95588235294117641</v>
      </c>
      <c r="AG41" s="619"/>
    </row>
    <row r="42" spans="1:33">
      <c r="A42" s="634" t="s">
        <v>865</v>
      </c>
      <c r="B42" s="33" t="s">
        <v>27</v>
      </c>
      <c r="C42" s="611" t="s">
        <v>32</v>
      </c>
      <c r="D42" s="611"/>
      <c r="E42" s="33">
        <v>25.99</v>
      </c>
      <c r="F42" s="210">
        <v>2300</v>
      </c>
      <c r="G42" s="206">
        <f t="shared" si="27"/>
        <v>59777</v>
      </c>
      <c r="H42" s="29">
        <v>2</v>
      </c>
      <c r="I42" s="205">
        <v>14</v>
      </c>
      <c r="J42" s="30">
        <v>2400</v>
      </c>
      <c r="K42" s="13">
        <f t="shared" si="1"/>
        <v>171.42857142857142</v>
      </c>
      <c r="L42" s="205">
        <v>14</v>
      </c>
      <c r="M42" s="14">
        <f t="shared" si="28"/>
        <v>2299.9999999999991</v>
      </c>
      <c r="N42" s="13">
        <f t="shared" si="3"/>
        <v>164.28571428571422</v>
      </c>
      <c r="O42" s="15">
        <f t="shared" si="4"/>
        <v>0</v>
      </c>
      <c r="P42" s="16">
        <f t="shared" si="5"/>
        <v>-7.1428571428571956</v>
      </c>
      <c r="Q42" s="207">
        <f t="shared" si="6"/>
        <v>0.95833333333333304</v>
      </c>
      <c r="R42" s="619"/>
      <c r="S42" s="31">
        <v>0.2722222222222222</v>
      </c>
      <c r="T42" s="31">
        <v>0.31388888888888888</v>
      </c>
      <c r="U42" s="206">
        <f t="shared" si="30"/>
        <v>7.9999999999999716</v>
      </c>
      <c r="V42" s="208">
        <f t="shared" si="29"/>
        <v>60.000000000000028</v>
      </c>
      <c r="W42" s="206"/>
      <c r="X42" s="206"/>
      <c r="Y42" s="206"/>
      <c r="Z42" s="206"/>
      <c r="AA42" s="610"/>
      <c r="AB42" s="610"/>
      <c r="AC42" s="19"/>
      <c r="AD42" s="19"/>
      <c r="AE42" s="15">
        <f t="shared" si="8"/>
        <v>-100.00000000000091</v>
      </c>
      <c r="AF42" s="207">
        <f t="shared" si="9"/>
        <v>0.95833333333333293</v>
      </c>
      <c r="AG42" s="619"/>
    </row>
    <row r="43" spans="1:33">
      <c r="A43" s="634" t="s">
        <v>865</v>
      </c>
      <c r="B43" s="33" t="s">
        <v>27</v>
      </c>
      <c r="C43" s="611" t="s">
        <v>52</v>
      </c>
      <c r="D43" s="611"/>
      <c r="E43" s="33">
        <v>25.98</v>
      </c>
      <c r="F43" s="210">
        <v>2150</v>
      </c>
      <c r="G43" s="206">
        <f t="shared" si="27"/>
        <v>55857</v>
      </c>
      <c r="H43" s="29" t="s">
        <v>5</v>
      </c>
      <c r="I43" s="205">
        <v>17</v>
      </c>
      <c r="J43" s="30">
        <v>2400</v>
      </c>
      <c r="K43" s="13">
        <f t="shared" si="1"/>
        <v>141.1764705882353</v>
      </c>
      <c r="L43" s="205">
        <v>17</v>
      </c>
      <c r="M43" s="14">
        <f t="shared" si="28"/>
        <v>2303.5714285714303</v>
      </c>
      <c r="N43" s="13">
        <f t="shared" si="3"/>
        <v>135.50420168067237</v>
      </c>
      <c r="O43" s="15">
        <f t="shared" si="4"/>
        <v>0</v>
      </c>
      <c r="P43" s="16">
        <f t="shared" si="5"/>
        <v>-5.6722689075629376</v>
      </c>
      <c r="Q43" s="207">
        <f t="shared" si="6"/>
        <v>0.95982142857142916</v>
      </c>
      <c r="R43" s="619"/>
      <c r="S43" s="31">
        <v>0.31944444444444442</v>
      </c>
      <c r="T43" s="31">
        <v>0.35833333333333328</v>
      </c>
      <c r="U43" s="206">
        <f t="shared" si="30"/>
        <v>7.9999999999999716</v>
      </c>
      <c r="V43" s="208">
        <f t="shared" si="29"/>
        <v>55.999999999999957</v>
      </c>
      <c r="W43" s="17"/>
      <c r="X43" s="17"/>
      <c r="Y43" s="17"/>
      <c r="Z43" s="17"/>
      <c r="AA43" s="610"/>
      <c r="AB43" s="610"/>
      <c r="AC43" s="19"/>
      <c r="AD43" s="19"/>
      <c r="AE43" s="15">
        <f t="shared" si="8"/>
        <v>-96.42857142856974</v>
      </c>
      <c r="AF43" s="207">
        <f t="shared" si="9"/>
        <v>0.95982142857142927</v>
      </c>
      <c r="AG43" s="619"/>
    </row>
    <row r="44" spans="1:33">
      <c r="A44" s="634" t="s">
        <v>865</v>
      </c>
      <c r="B44" s="33" t="s">
        <v>27</v>
      </c>
      <c r="C44" s="611" t="s">
        <v>54</v>
      </c>
      <c r="D44" s="611"/>
      <c r="E44" s="33">
        <v>24.25</v>
      </c>
      <c r="F44" s="210">
        <v>2245</v>
      </c>
      <c r="G44" s="206">
        <f t="shared" si="27"/>
        <v>54441.25</v>
      </c>
      <c r="H44" s="29" t="s">
        <v>5</v>
      </c>
      <c r="I44" s="205">
        <v>16</v>
      </c>
      <c r="J44" s="30">
        <v>2400</v>
      </c>
      <c r="K44" s="13">
        <f t="shared" si="1"/>
        <v>150</v>
      </c>
      <c r="L44" s="205">
        <v>16</v>
      </c>
      <c r="M44" s="14">
        <f t="shared" si="28"/>
        <v>2283.0508474576259</v>
      </c>
      <c r="N44" s="13">
        <f t="shared" si="3"/>
        <v>142.69067796610162</v>
      </c>
      <c r="O44" s="15">
        <f t="shared" si="4"/>
        <v>0</v>
      </c>
      <c r="P44" s="16">
        <f t="shared" si="5"/>
        <v>-7.3093220338983826</v>
      </c>
      <c r="Q44" s="207">
        <f t="shared" si="6"/>
        <v>0.95127118644067743</v>
      </c>
      <c r="R44" s="619"/>
      <c r="S44" s="31">
        <v>0.36319444444444438</v>
      </c>
      <c r="T44" s="31">
        <v>0.40416666666666662</v>
      </c>
      <c r="U44" s="206">
        <f t="shared" si="30"/>
        <v>6.9999999999999751</v>
      </c>
      <c r="V44" s="208">
        <f t="shared" si="29"/>
        <v>59.000000000000028</v>
      </c>
      <c r="W44" s="17"/>
      <c r="X44" s="17"/>
      <c r="Y44" s="17"/>
      <c r="Z44" s="17"/>
      <c r="AA44" s="610"/>
      <c r="AB44" s="610"/>
      <c r="AC44" s="19"/>
      <c r="AD44" s="19"/>
      <c r="AE44" s="15">
        <f t="shared" si="8"/>
        <v>-116.94915254237412</v>
      </c>
      <c r="AF44" s="207">
        <f t="shared" si="9"/>
        <v>0.95127118644067743</v>
      </c>
      <c r="AG44" s="619"/>
    </row>
    <row r="45" spans="1:33">
      <c r="A45" s="634" t="s">
        <v>865</v>
      </c>
      <c r="B45" s="33" t="s">
        <v>27</v>
      </c>
      <c r="C45" s="611" t="s">
        <v>55</v>
      </c>
      <c r="D45" s="611"/>
      <c r="E45" s="33">
        <v>23.89</v>
      </c>
      <c r="F45" s="210">
        <v>1051</v>
      </c>
      <c r="G45" s="206">
        <f t="shared" si="27"/>
        <v>25108.39</v>
      </c>
      <c r="H45" s="29" t="s">
        <v>5</v>
      </c>
      <c r="I45" s="205">
        <v>13</v>
      </c>
      <c r="J45" s="30">
        <v>2400</v>
      </c>
      <c r="K45" s="13">
        <f t="shared" si="1"/>
        <v>184.61538461538461</v>
      </c>
      <c r="L45" s="205">
        <v>13</v>
      </c>
      <c r="M45" s="14">
        <f t="shared" si="28"/>
        <v>2335.5555555555566</v>
      </c>
      <c r="N45" s="13">
        <f t="shared" si="3"/>
        <v>179.65811965811974</v>
      </c>
      <c r="O45" s="15">
        <f t="shared" si="4"/>
        <v>0</v>
      </c>
      <c r="P45" s="16">
        <f t="shared" si="5"/>
        <v>-4.9572649572648686</v>
      </c>
      <c r="Q45" s="207">
        <f t="shared" si="6"/>
        <v>0.97314814814814865</v>
      </c>
      <c r="R45" s="619"/>
      <c r="S45" s="31">
        <v>0.40763888888888883</v>
      </c>
      <c r="T45" s="31">
        <v>0.42638888888888882</v>
      </c>
      <c r="U45" s="206">
        <f t="shared" si="30"/>
        <v>4.9999999999999822</v>
      </c>
      <c r="V45" s="208">
        <f t="shared" si="29"/>
        <v>26.999999999999986</v>
      </c>
      <c r="W45" s="17"/>
      <c r="X45" s="17"/>
      <c r="Y45" s="17"/>
      <c r="Z45" s="17"/>
      <c r="AA45" s="610"/>
      <c r="AB45" s="610"/>
      <c r="AC45" s="19"/>
      <c r="AD45" s="19"/>
      <c r="AE45" s="15">
        <f t="shared" si="8"/>
        <v>-64.444444444443434</v>
      </c>
      <c r="AF45" s="207">
        <f t="shared" si="9"/>
        <v>0.97314814814814854</v>
      </c>
      <c r="AG45" s="619"/>
    </row>
    <row r="46" spans="1:33">
      <c r="A46" s="634" t="s">
        <v>865</v>
      </c>
      <c r="B46" s="33" t="s">
        <v>27</v>
      </c>
      <c r="C46" s="611" t="s">
        <v>35</v>
      </c>
      <c r="D46" s="611"/>
      <c r="E46" s="33">
        <v>34.1</v>
      </c>
      <c r="F46" s="210">
        <v>3800</v>
      </c>
      <c r="G46" s="206">
        <f t="shared" si="27"/>
        <v>129580</v>
      </c>
      <c r="H46" s="29">
        <v>2</v>
      </c>
      <c r="I46" s="205">
        <v>17</v>
      </c>
      <c r="J46" s="30">
        <v>1600</v>
      </c>
      <c r="K46" s="13">
        <f t="shared" si="1"/>
        <v>94.117647058823536</v>
      </c>
      <c r="L46" s="205">
        <v>17</v>
      </c>
      <c r="M46" s="14">
        <f t="shared" si="28"/>
        <v>1530.2013422818798</v>
      </c>
      <c r="N46" s="13">
        <f t="shared" si="3"/>
        <v>90.011843663639979</v>
      </c>
      <c r="O46" s="15">
        <f t="shared" si="4"/>
        <v>0</v>
      </c>
      <c r="P46" s="16">
        <f t="shared" si="5"/>
        <v>-4.1058033951835569</v>
      </c>
      <c r="Q46" s="207">
        <f t="shared" si="6"/>
        <v>0.95637583892617473</v>
      </c>
      <c r="R46" s="619"/>
      <c r="S46" s="31">
        <v>0.43124999999999991</v>
      </c>
      <c r="T46" s="31">
        <v>0.5347222222222221</v>
      </c>
      <c r="U46" s="206">
        <f t="shared" si="30"/>
        <v>6.9999999999999751</v>
      </c>
      <c r="V46" s="208">
        <f t="shared" si="29"/>
        <v>148.99999999999994</v>
      </c>
      <c r="W46" s="17"/>
      <c r="X46" s="17"/>
      <c r="Y46" s="20"/>
      <c r="Z46" s="20"/>
      <c r="AA46" s="614"/>
      <c r="AB46" s="615"/>
      <c r="AC46" s="19"/>
      <c r="AD46" s="19"/>
      <c r="AE46" s="15">
        <f t="shared" si="8"/>
        <v>-69.798657718120239</v>
      </c>
      <c r="AF46" s="207">
        <f t="shared" si="9"/>
        <v>0.95637583892617484</v>
      </c>
      <c r="AG46" s="619"/>
    </row>
    <row r="47" spans="1:33">
      <c r="A47" s="634" t="s">
        <v>865</v>
      </c>
      <c r="B47" s="33" t="s">
        <v>27</v>
      </c>
      <c r="C47" s="611" t="s">
        <v>30</v>
      </c>
      <c r="D47" s="611"/>
      <c r="E47" s="33">
        <v>26.18</v>
      </c>
      <c r="F47" s="210">
        <v>3973</v>
      </c>
      <c r="G47" s="206">
        <f t="shared" si="27"/>
        <v>104013.14</v>
      </c>
      <c r="H47" s="29" t="s">
        <v>5</v>
      </c>
      <c r="I47" s="205">
        <v>18</v>
      </c>
      <c r="J47" s="30">
        <v>2400</v>
      </c>
      <c r="K47" s="13">
        <f t="shared" si="1"/>
        <v>133.33333333333334</v>
      </c>
      <c r="L47" s="205">
        <v>18</v>
      </c>
      <c r="M47" s="14">
        <f t="shared" si="28"/>
        <v>2292.1153846153857</v>
      </c>
      <c r="N47" s="13">
        <f t="shared" si="3"/>
        <v>127.33974358974365</v>
      </c>
      <c r="O47" s="15">
        <f t="shared" si="4"/>
        <v>0</v>
      </c>
      <c r="P47" s="16">
        <f t="shared" si="5"/>
        <v>-5.9935897435896948</v>
      </c>
      <c r="Q47" s="207">
        <f t="shared" si="6"/>
        <v>0.95504807692307725</v>
      </c>
      <c r="R47" s="619"/>
      <c r="S47" s="31">
        <v>0.53819444444444431</v>
      </c>
      <c r="T47" s="31">
        <v>0.6104166666666665</v>
      </c>
      <c r="U47" s="206">
        <f t="shared" si="30"/>
        <v>4.9999999999999822</v>
      </c>
      <c r="V47" s="208">
        <f t="shared" si="29"/>
        <v>103.99999999999994</v>
      </c>
      <c r="W47" s="17"/>
      <c r="X47" s="17"/>
      <c r="Y47" s="20"/>
      <c r="Z47" s="20"/>
      <c r="AA47" s="614"/>
      <c r="AB47" s="615"/>
      <c r="AC47" s="19"/>
      <c r="AD47" s="19"/>
      <c r="AE47" s="15">
        <f t="shared" si="8"/>
        <v>-107.88461538461434</v>
      </c>
      <c r="AF47" s="207">
        <f t="shared" si="9"/>
        <v>0.95504807692307736</v>
      </c>
      <c r="AG47" s="619"/>
    </row>
    <row r="48" spans="1:33">
      <c r="A48" s="634" t="s">
        <v>865</v>
      </c>
      <c r="B48" s="33" t="s">
        <v>27</v>
      </c>
      <c r="C48" s="612" t="s">
        <v>32</v>
      </c>
      <c r="D48" s="613"/>
      <c r="E48" s="33">
        <v>25.99</v>
      </c>
      <c r="F48" s="210">
        <v>1918</v>
      </c>
      <c r="G48" s="206">
        <f t="shared" si="27"/>
        <v>49848.82</v>
      </c>
      <c r="H48" s="29" t="s">
        <v>5</v>
      </c>
      <c r="I48" s="205">
        <v>14</v>
      </c>
      <c r="J48" s="30">
        <v>2400</v>
      </c>
      <c r="K48" s="13">
        <f t="shared" si="1"/>
        <v>171.42857142857142</v>
      </c>
      <c r="L48" s="205">
        <v>14</v>
      </c>
      <c r="M48" s="14">
        <f t="shared" si="28"/>
        <v>2301.6000000000008</v>
      </c>
      <c r="N48" s="13">
        <f t="shared" si="3"/>
        <v>164.40000000000006</v>
      </c>
      <c r="O48" s="15">
        <f t="shared" si="4"/>
        <v>0</v>
      </c>
      <c r="P48" s="16">
        <f t="shared" si="5"/>
        <v>-7.0285714285713539</v>
      </c>
      <c r="Q48" s="207">
        <f t="shared" si="6"/>
        <v>0.95900000000000041</v>
      </c>
      <c r="R48" s="619"/>
      <c r="S48" s="31">
        <v>0.61597222222222203</v>
      </c>
      <c r="T48" s="31">
        <v>0.65069444444444424</v>
      </c>
      <c r="U48" s="206">
        <f t="shared" si="30"/>
        <v>7.9999999999999716</v>
      </c>
      <c r="V48" s="208">
        <f t="shared" si="29"/>
        <v>49.999999999999986</v>
      </c>
      <c r="W48" s="17"/>
      <c r="X48" s="17"/>
      <c r="Y48" s="20"/>
      <c r="Z48" s="20"/>
      <c r="AA48" s="211"/>
      <c r="AB48" s="212"/>
      <c r="AC48" s="19"/>
      <c r="AD48" s="19"/>
      <c r="AE48" s="15">
        <f t="shared" si="8"/>
        <v>-98.399999999999181</v>
      </c>
      <c r="AF48" s="207">
        <f t="shared" si="9"/>
        <v>0.9590000000000003</v>
      </c>
      <c r="AG48" s="619"/>
    </row>
    <row r="49" spans="1:33">
      <c r="A49" s="634" t="s">
        <v>865</v>
      </c>
      <c r="B49" s="33" t="s">
        <v>27</v>
      </c>
      <c r="C49" s="612" t="s">
        <v>35</v>
      </c>
      <c r="D49" s="613"/>
      <c r="E49" s="33">
        <v>34.1</v>
      </c>
      <c r="F49" s="210">
        <v>3158</v>
      </c>
      <c r="G49" s="206">
        <f t="shared" si="27"/>
        <v>107687.8</v>
      </c>
      <c r="H49" s="29" t="s">
        <v>5</v>
      </c>
      <c r="I49" s="205">
        <v>17</v>
      </c>
      <c r="J49" s="30">
        <v>1600</v>
      </c>
      <c r="K49" s="13">
        <f t="shared" si="1"/>
        <v>94.117647058823536</v>
      </c>
      <c r="L49" s="205">
        <v>17</v>
      </c>
      <c r="M49" s="14">
        <f t="shared" si="28"/>
        <v>1528.0645161290317</v>
      </c>
      <c r="N49" s="13">
        <f t="shared" si="3"/>
        <v>89.886148007590108</v>
      </c>
      <c r="O49" s="15">
        <f t="shared" si="4"/>
        <v>0</v>
      </c>
      <c r="P49" s="16">
        <f t="shared" si="5"/>
        <v>-4.2314990512334276</v>
      </c>
      <c r="Q49" s="207">
        <f t="shared" si="6"/>
        <v>0.95504032258064486</v>
      </c>
      <c r="R49" s="619"/>
      <c r="S49" s="31">
        <v>0.65624999999999978</v>
      </c>
      <c r="T49" s="31">
        <v>0.74236111111111092</v>
      </c>
      <c r="U49" s="206">
        <f t="shared" si="30"/>
        <v>7.9999999999999716</v>
      </c>
      <c r="V49" s="208">
        <f t="shared" si="29"/>
        <v>124.00000000000004</v>
      </c>
      <c r="W49" s="17"/>
      <c r="X49" s="17"/>
      <c r="Y49" s="20"/>
      <c r="Z49" s="20"/>
      <c r="AA49" s="211"/>
      <c r="AB49" s="212"/>
      <c r="AC49" s="19"/>
      <c r="AD49" s="19"/>
      <c r="AE49" s="15">
        <f t="shared" si="8"/>
        <v>-71.935483870968255</v>
      </c>
      <c r="AF49" s="207">
        <f t="shared" si="9"/>
        <v>0.95504032258064486</v>
      </c>
      <c r="AG49" s="619"/>
    </row>
    <row r="50" spans="1:33">
      <c r="A50" s="634" t="s">
        <v>866</v>
      </c>
      <c r="B50" s="33" t="s">
        <v>27</v>
      </c>
      <c r="C50" s="612" t="s">
        <v>75</v>
      </c>
      <c r="D50" s="613"/>
      <c r="E50" s="33">
        <v>25.98</v>
      </c>
      <c r="F50" s="210">
        <v>1882</v>
      </c>
      <c r="G50" s="206">
        <f t="shared" si="27"/>
        <v>48894.36</v>
      </c>
      <c r="H50" s="29" t="s">
        <v>5</v>
      </c>
      <c r="I50" s="205">
        <v>19</v>
      </c>
      <c r="J50" s="30">
        <v>2400</v>
      </c>
      <c r="K50" s="13">
        <f t="shared" si="1"/>
        <v>126.31578947368421</v>
      </c>
      <c r="L50" s="205">
        <v>19</v>
      </c>
      <c r="M50" s="14">
        <f t="shared" si="28"/>
        <v>2304.4897959183681</v>
      </c>
      <c r="N50" s="13">
        <f t="shared" si="3"/>
        <v>121.28893662728254</v>
      </c>
      <c r="O50" s="15">
        <f t="shared" si="4"/>
        <v>0</v>
      </c>
      <c r="P50" s="16">
        <f t="shared" si="5"/>
        <v>-5.0268528464016669</v>
      </c>
      <c r="Q50" s="207">
        <f t="shared" si="6"/>
        <v>0.96020408163265347</v>
      </c>
      <c r="R50" s="619"/>
      <c r="S50" s="31">
        <v>0.74652777777777757</v>
      </c>
      <c r="T50" s="31">
        <v>0.78055555555555534</v>
      </c>
      <c r="U50" s="206">
        <f t="shared" si="30"/>
        <v>5.9999999999999787</v>
      </c>
      <c r="V50" s="208">
        <f t="shared" si="29"/>
        <v>48.999999999999986</v>
      </c>
      <c r="W50" s="17"/>
      <c r="X50" s="17"/>
      <c r="Y50" s="20"/>
      <c r="Z50" s="20"/>
      <c r="AA50" s="614"/>
      <c r="AB50" s="615"/>
      <c r="AC50" s="19"/>
      <c r="AD50" s="19"/>
      <c r="AE50" s="15">
        <f t="shared" si="8"/>
        <v>-95.510204081631855</v>
      </c>
      <c r="AF50" s="207">
        <f t="shared" si="9"/>
        <v>0.96020408163265336</v>
      </c>
      <c r="AG50" s="619"/>
    </row>
    <row r="51" spans="1:33">
      <c r="A51" s="634" t="s">
        <v>866</v>
      </c>
      <c r="B51" s="34" t="s">
        <v>867</v>
      </c>
      <c r="C51" s="620"/>
      <c r="D51" s="620"/>
      <c r="E51" s="213"/>
      <c r="F51" s="34"/>
      <c r="G51" s="13"/>
      <c r="H51" s="210"/>
      <c r="I51" s="23">
        <v>16.636363636363637</v>
      </c>
      <c r="J51" s="30">
        <v>2254.5454545454545</v>
      </c>
      <c r="K51" s="13">
        <f t="shared" si="1"/>
        <v>135.51912568306011</v>
      </c>
      <c r="L51" s="23">
        <v>16.636363636363637</v>
      </c>
      <c r="M51" s="14">
        <f>AVERAGE(M40:M50)</f>
        <v>2160.6258331497206</v>
      </c>
      <c r="N51" s="13">
        <f t="shared" si="3"/>
        <v>129.87368395981926</v>
      </c>
      <c r="O51" s="15">
        <f t="shared" si="4"/>
        <v>0</v>
      </c>
      <c r="P51" s="16">
        <f t="shared" si="5"/>
        <v>-5.6454417232408503</v>
      </c>
      <c r="Q51" s="207">
        <f t="shared" si="6"/>
        <v>0.95834210341318249</v>
      </c>
      <c r="R51" s="619"/>
      <c r="S51" s="31"/>
      <c r="T51" s="31"/>
      <c r="U51" s="13"/>
      <c r="V51" s="208"/>
      <c r="W51" s="13"/>
      <c r="X51" s="13"/>
      <c r="Y51" s="24">
        <f>SUM(Y40:Y50)</f>
        <v>0</v>
      </c>
      <c r="Z51" s="24">
        <f>SUM(Z40:Z50)</f>
        <v>0</v>
      </c>
      <c r="AA51" s="609"/>
      <c r="AB51" s="609"/>
      <c r="AC51" s="24">
        <v>11</v>
      </c>
      <c r="AD51" s="24">
        <f>SUM(AD40:AD50)</f>
        <v>0</v>
      </c>
      <c r="AE51" s="15">
        <f t="shared" si="8"/>
        <v>-93.919621395733884</v>
      </c>
      <c r="AF51" s="207">
        <f t="shared" si="9"/>
        <v>0.9583421034131826</v>
      </c>
      <c r="AG51" s="619"/>
    </row>
    <row r="52" spans="1:33" ht="15.75" customHeight="1">
      <c r="A52" s="630" t="s">
        <v>868</v>
      </c>
      <c r="B52" s="33" t="s">
        <v>36</v>
      </c>
      <c r="C52" s="612" t="s">
        <v>37</v>
      </c>
      <c r="D52" s="613"/>
      <c r="E52" s="33">
        <v>21.13</v>
      </c>
      <c r="F52" s="210">
        <v>6331</v>
      </c>
      <c r="G52" s="206">
        <f t="shared" ref="G52:G54" si="31">E52*F52</f>
        <v>133774.03</v>
      </c>
      <c r="H52" s="29" t="s">
        <v>5</v>
      </c>
      <c r="I52" s="205">
        <v>10</v>
      </c>
      <c r="J52" s="30">
        <v>3000</v>
      </c>
      <c r="K52" s="13">
        <f t="shared" si="1"/>
        <v>300</v>
      </c>
      <c r="L52" s="205">
        <v>10</v>
      </c>
      <c r="M52" s="14">
        <f t="shared" ref="M52:M54" si="32">F52/V52*60</f>
        <v>2856.0902255639085</v>
      </c>
      <c r="N52" s="14">
        <f t="shared" si="3"/>
        <v>285.60902255639087</v>
      </c>
      <c r="O52" s="15">
        <f t="shared" si="4"/>
        <v>0</v>
      </c>
      <c r="P52" s="16">
        <f t="shared" si="5"/>
        <v>-14.390977443609131</v>
      </c>
      <c r="Q52" s="207">
        <f t="shared" si="6"/>
        <v>0.95203007518796956</v>
      </c>
      <c r="R52" s="625">
        <f>Q55</f>
        <v>0.95503468259690316</v>
      </c>
      <c r="S52" s="31">
        <v>0.20833333333333334</v>
      </c>
      <c r="T52" s="31">
        <v>0.30069444444444449</v>
      </c>
      <c r="U52" s="22"/>
      <c r="V52" s="208">
        <f t="shared" ref="V52:V54" si="33">(T52-S52)*24*60</f>
        <v>133.00000000000006</v>
      </c>
      <c r="W52" s="17"/>
      <c r="X52" s="17"/>
      <c r="Y52" s="20"/>
      <c r="Z52" s="20"/>
      <c r="AA52" s="614"/>
      <c r="AB52" s="615"/>
      <c r="AC52" s="19">
        <v>3</v>
      </c>
      <c r="AD52" s="19"/>
      <c r="AE52" s="15">
        <f t="shared" si="8"/>
        <v>-143.90977443609154</v>
      </c>
      <c r="AF52" s="207">
        <f t="shared" si="9"/>
        <v>0.95203007518796945</v>
      </c>
      <c r="AG52" s="625">
        <f>AF55</f>
        <v>0.95503468259690316</v>
      </c>
    </row>
    <row r="53" spans="1:33" ht="15.75" customHeight="1">
      <c r="A53" s="631" t="s">
        <v>868</v>
      </c>
      <c r="B53" s="33" t="s">
        <v>36</v>
      </c>
      <c r="C53" s="612" t="s">
        <v>38</v>
      </c>
      <c r="D53" s="613"/>
      <c r="E53" s="33">
        <v>27.17</v>
      </c>
      <c r="F53" s="210">
        <v>7146</v>
      </c>
      <c r="G53" s="206">
        <f t="shared" si="31"/>
        <v>194156.82</v>
      </c>
      <c r="H53" s="29" t="s">
        <v>5</v>
      </c>
      <c r="I53" s="205">
        <v>10</v>
      </c>
      <c r="J53" s="30">
        <v>3000</v>
      </c>
      <c r="K53" s="13">
        <f t="shared" si="1"/>
        <v>300</v>
      </c>
      <c r="L53" s="205">
        <v>10</v>
      </c>
      <c r="M53" s="14">
        <f t="shared" si="32"/>
        <v>2858.3999999999996</v>
      </c>
      <c r="N53" s="14">
        <f t="shared" si="3"/>
        <v>285.83999999999997</v>
      </c>
      <c r="O53" s="15">
        <f t="shared" si="4"/>
        <v>0</v>
      </c>
      <c r="P53" s="16">
        <f t="shared" si="5"/>
        <v>-14.160000000000025</v>
      </c>
      <c r="Q53" s="207">
        <f t="shared" si="6"/>
        <v>0.95279999999999987</v>
      </c>
      <c r="R53" s="626"/>
      <c r="S53" s="31">
        <v>0.30625000000000002</v>
      </c>
      <c r="T53" s="31">
        <v>0.41041666666666671</v>
      </c>
      <c r="U53" s="206">
        <f t="shared" ref="U53:U54" si="34">(S53-T52)*24*60</f>
        <v>7.9999999999999716</v>
      </c>
      <c r="V53" s="208">
        <f t="shared" si="33"/>
        <v>150.00000000000003</v>
      </c>
      <c r="W53" s="17"/>
      <c r="X53" s="17"/>
      <c r="Y53" s="20"/>
      <c r="Z53" s="20"/>
      <c r="AA53" s="614"/>
      <c r="AB53" s="615"/>
      <c r="AC53" s="19"/>
      <c r="AD53" s="19"/>
      <c r="AE53" s="15">
        <f t="shared" si="8"/>
        <v>-141.60000000000036</v>
      </c>
      <c r="AF53" s="207">
        <f t="shared" si="9"/>
        <v>0.95279999999999987</v>
      </c>
      <c r="AG53" s="626"/>
    </row>
    <row r="54" spans="1:33" ht="15.75" customHeight="1">
      <c r="A54" s="631" t="s">
        <v>868</v>
      </c>
      <c r="B54" s="33" t="s">
        <v>36</v>
      </c>
      <c r="C54" s="612" t="s">
        <v>49</v>
      </c>
      <c r="D54" s="613"/>
      <c r="E54" s="33">
        <v>35.869999999999997</v>
      </c>
      <c r="F54" s="210">
        <v>3505</v>
      </c>
      <c r="G54" s="206">
        <f t="shared" si="31"/>
        <v>125724.34999999999</v>
      </c>
      <c r="H54" s="29" t="s">
        <v>5</v>
      </c>
      <c r="I54" s="205">
        <v>10</v>
      </c>
      <c r="J54" s="30">
        <v>3000</v>
      </c>
      <c r="K54" s="13">
        <f t="shared" si="1"/>
        <v>300</v>
      </c>
      <c r="L54" s="205">
        <v>10</v>
      </c>
      <c r="M54" s="14">
        <f t="shared" si="32"/>
        <v>2880.8219178082195</v>
      </c>
      <c r="N54" s="14">
        <f t="shared" si="3"/>
        <v>288.08219178082197</v>
      </c>
      <c r="O54" s="15">
        <f t="shared" si="4"/>
        <v>0</v>
      </c>
      <c r="P54" s="16">
        <f t="shared" si="5"/>
        <v>-11.917808219178028</v>
      </c>
      <c r="Q54" s="207">
        <f t="shared" si="6"/>
        <v>0.96027397260273994</v>
      </c>
      <c r="R54" s="626"/>
      <c r="S54" s="31">
        <v>0.41388888888888892</v>
      </c>
      <c r="T54" s="31">
        <v>0.46458333333333335</v>
      </c>
      <c r="U54" s="206">
        <f t="shared" si="34"/>
        <v>4.9999999999999822</v>
      </c>
      <c r="V54" s="208">
        <f t="shared" si="33"/>
        <v>72.999999999999986</v>
      </c>
      <c r="W54" s="17"/>
      <c r="X54" s="17"/>
      <c r="Y54" s="20"/>
      <c r="Z54" s="20"/>
      <c r="AA54" s="614"/>
      <c r="AB54" s="615"/>
      <c r="AC54" s="19"/>
      <c r="AD54" s="19"/>
      <c r="AE54" s="15">
        <f t="shared" si="8"/>
        <v>-119.1780821917805</v>
      </c>
      <c r="AF54" s="207">
        <f t="shared" si="9"/>
        <v>0.96027397260273983</v>
      </c>
      <c r="AG54" s="626"/>
    </row>
    <row r="55" spans="1:33" ht="15.75" customHeight="1">
      <c r="A55" s="632" t="s">
        <v>869</v>
      </c>
      <c r="B55" s="33" t="s">
        <v>870</v>
      </c>
      <c r="C55" s="607"/>
      <c r="D55" s="608"/>
      <c r="E55" s="216"/>
      <c r="F55" s="210"/>
      <c r="G55" s="206"/>
      <c r="H55" s="210"/>
      <c r="I55" s="23">
        <v>10</v>
      </c>
      <c r="J55" s="30">
        <v>3000</v>
      </c>
      <c r="K55" s="13">
        <f t="shared" si="1"/>
        <v>300</v>
      </c>
      <c r="L55" s="23">
        <v>10</v>
      </c>
      <c r="M55" s="14">
        <f>AVERAGE(M52:M54)</f>
        <v>2865.1040477907095</v>
      </c>
      <c r="N55" s="13">
        <f t="shared" si="3"/>
        <v>286.51040477907094</v>
      </c>
      <c r="O55" s="15">
        <f t="shared" si="4"/>
        <v>0</v>
      </c>
      <c r="P55" s="16">
        <f t="shared" si="5"/>
        <v>-13.489595220929061</v>
      </c>
      <c r="Q55" s="207">
        <f t="shared" si="6"/>
        <v>0.95503468259690316</v>
      </c>
      <c r="R55" s="627"/>
      <c r="S55" s="31"/>
      <c r="T55" s="31"/>
      <c r="U55" s="206"/>
      <c r="V55" s="208"/>
      <c r="W55" s="17"/>
      <c r="X55" s="17"/>
      <c r="Y55" s="24">
        <f>SUM(Y52:Y54)</f>
        <v>0</v>
      </c>
      <c r="Z55" s="24">
        <f>SUM(Z52:Z54)</f>
        <v>0</v>
      </c>
      <c r="AA55" s="628"/>
      <c r="AB55" s="629"/>
      <c r="AC55" s="24">
        <v>3</v>
      </c>
      <c r="AD55" s="24">
        <f>SUM(AD52:AD54)</f>
        <v>0</v>
      </c>
      <c r="AE55" s="15">
        <f t="shared" si="8"/>
        <v>-134.8959522092905</v>
      </c>
      <c r="AF55" s="207">
        <f t="shared" si="9"/>
        <v>0.95503468259690316</v>
      </c>
      <c r="AG55" s="627"/>
    </row>
    <row r="56" spans="1:33" ht="15.75" customHeight="1">
      <c r="A56" s="623" t="s">
        <v>871</v>
      </c>
      <c r="B56" s="33" t="s">
        <v>6</v>
      </c>
      <c r="C56" s="611" t="s">
        <v>41</v>
      </c>
      <c r="D56" s="611"/>
      <c r="E56" s="33">
        <v>51.44</v>
      </c>
      <c r="F56" s="35">
        <v>1568</v>
      </c>
      <c r="G56" s="206">
        <f t="shared" ref="G56:G64" si="35">E56*F56</f>
        <v>80657.919999999998</v>
      </c>
      <c r="H56" s="29" t="s">
        <v>5</v>
      </c>
      <c r="I56" s="205">
        <v>25</v>
      </c>
      <c r="J56" s="30">
        <v>2000</v>
      </c>
      <c r="K56" s="13">
        <f t="shared" si="1"/>
        <v>80</v>
      </c>
      <c r="L56" s="205">
        <v>25</v>
      </c>
      <c r="M56" s="14">
        <f t="shared" ref="M56" si="36">F56/V56*60</f>
        <v>1920.0000000000005</v>
      </c>
      <c r="N56" s="14">
        <f t="shared" si="3"/>
        <v>76.800000000000011</v>
      </c>
      <c r="O56" s="15">
        <f t="shared" si="4"/>
        <v>0</v>
      </c>
      <c r="P56" s="16">
        <f t="shared" si="5"/>
        <v>-3.1999999999999886</v>
      </c>
      <c r="Q56" s="207">
        <f t="shared" si="6"/>
        <v>0.96000000000000019</v>
      </c>
      <c r="R56" s="619">
        <f>Q65</f>
        <v>0.9616437635003281</v>
      </c>
      <c r="S56" s="31">
        <v>0.20833333333333334</v>
      </c>
      <c r="T56" s="31">
        <v>0.24236111111111111</v>
      </c>
      <c r="U56" s="22"/>
      <c r="V56" s="208">
        <f t="shared" ref="V56:V64" si="37">(T56-S56)*24*60</f>
        <v>48.999999999999986</v>
      </c>
      <c r="W56" s="17"/>
      <c r="X56" s="17"/>
      <c r="Y56" s="22"/>
      <c r="Z56" s="22"/>
      <c r="AA56" s="610"/>
      <c r="AB56" s="610"/>
      <c r="AC56" s="19">
        <v>9</v>
      </c>
      <c r="AD56" s="19"/>
      <c r="AE56" s="15">
        <f t="shared" si="8"/>
        <v>-79.999999999999545</v>
      </c>
      <c r="AF56" s="207">
        <f t="shared" si="9"/>
        <v>0.96000000000000019</v>
      </c>
      <c r="AG56" s="619">
        <f>AF65</f>
        <v>0.9616437635003281</v>
      </c>
    </row>
    <row r="57" spans="1:33" ht="15.75" customHeight="1">
      <c r="A57" s="623" t="s">
        <v>872</v>
      </c>
      <c r="B57" s="33" t="s">
        <v>6</v>
      </c>
      <c r="C57" s="611" t="s">
        <v>77</v>
      </c>
      <c r="D57" s="611"/>
      <c r="E57" s="33">
        <v>56.43</v>
      </c>
      <c r="F57" s="35">
        <v>1800</v>
      </c>
      <c r="G57" s="206">
        <f t="shared" si="35"/>
        <v>101574</v>
      </c>
      <c r="H57" s="29" t="s">
        <v>5</v>
      </c>
      <c r="I57" s="205">
        <v>23</v>
      </c>
      <c r="J57" s="30">
        <v>2000</v>
      </c>
      <c r="K57" s="13">
        <f t="shared" si="1"/>
        <v>86.956521739130437</v>
      </c>
      <c r="L57" s="205">
        <v>23</v>
      </c>
      <c r="M57" s="14">
        <f>F57/V57*60</f>
        <v>1928.57142857143</v>
      </c>
      <c r="N57" s="14">
        <f t="shared" si="3"/>
        <v>83.850931677018693</v>
      </c>
      <c r="O57" s="15">
        <f t="shared" si="4"/>
        <v>0</v>
      </c>
      <c r="P57" s="16">
        <f t="shared" si="5"/>
        <v>-3.1055900621117445</v>
      </c>
      <c r="Q57" s="207">
        <f t="shared" si="6"/>
        <v>0.96428571428571497</v>
      </c>
      <c r="R57" s="619"/>
      <c r="S57" s="31">
        <v>0.24722222222222223</v>
      </c>
      <c r="T57" s="31">
        <v>0.28611111111111109</v>
      </c>
      <c r="U57" s="206">
        <f t="shared" ref="U57:U64" si="38">IF(S57=TIME(17,0,0),"",(S57-T56)*24*60)</f>
        <v>7.0000000000000151</v>
      </c>
      <c r="V57" s="208">
        <f t="shared" si="37"/>
        <v>55.999999999999957</v>
      </c>
      <c r="W57" s="17"/>
      <c r="X57" s="17"/>
      <c r="Y57" s="17"/>
      <c r="Z57" s="17"/>
      <c r="AA57" s="610"/>
      <c r="AB57" s="610"/>
      <c r="AC57" s="19"/>
      <c r="AD57" s="19"/>
      <c r="AE57" s="15">
        <f t="shared" si="8"/>
        <v>-71.428571428569967</v>
      </c>
      <c r="AF57" s="207">
        <f t="shared" si="9"/>
        <v>0.96428571428571497</v>
      </c>
      <c r="AG57" s="619"/>
    </row>
    <row r="58" spans="1:33" ht="15.75" customHeight="1">
      <c r="A58" s="623" t="s">
        <v>871</v>
      </c>
      <c r="B58" s="33" t="s">
        <v>6</v>
      </c>
      <c r="C58" s="612" t="s">
        <v>73</v>
      </c>
      <c r="D58" s="613"/>
      <c r="E58" s="33">
        <v>56.43</v>
      </c>
      <c r="F58" s="35">
        <v>1593</v>
      </c>
      <c r="G58" s="206">
        <f t="shared" si="35"/>
        <v>89892.99</v>
      </c>
      <c r="H58" s="29" t="s">
        <v>5</v>
      </c>
      <c r="I58" s="205">
        <v>25</v>
      </c>
      <c r="J58" s="30">
        <v>2000</v>
      </c>
      <c r="K58" s="13">
        <f t="shared" si="1"/>
        <v>80</v>
      </c>
      <c r="L58" s="205">
        <v>25</v>
      </c>
      <c r="M58" s="14">
        <f t="shared" ref="M58:M64" si="39">F58/V58*60</f>
        <v>1911.6000000000006</v>
      </c>
      <c r="N58" s="14">
        <f t="shared" si="3"/>
        <v>76.464000000000027</v>
      </c>
      <c r="O58" s="15">
        <f t="shared" si="4"/>
        <v>0</v>
      </c>
      <c r="P58" s="16">
        <f t="shared" si="5"/>
        <v>-3.5359999999999729</v>
      </c>
      <c r="Q58" s="207">
        <f t="shared" si="6"/>
        <v>0.95580000000000032</v>
      </c>
      <c r="R58" s="619"/>
      <c r="S58" s="31">
        <v>0.2895833333333333</v>
      </c>
      <c r="T58" s="31">
        <v>0.32430555555555551</v>
      </c>
      <c r="U58" s="206">
        <f t="shared" si="38"/>
        <v>4.9999999999999822</v>
      </c>
      <c r="V58" s="208">
        <f t="shared" si="37"/>
        <v>49.999999999999986</v>
      </c>
      <c r="W58" s="17"/>
      <c r="X58" s="17"/>
      <c r="Y58" s="20"/>
      <c r="Z58" s="20"/>
      <c r="AA58" s="610"/>
      <c r="AB58" s="610"/>
      <c r="AC58" s="19"/>
      <c r="AD58" s="19"/>
      <c r="AE58" s="15">
        <f t="shared" si="8"/>
        <v>-88.399999999999409</v>
      </c>
      <c r="AF58" s="207">
        <f t="shared" si="9"/>
        <v>0.95580000000000032</v>
      </c>
      <c r="AG58" s="619"/>
    </row>
    <row r="59" spans="1:33" ht="15.75" customHeight="1">
      <c r="A59" s="623" t="s">
        <v>872</v>
      </c>
      <c r="B59" s="33" t="s">
        <v>10</v>
      </c>
      <c r="C59" s="214" t="s">
        <v>42</v>
      </c>
      <c r="D59" s="215"/>
      <c r="E59" s="33">
        <v>46</v>
      </c>
      <c r="F59" s="35">
        <v>1473</v>
      </c>
      <c r="G59" s="206">
        <f t="shared" si="35"/>
        <v>67758</v>
      </c>
      <c r="H59" s="29" t="s">
        <v>5</v>
      </c>
      <c r="I59" s="205">
        <v>16</v>
      </c>
      <c r="J59" s="30">
        <v>2000</v>
      </c>
      <c r="K59" s="13">
        <f t="shared" si="1"/>
        <v>125</v>
      </c>
      <c r="L59" s="205">
        <v>16</v>
      </c>
      <c r="M59" s="14">
        <f t="shared" si="39"/>
        <v>1921.304347826087</v>
      </c>
      <c r="N59" s="14">
        <f t="shared" si="3"/>
        <v>120.08152173913044</v>
      </c>
      <c r="O59" s="15">
        <f t="shared" si="4"/>
        <v>0</v>
      </c>
      <c r="P59" s="16">
        <f t="shared" si="5"/>
        <v>-4.9184782608695627</v>
      </c>
      <c r="Q59" s="207">
        <f t="shared" si="6"/>
        <v>0.96065217391304347</v>
      </c>
      <c r="R59" s="619"/>
      <c r="S59" s="31">
        <v>0.32777777777777772</v>
      </c>
      <c r="T59" s="31">
        <v>0.35972222222222217</v>
      </c>
      <c r="U59" s="206">
        <f t="shared" si="38"/>
        <v>4.9999999999999822</v>
      </c>
      <c r="V59" s="208">
        <f t="shared" si="37"/>
        <v>46</v>
      </c>
      <c r="W59" s="17"/>
      <c r="X59" s="17"/>
      <c r="Y59" s="20"/>
      <c r="Z59" s="20"/>
      <c r="AA59" s="610"/>
      <c r="AB59" s="610"/>
      <c r="AC59" s="19"/>
      <c r="AD59" s="19"/>
      <c r="AE59" s="15">
        <f t="shared" si="8"/>
        <v>-78.695652173913004</v>
      </c>
      <c r="AF59" s="207">
        <f t="shared" si="9"/>
        <v>0.96065217391304347</v>
      </c>
      <c r="AG59" s="619"/>
    </row>
    <row r="60" spans="1:33" ht="15.75" customHeight="1">
      <c r="A60" s="623" t="s">
        <v>872</v>
      </c>
      <c r="B60" s="33" t="s">
        <v>10</v>
      </c>
      <c r="C60" s="214" t="s">
        <v>43</v>
      </c>
      <c r="D60" s="215"/>
      <c r="E60" s="33">
        <v>46</v>
      </c>
      <c r="F60" s="35">
        <v>1483</v>
      </c>
      <c r="G60" s="206">
        <f t="shared" si="35"/>
        <v>68218</v>
      </c>
      <c r="H60" s="29" t="s">
        <v>5</v>
      </c>
      <c r="I60" s="205">
        <v>17</v>
      </c>
      <c r="J60" s="30">
        <v>2000</v>
      </c>
      <c r="K60" s="13">
        <f t="shared" si="1"/>
        <v>117.64705882352941</v>
      </c>
      <c r="L60" s="205">
        <v>17</v>
      </c>
      <c r="M60" s="14">
        <f t="shared" si="39"/>
        <v>1934.3478260869565</v>
      </c>
      <c r="N60" s="14">
        <f t="shared" si="3"/>
        <v>113.78516624040921</v>
      </c>
      <c r="O60" s="15">
        <f t="shared" si="4"/>
        <v>0</v>
      </c>
      <c r="P60" s="16">
        <f t="shared" si="5"/>
        <v>-3.8618925831201949</v>
      </c>
      <c r="Q60" s="207">
        <f t="shared" si="6"/>
        <v>0.96717391304347833</v>
      </c>
      <c r="R60" s="619"/>
      <c r="S60" s="31">
        <v>0.3652777777777777</v>
      </c>
      <c r="T60" s="31">
        <v>0.39722222222222214</v>
      </c>
      <c r="U60" s="206">
        <f t="shared" si="38"/>
        <v>7.9999999999999716</v>
      </c>
      <c r="V60" s="208">
        <f t="shared" si="37"/>
        <v>46</v>
      </c>
      <c r="W60" s="17"/>
      <c r="X60" s="17"/>
      <c r="Y60" s="20"/>
      <c r="Z60" s="20"/>
      <c r="AA60" s="610"/>
      <c r="AB60" s="610"/>
      <c r="AC60" s="19"/>
      <c r="AD60" s="19"/>
      <c r="AE60" s="15">
        <f t="shared" si="8"/>
        <v>-65.652173913043498</v>
      </c>
      <c r="AF60" s="207">
        <f t="shared" si="9"/>
        <v>0.96717391304347822</v>
      </c>
      <c r="AG60" s="619"/>
    </row>
    <row r="61" spans="1:33" ht="15.75" customHeight="1">
      <c r="A61" s="623" t="s">
        <v>871</v>
      </c>
      <c r="B61" s="33" t="s">
        <v>6</v>
      </c>
      <c r="C61" s="612" t="s">
        <v>44</v>
      </c>
      <c r="D61" s="613"/>
      <c r="E61" s="33">
        <v>55.56</v>
      </c>
      <c r="F61" s="35">
        <v>1000</v>
      </c>
      <c r="G61" s="206">
        <f t="shared" si="35"/>
        <v>55560</v>
      </c>
      <c r="H61" s="29">
        <v>2</v>
      </c>
      <c r="I61" s="205">
        <v>17</v>
      </c>
      <c r="J61" s="30">
        <v>2000</v>
      </c>
      <c r="K61" s="13">
        <f t="shared" si="1"/>
        <v>117.64705882352941</v>
      </c>
      <c r="L61" s="205">
        <v>17</v>
      </c>
      <c r="M61" s="14">
        <f t="shared" si="39"/>
        <v>1935.483870967739</v>
      </c>
      <c r="N61" s="14">
        <f t="shared" si="3"/>
        <v>113.85199240986699</v>
      </c>
      <c r="O61" s="15">
        <f t="shared" si="4"/>
        <v>0</v>
      </c>
      <c r="P61" s="16">
        <f t="shared" si="5"/>
        <v>-3.7950664136624113</v>
      </c>
      <c r="Q61" s="207">
        <f t="shared" si="6"/>
        <v>0.96774193548386955</v>
      </c>
      <c r="R61" s="619"/>
      <c r="S61" s="31">
        <v>0.70833333333333337</v>
      </c>
      <c r="T61" s="31">
        <v>0.72986111111111118</v>
      </c>
      <c r="U61" s="206" t="str">
        <f t="shared" si="38"/>
        <v/>
      </c>
      <c r="V61" s="208">
        <f t="shared" si="37"/>
        <v>31.00000000000005</v>
      </c>
      <c r="W61" s="17"/>
      <c r="X61" s="17"/>
      <c r="Y61" s="20"/>
      <c r="Z61" s="20"/>
      <c r="AA61" s="614"/>
      <c r="AB61" s="615"/>
      <c r="AC61" s="19"/>
      <c r="AD61" s="19"/>
      <c r="AE61" s="15">
        <f t="shared" si="8"/>
        <v>-64.516129032261006</v>
      </c>
      <c r="AF61" s="207">
        <f t="shared" si="9"/>
        <v>0.96774193548386944</v>
      </c>
      <c r="AG61" s="619"/>
    </row>
    <row r="62" spans="1:33" ht="15.75" customHeight="1">
      <c r="A62" s="623" t="s">
        <v>871</v>
      </c>
      <c r="B62" s="33" t="s">
        <v>6</v>
      </c>
      <c r="C62" s="612" t="s">
        <v>72</v>
      </c>
      <c r="D62" s="613"/>
      <c r="E62" s="33">
        <v>58.17</v>
      </c>
      <c r="F62" s="35">
        <v>2339</v>
      </c>
      <c r="G62" s="206">
        <f t="shared" si="35"/>
        <v>136059.63</v>
      </c>
      <c r="H62" s="29" t="s">
        <v>5</v>
      </c>
      <c r="I62" s="205">
        <v>13</v>
      </c>
      <c r="J62" s="30">
        <v>2000</v>
      </c>
      <c r="K62" s="13">
        <f t="shared" si="1"/>
        <v>153.84615384615384</v>
      </c>
      <c r="L62" s="205">
        <v>13</v>
      </c>
      <c r="M62" s="14">
        <f t="shared" si="39"/>
        <v>1922.4657534246562</v>
      </c>
      <c r="N62" s="14">
        <f t="shared" si="3"/>
        <v>147.88198103266586</v>
      </c>
      <c r="O62" s="15">
        <f t="shared" si="4"/>
        <v>0</v>
      </c>
      <c r="P62" s="16">
        <f t="shared" si="5"/>
        <v>-5.964172813487977</v>
      </c>
      <c r="Q62" s="207">
        <f t="shared" si="6"/>
        <v>0.96123287671232815</v>
      </c>
      <c r="R62" s="619"/>
      <c r="S62" s="31">
        <v>0.73402777777777783</v>
      </c>
      <c r="T62" s="31">
        <v>0.78472222222222232</v>
      </c>
      <c r="U62" s="206">
        <f t="shared" si="38"/>
        <v>5.9999999999999787</v>
      </c>
      <c r="V62" s="208">
        <f t="shared" si="37"/>
        <v>73.000000000000057</v>
      </c>
      <c r="W62" s="17"/>
      <c r="X62" s="17"/>
      <c r="Y62" s="20"/>
      <c r="Z62" s="20"/>
      <c r="AA62" s="614"/>
      <c r="AB62" s="615"/>
      <c r="AC62" s="19"/>
      <c r="AD62" s="19"/>
      <c r="AE62" s="15">
        <f t="shared" si="8"/>
        <v>-77.534246575343786</v>
      </c>
      <c r="AF62" s="207">
        <f t="shared" si="9"/>
        <v>0.96123287671232815</v>
      </c>
      <c r="AG62" s="619"/>
    </row>
    <row r="63" spans="1:33" ht="15.75" customHeight="1">
      <c r="A63" s="623" t="s">
        <v>871</v>
      </c>
      <c r="B63" s="33" t="s">
        <v>6</v>
      </c>
      <c r="C63" s="612" t="s">
        <v>82</v>
      </c>
      <c r="D63" s="613"/>
      <c r="E63" s="33">
        <v>54.09</v>
      </c>
      <c r="F63" s="35">
        <v>2557</v>
      </c>
      <c r="G63" s="206">
        <f t="shared" si="35"/>
        <v>138308.13</v>
      </c>
      <c r="H63" s="29" t="s">
        <v>5</v>
      </c>
      <c r="I63" s="205">
        <v>14</v>
      </c>
      <c r="J63" s="30">
        <v>2000</v>
      </c>
      <c r="K63" s="13">
        <f t="shared" si="1"/>
        <v>142.85714285714286</v>
      </c>
      <c r="L63" s="205">
        <v>14</v>
      </c>
      <c r="M63" s="14">
        <f t="shared" si="39"/>
        <v>1917.7499999999993</v>
      </c>
      <c r="N63" s="14">
        <f t="shared" si="3"/>
        <v>136.9821428571428</v>
      </c>
      <c r="O63" s="15">
        <f t="shared" si="4"/>
        <v>0</v>
      </c>
      <c r="P63" s="16">
        <f t="shared" si="5"/>
        <v>-5.8750000000000568</v>
      </c>
      <c r="Q63" s="207">
        <f t="shared" si="6"/>
        <v>0.95887499999999959</v>
      </c>
      <c r="R63" s="619"/>
      <c r="S63" s="31">
        <v>0.78819444444444453</v>
      </c>
      <c r="T63" s="31">
        <v>0.84375000000000011</v>
      </c>
      <c r="U63" s="206">
        <f t="shared" si="38"/>
        <v>4.9999999999999822</v>
      </c>
      <c r="V63" s="208">
        <f t="shared" si="37"/>
        <v>80.000000000000028</v>
      </c>
      <c r="W63" s="17">
        <f>T63</f>
        <v>0.84375000000000011</v>
      </c>
      <c r="X63" s="17">
        <f>S64</f>
        <v>0.88263888888888897</v>
      </c>
      <c r="Y63" s="20"/>
      <c r="Z63" s="20"/>
      <c r="AA63" s="614"/>
      <c r="AB63" s="615"/>
      <c r="AC63" s="19"/>
      <c r="AD63" s="19"/>
      <c r="AE63" s="15">
        <f t="shared" si="8"/>
        <v>-82.250000000000682</v>
      </c>
      <c r="AF63" s="207">
        <f t="shared" si="9"/>
        <v>0.9588749999999997</v>
      </c>
      <c r="AG63" s="619"/>
    </row>
    <row r="64" spans="1:33">
      <c r="A64" s="623" t="s">
        <v>872</v>
      </c>
      <c r="B64" s="33" t="s">
        <v>6</v>
      </c>
      <c r="C64" s="214" t="s">
        <v>44</v>
      </c>
      <c r="D64" s="215"/>
      <c r="E64" s="33">
        <v>55.56</v>
      </c>
      <c r="F64" s="35">
        <v>1982</v>
      </c>
      <c r="G64" s="206">
        <f t="shared" si="35"/>
        <v>110119.92</v>
      </c>
      <c r="H64" s="29" t="s">
        <v>5</v>
      </c>
      <c r="I64" s="205">
        <v>17</v>
      </c>
      <c r="J64" s="30">
        <v>2000</v>
      </c>
      <c r="K64" s="13">
        <f t="shared" si="1"/>
        <v>117.64705882352941</v>
      </c>
      <c r="L64" s="205">
        <v>17</v>
      </c>
      <c r="M64" s="14">
        <f t="shared" si="39"/>
        <v>1918.064516129034</v>
      </c>
      <c r="N64" s="14">
        <f t="shared" si="3"/>
        <v>112.82732447817847</v>
      </c>
      <c r="O64" s="15">
        <f t="shared" si="4"/>
        <v>0</v>
      </c>
      <c r="P64" s="16">
        <f t="shared" si="5"/>
        <v>-4.8197343453509376</v>
      </c>
      <c r="Q64" s="207">
        <f t="shared" si="6"/>
        <v>0.95903225806451697</v>
      </c>
      <c r="R64" s="619"/>
      <c r="S64" s="31">
        <v>0.88263888888888897</v>
      </c>
      <c r="T64" s="31">
        <v>0.92569444444444449</v>
      </c>
      <c r="U64" s="206">
        <f t="shared" si="38"/>
        <v>55.999999999999957</v>
      </c>
      <c r="V64" s="208">
        <f t="shared" si="37"/>
        <v>61.999999999999943</v>
      </c>
      <c r="W64" s="17"/>
      <c r="X64" s="17"/>
      <c r="Y64" s="20"/>
      <c r="Z64" s="20"/>
      <c r="AA64" s="211"/>
      <c r="AB64" s="212"/>
      <c r="AC64" s="19"/>
      <c r="AD64" s="19"/>
      <c r="AE64" s="15">
        <f t="shared" si="8"/>
        <v>-81.935483870965982</v>
      </c>
      <c r="AF64" s="207">
        <f t="shared" si="9"/>
        <v>0.95903225806451697</v>
      </c>
      <c r="AG64" s="619"/>
    </row>
    <row r="65" spans="1:33">
      <c r="A65" s="624" t="s">
        <v>872</v>
      </c>
      <c r="B65" s="33" t="s">
        <v>867</v>
      </c>
      <c r="C65" s="620"/>
      <c r="D65" s="620"/>
      <c r="E65" s="213"/>
      <c r="F65" s="34"/>
      <c r="G65" s="13"/>
      <c r="H65" s="210"/>
      <c r="I65" s="23">
        <v>18.555555555555557</v>
      </c>
      <c r="J65" s="30">
        <v>2000</v>
      </c>
      <c r="K65" s="13">
        <f t="shared" si="1"/>
        <v>107.78443113772454</v>
      </c>
      <c r="L65" s="23">
        <v>18.555555555555557</v>
      </c>
      <c r="M65" s="14">
        <f>AVERAGE(M56:M64)</f>
        <v>1923.2875270006562</v>
      </c>
      <c r="N65" s="13">
        <f t="shared" si="3"/>
        <v>103.65022600602337</v>
      </c>
      <c r="O65" s="15">
        <f t="shared" si="4"/>
        <v>0</v>
      </c>
      <c r="P65" s="16">
        <f t="shared" si="5"/>
        <v>-4.1342051317011652</v>
      </c>
      <c r="Q65" s="207">
        <f t="shared" si="6"/>
        <v>0.9616437635003281</v>
      </c>
      <c r="R65" s="619"/>
      <c r="S65" s="31"/>
      <c r="T65" s="31"/>
      <c r="U65" s="206"/>
      <c r="V65" s="208"/>
      <c r="W65" s="13"/>
      <c r="X65" s="13"/>
      <c r="Y65" s="24">
        <f>SUM(Y56:Y64)</f>
        <v>0</v>
      </c>
      <c r="Z65" s="24">
        <f>SUM(Z56:Z64)</f>
        <v>0</v>
      </c>
      <c r="AA65" s="609"/>
      <c r="AB65" s="609"/>
      <c r="AC65" s="24">
        <v>9</v>
      </c>
      <c r="AD65" s="24">
        <f>SUM(AD56:AD64)</f>
        <v>0</v>
      </c>
      <c r="AE65" s="15">
        <f>M65-J65</f>
        <v>-76.712472999343845</v>
      </c>
      <c r="AF65" s="207">
        <f t="shared" si="9"/>
        <v>0.9616437635003281</v>
      </c>
      <c r="AG65" s="619"/>
    </row>
    <row r="66" spans="1:33" ht="15.75" customHeight="1">
      <c r="A66" s="621" t="s">
        <v>873</v>
      </c>
      <c r="B66" s="210" t="s">
        <v>36</v>
      </c>
      <c r="C66" s="611" t="s">
        <v>46</v>
      </c>
      <c r="D66" s="611"/>
      <c r="E66" s="33">
        <v>35.119999999999997</v>
      </c>
      <c r="F66" s="35">
        <v>5960</v>
      </c>
      <c r="G66" s="206">
        <f t="shared" ref="G66:G70" si="40">E66*F66</f>
        <v>209315.19999999998</v>
      </c>
      <c r="H66" s="29" t="s">
        <v>5</v>
      </c>
      <c r="I66" s="205">
        <v>10</v>
      </c>
      <c r="J66" s="30">
        <v>3000</v>
      </c>
      <c r="K66" s="13">
        <f t="shared" si="1"/>
        <v>300</v>
      </c>
      <c r="L66" s="205">
        <v>10</v>
      </c>
      <c r="M66" s="14">
        <f t="shared" ref="M66:M70" si="41">F66/V66*60</f>
        <v>2860.8</v>
      </c>
      <c r="N66" s="13">
        <f t="shared" si="3"/>
        <v>286.08000000000004</v>
      </c>
      <c r="O66" s="15">
        <f t="shared" si="4"/>
        <v>0</v>
      </c>
      <c r="P66" s="16">
        <f t="shared" si="5"/>
        <v>-13.919999999999959</v>
      </c>
      <c r="Q66" s="207">
        <f t="shared" si="6"/>
        <v>0.95360000000000011</v>
      </c>
      <c r="R66" s="619">
        <f>Q71</f>
        <v>0.95704362654287822</v>
      </c>
      <c r="S66" s="31">
        <v>0.20833333333333334</v>
      </c>
      <c r="T66" s="31">
        <v>0.2951388888888889</v>
      </c>
      <c r="U66" s="206"/>
      <c r="V66" s="208">
        <f t="shared" ref="V66:V70" si="42">(T66-S66)*24*60</f>
        <v>124.99999999999999</v>
      </c>
      <c r="W66" s="17"/>
      <c r="X66" s="17"/>
      <c r="Y66" s="22"/>
      <c r="Z66" s="22"/>
      <c r="AA66" s="610"/>
      <c r="AB66" s="610"/>
      <c r="AC66" s="19">
        <v>5</v>
      </c>
      <c r="AD66" s="19"/>
      <c r="AE66" s="15">
        <f t="shared" ref="AE66:AE80" si="43">M66-J66</f>
        <v>-139.19999999999982</v>
      </c>
      <c r="AF66" s="207">
        <f t="shared" si="9"/>
        <v>0.95360000000000011</v>
      </c>
      <c r="AG66" s="619">
        <f>AF71</f>
        <v>0.95704362654287822</v>
      </c>
    </row>
    <row r="67" spans="1:33" ht="15.75" customHeight="1">
      <c r="A67" s="621" t="s">
        <v>873</v>
      </c>
      <c r="B67" s="210" t="s">
        <v>36</v>
      </c>
      <c r="C67" s="611" t="s">
        <v>47</v>
      </c>
      <c r="D67" s="611"/>
      <c r="E67" s="33">
        <v>26.78</v>
      </c>
      <c r="F67" s="35">
        <v>2732</v>
      </c>
      <c r="G67" s="206">
        <f t="shared" si="40"/>
        <v>73162.960000000006</v>
      </c>
      <c r="H67" s="29" t="s">
        <v>5</v>
      </c>
      <c r="I67" s="205">
        <v>10</v>
      </c>
      <c r="J67" s="30">
        <v>3000</v>
      </c>
      <c r="K67" s="13">
        <f t="shared" si="1"/>
        <v>300</v>
      </c>
      <c r="L67" s="205">
        <v>10</v>
      </c>
      <c r="M67" s="14">
        <f t="shared" si="41"/>
        <v>2875.7894736842086</v>
      </c>
      <c r="N67" s="13">
        <f t="shared" si="3"/>
        <v>287.57894736842087</v>
      </c>
      <c r="O67" s="15">
        <f t="shared" si="4"/>
        <v>0</v>
      </c>
      <c r="P67" s="16">
        <f t="shared" si="5"/>
        <v>-12.42105263157913</v>
      </c>
      <c r="Q67" s="207">
        <f t="shared" si="6"/>
        <v>0.95859649122806956</v>
      </c>
      <c r="R67" s="619"/>
      <c r="S67" s="31">
        <v>0.3</v>
      </c>
      <c r="T67" s="31">
        <v>0.33958333333333335</v>
      </c>
      <c r="U67" s="206">
        <f t="shared" ref="U67:U70" si="44">(S67-T66)*24*60</f>
        <v>6.9999999999999751</v>
      </c>
      <c r="V67" s="208">
        <f t="shared" si="42"/>
        <v>57.000000000000036</v>
      </c>
      <c r="W67" s="206"/>
      <c r="X67" s="206"/>
      <c r="Y67" s="206"/>
      <c r="Z67" s="206"/>
      <c r="AA67" s="610"/>
      <c r="AB67" s="610"/>
      <c r="AC67" s="19"/>
      <c r="AD67" s="19"/>
      <c r="AE67" s="15">
        <f t="shared" si="43"/>
        <v>-124.21052631579141</v>
      </c>
      <c r="AF67" s="207">
        <f t="shared" si="9"/>
        <v>0.95859649122806956</v>
      </c>
      <c r="AG67" s="619"/>
    </row>
    <row r="68" spans="1:33" ht="15.75" customHeight="1">
      <c r="A68" s="621" t="s">
        <v>873</v>
      </c>
      <c r="B68" s="210" t="s">
        <v>36</v>
      </c>
      <c r="C68" s="611" t="s">
        <v>48</v>
      </c>
      <c r="D68" s="611"/>
      <c r="E68" s="33">
        <v>36.14</v>
      </c>
      <c r="F68" s="35">
        <v>950</v>
      </c>
      <c r="G68" s="206">
        <f t="shared" si="40"/>
        <v>34333</v>
      </c>
      <c r="H68" s="29" t="s">
        <v>5</v>
      </c>
      <c r="I68" s="205">
        <v>11</v>
      </c>
      <c r="J68" s="30">
        <v>3000</v>
      </c>
      <c r="K68" s="13">
        <f t="shared" si="1"/>
        <v>272.72727272727275</v>
      </c>
      <c r="L68" s="205">
        <v>11</v>
      </c>
      <c r="M68" s="14">
        <f t="shared" si="41"/>
        <v>2849.9999999999991</v>
      </c>
      <c r="N68" s="13">
        <f t="shared" si="3"/>
        <v>259.09090909090901</v>
      </c>
      <c r="O68" s="15">
        <f t="shared" si="4"/>
        <v>0</v>
      </c>
      <c r="P68" s="16">
        <f t="shared" si="5"/>
        <v>-13.63636363636374</v>
      </c>
      <c r="Q68" s="207">
        <f t="shared" si="6"/>
        <v>0.94999999999999962</v>
      </c>
      <c r="R68" s="619"/>
      <c r="S68" s="31">
        <v>0.34305555555555556</v>
      </c>
      <c r="T68" s="31">
        <v>0.35694444444444445</v>
      </c>
      <c r="U68" s="206">
        <f t="shared" si="44"/>
        <v>4.9999999999999822</v>
      </c>
      <c r="V68" s="208">
        <f t="shared" si="42"/>
        <v>20.000000000000007</v>
      </c>
      <c r="W68" s="206"/>
      <c r="X68" s="206"/>
      <c r="Y68" s="206"/>
      <c r="Z68" s="206"/>
      <c r="AA68" s="610"/>
      <c r="AB68" s="610"/>
      <c r="AC68" s="19"/>
      <c r="AD68" s="19"/>
      <c r="AE68" s="15">
        <f t="shared" si="43"/>
        <v>-150.00000000000091</v>
      </c>
      <c r="AF68" s="207">
        <f t="shared" si="9"/>
        <v>0.94999999999999973</v>
      </c>
      <c r="AG68" s="619"/>
    </row>
    <row r="69" spans="1:33" ht="15.75" customHeight="1">
      <c r="A69" s="621" t="s">
        <v>873</v>
      </c>
      <c r="B69" s="210" t="s">
        <v>36</v>
      </c>
      <c r="C69" s="611" t="s">
        <v>39</v>
      </c>
      <c r="D69" s="611"/>
      <c r="E69" s="33">
        <v>35.869999999999997</v>
      </c>
      <c r="F69" s="35">
        <v>1497</v>
      </c>
      <c r="G69" s="206">
        <f t="shared" si="40"/>
        <v>53697.39</v>
      </c>
      <c r="H69" s="29" t="s">
        <v>5</v>
      </c>
      <c r="I69" s="205">
        <v>9</v>
      </c>
      <c r="J69" s="30">
        <v>3000</v>
      </c>
      <c r="K69" s="13">
        <f t="shared" ref="K69:K80" si="45">J69/I69</f>
        <v>333.33333333333331</v>
      </c>
      <c r="L69" s="205">
        <v>9</v>
      </c>
      <c r="M69" s="14">
        <f t="shared" si="41"/>
        <v>2897.419354838712</v>
      </c>
      <c r="N69" s="13">
        <f t="shared" ref="N69:N80" si="46">M69/L69</f>
        <v>321.93548387096803</v>
      </c>
      <c r="O69" s="15">
        <f t="shared" ref="O69:O80" si="47">L69-I69</f>
        <v>0</v>
      </c>
      <c r="P69" s="16">
        <f t="shared" ref="P69:P80" si="48">N69-K69</f>
        <v>-11.397849462365286</v>
      </c>
      <c r="Q69" s="207">
        <f t="shared" ref="Q69:Q80" si="49">N69/K69</f>
        <v>0.96580645161290413</v>
      </c>
      <c r="R69" s="619"/>
      <c r="S69" s="31">
        <v>0.36180555555555555</v>
      </c>
      <c r="T69" s="31">
        <v>0.3833333333333333</v>
      </c>
      <c r="U69" s="206">
        <f t="shared" si="44"/>
        <v>6.9999999999999751</v>
      </c>
      <c r="V69" s="208">
        <f t="shared" si="42"/>
        <v>30.999999999999972</v>
      </c>
      <c r="W69" s="206"/>
      <c r="X69" s="206"/>
      <c r="Y69" s="206"/>
      <c r="Z69" s="206"/>
      <c r="AA69" s="610"/>
      <c r="AB69" s="610"/>
      <c r="AC69" s="19"/>
      <c r="AD69" s="19"/>
      <c r="AE69" s="15">
        <f t="shared" si="43"/>
        <v>-102.58064516128798</v>
      </c>
      <c r="AF69" s="207">
        <f t="shared" ref="AF69:AF80" si="50">M69/J69</f>
        <v>0.96580645161290402</v>
      </c>
      <c r="AG69" s="619"/>
    </row>
    <row r="70" spans="1:33">
      <c r="A70" s="622" t="s">
        <v>873</v>
      </c>
      <c r="B70" s="210" t="s">
        <v>36</v>
      </c>
      <c r="C70" s="611" t="s">
        <v>74</v>
      </c>
      <c r="D70" s="611"/>
      <c r="E70" s="33">
        <v>33.770000000000003</v>
      </c>
      <c r="F70" s="35">
        <v>3781</v>
      </c>
      <c r="G70" s="206">
        <f t="shared" si="40"/>
        <v>127684.37000000001</v>
      </c>
      <c r="H70" s="29" t="s">
        <v>5</v>
      </c>
      <c r="I70" s="205">
        <v>12</v>
      </c>
      <c r="J70" s="30">
        <v>3000</v>
      </c>
      <c r="K70" s="13">
        <f t="shared" si="45"/>
        <v>250</v>
      </c>
      <c r="L70" s="205">
        <v>12</v>
      </c>
      <c r="M70" s="14">
        <f t="shared" si="41"/>
        <v>2871.6455696202515</v>
      </c>
      <c r="N70" s="13">
        <f t="shared" si="46"/>
        <v>239.3037974683543</v>
      </c>
      <c r="O70" s="15">
        <f t="shared" si="47"/>
        <v>0</v>
      </c>
      <c r="P70" s="16">
        <f t="shared" si="48"/>
        <v>-10.696202531645696</v>
      </c>
      <c r="Q70" s="207">
        <f t="shared" si="49"/>
        <v>0.95721518987341725</v>
      </c>
      <c r="R70" s="619"/>
      <c r="S70" s="31">
        <v>0.38888888888888884</v>
      </c>
      <c r="T70" s="31">
        <v>0.44374999999999998</v>
      </c>
      <c r="U70" s="206">
        <f t="shared" si="44"/>
        <v>7.9999999999999716</v>
      </c>
      <c r="V70" s="208">
        <f t="shared" si="42"/>
        <v>79.000000000000043</v>
      </c>
      <c r="W70" s="17"/>
      <c r="X70" s="17"/>
      <c r="Y70" s="17"/>
      <c r="Z70" s="17"/>
      <c r="AA70" s="610"/>
      <c r="AB70" s="610"/>
      <c r="AC70" s="19"/>
      <c r="AD70" s="19"/>
      <c r="AE70" s="15">
        <f t="shared" si="43"/>
        <v>-128.35443037974846</v>
      </c>
      <c r="AF70" s="207">
        <f t="shared" si="50"/>
        <v>0.95721518987341714</v>
      </c>
      <c r="AG70" s="619"/>
    </row>
    <row r="71" spans="1:33">
      <c r="A71" s="622" t="s">
        <v>873</v>
      </c>
      <c r="B71" s="33" t="s">
        <v>874</v>
      </c>
      <c r="C71" s="620"/>
      <c r="D71" s="620"/>
      <c r="E71" s="213"/>
      <c r="F71" s="34"/>
      <c r="G71" s="13"/>
      <c r="H71" s="210"/>
      <c r="I71" s="23">
        <v>10.4</v>
      </c>
      <c r="J71" s="30">
        <v>3000</v>
      </c>
      <c r="K71" s="13">
        <f t="shared" si="45"/>
        <v>288.46153846153845</v>
      </c>
      <c r="L71" s="23">
        <v>10.4</v>
      </c>
      <c r="M71" s="14">
        <f>AVERAGE(M66:M70)</f>
        <v>2871.1308796286348</v>
      </c>
      <c r="N71" s="13">
        <f t="shared" si="46"/>
        <v>276.07027688736872</v>
      </c>
      <c r="O71" s="15">
        <f t="shared" si="47"/>
        <v>0</v>
      </c>
      <c r="P71" s="16">
        <f t="shared" si="48"/>
        <v>-12.391261574169732</v>
      </c>
      <c r="Q71" s="207">
        <f t="shared" si="49"/>
        <v>0.95704362654287822</v>
      </c>
      <c r="R71" s="619"/>
      <c r="S71" s="31"/>
      <c r="T71" s="31"/>
      <c r="U71" s="13"/>
      <c r="V71" s="208"/>
      <c r="W71" s="13"/>
      <c r="X71" s="13"/>
      <c r="Y71" s="24">
        <f>SUM(Y66:Y70)</f>
        <v>0</v>
      </c>
      <c r="Z71" s="24">
        <f>SUM(Z66:Z70)</f>
        <v>0</v>
      </c>
      <c r="AA71" s="609"/>
      <c r="AB71" s="609"/>
      <c r="AC71" s="24">
        <v>5</v>
      </c>
      <c r="AD71" s="24">
        <f>SUM(AD66:AD70)</f>
        <v>0</v>
      </c>
      <c r="AE71" s="15">
        <f t="shared" si="43"/>
        <v>-128.86912037136517</v>
      </c>
      <c r="AF71" s="207">
        <f t="shared" si="50"/>
        <v>0.95704362654287822</v>
      </c>
      <c r="AG71" s="619"/>
    </row>
    <row r="72" spans="1:33" ht="15.75" customHeight="1">
      <c r="A72" s="616" t="s">
        <v>875</v>
      </c>
      <c r="B72" s="210" t="s">
        <v>27</v>
      </c>
      <c r="C72" s="611" t="s">
        <v>50</v>
      </c>
      <c r="D72" s="611"/>
      <c r="E72" s="33">
        <v>19.02</v>
      </c>
      <c r="F72" s="210">
        <v>6400</v>
      </c>
      <c r="G72" s="206">
        <f t="shared" ref="G72:G79" si="51">E72*F72</f>
        <v>121728</v>
      </c>
      <c r="H72" s="29">
        <v>2</v>
      </c>
      <c r="I72" s="205">
        <v>14</v>
      </c>
      <c r="J72" s="30">
        <v>2400</v>
      </c>
      <c r="K72" s="13">
        <f t="shared" si="45"/>
        <v>171.42857142857142</v>
      </c>
      <c r="L72" s="205">
        <v>14</v>
      </c>
      <c r="M72" s="14">
        <f t="shared" ref="M72:M79" si="52">F72/V72*60</f>
        <v>2285.7142857142858</v>
      </c>
      <c r="N72" s="13">
        <f t="shared" si="46"/>
        <v>163.26530612244898</v>
      </c>
      <c r="O72" s="15">
        <f t="shared" si="47"/>
        <v>0</v>
      </c>
      <c r="P72" s="16">
        <f t="shared" si="48"/>
        <v>-8.1632653061224403</v>
      </c>
      <c r="Q72" s="207">
        <f t="shared" si="49"/>
        <v>0.95238095238095244</v>
      </c>
      <c r="R72" s="619">
        <f>Q80</f>
        <v>0.95578405200121308</v>
      </c>
      <c r="S72" s="31">
        <v>8.3333333333333329E-2</v>
      </c>
      <c r="T72" s="31">
        <v>0.19999999999999998</v>
      </c>
      <c r="U72" s="22"/>
      <c r="V72" s="208">
        <f t="shared" ref="V72:V79" si="53">(T72-S72)*24*60</f>
        <v>168</v>
      </c>
      <c r="W72" s="17">
        <f>T72</f>
        <v>0.19999999999999998</v>
      </c>
      <c r="X72" s="17">
        <f>S73</f>
        <v>0.21736111111111106</v>
      </c>
      <c r="Y72" s="17"/>
      <c r="Z72" s="17"/>
      <c r="AA72" s="610"/>
      <c r="AB72" s="610"/>
      <c r="AC72" s="19">
        <v>8</v>
      </c>
      <c r="AD72" s="19"/>
      <c r="AE72" s="15">
        <f t="shared" si="43"/>
        <v>-114.28571428571422</v>
      </c>
      <c r="AF72" s="207">
        <f t="shared" si="50"/>
        <v>0.95238095238095244</v>
      </c>
      <c r="AG72" s="619">
        <f>AF80</f>
        <v>0.95578405200121308</v>
      </c>
    </row>
    <row r="73" spans="1:33" ht="15.75" customHeight="1">
      <c r="A73" s="617" t="s">
        <v>875</v>
      </c>
      <c r="B73" s="210" t="s">
        <v>27</v>
      </c>
      <c r="C73" s="611" t="s">
        <v>51</v>
      </c>
      <c r="D73" s="611"/>
      <c r="E73" s="33">
        <v>20.36</v>
      </c>
      <c r="F73" s="210">
        <v>4881</v>
      </c>
      <c r="G73" s="206">
        <f t="shared" si="51"/>
        <v>99377.16</v>
      </c>
      <c r="H73" s="29" t="s">
        <v>5</v>
      </c>
      <c r="I73" s="205">
        <v>17</v>
      </c>
      <c r="J73" s="30">
        <v>2400</v>
      </c>
      <c r="K73" s="13">
        <f t="shared" si="45"/>
        <v>141.1764705882353</v>
      </c>
      <c r="L73" s="205">
        <v>17</v>
      </c>
      <c r="M73" s="14">
        <f t="shared" si="52"/>
        <v>2287.9687499999995</v>
      </c>
      <c r="N73" s="13">
        <f t="shared" si="46"/>
        <v>134.58639705882351</v>
      </c>
      <c r="O73" s="15">
        <f t="shared" si="47"/>
        <v>0</v>
      </c>
      <c r="P73" s="16">
        <f t="shared" si="48"/>
        <v>-6.5900735294117965</v>
      </c>
      <c r="Q73" s="207">
        <f t="shared" si="49"/>
        <v>0.95332031249999982</v>
      </c>
      <c r="R73" s="619"/>
      <c r="S73" s="31">
        <v>0.21736111111111106</v>
      </c>
      <c r="T73" s="31">
        <v>0.30624999999999997</v>
      </c>
      <c r="U73" s="206">
        <f t="shared" ref="U73:U79" si="54">(S73-T72)*24*60</f>
        <v>24.99999999999995</v>
      </c>
      <c r="V73" s="208">
        <f t="shared" si="53"/>
        <v>128.00000000000003</v>
      </c>
      <c r="W73" s="17"/>
      <c r="X73" s="17"/>
      <c r="Y73" s="17"/>
      <c r="Z73" s="17"/>
      <c r="AA73" s="610"/>
      <c r="AB73" s="610"/>
      <c r="AC73" s="19"/>
      <c r="AD73" s="19"/>
      <c r="AE73" s="15">
        <f t="shared" si="43"/>
        <v>-112.03125000000045</v>
      </c>
      <c r="AF73" s="207">
        <f t="shared" si="50"/>
        <v>0.95332031249999982</v>
      </c>
      <c r="AG73" s="619"/>
    </row>
    <row r="74" spans="1:33" ht="15.75" customHeight="1">
      <c r="A74" s="617" t="s">
        <v>875</v>
      </c>
      <c r="B74" s="210" t="s">
        <v>27</v>
      </c>
      <c r="C74" s="611" t="s">
        <v>876</v>
      </c>
      <c r="D74" s="611"/>
      <c r="E74" s="33">
        <v>23.8</v>
      </c>
      <c r="F74" s="210">
        <v>5900</v>
      </c>
      <c r="G74" s="206">
        <f t="shared" si="51"/>
        <v>140420</v>
      </c>
      <c r="H74" s="29">
        <v>2</v>
      </c>
      <c r="I74" s="205">
        <v>16</v>
      </c>
      <c r="J74" s="30">
        <v>2400</v>
      </c>
      <c r="K74" s="13">
        <f t="shared" si="45"/>
        <v>150</v>
      </c>
      <c r="L74" s="205">
        <v>16</v>
      </c>
      <c r="M74" s="14">
        <f t="shared" si="52"/>
        <v>2298.701298701299</v>
      </c>
      <c r="N74" s="13">
        <f t="shared" si="46"/>
        <v>143.66883116883119</v>
      </c>
      <c r="O74" s="15">
        <f t="shared" si="47"/>
        <v>0</v>
      </c>
      <c r="P74" s="16">
        <f t="shared" si="48"/>
        <v>-6.3311688311688101</v>
      </c>
      <c r="Q74" s="207">
        <f t="shared" si="49"/>
        <v>0.95779220779220797</v>
      </c>
      <c r="R74" s="619"/>
      <c r="S74" s="31">
        <v>0.31041666666666662</v>
      </c>
      <c r="T74" s="31">
        <v>0.41736111111111107</v>
      </c>
      <c r="U74" s="206">
        <f t="shared" si="54"/>
        <v>5.9999999999999787</v>
      </c>
      <c r="V74" s="208">
        <f t="shared" si="53"/>
        <v>154</v>
      </c>
      <c r="W74" s="17"/>
      <c r="X74" s="17"/>
      <c r="Y74" s="17"/>
      <c r="Z74" s="17"/>
      <c r="AA74" s="610"/>
      <c r="AB74" s="610"/>
      <c r="AC74" s="19"/>
      <c r="AD74" s="19"/>
      <c r="AE74" s="15">
        <f t="shared" si="43"/>
        <v>-101.29870129870096</v>
      </c>
      <c r="AF74" s="207">
        <f t="shared" si="50"/>
        <v>0.95779220779220797</v>
      </c>
      <c r="AG74" s="619"/>
    </row>
    <row r="75" spans="1:33" ht="15.75" customHeight="1">
      <c r="A75" s="617" t="s">
        <v>875</v>
      </c>
      <c r="B75" s="210" t="s">
        <v>27</v>
      </c>
      <c r="C75" s="611" t="s">
        <v>31</v>
      </c>
      <c r="D75" s="611"/>
      <c r="E75" s="33">
        <v>25.99</v>
      </c>
      <c r="F75" s="210">
        <v>1353</v>
      </c>
      <c r="G75" s="206">
        <f t="shared" si="51"/>
        <v>35164.47</v>
      </c>
      <c r="H75" s="29" t="s">
        <v>5</v>
      </c>
      <c r="I75" s="205">
        <v>18</v>
      </c>
      <c r="J75" s="30">
        <v>2400</v>
      </c>
      <c r="K75" s="13">
        <f t="shared" si="45"/>
        <v>133.33333333333334</v>
      </c>
      <c r="L75" s="205">
        <v>18</v>
      </c>
      <c r="M75" s="14">
        <f t="shared" si="52"/>
        <v>2319.4285714285688</v>
      </c>
      <c r="N75" s="13">
        <f t="shared" si="46"/>
        <v>128.85714285714272</v>
      </c>
      <c r="O75" s="15">
        <f t="shared" si="47"/>
        <v>0</v>
      </c>
      <c r="P75" s="16">
        <f t="shared" si="48"/>
        <v>-4.4761904761906237</v>
      </c>
      <c r="Q75" s="207">
        <f t="shared" si="49"/>
        <v>0.9664285714285703</v>
      </c>
      <c r="R75" s="619"/>
      <c r="S75" s="31">
        <v>0.42083333333333328</v>
      </c>
      <c r="T75" s="31">
        <v>0.44513888888888886</v>
      </c>
      <c r="U75" s="206">
        <f t="shared" si="54"/>
        <v>4.9999999999999822</v>
      </c>
      <c r="V75" s="208">
        <f t="shared" si="53"/>
        <v>35.000000000000036</v>
      </c>
      <c r="W75" s="17"/>
      <c r="X75" s="17"/>
      <c r="Y75" s="17"/>
      <c r="Z75" s="17"/>
      <c r="AA75" s="610"/>
      <c r="AB75" s="610"/>
      <c r="AC75" s="19"/>
      <c r="AD75" s="19"/>
      <c r="AE75" s="15">
        <f t="shared" si="43"/>
        <v>-80.57142857143117</v>
      </c>
      <c r="AF75" s="207">
        <f t="shared" si="50"/>
        <v>0.9664285714285703</v>
      </c>
      <c r="AG75" s="619"/>
    </row>
    <row r="76" spans="1:33" ht="15.75" customHeight="1">
      <c r="A76" s="617" t="s">
        <v>875</v>
      </c>
      <c r="B76" s="210" t="s">
        <v>27</v>
      </c>
      <c r="C76" s="611" t="s">
        <v>53</v>
      </c>
      <c r="D76" s="611"/>
      <c r="E76" s="33">
        <v>28.29</v>
      </c>
      <c r="F76" s="210">
        <v>3124</v>
      </c>
      <c r="G76" s="206">
        <f t="shared" si="51"/>
        <v>88377.959999999992</v>
      </c>
      <c r="H76" s="29" t="s">
        <v>5</v>
      </c>
      <c r="I76" s="205">
        <v>19</v>
      </c>
      <c r="J76" s="30">
        <v>2400</v>
      </c>
      <c r="K76" s="13">
        <f t="shared" si="45"/>
        <v>126.31578947368421</v>
      </c>
      <c r="L76" s="205">
        <v>19</v>
      </c>
      <c r="M76" s="14">
        <f t="shared" si="52"/>
        <v>2285.8536585365846</v>
      </c>
      <c r="N76" s="13">
        <f t="shared" si="46"/>
        <v>120.30808729139919</v>
      </c>
      <c r="O76" s="15">
        <f t="shared" si="47"/>
        <v>0</v>
      </c>
      <c r="P76" s="16">
        <f t="shared" si="48"/>
        <v>-6.0077021822850156</v>
      </c>
      <c r="Q76" s="207">
        <f t="shared" si="49"/>
        <v>0.95243902439024364</v>
      </c>
      <c r="R76" s="619"/>
      <c r="S76" s="31">
        <v>0.4506944444444444</v>
      </c>
      <c r="T76" s="31">
        <v>0.50763888888888886</v>
      </c>
      <c r="U76" s="206">
        <f t="shared" si="54"/>
        <v>7.9999999999999716</v>
      </c>
      <c r="V76" s="208">
        <f t="shared" si="53"/>
        <v>82.000000000000028</v>
      </c>
      <c r="W76" s="17">
        <f>T76</f>
        <v>0.50763888888888886</v>
      </c>
      <c r="X76" s="17">
        <f>S77</f>
        <v>0.54722222222222217</v>
      </c>
      <c r="Y76" s="17"/>
      <c r="Z76" s="17"/>
      <c r="AA76" s="610"/>
      <c r="AB76" s="610"/>
      <c r="AC76" s="19"/>
      <c r="AD76" s="19"/>
      <c r="AE76" s="15">
        <f t="shared" si="43"/>
        <v>-114.14634146341541</v>
      </c>
      <c r="AF76" s="207">
        <f t="shared" si="50"/>
        <v>0.95243902439024353</v>
      </c>
      <c r="AG76" s="619"/>
    </row>
    <row r="77" spans="1:33" ht="15.75" customHeight="1">
      <c r="A77" s="617" t="s">
        <v>875</v>
      </c>
      <c r="B77" s="210" t="s">
        <v>27</v>
      </c>
      <c r="C77" s="611" t="s">
        <v>50</v>
      </c>
      <c r="D77" s="611"/>
      <c r="E77" s="33">
        <v>19.02</v>
      </c>
      <c r="F77" s="210">
        <v>5381</v>
      </c>
      <c r="G77" s="206">
        <f t="shared" si="51"/>
        <v>102346.62</v>
      </c>
      <c r="H77" s="29" t="s">
        <v>5</v>
      </c>
      <c r="I77" s="205">
        <v>14</v>
      </c>
      <c r="J77" s="30">
        <v>2400</v>
      </c>
      <c r="K77" s="13">
        <f t="shared" si="45"/>
        <v>171.42857142857142</v>
      </c>
      <c r="L77" s="205">
        <v>14</v>
      </c>
      <c r="M77" s="14">
        <f t="shared" si="52"/>
        <v>2289.7872340425533</v>
      </c>
      <c r="N77" s="13">
        <f t="shared" si="46"/>
        <v>163.55623100303953</v>
      </c>
      <c r="O77" s="15">
        <f t="shared" si="47"/>
        <v>0</v>
      </c>
      <c r="P77" s="16">
        <f t="shared" si="48"/>
        <v>-7.8723404255318883</v>
      </c>
      <c r="Q77" s="207">
        <f t="shared" si="49"/>
        <v>0.95407801418439731</v>
      </c>
      <c r="R77" s="619"/>
      <c r="S77" s="31">
        <v>0.54722222222222217</v>
      </c>
      <c r="T77" s="31">
        <v>0.64513888888888882</v>
      </c>
      <c r="U77" s="206">
        <f t="shared" si="54"/>
        <v>56.999999999999957</v>
      </c>
      <c r="V77" s="208">
        <f t="shared" si="53"/>
        <v>140.99999999999997</v>
      </c>
      <c r="W77" s="17"/>
      <c r="X77" s="17"/>
      <c r="Y77" s="17"/>
      <c r="Z77" s="17"/>
      <c r="AA77" s="610"/>
      <c r="AB77" s="610"/>
      <c r="AC77" s="19"/>
      <c r="AD77" s="19"/>
      <c r="AE77" s="15">
        <f t="shared" si="43"/>
        <v>-110.21276595744666</v>
      </c>
      <c r="AF77" s="207">
        <f t="shared" si="50"/>
        <v>0.95407801418439719</v>
      </c>
      <c r="AG77" s="619"/>
    </row>
    <row r="78" spans="1:33" ht="15.75" customHeight="1">
      <c r="A78" s="617" t="s">
        <v>875</v>
      </c>
      <c r="B78" s="210" t="s">
        <v>27</v>
      </c>
      <c r="C78" s="612" t="s">
        <v>876</v>
      </c>
      <c r="D78" s="613"/>
      <c r="E78" s="33">
        <v>23.8</v>
      </c>
      <c r="F78" s="210">
        <v>4191</v>
      </c>
      <c r="G78" s="206">
        <f t="shared" si="51"/>
        <v>99745.8</v>
      </c>
      <c r="H78" s="29" t="s">
        <v>5</v>
      </c>
      <c r="I78" s="205">
        <v>16</v>
      </c>
      <c r="J78" s="30">
        <v>2400</v>
      </c>
      <c r="K78" s="13">
        <f t="shared" si="45"/>
        <v>150</v>
      </c>
      <c r="L78" s="205">
        <v>16</v>
      </c>
      <c r="M78" s="14">
        <f t="shared" si="52"/>
        <v>2286.0000000000014</v>
      </c>
      <c r="N78" s="13">
        <f t="shared" si="46"/>
        <v>142.87500000000009</v>
      </c>
      <c r="O78" s="15">
        <f t="shared" si="47"/>
        <v>0</v>
      </c>
      <c r="P78" s="16">
        <f t="shared" si="48"/>
        <v>-7.1249999999999147</v>
      </c>
      <c r="Q78" s="207">
        <f t="shared" si="49"/>
        <v>0.95250000000000057</v>
      </c>
      <c r="R78" s="619"/>
      <c r="S78" s="31">
        <v>0.64999999999999991</v>
      </c>
      <c r="T78" s="31">
        <v>0.72638888888888875</v>
      </c>
      <c r="U78" s="206">
        <f t="shared" si="54"/>
        <v>6.9999999999999751</v>
      </c>
      <c r="V78" s="208">
        <f t="shared" si="53"/>
        <v>109.99999999999993</v>
      </c>
      <c r="W78" s="17"/>
      <c r="X78" s="17"/>
      <c r="Y78" s="20"/>
      <c r="Z78" s="20"/>
      <c r="AA78" s="614"/>
      <c r="AB78" s="615"/>
      <c r="AC78" s="19"/>
      <c r="AD78" s="19"/>
      <c r="AE78" s="15">
        <f t="shared" si="43"/>
        <v>-113.99999999999864</v>
      </c>
      <c r="AF78" s="207">
        <f t="shared" si="50"/>
        <v>0.95250000000000057</v>
      </c>
      <c r="AG78" s="619"/>
    </row>
    <row r="79" spans="1:33" ht="15.75" customHeight="1">
      <c r="A79" s="617" t="s">
        <v>875</v>
      </c>
      <c r="B79" s="210" t="s">
        <v>27</v>
      </c>
      <c r="C79" s="612" t="s">
        <v>33</v>
      </c>
      <c r="D79" s="613"/>
      <c r="E79" s="33">
        <v>26.18</v>
      </c>
      <c r="F79" s="210">
        <v>2872</v>
      </c>
      <c r="G79" s="206">
        <f t="shared" si="51"/>
        <v>75188.960000000006</v>
      </c>
      <c r="H79" s="29" t="s">
        <v>5</v>
      </c>
      <c r="I79" s="205">
        <v>20</v>
      </c>
      <c r="J79" s="30">
        <v>2400</v>
      </c>
      <c r="K79" s="13">
        <f t="shared" si="45"/>
        <v>120</v>
      </c>
      <c r="L79" s="205">
        <v>20</v>
      </c>
      <c r="M79" s="14">
        <f t="shared" si="52"/>
        <v>2297.5999999999981</v>
      </c>
      <c r="N79" s="13">
        <f t="shared" si="46"/>
        <v>114.87999999999991</v>
      </c>
      <c r="O79" s="15">
        <f t="shared" si="47"/>
        <v>0</v>
      </c>
      <c r="P79" s="16">
        <f t="shared" si="48"/>
        <v>-5.1200000000000898</v>
      </c>
      <c r="Q79" s="207">
        <f t="shared" si="49"/>
        <v>0.95733333333333259</v>
      </c>
      <c r="R79" s="619"/>
      <c r="S79" s="31">
        <v>0.72986111111111096</v>
      </c>
      <c r="T79" s="31">
        <v>0.78194444444444433</v>
      </c>
      <c r="U79" s="206">
        <f t="shared" si="54"/>
        <v>4.9999999999999822</v>
      </c>
      <c r="V79" s="208">
        <f t="shared" si="53"/>
        <v>75.000000000000057</v>
      </c>
      <c r="W79" s="17"/>
      <c r="X79" s="17"/>
      <c r="Y79" s="20"/>
      <c r="Z79" s="20"/>
      <c r="AA79" s="614"/>
      <c r="AB79" s="615"/>
      <c r="AC79" s="19"/>
      <c r="AD79" s="19"/>
      <c r="AE79" s="15">
        <f t="shared" si="43"/>
        <v>-102.40000000000191</v>
      </c>
      <c r="AF79" s="207">
        <f t="shared" si="50"/>
        <v>0.95733333333333259</v>
      </c>
      <c r="AG79" s="619"/>
    </row>
    <row r="80" spans="1:33" ht="16.5" customHeight="1">
      <c r="A80" s="618" t="s">
        <v>875</v>
      </c>
      <c r="B80" s="33" t="s">
        <v>874</v>
      </c>
      <c r="C80" s="607"/>
      <c r="D80" s="608"/>
      <c r="E80" s="213"/>
      <c r="F80" s="34"/>
      <c r="G80" s="13"/>
      <c r="H80" s="210"/>
      <c r="I80" s="23">
        <v>16.75</v>
      </c>
      <c r="J80" s="30">
        <v>2400</v>
      </c>
      <c r="K80" s="13">
        <f t="shared" si="45"/>
        <v>143.28358208955223</v>
      </c>
      <c r="L80" s="23">
        <v>16.75</v>
      </c>
      <c r="M80" s="14">
        <f>AVERAGE(M72:M79)</f>
        <v>2293.8817248029113</v>
      </c>
      <c r="N80" s="13">
        <f t="shared" si="46"/>
        <v>136.94816267480067</v>
      </c>
      <c r="O80" s="15">
        <f t="shared" si="47"/>
        <v>0</v>
      </c>
      <c r="P80" s="16">
        <f t="shared" si="48"/>
        <v>-6.3354194147515557</v>
      </c>
      <c r="Q80" s="207">
        <f t="shared" si="49"/>
        <v>0.95578405200121308</v>
      </c>
      <c r="R80" s="619"/>
      <c r="S80" s="31"/>
      <c r="T80" s="31"/>
      <c r="U80" s="13"/>
      <c r="V80" s="208"/>
      <c r="W80" s="13"/>
      <c r="X80" s="13"/>
      <c r="Y80" s="24">
        <f>SUM(Y72:Y79)</f>
        <v>0</v>
      </c>
      <c r="Z80" s="24">
        <f>SUM(Z72:Z79)</f>
        <v>0</v>
      </c>
      <c r="AA80" s="609"/>
      <c r="AB80" s="609"/>
      <c r="AC80" s="24">
        <v>8</v>
      </c>
      <c r="AD80" s="24">
        <f>SUM(AD72:AD79)</f>
        <v>0</v>
      </c>
      <c r="AE80" s="15">
        <f t="shared" si="43"/>
        <v>-106.11827519708868</v>
      </c>
      <c r="AF80" s="207">
        <f t="shared" si="50"/>
        <v>0.95578405200121308</v>
      </c>
      <c r="AG80" s="619"/>
    </row>
    <row r="81" spans="4:5">
      <c r="D81" s="25"/>
      <c r="E81" s="25"/>
    </row>
  </sheetData>
  <mergeCells count="201">
    <mergeCell ref="A72:A80"/>
    <mergeCell ref="C72:D72"/>
    <mergeCell ref="R72:R80"/>
    <mergeCell ref="AA72:AB72"/>
    <mergeCell ref="AG72:AG80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AA75:AB75"/>
    <mergeCell ref="C76:D76"/>
    <mergeCell ref="AA76:AB76"/>
    <mergeCell ref="C77:D77"/>
    <mergeCell ref="AA77:AB77"/>
    <mergeCell ref="C78:D78"/>
    <mergeCell ref="AA78:AB78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R56:R65"/>
    <mergeCell ref="AA56:AB56"/>
    <mergeCell ref="C63:D63"/>
    <mergeCell ref="AA63:AB63"/>
    <mergeCell ref="C65:D65"/>
    <mergeCell ref="AA65:AB65"/>
    <mergeCell ref="A66:A71"/>
    <mergeCell ref="C66:D66"/>
    <mergeCell ref="R66:R71"/>
    <mergeCell ref="AA66:AB66"/>
    <mergeCell ref="AA71:AB71"/>
    <mergeCell ref="AG56:AG65"/>
    <mergeCell ref="C57:D57"/>
    <mergeCell ref="AA57:AB57"/>
    <mergeCell ref="C58:D58"/>
    <mergeCell ref="AA58:AB58"/>
    <mergeCell ref="A52:A55"/>
    <mergeCell ref="C52:D52"/>
    <mergeCell ref="R52:R55"/>
    <mergeCell ref="AA52:AB52"/>
    <mergeCell ref="AG52:AG55"/>
    <mergeCell ref="C53:D53"/>
    <mergeCell ref="AA53:AB53"/>
    <mergeCell ref="C54:D54"/>
    <mergeCell ref="AA54:AB54"/>
    <mergeCell ref="C55:D55"/>
    <mergeCell ref="AA59:AB59"/>
    <mergeCell ref="AA60:AB60"/>
    <mergeCell ref="C61:D61"/>
    <mergeCell ref="AA61:AB61"/>
    <mergeCell ref="C62:D62"/>
    <mergeCell ref="AA62:AB62"/>
    <mergeCell ref="AA55:AB55"/>
    <mergeCell ref="A56:A65"/>
    <mergeCell ref="C56:D56"/>
    <mergeCell ref="AG40:AG51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31:A39"/>
    <mergeCell ref="C31:D31"/>
    <mergeCell ref="R31:R39"/>
    <mergeCell ref="AA31:AB31"/>
    <mergeCell ref="C39:D39"/>
    <mergeCell ref="AA39:AB39"/>
    <mergeCell ref="A40:A51"/>
    <mergeCell ref="C40:D40"/>
    <mergeCell ref="R40:R51"/>
    <mergeCell ref="AA40:AB40"/>
    <mergeCell ref="AA45:AB45"/>
    <mergeCell ref="C46:D46"/>
    <mergeCell ref="AA46:AB46"/>
    <mergeCell ref="C47:D47"/>
    <mergeCell ref="AA47:AB47"/>
    <mergeCell ref="C48:D48"/>
    <mergeCell ref="C49:D49"/>
    <mergeCell ref="C50:D50"/>
    <mergeCell ref="AA50:AB50"/>
    <mergeCell ref="C51:D51"/>
    <mergeCell ref="AA51:AB51"/>
    <mergeCell ref="AG31:AG39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A34:AB34"/>
    <mergeCell ref="C35:D35"/>
    <mergeCell ref="AA35:AB35"/>
    <mergeCell ref="C36:D36"/>
    <mergeCell ref="AA36:AB36"/>
    <mergeCell ref="C37:D37"/>
    <mergeCell ref="AA37:AB37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9:O77 O65:O66 O80 O5:O10 O14:O16 O23:O61">
    <cfRule type="cellIs" dxfId="699" priority="77" operator="greaterThan">
      <formula>0</formula>
    </cfRule>
  </conditionalFormatting>
  <conditionalFormatting sqref="P5:P8 P69:P70 AE69:AE70 P72:P77 P31:P38 P66 P10 P14:P16 P24:P29 P56:P61 P40:P54 AE5:AE66 AE72:AE80">
    <cfRule type="cellIs" dxfId="698" priority="81" operator="lessThan">
      <formula>0</formula>
    </cfRule>
  </conditionalFormatting>
  <conditionalFormatting sqref="AF69:AF70 Q69:Q77 Q65:Q66 Q80 Q5:Q10 Q14:Q16 Q23:Q61 AF5:AF66 AF72:AF80">
    <cfRule type="cellIs" dxfId="697" priority="78" operator="greaterThan">
      <formula>1</formula>
    </cfRule>
    <cfRule type="cellIs" dxfId="696" priority="79" operator="lessThan">
      <formula>0.8</formula>
    </cfRule>
  </conditionalFormatting>
  <conditionalFormatting sqref="AG15:AG16 R15:R16 AG69 R69:R77 R23:R47 AG23:AG47 AG65:AG66 R65:R66 R80 AG5:AG10 R5:R10 AG51:AG61 R51:R61">
    <cfRule type="cellIs" dxfId="695" priority="83" operator="lessThan">
      <formula>0.8</formula>
    </cfRule>
  </conditionalFormatting>
  <conditionalFormatting sqref="AG52">
    <cfRule type="cellIs" dxfId="694" priority="85" operator="lessThan">
      <formula>0.8</formula>
    </cfRule>
  </conditionalFormatting>
  <conditionalFormatting sqref="AG24:AG29">
    <cfRule type="cellIs" dxfId="693" priority="82" operator="lessThan">
      <formula>0.8</formula>
    </cfRule>
  </conditionalFormatting>
  <conditionalFormatting sqref="AG31">
    <cfRule type="cellIs" dxfId="692" priority="84" operator="lessThan">
      <formula>0.8</formula>
    </cfRule>
  </conditionalFormatting>
  <conditionalFormatting sqref="AG40:AG47">
    <cfRule type="cellIs" dxfId="691" priority="80" operator="lessThan">
      <formula>0.8</formula>
    </cfRule>
  </conditionalFormatting>
  <conditionalFormatting sqref="AE71">
    <cfRule type="cellIs" dxfId="690" priority="76" operator="lessThan">
      <formula>0</formula>
    </cfRule>
  </conditionalFormatting>
  <conditionalFormatting sqref="AF71">
    <cfRule type="cellIs" dxfId="689" priority="74" operator="greaterThan">
      <formula>1</formula>
    </cfRule>
    <cfRule type="cellIs" dxfId="688" priority="75" operator="lessThan">
      <formula>0.8</formula>
    </cfRule>
  </conditionalFormatting>
  <conditionalFormatting sqref="O17:O18">
    <cfRule type="cellIs" dxfId="687" priority="69" operator="greaterThan">
      <formula>0</formula>
    </cfRule>
  </conditionalFormatting>
  <conditionalFormatting sqref="P17:P18">
    <cfRule type="cellIs" dxfId="686" priority="72" operator="lessThan">
      <formula>0</formula>
    </cfRule>
  </conditionalFormatting>
  <conditionalFormatting sqref="Q17:Q18">
    <cfRule type="cellIs" dxfId="685" priority="70" operator="greaterThan">
      <formula>1</formula>
    </cfRule>
    <cfRule type="cellIs" dxfId="684" priority="71" operator="lessThan">
      <formula>0.8</formula>
    </cfRule>
  </conditionalFormatting>
  <conditionalFormatting sqref="R17:R18 AG17:AG18">
    <cfRule type="cellIs" dxfId="683" priority="73" operator="lessThan">
      <formula>0.8</formula>
    </cfRule>
  </conditionalFormatting>
  <conditionalFormatting sqref="O11:O13">
    <cfRule type="cellIs" dxfId="682" priority="65" operator="greaterThan">
      <formula>0</formula>
    </cfRule>
  </conditionalFormatting>
  <conditionalFormatting sqref="P11:P13">
    <cfRule type="cellIs" dxfId="681" priority="68" operator="lessThan">
      <formula>0</formula>
    </cfRule>
  </conditionalFormatting>
  <conditionalFormatting sqref="Q11:Q13">
    <cfRule type="cellIs" dxfId="680" priority="66" operator="greaterThan">
      <formula>1</formula>
    </cfRule>
    <cfRule type="cellIs" dxfId="679" priority="67" operator="lessThan">
      <formula>0.8</formula>
    </cfRule>
  </conditionalFormatting>
  <conditionalFormatting sqref="O62">
    <cfRule type="cellIs" dxfId="678" priority="60" operator="greaterThan">
      <formula>0</formula>
    </cfRule>
  </conditionalFormatting>
  <conditionalFormatting sqref="P62">
    <cfRule type="cellIs" dxfId="677" priority="63" operator="lessThan">
      <formula>0</formula>
    </cfRule>
  </conditionalFormatting>
  <conditionalFormatting sqref="Q62">
    <cfRule type="cellIs" dxfId="676" priority="61" operator="greaterThan">
      <formula>1</formula>
    </cfRule>
    <cfRule type="cellIs" dxfId="675" priority="62" operator="lessThan">
      <formula>0.8</formula>
    </cfRule>
  </conditionalFormatting>
  <conditionalFormatting sqref="R62 AG62">
    <cfRule type="cellIs" dxfId="674" priority="64" operator="lessThan">
      <formula>0.8</formula>
    </cfRule>
  </conditionalFormatting>
  <conditionalFormatting sqref="R48 AG48">
    <cfRule type="cellIs" dxfId="673" priority="59" operator="lessThan">
      <formula>0.8</formula>
    </cfRule>
  </conditionalFormatting>
  <conditionalFormatting sqref="AG48">
    <cfRule type="cellIs" dxfId="672" priority="58" operator="lessThan">
      <formula>0.8</formula>
    </cfRule>
  </conditionalFormatting>
  <conditionalFormatting sqref="O68">
    <cfRule type="cellIs" dxfId="671" priority="53" operator="greaterThan">
      <formula>0</formula>
    </cfRule>
  </conditionalFormatting>
  <conditionalFormatting sqref="P68 AE68">
    <cfRule type="cellIs" dxfId="670" priority="56" operator="lessThan">
      <formula>0</formula>
    </cfRule>
  </conditionalFormatting>
  <conditionalFormatting sqref="Q68 AF68">
    <cfRule type="cellIs" dxfId="669" priority="54" operator="greaterThan">
      <formula>1</formula>
    </cfRule>
    <cfRule type="cellIs" dxfId="668" priority="55" operator="lessThan">
      <formula>0.8</formula>
    </cfRule>
  </conditionalFormatting>
  <conditionalFormatting sqref="R68 AG68">
    <cfRule type="cellIs" dxfId="667" priority="57" operator="lessThan">
      <formula>0.8</formula>
    </cfRule>
  </conditionalFormatting>
  <conditionalFormatting sqref="R50 AG50">
    <cfRule type="cellIs" dxfId="666" priority="52" operator="lessThan">
      <formula>0.8</formula>
    </cfRule>
  </conditionalFormatting>
  <conditionalFormatting sqref="AG50">
    <cfRule type="cellIs" dxfId="665" priority="51" operator="lessThan">
      <formula>0.8</formula>
    </cfRule>
  </conditionalFormatting>
  <conditionalFormatting sqref="O78">
    <cfRule type="cellIs" dxfId="664" priority="46" operator="greaterThan">
      <formula>0</formula>
    </cfRule>
  </conditionalFormatting>
  <conditionalFormatting sqref="P78">
    <cfRule type="cellIs" dxfId="663" priority="49" operator="lessThan">
      <formula>0</formula>
    </cfRule>
  </conditionalFormatting>
  <conditionalFormatting sqref="Q78">
    <cfRule type="cellIs" dxfId="662" priority="47" operator="greaterThan">
      <formula>1</formula>
    </cfRule>
    <cfRule type="cellIs" dxfId="661" priority="48" operator="lessThan">
      <formula>0.8</formula>
    </cfRule>
  </conditionalFormatting>
  <conditionalFormatting sqref="R78">
    <cfRule type="cellIs" dxfId="660" priority="50" operator="lessThan">
      <formula>0.8</formula>
    </cfRule>
  </conditionalFormatting>
  <conditionalFormatting sqref="O19:O20">
    <cfRule type="cellIs" dxfId="659" priority="41" operator="greaterThan">
      <formula>0</formula>
    </cfRule>
  </conditionalFormatting>
  <conditionalFormatting sqref="P19:P20">
    <cfRule type="cellIs" dxfId="658" priority="44" operator="lessThan">
      <formula>0</formula>
    </cfRule>
  </conditionalFormatting>
  <conditionalFormatting sqref="Q19:Q20">
    <cfRule type="cellIs" dxfId="657" priority="42" operator="greaterThan">
      <formula>1</formula>
    </cfRule>
    <cfRule type="cellIs" dxfId="656" priority="43" operator="lessThan">
      <formula>0.8</formula>
    </cfRule>
  </conditionalFormatting>
  <conditionalFormatting sqref="R19:R20 AG19:AG20">
    <cfRule type="cellIs" dxfId="655" priority="45" operator="lessThan">
      <formula>0.8</formula>
    </cfRule>
  </conditionalFormatting>
  <conditionalFormatting sqref="O63">
    <cfRule type="cellIs" dxfId="654" priority="36" operator="greaterThan">
      <formula>0</formula>
    </cfRule>
  </conditionalFormatting>
  <conditionalFormatting sqref="P63">
    <cfRule type="cellIs" dxfId="653" priority="39" operator="lessThan">
      <formula>0</formula>
    </cfRule>
  </conditionalFormatting>
  <conditionalFormatting sqref="Q63">
    <cfRule type="cellIs" dxfId="652" priority="37" operator="greaterThan">
      <formula>1</formula>
    </cfRule>
    <cfRule type="cellIs" dxfId="651" priority="38" operator="lessThan">
      <formula>0.8</formula>
    </cfRule>
  </conditionalFormatting>
  <conditionalFormatting sqref="AG63 R63">
    <cfRule type="cellIs" dxfId="650" priority="40" operator="lessThan">
      <formula>0.8</formula>
    </cfRule>
  </conditionalFormatting>
  <conditionalFormatting sqref="O67">
    <cfRule type="cellIs" dxfId="649" priority="31" operator="greaterThan">
      <formula>0</formula>
    </cfRule>
  </conditionalFormatting>
  <conditionalFormatting sqref="P67 AE67">
    <cfRule type="cellIs" dxfId="648" priority="34" operator="lessThan">
      <formula>0</formula>
    </cfRule>
  </conditionalFormatting>
  <conditionalFormatting sqref="Q67 AF67">
    <cfRule type="cellIs" dxfId="647" priority="32" operator="greaterThan">
      <formula>1</formula>
    </cfRule>
    <cfRule type="cellIs" dxfId="646" priority="33" operator="lessThan">
      <formula>0.8</formula>
    </cfRule>
  </conditionalFormatting>
  <conditionalFormatting sqref="R67 AG67">
    <cfRule type="cellIs" dxfId="645" priority="35" operator="lessThan">
      <formula>0.8</formula>
    </cfRule>
  </conditionalFormatting>
  <conditionalFormatting sqref="O21">
    <cfRule type="cellIs" dxfId="644" priority="26" operator="greaterThan">
      <formula>0</formula>
    </cfRule>
  </conditionalFormatting>
  <conditionalFormatting sqref="P21">
    <cfRule type="cellIs" dxfId="643" priority="29" operator="lessThan">
      <formula>0</formula>
    </cfRule>
  </conditionalFormatting>
  <conditionalFormatting sqref="Q21">
    <cfRule type="cellIs" dxfId="642" priority="27" operator="greaterThan">
      <formula>1</formula>
    </cfRule>
    <cfRule type="cellIs" dxfId="641" priority="28" operator="lessThan">
      <formula>0.8</formula>
    </cfRule>
  </conditionalFormatting>
  <conditionalFormatting sqref="AG21 R21">
    <cfRule type="cellIs" dxfId="640" priority="30" operator="lessThan">
      <formula>0.8</formula>
    </cfRule>
  </conditionalFormatting>
  <conditionalFormatting sqref="O22">
    <cfRule type="cellIs" dxfId="639" priority="21" operator="greaterThan">
      <formula>0</formula>
    </cfRule>
  </conditionalFormatting>
  <conditionalFormatting sqref="P22">
    <cfRule type="cellIs" dxfId="638" priority="24" operator="lessThan">
      <formula>0</formula>
    </cfRule>
  </conditionalFormatting>
  <conditionalFormatting sqref="Q22">
    <cfRule type="cellIs" dxfId="637" priority="22" operator="greaterThan">
      <formula>1</formula>
    </cfRule>
    <cfRule type="cellIs" dxfId="636" priority="23" operator="lessThan">
      <formula>0.8</formula>
    </cfRule>
  </conditionalFormatting>
  <conditionalFormatting sqref="AG22 R22">
    <cfRule type="cellIs" dxfId="635" priority="25" operator="lessThan">
      <formula>0.8</formula>
    </cfRule>
  </conditionalFormatting>
  <conditionalFormatting sqref="P9">
    <cfRule type="cellIs" dxfId="634" priority="20" operator="lessThan">
      <formula>0</formula>
    </cfRule>
  </conditionalFormatting>
  <conditionalFormatting sqref="P23">
    <cfRule type="cellIs" dxfId="633" priority="19" operator="lessThan">
      <formula>0</formula>
    </cfRule>
  </conditionalFormatting>
  <conditionalFormatting sqref="P30">
    <cfRule type="cellIs" dxfId="632" priority="18" operator="lessThan">
      <formula>0</formula>
    </cfRule>
  </conditionalFormatting>
  <conditionalFormatting sqref="P39">
    <cfRule type="cellIs" dxfId="631" priority="17" operator="lessThan">
      <formula>0</formula>
    </cfRule>
  </conditionalFormatting>
  <conditionalFormatting sqref="P55">
    <cfRule type="cellIs" dxfId="630" priority="16" operator="lessThan">
      <formula>0</formula>
    </cfRule>
  </conditionalFormatting>
  <conditionalFormatting sqref="P65">
    <cfRule type="cellIs" dxfId="629" priority="15" operator="lessThan">
      <formula>0</formula>
    </cfRule>
  </conditionalFormatting>
  <conditionalFormatting sqref="P71">
    <cfRule type="cellIs" dxfId="628" priority="14" operator="lessThan">
      <formula>0</formula>
    </cfRule>
  </conditionalFormatting>
  <conditionalFormatting sqref="P80">
    <cfRule type="cellIs" dxfId="627" priority="13" operator="lessThan">
      <formula>0</formula>
    </cfRule>
  </conditionalFormatting>
  <conditionalFormatting sqref="R49 AG49">
    <cfRule type="cellIs" dxfId="626" priority="12" operator="lessThan">
      <formula>0.8</formula>
    </cfRule>
  </conditionalFormatting>
  <conditionalFormatting sqref="AG49">
    <cfRule type="cellIs" dxfId="625" priority="11" operator="lessThan">
      <formula>0.8</formula>
    </cfRule>
  </conditionalFormatting>
  <conditionalFormatting sqref="O79">
    <cfRule type="cellIs" dxfId="624" priority="6" operator="greaterThan">
      <formula>0</formula>
    </cfRule>
  </conditionalFormatting>
  <conditionalFormatting sqref="P79">
    <cfRule type="cellIs" dxfId="623" priority="9" operator="lessThan">
      <formula>0</formula>
    </cfRule>
  </conditionalFormatting>
  <conditionalFormatting sqref="Q79">
    <cfRule type="cellIs" dxfId="622" priority="7" operator="greaterThan">
      <formula>1</formula>
    </cfRule>
    <cfRule type="cellIs" dxfId="621" priority="8" operator="lessThan">
      <formula>0.8</formula>
    </cfRule>
  </conditionalFormatting>
  <conditionalFormatting sqref="R79">
    <cfRule type="cellIs" dxfId="620" priority="10" operator="lessThan">
      <formula>0.8</formula>
    </cfRule>
  </conditionalFormatting>
  <conditionalFormatting sqref="O64">
    <cfRule type="cellIs" dxfId="619" priority="1" operator="greaterThan">
      <formula>0</formula>
    </cfRule>
  </conditionalFormatting>
  <conditionalFormatting sqref="P64">
    <cfRule type="cellIs" dxfId="618" priority="4" operator="lessThan">
      <formula>0</formula>
    </cfRule>
  </conditionalFormatting>
  <conditionalFormatting sqref="Q64">
    <cfRule type="cellIs" dxfId="617" priority="2" operator="greaterThan">
      <formula>1</formula>
    </cfRule>
    <cfRule type="cellIs" dxfId="616" priority="3" operator="lessThan">
      <formula>0.8</formula>
    </cfRule>
  </conditionalFormatting>
  <conditionalFormatting sqref="AG64 R64">
    <cfRule type="cellIs" dxfId="615" priority="5" operator="lessThan">
      <formula>0.8</formula>
    </cfRule>
  </conditionalFormatting>
  <dataValidations count="1">
    <dataValidation type="list" allowBlank="1" showInputMessage="1" showErrorMessage="1" sqref="AB9 AA5:AB8 AB70 AA9:AA70 AB11:AB66 AA71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7" sqref="Q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676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677</v>
      </c>
      <c r="C3" s="596" t="str">
        <f>TEXT('0907 4度C'!A2,"yyyy.mm.ddaaaa")</f>
        <v>2026.09.07星期一</v>
      </c>
      <c r="D3" s="597"/>
      <c r="E3" s="39" t="s">
        <v>678</v>
      </c>
      <c r="F3" s="598">
        <f>'0907 4度C'!D1</f>
        <v>195683</v>
      </c>
      <c r="G3" s="599"/>
      <c r="H3" s="39" t="s">
        <v>679</v>
      </c>
      <c r="I3" s="600">
        <f>'0907 4度C'!F1</f>
        <v>6827190.0199999986</v>
      </c>
      <c r="J3" s="601"/>
      <c r="K3" s="40"/>
      <c r="L3" s="41"/>
      <c r="M3" s="42"/>
      <c r="N3" s="42"/>
    </row>
    <row r="4" spans="2:17" ht="28.5" customHeight="1">
      <c r="B4" s="602" t="s">
        <v>680</v>
      </c>
      <c r="C4" s="588" t="s">
        <v>681</v>
      </c>
      <c r="D4" s="589"/>
      <c r="E4" s="605" t="s">
        <v>682</v>
      </c>
      <c r="F4" s="606"/>
      <c r="G4" s="605" t="s">
        <v>683</v>
      </c>
      <c r="H4" s="606"/>
      <c r="I4" s="605" t="s">
        <v>684</v>
      </c>
      <c r="J4" s="606"/>
      <c r="K4" s="586" t="s">
        <v>685</v>
      </c>
      <c r="L4" s="587"/>
      <c r="M4" s="587" t="s">
        <v>686</v>
      </c>
      <c r="N4" s="587"/>
    </row>
    <row r="5" spans="2:17" ht="28.5" customHeight="1">
      <c r="B5" s="603"/>
      <c r="C5" s="588" t="s">
        <v>687</v>
      </c>
      <c r="D5" s="589"/>
      <c r="E5" s="588" t="s">
        <v>688</v>
      </c>
      <c r="F5" s="589"/>
      <c r="G5" s="590" t="s">
        <v>689</v>
      </c>
      <c r="H5" s="591"/>
      <c r="I5" s="592" t="s">
        <v>690</v>
      </c>
      <c r="J5" s="593"/>
      <c r="K5" s="43" t="s">
        <v>691</v>
      </c>
      <c r="L5" s="44" t="s">
        <v>692</v>
      </c>
      <c r="M5" s="43" t="s">
        <v>691</v>
      </c>
      <c r="N5" s="44" t="s">
        <v>693</v>
      </c>
    </row>
    <row r="6" spans="2:17" ht="28.5" customHeight="1">
      <c r="B6" s="603"/>
      <c r="C6" s="588" t="s">
        <v>56</v>
      </c>
      <c r="D6" s="589"/>
      <c r="E6" s="580">
        <f>AVERAGE(D13:M13)</f>
        <v>156.11628916732604</v>
      </c>
      <c r="F6" s="581">
        <f>AVERAGE(D31:O31,D13:J13)</f>
        <v>163.48773188576484</v>
      </c>
      <c r="G6" s="582">
        <f>AVERAGE(D13:J13)</f>
        <v>163.48773188576484</v>
      </c>
      <c r="H6" s="583"/>
      <c r="I6" s="582">
        <f>AVERAGE(K13:M13)</f>
        <v>138.91625615763547</v>
      </c>
      <c r="J6" s="583"/>
      <c r="K6" s="584">
        <f>'0907 4度C'!Y2</f>
        <v>0</v>
      </c>
      <c r="L6" s="569">
        <f>'0907 4度C'!Z2</f>
        <v>0</v>
      </c>
      <c r="M6" s="585">
        <f>'0907 4度C'!AC2</f>
        <v>63</v>
      </c>
      <c r="N6" s="569">
        <f>'0907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149.69962901069144</v>
      </c>
      <c r="F7" s="573">
        <f>AVERAGE(D32:O32,D14:J14)</f>
        <v>156.91355890668345</v>
      </c>
      <c r="G7" s="574">
        <f>AVERAGE(D14:J14)</f>
        <v>156.91355890668345</v>
      </c>
      <c r="H7" s="575"/>
      <c r="I7" s="574">
        <f>AVERAGE(K14:M14)</f>
        <v>132.86712592004341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0.95869866765450207</v>
      </c>
      <c r="F8" s="577">
        <f>AVERAGE(D15:J15,D33:O33)</f>
        <v>0.95970101275433828</v>
      </c>
      <c r="G8" s="578">
        <f>AVERAGE(D15:J15)</f>
        <v>0.95970101275433828</v>
      </c>
      <c r="H8" s="579"/>
      <c r="I8" s="578">
        <f>AVERAGE(K15:M15)</f>
        <v>0.95635986242155102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694</v>
      </c>
      <c r="N9" s="42"/>
      <c r="O9" s="42"/>
      <c r="P9" s="42"/>
      <c r="Q9" s="42"/>
    </row>
    <row r="10" spans="2:17" ht="30" customHeight="1">
      <c r="B10" s="552" t="s">
        <v>695</v>
      </c>
      <c r="C10" s="553"/>
      <c r="D10" s="554" t="s">
        <v>696</v>
      </c>
      <c r="E10" s="555"/>
      <c r="F10" s="555"/>
      <c r="G10" s="555"/>
      <c r="H10" s="555"/>
      <c r="I10" s="555"/>
      <c r="J10" s="556"/>
      <c r="K10" s="557" t="s">
        <v>697</v>
      </c>
      <c r="L10" s="558"/>
      <c r="M10" s="559"/>
      <c r="P10" s="48"/>
      <c r="Q10" s="48"/>
    </row>
    <row r="11" spans="2:17" ht="17.25" customHeight="1">
      <c r="B11" s="560" t="s">
        <v>698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699</v>
      </c>
      <c r="C13" s="55" t="s">
        <v>700</v>
      </c>
      <c r="D13" s="56">
        <f>SUMIFS('0907 4度C'!$K:$K,'0907 4度C'!$A:$A,"新豐6線",'0907 4度C'!$B:$B,"平均")</f>
        <v>129.03225806451613</v>
      </c>
      <c r="E13" s="57">
        <f>SUMIFS('0907 4度C'!$K:$K,'0907 4度C'!$A:$A,"新豐2線",'0907 4度C'!$B:$B,"平均")</f>
        <v>81.081081081081081</v>
      </c>
      <c r="F13" s="58">
        <f>SUMIFS('0907 4度C'!$K:$K,'0907 4度C'!$A:$A,"新豐5線",'0907 4度C'!$B:$B,"平均")</f>
        <v>109.02255639097744</v>
      </c>
      <c r="G13" s="58">
        <f>SUMIFS('0907 4度C'!$K:$K,'0907 4度C'!$A:$A,"新豐7線",'0907 4度C'!$B:$B,"平均")</f>
        <v>129.03225806451613</v>
      </c>
      <c r="H13" s="58">
        <f>SUMIFS('0907 4度C'!$K:$K,'0907 4度C'!$A:$A,"新豐3線",'0907 4度C'!$B:$B,"平均")</f>
        <v>300</v>
      </c>
      <c r="I13" s="58">
        <f>SUMIFS('0907 4度C'!$K:$K,'0907 4度C'!$A:$A,"新豐1線",'0907 4度C'!$B:$B,"平均")</f>
        <v>107.78443113772454</v>
      </c>
      <c r="J13" s="59">
        <f>SUMIFS('0907 4度C'!$K:$K,'0907 4度C'!$A:$A,"新豐10線",'0907 4度C'!$B:$B,"平均")</f>
        <v>288.46153846153845</v>
      </c>
      <c r="K13" s="60">
        <f>SUMIFS('0907 4度C'!$K:$K,'0907 4度C'!$A:$A,"新豐8線",'0907 4度C'!$B:$B,"平均")</f>
        <v>145.45454545454547</v>
      </c>
      <c r="L13" s="61">
        <f>SUMIFS('0907 4度C'!$K:$K,'0907 4度C'!$A:$A,"新豐9線",'0907 4度C'!$B:$B,"平均")</f>
        <v>140.25974025974025</v>
      </c>
      <c r="M13" s="59">
        <f>SUMIFS('0907 4度C'!$K:$K,'0907 4度C'!$A:$A,"新豐4線",'0907 4度C'!$B:$B,"平均")</f>
        <v>131.0344827586207</v>
      </c>
    </row>
    <row r="14" spans="2:17" ht="39.6" customHeight="1">
      <c r="B14" s="565"/>
      <c r="C14" s="62" t="s">
        <v>701</v>
      </c>
      <c r="D14" s="63">
        <f>SUMIFS('0907 4度C'!$N:$N,'0907 4度C'!$A:$A,"新豐6線",'0907 4度C'!$B:$B,"平均")</f>
        <v>124.28277006380695</v>
      </c>
      <c r="E14" s="64">
        <f>SUMIFS('0907 4度C'!$N:$N,'0907 4度C'!$A:$A,"新豐2線",'0907 4度C'!$B:$B,"平均")</f>
        <v>77.66454287496731</v>
      </c>
      <c r="F14" s="64">
        <f>SUMIFS('0907 4度C'!$N:$N,'0907 4度C'!$A:$A,"新豐5線",'0907 4度C'!$B:$B,"平均")</f>
        <v>104.46195692644601</v>
      </c>
      <c r="G14" s="64">
        <f>SUMIFS('0907 4度C'!$N:$N,'0907 4度C'!$A:$A,"新豐7線",'0907 4度C'!$B:$B,"平均")</f>
        <v>123.72380564584107</v>
      </c>
      <c r="H14" s="64">
        <f>SUMIFS('0907 4度C'!$N:$N,'0907 4度C'!$A:$A,"新豐3線",'0907 4度C'!$B:$B,"平均")</f>
        <v>286.7728706187317</v>
      </c>
      <c r="I14" s="64">
        <f>SUMIFS('0907 4度C'!$N:$N,'0907 4度C'!$A:$A,"新豐1線",'0907 4度C'!$B:$B,"平均")</f>
        <v>103.49492109027746</v>
      </c>
      <c r="J14" s="65">
        <f>SUMIFS('0907 4度C'!$N:$N,'0907 4度C'!$A:$A,"新豐10線",'0907 4度C'!$B:$B,"平均")</f>
        <v>277.99404512671373</v>
      </c>
      <c r="K14" s="66">
        <f>SUMIFS('0907 4度C'!$N:$N,'0907 4度C'!$A:$A,"新豐8線",'0907 4度C'!$B:$B,"平均")</f>
        <v>139.48168622460366</v>
      </c>
      <c r="L14" s="67">
        <f>SUMIFS('0907 4度C'!$N:$N,'0907 4度C'!$A:$A,"新豐9線",'0907 4度C'!$B:$B,"平均")</f>
        <v>134.1756745561886</v>
      </c>
      <c r="M14" s="65">
        <f>SUMIFS('0907 4度C'!$N:$N,'0907 4度C'!$A:$A,"新豐4線",'0907 4度C'!$B:$B,"平均")</f>
        <v>124.94401697933796</v>
      </c>
    </row>
    <row r="15" spans="2:17" ht="40.15" customHeight="1">
      <c r="B15" s="566"/>
      <c r="C15" s="68" t="s">
        <v>702</v>
      </c>
      <c r="D15" s="69">
        <f t="shared" ref="D15:M15" si="0">D14/D13</f>
        <v>0.96319146799450384</v>
      </c>
      <c r="E15" s="70">
        <f t="shared" si="0"/>
        <v>0.95786269545793012</v>
      </c>
      <c r="F15" s="70">
        <f t="shared" si="0"/>
        <v>0.95816829456671171</v>
      </c>
      <c r="G15" s="70">
        <f t="shared" si="0"/>
        <v>0.95885949375526824</v>
      </c>
      <c r="H15" s="70">
        <f t="shared" si="0"/>
        <v>0.95590956872910571</v>
      </c>
      <c r="I15" s="70">
        <f t="shared" si="0"/>
        <v>0.96020287900424095</v>
      </c>
      <c r="J15" s="71">
        <f t="shared" si="0"/>
        <v>0.9637126897726076</v>
      </c>
      <c r="K15" s="69">
        <f t="shared" si="0"/>
        <v>0.95893659279415011</v>
      </c>
      <c r="L15" s="70">
        <f t="shared" si="0"/>
        <v>0.95662286489134463</v>
      </c>
      <c r="M15" s="71">
        <f t="shared" si="0"/>
        <v>0.9535201295791581</v>
      </c>
    </row>
    <row r="16" spans="2:17" ht="17.25" customHeight="1">
      <c r="B16" s="567" t="s">
        <v>114</v>
      </c>
      <c r="C16" s="72" t="s">
        <v>115</v>
      </c>
      <c r="D16" s="73">
        <f>VLOOKUP("新豐6線",'0907 4度C'!$A:$T,19,0)</f>
        <v>0.70833333333333337</v>
      </c>
      <c r="E16" s="74">
        <f>VLOOKUP("新豐2線",'0907 4度C'!$A:$T,19,0)</f>
        <v>8.3333333333333329E-2</v>
      </c>
      <c r="F16" s="74">
        <f>VLOOKUP("新豐5線",'0907 4度C'!$A:$T,19,0)</f>
        <v>0.20833333333333334</v>
      </c>
      <c r="G16" s="74">
        <f>VLOOKUP("新豐7線",'0907 4度C'!$A:$T,19,0)</f>
        <v>0.20833333333333334</v>
      </c>
      <c r="H16" s="74">
        <f>VLOOKUP("新豐3線",'0907 4度C'!$A:$T,19,0)</f>
        <v>0.20833333333333334</v>
      </c>
      <c r="I16" s="74">
        <f>VLOOKUP("新豐1線",'0907 4度C'!$A:$T,19,0)</f>
        <v>0.20833333333333334</v>
      </c>
      <c r="J16" s="75">
        <f>VLOOKUP("新豐10線",'0907 4度C'!$A:$T,19,0)</f>
        <v>0.20833333333333334</v>
      </c>
      <c r="K16" s="76">
        <f>VLOOKUP("新豐8線",'0907 4度C'!$A:$T,19,0)</f>
        <v>8.3333333333333329E-2</v>
      </c>
      <c r="L16" s="77">
        <f>VLOOKUP("新豐9線",'0907 4度C'!$A:$T,19,0)</f>
        <v>8.3333333333333329E-2</v>
      </c>
      <c r="M16" s="78">
        <f>VLOOKUP("新豐4線",'0907 4度C'!$A:$T,19,0)</f>
        <v>8.3333333333333329E-2</v>
      </c>
    </row>
    <row r="17" spans="2:13" ht="17.25" customHeight="1">
      <c r="B17" s="568"/>
      <c r="C17" s="72" t="s">
        <v>703</v>
      </c>
      <c r="D17" s="76">
        <f>LOOKUP(2,1/(('0907 4度C'!$A:$A="新豐6線")*('0907 4度C'!$T:$T&lt;&gt;"")),'0907 4度C'!$T:$T)</f>
        <v>0.94444444444444442</v>
      </c>
      <c r="E17" s="74">
        <f>LOOKUP(2,1/(('0907 4度C'!$A:$A="新豐2線")*('0907 4度C'!$T:$T&lt;&gt;"")),'0907 4度C'!$T:$T)</f>
        <v>0.58055555555555549</v>
      </c>
      <c r="F17" s="74">
        <f>LOOKUP(2,1/(('0907 4度C'!$A:$A="新豐5線")*('0907 4度C'!$T:$T&lt;&gt;"")),'0907 4度C'!$T:$T)</f>
        <v>0.91249999999999998</v>
      </c>
      <c r="G17" s="74">
        <f>LOOKUP(2,1/(('0907 4度C'!$A:$A="新豐7線")*('0907 4度C'!$T:$T&lt;&gt;"")),'0907 4度C'!$T:$T)</f>
        <v>0.8534722222222223</v>
      </c>
      <c r="H17" s="74">
        <f>LOOKUP(2,1/(('0907 4度C'!$A:$A="新豐3線")*('0907 4度C'!$T:$T&lt;&gt;"")),'0907 4度C'!$T:$T)</f>
        <v>0.47638888888888892</v>
      </c>
      <c r="I17" s="74">
        <f>LOOKUP(2,1/(('0907 4度C'!$A:$A="新豐1線")*('0907 4度C'!$T:$T&lt;&gt;"")),'0907 4度C'!$T:$T)</f>
        <v>0.91944444444444451</v>
      </c>
      <c r="J17" s="75">
        <f>LOOKUP(2,1/(('0907 4度C'!$A:$A="新豐10線")*('0907 4度C'!$T:$T&lt;&gt;"")),'0907 4度C'!$T:$T)</f>
        <v>0.46319444444444441</v>
      </c>
      <c r="K17" s="73">
        <f>LOOKUP(2,1/(('0907 4度C'!$A:$A="新豐8線")*('0907 4度C'!$T:$T&lt;&gt;"")),'0907 4度C'!$T:$T)</f>
        <v>0.74374999999999991</v>
      </c>
      <c r="L17" s="74">
        <f>LOOKUP(2,1/(('0907 4度C'!$A:$A="新豐9線")*('0907 4度C'!$T:$T&lt;&gt;"")),'0907 4度C'!$T:$T)</f>
        <v>0.71874999999999989</v>
      </c>
      <c r="M17" s="75">
        <f>LOOKUP(2,1/(('0907 4度C'!$A:$A="新豐4線")*('0907 4度C'!$T:$T&lt;&gt;"")),'0907 4度C'!$T:$T)</f>
        <v>0.73680555555555549</v>
      </c>
    </row>
    <row r="18" spans="2:13" ht="17.25" customHeight="1">
      <c r="B18" s="546" t="s">
        <v>117</v>
      </c>
      <c r="C18" s="79" t="s">
        <v>118</v>
      </c>
      <c r="D18" s="80">
        <f>SUMIFS('0907 4度C'!$Y:$Y,'0907 4度C'!$A:$A,"新豐6線",'0907 4度C'!$B:$B,"平均")</f>
        <v>0</v>
      </c>
      <c r="E18" s="81">
        <f>SUMIFS('0907 4度C'!$Y:$Y,'0907 4度C'!$A:$A,"新豐2線",'0907 4度C'!$B:$B,"平均")</f>
        <v>0</v>
      </c>
      <c r="F18" s="81">
        <f>SUMIFS('0907 4度C'!$Y:$Y,'0907 4度C'!$A:$A,"新豐5線",'0907 4度C'!$B:$B,"平均")</f>
        <v>0</v>
      </c>
      <c r="G18" s="81">
        <f>SUMIFS('0907 4度C'!$Y:$Y,'0907 4度C'!$A:$A,"新豐7線",'0907 4度C'!$B:$B,"平均")</f>
        <v>0</v>
      </c>
      <c r="H18" s="81">
        <f>SUMIFS('0907 4度C'!$Y:$Y,'0907 4度C'!$A:$A,"新豐3線",'0907 4度C'!$B:$B,"平均")</f>
        <v>0</v>
      </c>
      <c r="I18" s="81">
        <f>SUMIFS('0907 4度C'!$Y:$Y,'0907 4度C'!$A:$A,"新豐1線",'0907 4度C'!$B:$B,"平均")</f>
        <v>0</v>
      </c>
      <c r="J18" s="82">
        <f>SUMIFS('0907 4度C'!$Y:$Y,'0907 4度C'!$A:$A,"新豐10線",'0907 4度C'!$B:$B,"平均")</f>
        <v>0</v>
      </c>
      <c r="K18" s="83">
        <f>SUMIFS('0907 4度C'!$Y:$Y,'0907 4度C'!$A:$A,"新豐8線",'0907 4度C'!$B:$B,"平均")</f>
        <v>0</v>
      </c>
      <c r="L18" s="81">
        <f>SUMIFS('0907 4度C'!$Y:$Y,'0907 4度C'!$A:$A,"新豐9線",'0907 4度C'!$B:$B,"平均")</f>
        <v>0</v>
      </c>
      <c r="M18" s="82">
        <f>SUMIFS('0907 4度C'!$Y:$Y,'0907 4度C'!$A:$A,"新豐4線",'0907 4度C'!$B:$B,"平均")</f>
        <v>0</v>
      </c>
    </row>
    <row r="19" spans="2:13" ht="17.25" customHeight="1">
      <c r="B19" s="547"/>
      <c r="C19" s="79" t="s">
        <v>704</v>
      </c>
      <c r="D19" s="80">
        <f>SUMIFS('0907 4度C'!$Z:$Z,'0907 4度C'!$A:$A,"新豐6線",'0907 4度C'!$B:$B,"平均")</f>
        <v>0</v>
      </c>
      <c r="E19" s="81">
        <f>SUMIFS('0907 4度C'!$Z:$Z,'0907 4度C'!$A:$A,"新豐2線",'0907 4度C'!$B:$B,"平均")</f>
        <v>0</v>
      </c>
      <c r="F19" s="81">
        <f>SUMIFS('0907 4度C'!$Z:$Z,'0907 4度C'!$A:$A,"新豐5線",'0907 4度C'!$B:$B,"平均")</f>
        <v>0</v>
      </c>
      <c r="G19" s="81">
        <f>SUMIFS('0907 4度C'!$Z:$Z,'0907 4度C'!$A:$A,"新豐7線",'0907 4度C'!$B:$B,"平均")</f>
        <v>0</v>
      </c>
      <c r="H19" s="81">
        <f>SUMIFS('0907 4度C'!$Z:$Z,'0907 4度C'!$A:$A,"新豐3線",'0907 4度C'!$B:$B,"平均")</f>
        <v>0</v>
      </c>
      <c r="I19" s="81">
        <f>SUMIFS('0907 4度C'!$Z:$Z,'0907 4度C'!$A:$A,"新豐1線",'0907 4度C'!$B:$B,"平均")</f>
        <v>0</v>
      </c>
      <c r="J19" s="82">
        <f>SUMIFS('0907 4度C'!$Z:$Z,'0907 4度C'!$A:$A,"新豐10線",'0907 4度C'!$B:$B,"平均")</f>
        <v>0</v>
      </c>
      <c r="K19" s="83">
        <f>SUMIFS('0907 4度C'!$Z:$Z,'0907 4度C'!$A:$A,"新豐8線",'0907 4度C'!$B:$B,"平均")</f>
        <v>0</v>
      </c>
      <c r="L19" s="81">
        <f>SUMIFS('0907 4度C'!$Z:$Z,'0907 4度C'!$A:$A,"新豐9線",'0907 4度C'!$B:$B,"平均")</f>
        <v>0</v>
      </c>
      <c r="M19" s="82">
        <f>SUMIFS('0907 4度C'!$Z:$Z,'0907 4度C'!$A:$A,"新豐4線",'0907 4度C'!$B:$B,"平均")</f>
        <v>0</v>
      </c>
    </row>
    <row r="20" spans="2:13" ht="17.25" customHeight="1">
      <c r="B20" s="546" t="s">
        <v>705</v>
      </c>
      <c r="C20" s="79" t="s">
        <v>118</v>
      </c>
      <c r="D20" s="80">
        <f>SUMIFS('0907 4度C'!$AC:$AC,'0907 4度C'!$A:$A,"新豐6線",'0907 4度C'!$B:$B,"平均")</f>
        <v>4</v>
      </c>
      <c r="E20" s="81">
        <f>SUMIFS('0907 4度C'!$AC:$AC,'0907 4度C'!$A:$A,"新豐2線",'0907 4度C'!$B:$B,"平均")</f>
        <v>4</v>
      </c>
      <c r="F20" s="81">
        <f>SUMIFS('0907 4度C'!$AC:$AC,'0907 4度C'!$A:$A,"新豐5線",'0907 4度C'!$B:$B,"平均")</f>
        <v>8</v>
      </c>
      <c r="G20" s="81">
        <f>SUMIFS('0907 4度C'!$AC:$AC,'0907 4度C'!$A:$A,"新豐7線",'0907 4度C'!$B:$B,"平均")</f>
        <v>6</v>
      </c>
      <c r="H20" s="81">
        <f>SUMIFS('0907 4度C'!$AC:$AC,'0907 4度C'!$A:$A,"新豐3線",'0907 4度C'!$B:$B,"平均")</f>
        <v>3</v>
      </c>
      <c r="I20" s="81">
        <f>SUMIFS('0907 4度C'!$AC:$AC,'0907 4度C'!$A:$A,"新豐1線",'0907 4度C'!$B:$B,"平均")</f>
        <v>9</v>
      </c>
      <c r="J20" s="82">
        <f>SUMIFS('0907 4度C'!$AC:$AC,'0907 4度C'!$A:$A,"新豐10線",'0907 4度C'!$B:$B,"平均")</f>
        <v>5</v>
      </c>
      <c r="K20" s="83">
        <f>SUMIFS('0907 4度C'!$AC:$AC,'0907 4度C'!$A:$A,"新豐8線",'0907 4度C'!$B:$B,"平均")</f>
        <v>8</v>
      </c>
      <c r="L20" s="81">
        <f>SUMIFS('0907 4度C'!$AC:$AC,'0907 4度C'!$A:$A,"新豐9線",'0907 4度C'!$B:$B,"平均")</f>
        <v>9</v>
      </c>
      <c r="M20" s="82">
        <f>SUMIFS('0907 4度C'!$AC:$AC,'0907 4度C'!$A:$A,"新豐4線",'0907 4度C'!$B:$B,"平均")</f>
        <v>7</v>
      </c>
    </row>
    <row r="21" spans="2:13" ht="17.25" customHeight="1">
      <c r="B21" s="547"/>
      <c r="C21" s="79" t="s">
        <v>706</v>
      </c>
      <c r="D21" s="80">
        <f>SUMIFS('0907 4度C'!$AD:$AD,'0907 4度C'!$A:$A,"新豐6線",'0907 4度C'!$B:$B,"平均")</f>
        <v>0</v>
      </c>
      <c r="E21" s="81">
        <f>SUMIFS('0907 4度C'!$AD:$AD,'0907 4度C'!$A:$A,"新豐2線",'0907 4度C'!$B:$B,"平均")</f>
        <v>0</v>
      </c>
      <c r="F21" s="81">
        <f>SUMIFS('0907 4度C'!$AD:$AD,'0907 4度C'!$A:$A,"新豐5線",'0907 4度C'!$B:$B,"平均")</f>
        <v>0</v>
      </c>
      <c r="G21" s="81">
        <f>SUMIFS('0907 4度C'!$AD:$AD,'0907 4度C'!$A:$A,"新豐7線",'0907 4度C'!$B:$B,"平均")</f>
        <v>0</v>
      </c>
      <c r="H21" s="81">
        <f>SUMIFS('0907 4度C'!$AD:$AD,'0907 4度C'!$A:$A,"新豐3線",'0907 4度C'!$B:$B,"平均")</f>
        <v>0</v>
      </c>
      <c r="I21" s="81">
        <f>SUMIFS('0907 4度C'!$AD:$AD,'0907 4度C'!$A:$A,"新豐1線",'0907 4度C'!$B:$B,"平均")</f>
        <v>0</v>
      </c>
      <c r="J21" s="82">
        <f>SUMIFS('0907 4度C'!$AD:$AD,'0907 4度C'!$A:$A,"新豐10線",'0907 4度C'!$B:$B,"平均")</f>
        <v>0</v>
      </c>
      <c r="K21" s="83">
        <f>SUMIFS('0907 4度C'!$AD:$AD,'0907 4度C'!$A:$A,"新豐8線",'0907 4度C'!$B:$B,"平均")</f>
        <v>0</v>
      </c>
      <c r="L21" s="81">
        <f>SUMIFS('0907 4度C'!$AD:$AD,'0907 4度C'!$A:$A,"新豐9線",'0907 4度C'!$B:$B,"平均")</f>
        <v>0</v>
      </c>
      <c r="M21" s="82">
        <f>SUMIFS('0907 4度C'!$AD:$AD,'0907 4度C'!$A:$A,"新豐4線",'0907 4度C'!$B:$B,"平均")</f>
        <v>0</v>
      </c>
    </row>
    <row r="22" spans="2:13" ht="17.25" customHeight="1">
      <c r="B22" s="548" t="s">
        <v>707</v>
      </c>
      <c r="C22" s="549"/>
      <c r="D22" s="84">
        <f>SUMIFS('0907 4度C'!$I:$I,'0907 4度C'!$A:$A,"新豐6線",'0907 4度C'!$B:$B,"平均")</f>
        <v>15.5</v>
      </c>
      <c r="E22" s="85">
        <f>SUMIFS('0907 4度C'!$I:$I,'0907 4度C'!$A:$A,"新豐2線",'0907 4度C'!$B:$B,"平均")</f>
        <v>18.5</v>
      </c>
      <c r="F22" s="85">
        <f>SUMIFS('0907 4度C'!$I:$I,'0907 4度C'!$A:$A,"新豐5線",'0907 4度C'!$B:$B,"平均")</f>
        <v>16.625</v>
      </c>
      <c r="G22" s="85">
        <f>SUMIFS('0907 4度C'!$I:$I,'0907 4度C'!$A:$A,"新豐7線",'0907 4度C'!$B:$B,"平均")</f>
        <v>15.5</v>
      </c>
      <c r="H22" s="85">
        <f>SUMIFS('0907 4度C'!$I:$I,'0907 4度C'!$A:$A,"新豐3線",'0907 4度C'!$B:$B,"平均")</f>
        <v>10</v>
      </c>
      <c r="I22" s="85">
        <f>SUMIFS('0907 4度C'!$I:$I,'0907 4度C'!$A:$A,"新豐1線",'0907 4度C'!$B:$B,"平均")</f>
        <v>18.555555555555557</v>
      </c>
      <c r="J22" s="86">
        <f>SUMIFS('0907 4度C'!$I:$I,'0907 4度C'!$A:$A,"新豐10線",'0907 4度C'!$B:$B,"平均")</f>
        <v>10.4</v>
      </c>
      <c r="K22" s="84">
        <f>SUMIFS('0907 4度C'!$I:$I,'0907 4度C'!$A:$A,"新豐8線",'0907 4度C'!$B:$B,"平均")</f>
        <v>16.5</v>
      </c>
      <c r="L22" s="85">
        <f>SUMIFS('0907 4度C'!$I:$I,'0907 4度C'!$A:$A,"新豐9線",'0907 4度C'!$B:$B,"平均")</f>
        <v>17.111111111111111</v>
      </c>
      <c r="M22" s="86">
        <f>SUMIFS('0907 4度C'!$I:$I,'0907 4度C'!$A:$A,"新豐4線",'0907 4度C'!$B:$B,"平均")</f>
        <v>16.571428571428573</v>
      </c>
    </row>
    <row r="23" spans="2:13" ht="17.25" customHeight="1">
      <c r="B23" s="548" t="s">
        <v>708</v>
      </c>
      <c r="C23" s="549"/>
      <c r="D23" s="87" t="s">
        <v>69</v>
      </c>
      <c r="E23" s="88" t="s">
        <v>70</v>
      </c>
      <c r="F23" s="88" t="s">
        <v>709</v>
      </c>
      <c r="G23" s="88" t="s">
        <v>709</v>
      </c>
      <c r="H23" s="88" t="s">
        <v>71</v>
      </c>
      <c r="I23" s="88" t="s">
        <v>69</v>
      </c>
      <c r="J23" s="89" t="s">
        <v>71</v>
      </c>
      <c r="K23" s="87" t="s">
        <v>710</v>
      </c>
      <c r="L23" s="88" t="s">
        <v>710</v>
      </c>
      <c r="M23" s="89" t="s">
        <v>710</v>
      </c>
    </row>
    <row r="24" spans="2:13" ht="17.25" customHeight="1">
      <c r="B24" s="548" t="s">
        <v>711</v>
      </c>
      <c r="C24" s="549"/>
      <c r="D24" s="87"/>
      <c r="E24" s="88"/>
      <c r="F24" s="88" t="s">
        <v>712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713</v>
      </c>
      <c r="C25" s="551"/>
      <c r="D25" s="90"/>
      <c r="E25" s="91" t="s">
        <v>714</v>
      </c>
      <c r="F25" s="544" t="s">
        <v>715</v>
      </c>
      <c r="G25" s="545"/>
      <c r="H25" s="91" t="s">
        <v>716</v>
      </c>
      <c r="I25" s="91" t="s">
        <v>717</v>
      </c>
      <c r="J25" s="92" t="s">
        <v>716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61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Q15" sqref="Q15"/>
      <selection pane="bottomLeft" activeCell="Q15" sqref="Q15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718</v>
      </c>
      <c r="B1" s="1"/>
      <c r="C1" s="2" t="s">
        <v>719</v>
      </c>
      <c r="D1" s="3">
        <f>SUM(F5:F77)</f>
        <v>195683</v>
      </c>
      <c r="E1" s="191" t="s">
        <v>720</v>
      </c>
      <c r="F1" s="1">
        <f>SUM(G5:G77)</f>
        <v>6827190.0199999986</v>
      </c>
      <c r="G1" s="1" t="s">
        <v>721</v>
      </c>
      <c r="H1" s="4">
        <f>L9+L14+L53+L63+L23+L69+L39+L49+L30+L77</f>
        <v>155.26309523809525</v>
      </c>
      <c r="I1" s="660" t="s">
        <v>722</v>
      </c>
      <c r="J1" s="660"/>
      <c r="K1" s="660"/>
      <c r="L1" s="660" t="s">
        <v>723</v>
      </c>
      <c r="M1" s="660"/>
      <c r="N1" s="660"/>
      <c r="O1" s="660" t="s">
        <v>724</v>
      </c>
      <c r="P1" s="660"/>
      <c r="Q1" s="660"/>
      <c r="R1" s="660"/>
      <c r="S1" s="660" t="s">
        <v>725</v>
      </c>
      <c r="T1" s="660"/>
      <c r="U1" s="660"/>
      <c r="V1" s="660"/>
      <c r="W1" s="660"/>
      <c r="X1" s="660"/>
      <c r="Y1" s="5" t="s">
        <v>726</v>
      </c>
      <c r="Z1" s="6" t="s">
        <v>727</v>
      </c>
      <c r="AA1" s="661" t="s">
        <v>728</v>
      </c>
      <c r="AB1" s="661"/>
      <c r="AC1" s="7" t="s">
        <v>726</v>
      </c>
      <c r="AD1" s="6" t="s">
        <v>729</v>
      </c>
      <c r="AE1" s="660" t="s">
        <v>730</v>
      </c>
      <c r="AF1" s="662"/>
      <c r="AG1" s="662"/>
    </row>
    <row r="2" spans="1:33" ht="26.25" customHeight="1">
      <c r="A2" s="27">
        <v>46272</v>
      </c>
      <c r="B2" s="28" t="s">
        <v>675</v>
      </c>
      <c r="C2" s="2" t="s">
        <v>731</v>
      </c>
      <c r="D2" s="9">
        <f>AVERAGE(N9,N14,N53,N63,N23,N69,N30,N39,N49,N77)</f>
        <v>149.69962901069144</v>
      </c>
      <c r="E2" s="10" t="s">
        <v>0</v>
      </c>
      <c r="F2" s="11">
        <f>F1/D1</f>
        <v>34.88902980841462</v>
      </c>
      <c r="G2" s="1" t="s">
        <v>732</v>
      </c>
      <c r="H2" s="201">
        <f>COUNT(H5:H77)</f>
        <v>12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SUM(Y9+Y14+Y23+Y30+Y39+Y49+Y53+Y63+Y69+Y77)</f>
        <v>0</v>
      </c>
      <c r="Z2" s="12">
        <f>SUM(Z9+Z14+Z23+Z30+Z39+Z49+Z53+Z63+Z69+Z77)</f>
        <v>0</v>
      </c>
      <c r="AA2" s="661"/>
      <c r="AB2" s="661"/>
      <c r="AC2" s="12">
        <v>63</v>
      </c>
      <c r="AD2" s="12">
        <f>SUM(AD9+AD14+AD23+AD30+AD39+AD49+AD53+AD63+AD69+AD77)</f>
        <v>0</v>
      </c>
      <c r="AE2" s="662"/>
      <c r="AF2" s="662"/>
      <c r="AG2" s="662"/>
    </row>
    <row r="3" spans="1:33" ht="40.5" customHeight="1">
      <c r="A3" s="610" t="s">
        <v>733</v>
      </c>
      <c r="B3" s="610" t="s">
        <v>734</v>
      </c>
      <c r="C3" s="610" t="s">
        <v>735</v>
      </c>
      <c r="D3" s="610"/>
      <c r="E3" s="658" t="s">
        <v>736</v>
      </c>
      <c r="F3" s="610" t="s">
        <v>737</v>
      </c>
      <c r="G3" s="658" t="s">
        <v>738</v>
      </c>
      <c r="H3" s="651" t="s">
        <v>739</v>
      </c>
      <c r="I3" s="649" t="s">
        <v>740</v>
      </c>
      <c r="J3" s="646" t="s">
        <v>741</v>
      </c>
      <c r="K3" s="656" t="s">
        <v>742</v>
      </c>
      <c r="L3" s="649" t="s">
        <v>740</v>
      </c>
      <c r="M3" s="646" t="s">
        <v>741</v>
      </c>
      <c r="N3" s="656" t="s">
        <v>742</v>
      </c>
      <c r="O3" s="649" t="s">
        <v>740</v>
      </c>
      <c r="P3" s="656" t="s">
        <v>742</v>
      </c>
      <c r="Q3" s="647" t="s">
        <v>743</v>
      </c>
      <c r="R3" s="623" t="s">
        <v>744</v>
      </c>
      <c r="S3" s="657" t="s">
        <v>1</v>
      </c>
      <c r="T3" s="657"/>
      <c r="U3" s="651" t="s">
        <v>2</v>
      </c>
      <c r="V3" s="651" t="s">
        <v>745</v>
      </c>
      <c r="W3" s="610" t="s">
        <v>746</v>
      </c>
      <c r="X3" s="610"/>
      <c r="Y3" s="652" t="s">
        <v>747</v>
      </c>
      <c r="Z3" s="609"/>
      <c r="AA3" s="653" t="s">
        <v>748</v>
      </c>
      <c r="AB3" s="654"/>
      <c r="AC3" s="652" t="s">
        <v>749</v>
      </c>
      <c r="AD3" s="609"/>
      <c r="AE3" s="646" t="s">
        <v>741</v>
      </c>
      <c r="AF3" s="647" t="s">
        <v>743</v>
      </c>
      <c r="AG3" s="623" t="s">
        <v>744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200" t="s">
        <v>3</v>
      </c>
      <c r="T4" s="200" t="s">
        <v>4</v>
      </c>
      <c r="U4" s="651"/>
      <c r="V4" s="651"/>
      <c r="W4" s="191" t="s">
        <v>750</v>
      </c>
      <c r="X4" s="191" t="s">
        <v>751</v>
      </c>
      <c r="Y4" s="190" t="s">
        <v>752</v>
      </c>
      <c r="Z4" s="190" t="s">
        <v>753</v>
      </c>
      <c r="AA4" s="655"/>
      <c r="AB4" s="654"/>
      <c r="AC4" s="190" t="s">
        <v>754</v>
      </c>
      <c r="AD4" s="190" t="s">
        <v>755</v>
      </c>
      <c r="AE4" s="646"/>
      <c r="AF4" s="647"/>
      <c r="AG4" s="623"/>
    </row>
    <row r="5" spans="1:33">
      <c r="A5" s="648" t="s">
        <v>756</v>
      </c>
      <c r="B5" s="33" t="s">
        <v>6</v>
      </c>
      <c r="C5" s="650" t="s">
        <v>7</v>
      </c>
      <c r="D5" s="650"/>
      <c r="E5" s="33">
        <v>50.92</v>
      </c>
      <c r="F5" s="200">
        <v>2941</v>
      </c>
      <c r="G5" s="191">
        <f t="shared" ref="G5:G8" si="0">E5*F5</f>
        <v>149755.72</v>
      </c>
      <c r="H5" s="29" t="s">
        <v>5</v>
      </c>
      <c r="I5" s="198">
        <v>15</v>
      </c>
      <c r="J5" s="30">
        <v>2000</v>
      </c>
      <c r="K5" s="13">
        <f t="shared" ref="K5:K68" si="1">J5/I5</f>
        <v>133.33333333333334</v>
      </c>
      <c r="L5" s="198">
        <v>15</v>
      </c>
      <c r="M5" s="14">
        <f t="shared" ref="M5:M8" si="2">F5/V5*60</f>
        <v>1918.0434782608695</v>
      </c>
      <c r="N5" s="13">
        <f t="shared" ref="N5:N68" si="3">M5/L5</f>
        <v>127.8695652173913</v>
      </c>
      <c r="O5" s="15">
        <f t="shared" ref="O5:O68" si="4">L5-I5</f>
        <v>0</v>
      </c>
      <c r="P5" s="16">
        <f t="shared" ref="P5:P68" si="5">N5-K5</f>
        <v>-5.4637681159420453</v>
      </c>
      <c r="Q5" s="196">
        <f t="shared" ref="Q5:Q68" si="6">N5/K5</f>
        <v>0.95902173913043465</v>
      </c>
      <c r="R5" s="619">
        <f>Q9</f>
        <v>0.96319146799450384</v>
      </c>
      <c r="S5" s="31">
        <v>0.70833333333333337</v>
      </c>
      <c r="T5" s="31">
        <v>0.77222222222222225</v>
      </c>
      <c r="U5" s="191"/>
      <c r="V5" s="199">
        <f t="shared" ref="V5:V8" si="7">(T5-S5)*24*60</f>
        <v>92</v>
      </c>
      <c r="W5" s="17"/>
      <c r="X5" s="17"/>
      <c r="Y5" s="18"/>
      <c r="Z5" s="18"/>
      <c r="AA5" s="610"/>
      <c r="AB5" s="610"/>
      <c r="AC5" s="19">
        <v>4</v>
      </c>
      <c r="AD5" s="19"/>
      <c r="AE5" s="15">
        <f t="shared" ref="AE5:AE62" si="8">M5-J5</f>
        <v>-81.956521739130494</v>
      </c>
      <c r="AF5" s="196">
        <f t="shared" ref="AF5:AF68" si="9">M5/J5</f>
        <v>0.95902173913043476</v>
      </c>
      <c r="AG5" s="619">
        <f>AF9</f>
        <v>0.96319146799450395</v>
      </c>
    </row>
    <row r="6" spans="1:33">
      <c r="A6" s="649" t="s">
        <v>756</v>
      </c>
      <c r="B6" s="33" t="s">
        <v>6</v>
      </c>
      <c r="C6" s="650" t="s">
        <v>8</v>
      </c>
      <c r="D6" s="650"/>
      <c r="E6" s="33">
        <v>50.98</v>
      </c>
      <c r="F6" s="200">
        <v>1200</v>
      </c>
      <c r="G6" s="191">
        <f t="shared" si="0"/>
        <v>61175.999999999993</v>
      </c>
      <c r="H6" s="29">
        <v>2</v>
      </c>
      <c r="I6" s="198">
        <v>16</v>
      </c>
      <c r="J6" s="30">
        <v>2000</v>
      </c>
      <c r="K6" s="13">
        <f t="shared" si="1"/>
        <v>125</v>
      </c>
      <c r="L6" s="198">
        <v>16</v>
      </c>
      <c r="M6" s="14">
        <f t="shared" si="2"/>
        <v>1945.9459459459445</v>
      </c>
      <c r="N6" s="13">
        <f t="shared" si="3"/>
        <v>121.62162162162153</v>
      </c>
      <c r="O6" s="15">
        <f t="shared" si="4"/>
        <v>0</v>
      </c>
      <c r="P6" s="16">
        <f t="shared" si="5"/>
        <v>-3.3783783783784713</v>
      </c>
      <c r="Q6" s="196">
        <f t="shared" si="6"/>
        <v>0.97297297297297225</v>
      </c>
      <c r="R6" s="619"/>
      <c r="S6" s="31">
        <v>0.77569444444444446</v>
      </c>
      <c r="T6" s="31">
        <v>0.80138888888888893</v>
      </c>
      <c r="U6" s="191">
        <f t="shared" ref="U6:U8" si="10">IF(S6=TIME(17,0,0),"",(S6-T5)*24*60)</f>
        <v>4.9999999999999822</v>
      </c>
      <c r="V6" s="199">
        <f t="shared" si="7"/>
        <v>37.000000000000028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-54.054054054055541</v>
      </c>
      <c r="AF6" s="196">
        <f t="shared" si="9"/>
        <v>0.97297297297297225</v>
      </c>
      <c r="AG6" s="619"/>
    </row>
    <row r="7" spans="1:33">
      <c r="A7" s="649" t="s">
        <v>757</v>
      </c>
      <c r="B7" s="33" t="s">
        <v>6</v>
      </c>
      <c r="C7" s="641" t="s">
        <v>9</v>
      </c>
      <c r="D7" s="642"/>
      <c r="E7" s="33">
        <v>50.67</v>
      </c>
      <c r="F7" s="200">
        <v>1769</v>
      </c>
      <c r="G7" s="191">
        <f t="shared" si="0"/>
        <v>89635.23</v>
      </c>
      <c r="H7" s="29" t="s">
        <v>5</v>
      </c>
      <c r="I7" s="198">
        <v>15</v>
      </c>
      <c r="J7" s="30">
        <v>2000</v>
      </c>
      <c r="K7" s="13">
        <f t="shared" si="1"/>
        <v>133.33333333333334</v>
      </c>
      <c r="L7" s="198">
        <v>15</v>
      </c>
      <c r="M7" s="14">
        <f t="shared" si="2"/>
        <v>1929.8181818181831</v>
      </c>
      <c r="N7" s="13">
        <f t="shared" si="3"/>
        <v>128.65454545454554</v>
      </c>
      <c r="O7" s="15">
        <f t="shared" si="4"/>
        <v>0</v>
      </c>
      <c r="P7" s="16">
        <f t="shared" si="5"/>
        <v>-4.6787878787878014</v>
      </c>
      <c r="Q7" s="196">
        <f t="shared" si="6"/>
        <v>0.96490909090909149</v>
      </c>
      <c r="R7" s="619"/>
      <c r="S7" s="31">
        <v>0.80555555555555558</v>
      </c>
      <c r="T7" s="31">
        <v>0.84375</v>
      </c>
      <c r="U7" s="191">
        <f t="shared" si="10"/>
        <v>5.9999999999999787</v>
      </c>
      <c r="V7" s="199">
        <f t="shared" si="7"/>
        <v>54.999999999999964</v>
      </c>
      <c r="W7" s="17">
        <f>T7</f>
        <v>0.84375</v>
      </c>
      <c r="X7" s="17">
        <f>S8</f>
        <v>0.88402777777777775</v>
      </c>
      <c r="Y7" s="20"/>
      <c r="Z7" s="20"/>
      <c r="AA7" s="614"/>
      <c r="AB7" s="615"/>
      <c r="AC7" s="21"/>
      <c r="AD7" s="21"/>
      <c r="AE7" s="15">
        <f t="shared" si="8"/>
        <v>-70.18181818181688</v>
      </c>
      <c r="AF7" s="196">
        <f t="shared" si="9"/>
        <v>0.9649090909090916</v>
      </c>
      <c r="AG7" s="619"/>
    </row>
    <row r="8" spans="1:33">
      <c r="A8" s="649" t="s">
        <v>757</v>
      </c>
      <c r="B8" s="33" t="s">
        <v>6</v>
      </c>
      <c r="C8" s="641" t="s">
        <v>8</v>
      </c>
      <c r="D8" s="642"/>
      <c r="E8" s="33">
        <v>50.98</v>
      </c>
      <c r="F8" s="200">
        <v>2772</v>
      </c>
      <c r="G8" s="191">
        <f t="shared" si="0"/>
        <v>141316.56</v>
      </c>
      <c r="H8" s="29" t="s">
        <v>5</v>
      </c>
      <c r="I8" s="198">
        <v>16</v>
      </c>
      <c r="J8" s="30">
        <v>2000</v>
      </c>
      <c r="K8" s="13">
        <f t="shared" si="1"/>
        <v>125</v>
      </c>
      <c r="L8" s="198">
        <v>16</v>
      </c>
      <c r="M8" s="14">
        <f t="shared" si="2"/>
        <v>1911.7241379310342</v>
      </c>
      <c r="N8" s="13">
        <f t="shared" si="3"/>
        <v>119.48275862068964</v>
      </c>
      <c r="O8" s="15">
        <f t="shared" si="4"/>
        <v>0</v>
      </c>
      <c r="P8" s="16">
        <f t="shared" si="5"/>
        <v>-5.517241379310363</v>
      </c>
      <c r="Q8" s="196">
        <f t="shared" si="6"/>
        <v>0.95586206896551706</v>
      </c>
      <c r="R8" s="619"/>
      <c r="S8" s="31">
        <v>0.88402777777777775</v>
      </c>
      <c r="T8" s="31">
        <v>0.94444444444444442</v>
      </c>
      <c r="U8" s="191">
        <f t="shared" si="10"/>
        <v>57.999999999999957</v>
      </c>
      <c r="V8" s="199">
        <f t="shared" si="7"/>
        <v>87.000000000000014</v>
      </c>
      <c r="W8" s="22"/>
      <c r="X8" s="22"/>
      <c r="Y8" s="94"/>
      <c r="Z8" s="94"/>
      <c r="AA8" s="614"/>
      <c r="AB8" s="615"/>
      <c r="AC8" s="21"/>
      <c r="AD8" s="21"/>
      <c r="AE8" s="15">
        <f t="shared" si="8"/>
        <v>-88.275862068965807</v>
      </c>
      <c r="AF8" s="196">
        <f t="shared" si="9"/>
        <v>0.95586206896551706</v>
      </c>
      <c r="AG8" s="619"/>
    </row>
    <row r="9" spans="1:33">
      <c r="A9" s="649" t="s">
        <v>757</v>
      </c>
      <c r="B9" s="33" t="s">
        <v>758</v>
      </c>
      <c r="C9" s="620"/>
      <c r="D9" s="620"/>
      <c r="E9" s="197"/>
      <c r="F9" s="34"/>
      <c r="G9" s="13"/>
      <c r="H9" s="200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1926.3829359890078</v>
      </c>
      <c r="N9" s="13">
        <f t="shared" si="3"/>
        <v>124.28277006380695</v>
      </c>
      <c r="O9" s="15">
        <f t="shared" si="4"/>
        <v>0</v>
      </c>
      <c r="P9" s="16">
        <f t="shared" si="5"/>
        <v>-4.749488000709178</v>
      </c>
      <c r="Q9" s="196">
        <f t="shared" si="6"/>
        <v>0.96319146799450384</v>
      </c>
      <c r="R9" s="619"/>
      <c r="S9" s="31"/>
      <c r="T9" s="31"/>
      <c r="U9" s="191"/>
      <c r="V9" s="199"/>
      <c r="W9" s="13"/>
      <c r="X9" s="13"/>
      <c r="Y9" s="24">
        <f>SUM(Y5:Y8)</f>
        <v>0</v>
      </c>
      <c r="Z9" s="24">
        <f>SUM(Z5:Z8)</f>
        <v>0</v>
      </c>
      <c r="AA9" s="609"/>
      <c r="AB9" s="609"/>
      <c r="AC9" s="24">
        <v>4</v>
      </c>
      <c r="AD9" s="24">
        <f>SUM(AD5:AD8)</f>
        <v>0</v>
      </c>
      <c r="AE9" s="15">
        <f t="shared" si="8"/>
        <v>-73.617064010992181</v>
      </c>
      <c r="AF9" s="196">
        <f t="shared" si="9"/>
        <v>0.96319146799450395</v>
      </c>
      <c r="AG9" s="619"/>
    </row>
    <row r="10" spans="1:33" ht="15.75" customHeight="1">
      <c r="A10" s="645" t="s">
        <v>759</v>
      </c>
      <c r="B10" s="33" t="s">
        <v>10</v>
      </c>
      <c r="C10" s="641" t="s">
        <v>14</v>
      </c>
      <c r="D10" s="642"/>
      <c r="E10" s="33">
        <v>39.619999999999997</v>
      </c>
      <c r="F10" s="200">
        <v>3000</v>
      </c>
      <c r="G10" s="191">
        <f t="shared" ref="G10:G13" si="11">E10*F10</f>
        <v>118859.99999999999</v>
      </c>
      <c r="H10" s="29">
        <v>2</v>
      </c>
      <c r="I10" s="198">
        <v>19</v>
      </c>
      <c r="J10" s="30">
        <v>1500</v>
      </c>
      <c r="K10" s="13">
        <f t="shared" si="1"/>
        <v>78.94736842105263</v>
      </c>
      <c r="L10" s="198">
        <v>19</v>
      </c>
      <c r="M10" s="14">
        <f t="shared" ref="M10:M13" si="12">F10/V10*60</f>
        <v>1439.9999999999998</v>
      </c>
      <c r="N10" s="13">
        <f t="shared" si="3"/>
        <v>75.78947368421052</v>
      </c>
      <c r="O10" s="15">
        <f t="shared" si="4"/>
        <v>0</v>
      </c>
      <c r="P10" s="16">
        <f t="shared" si="5"/>
        <v>-3.1578947368421098</v>
      </c>
      <c r="Q10" s="196">
        <f t="shared" si="6"/>
        <v>0.96</v>
      </c>
      <c r="R10" s="619">
        <f>Q14</f>
        <v>0.95786269545793012</v>
      </c>
      <c r="S10" s="31">
        <v>8.3333333333333329E-2</v>
      </c>
      <c r="T10" s="31">
        <v>0.1701388888888889</v>
      </c>
      <c r="U10" s="191"/>
      <c r="V10" s="199">
        <f t="shared" ref="V10:V13" si="13">(T10-S10)*24*60</f>
        <v>125.00000000000001</v>
      </c>
      <c r="W10" s="17">
        <f>T10</f>
        <v>0.1701388888888889</v>
      </c>
      <c r="X10" s="17">
        <f>S11</f>
        <v>0.18819444444444444</v>
      </c>
      <c r="Y10" s="17"/>
      <c r="Z10" s="17"/>
      <c r="AA10" s="610"/>
      <c r="AB10" s="610"/>
      <c r="AC10" s="19">
        <v>4</v>
      </c>
      <c r="AD10" s="19"/>
      <c r="AE10" s="15">
        <f t="shared" si="8"/>
        <v>-60.000000000000227</v>
      </c>
      <c r="AF10" s="196">
        <f t="shared" si="9"/>
        <v>0.95999999999999985</v>
      </c>
      <c r="AG10" s="619">
        <f>AF14</f>
        <v>0.95786269545793012</v>
      </c>
    </row>
    <row r="11" spans="1:33" ht="15.75" customHeight="1">
      <c r="A11" s="645" t="s">
        <v>760</v>
      </c>
      <c r="B11" s="33" t="s">
        <v>10</v>
      </c>
      <c r="C11" s="641" t="s">
        <v>11</v>
      </c>
      <c r="D11" s="642"/>
      <c r="E11" s="33">
        <v>39.799999999999997</v>
      </c>
      <c r="F11" s="200">
        <v>7512</v>
      </c>
      <c r="G11" s="191">
        <f t="shared" si="11"/>
        <v>298977.59999999998</v>
      </c>
      <c r="H11" s="29" t="s">
        <v>5</v>
      </c>
      <c r="I11" s="198">
        <v>17</v>
      </c>
      <c r="J11" s="30">
        <v>1500</v>
      </c>
      <c r="K11" s="13">
        <f t="shared" si="1"/>
        <v>88.235294117647058</v>
      </c>
      <c r="L11" s="198">
        <v>17</v>
      </c>
      <c r="M11" s="14">
        <f t="shared" si="12"/>
        <v>1426.3291139240505</v>
      </c>
      <c r="N11" s="13">
        <f t="shared" si="3"/>
        <v>83.901712583767676</v>
      </c>
      <c r="O11" s="15">
        <f t="shared" si="4"/>
        <v>0</v>
      </c>
      <c r="P11" s="16">
        <f t="shared" si="5"/>
        <v>-4.3335815338793822</v>
      </c>
      <c r="Q11" s="196">
        <f t="shared" si="6"/>
        <v>0.95088607594936703</v>
      </c>
      <c r="R11" s="619"/>
      <c r="S11" s="31">
        <v>0.18819444444444444</v>
      </c>
      <c r="T11" s="31">
        <v>0.40763888888888888</v>
      </c>
      <c r="U11" s="191">
        <f t="shared" ref="U11:U13" si="14">IF(S11=TIME(17,0,0),"",(S11-T10)*24*60)</f>
        <v>25.999999999999986</v>
      </c>
      <c r="V11" s="199">
        <f t="shared" si="13"/>
        <v>316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-73.670886075949511</v>
      </c>
      <c r="AF11" s="196">
        <f t="shared" si="9"/>
        <v>0.95088607594936703</v>
      </c>
      <c r="AG11" s="619"/>
    </row>
    <row r="12" spans="1:33" ht="15.75" customHeight="1">
      <c r="A12" s="645" t="s">
        <v>759</v>
      </c>
      <c r="B12" s="33" t="s">
        <v>10</v>
      </c>
      <c r="C12" s="641" t="s">
        <v>13</v>
      </c>
      <c r="D12" s="642"/>
      <c r="E12" s="33">
        <v>39.520000000000003</v>
      </c>
      <c r="F12" s="200">
        <v>2392</v>
      </c>
      <c r="G12" s="191">
        <f t="shared" si="11"/>
        <v>94531.840000000011</v>
      </c>
      <c r="H12" s="29" t="s">
        <v>5</v>
      </c>
      <c r="I12" s="198">
        <v>19</v>
      </c>
      <c r="J12" s="30">
        <v>1500</v>
      </c>
      <c r="K12" s="13">
        <f t="shared" si="1"/>
        <v>78.94736842105263</v>
      </c>
      <c r="L12" s="198">
        <v>19</v>
      </c>
      <c r="M12" s="14">
        <f t="shared" si="12"/>
        <v>1435.2000000000003</v>
      </c>
      <c r="N12" s="13">
        <f t="shared" si="3"/>
        <v>75.536842105263176</v>
      </c>
      <c r="O12" s="15">
        <f t="shared" si="4"/>
        <v>0</v>
      </c>
      <c r="P12" s="16">
        <f t="shared" si="5"/>
        <v>-3.4105263157894541</v>
      </c>
      <c r="Q12" s="196">
        <f t="shared" si="6"/>
        <v>0.95680000000000021</v>
      </c>
      <c r="R12" s="619"/>
      <c r="S12" s="31">
        <v>0.41319444444444442</v>
      </c>
      <c r="T12" s="31">
        <v>0.48263888888888884</v>
      </c>
      <c r="U12" s="191">
        <f t="shared" si="14"/>
        <v>7.9999999999999716</v>
      </c>
      <c r="V12" s="199">
        <f t="shared" si="13"/>
        <v>99.999999999999972</v>
      </c>
      <c r="W12" s="17">
        <f>T12</f>
        <v>0.48263888888888884</v>
      </c>
      <c r="X12" s="17">
        <f>S13</f>
        <v>0.5215277777777777</v>
      </c>
      <c r="Y12" s="17"/>
      <c r="Z12" s="17"/>
      <c r="AA12" s="610"/>
      <c r="AB12" s="610"/>
      <c r="AC12" s="19"/>
      <c r="AD12" s="19"/>
      <c r="AE12" s="15">
        <f t="shared" si="8"/>
        <v>-64.799999999999727</v>
      </c>
      <c r="AF12" s="196">
        <f t="shared" si="9"/>
        <v>0.95680000000000021</v>
      </c>
      <c r="AG12" s="619"/>
    </row>
    <row r="13" spans="1:33" ht="15.75" customHeight="1">
      <c r="A13" s="645" t="s">
        <v>759</v>
      </c>
      <c r="B13" s="33" t="s">
        <v>10</v>
      </c>
      <c r="C13" s="641" t="s">
        <v>14</v>
      </c>
      <c r="D13" s="642"/>
      <c r="E13" s="33">
        <v>39.619999999999997</v>
      </c>
      <c r="F13" s="200">
        <v>2048</v>
      </c>
      <c r="G13" s="191">
        <f t="shared" si="11"/>
        <v>81141.759999999995</v>
      </c>
      <c r="H13" s="29" t="s">
        <v>5</v>
      </c>
      <c r="I13" s="198">
        <v>19</v>
      </c>
      <c r="J13" s="30">
        <v>1500</v>
      </c>
      <c r="K13" s="13">
        <f t="shared" si="1"/>
        <v>78.94736842105263</v>
      </c>
      <c r="L13" s="198">
        <v>19</v>
      </c>
      <c r="M13" s="14">
        <f t="shared" si="12"/>
        <v>1445.6470588235293</v>
      </c>
      <c r="N13" s="13">
        <f t="shared" si="3"/>
        <v>76.086687306501545</v>
      </c>
      <c r="O13" s="15">
        <f t="shared" si="4"/>
        <v>0</v>
      </c>
      <c r="P13" s="16">
        <f t="shared" si="5"/>
        <v>-2.8606811145510846</v>
      </c>
      <c r="Q13" s="196">
        <f t="shared" si="6"/>
        <v>0.96376470588235297</v>
      </c>
      <c r="R13" s="619"/>
      <c r="S13" s="31">
        <v>0.5215277777777777</v>
      </c>
      <c r="T13" s="31">
        <v>0.58055555555555549</v>
      </c>
      <c r="U13" s="191">
        <f t="shared" si="14"/>
        <v>55.999999999999957</v>
      </c>
      <c r="V13" s="199">
        <f t="shared" si="13"/>
        <v>85.000000000000014</v>
      </c>
      <c r="W13" s="17"/>
      <c r="X13" s="17"/>
      <c r="Y13" s="17"/>
      <c r="Z13" s="17"/>
      <c r="AA13" s="614"/>
      <c r="AB13" s="615"/>
      <c r="AC13" s="19"/>
      <c r="AD13" s="19"/>
      <c r="AE13" s="15">
        <f t="shared" si="8"/>
        <v>-54.352941176470722</v>
      </c>
      <c r="AF13" s="196">
        <f t="shared" si="9"/>
        <v>0.96376470588235286</v>
      </c>
      <c r="AG13" s="619"/>
    </row>
    <row r="14" spans="1:33" ht="16.5" customHeight="1">
      <c r="A14" s="645" t="s">
        <v>759</v>
      </c>
      <c r="B14" s="33" t="s">
        <v>761</v>
      </c>
      <c r="C14" s="620"/>
      <c r="D14" s="620"/>
      <c r="E14" s="197"/>
      <c r="F14" s="30"/>
      <c r="G14" s="14"/>
      <c r="H14" s="200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1436.7940431868951</v>
      </c>
      <c r="N14" s="13">
        <f t="shared" si="3"/>
        <v>77.66454287496731</v>
      </c>
      <c r="O14" s="15">
        <f t="shared" si="4"/>
        <v>0</v>
      </c>
      <c r="P14" s="16">
        <f t="shared" si="5"/>
        <v>-3.4165382061137706</v>
      </c>
      <c r="Q14" s="196">
        <f t="shared" si="6"/>
        <v>0.95786269545793012</v>
      </c>
      <c r="R14" s="619"/>
      <c r="S14" s="31"/>
      <c r="T14" s="31"/>
      <c r="U14" s="13"/>
      <c r="V14" s="199"/>
      <c r="W14" s="13"/>
      <c r="X14" s="13"/>
      <c r="Y14" s="24">
        <f>SUM(Y10:Y13)</f>
        <v>0</v>
      </c>
      <c r="Z14" s="24">
        <f>SUM(Z10:Z13)</f>
        <v>0</v>
      </c>
      <c r="AA14" s="609"/>
      <c r="AB14" s="609"/>
      <c r="AC14" s="24">
        <v>4</v>
      </c>
      <c r="AD14" s="24">
        <f>SUM(AD10:AD13)</f>
        <v>0</v>
      </c>
      <c r="AE14" s="15">
        <f t="shared" si="8"/>
        <v>-63.205956813104876</v>
      </c>
      <c r="AF14" s="196">
        <f t="shared" si="9"/>
        <v>0.95786269545793012</v>
      </c>
      <c r="AG14" s="619"/>
    </row>
    <row r="15" spans="1:33" ht="16.5" customHeight="1">
      <c r="A15" s="643" t="s">
        <v>762</v>
      </c>
      <c r="B15" s="200" t="s">
        <v>15</v>
      </c>
      <c r="C15" s="635" t="s">
        <v>16</v>
      </c>
      <c r="D15" s="635"/>
      <c r="E15" s="33">
        <v>31.11</v>
      </c>
      <c r="F15" s="200">
        <v>3036</v>
      </c>
      <c r="G15" s="191">
        <f t="shared" ref="G15:G22" si="15">E15*F15</f>
        <v>94449.959999999992</v>
      </c>
      <c r="H15" s="29" t="s">
        <v>5</v>
      </c>
      <c r="I15" s="198">
        <v>14</v>
      </c>
      <c r="J15" s="30">
        <v>2000</v>
      </c>
      <c r="K15" s="13">
        <f t="shared" si="1"/>
        <v>142.85714285714286</v>
      </c>
      <c r="L15" s="198">
        <v>14</v>
      </c>
      <c r="M15" s="14">
        <f t="shared" ref="M15:M22" si="16">F15/V15*60</f>
        <v>1917.4736842105258</v>
      </c>
      <c r="N15" s="13">
        <f t="shared" si="3"/>
        <v>136.96240601503754</v>
      </c>
      <c r="O15" s="15">
        <f t="shared" si="4"/>
        <v>0</v>
      </c>
      <c r="P15" s="16">
        <f t="shared" si="5"/>
        <v>-5.894736842105317</v>
      </c>
      <c r="Q15" s="196">
        <f t="shared" si="6"/>
        <v>0.95873684210526278</v>
      </c>
      <c r="R15" s="619">
        <f>Q23</f>
        <v>0.95816829456671171</v>
      </c>
      <c r="S15" s="31">
        <v>0.20833333333333334</v>
      </c>
      <c r="T15" s="31">
        <v>0.27430555555555558</v>
      </c>
      <c r="U15" s="191"/>
      <c r="V15" s="199">
        <f t="shared" ref="V15:V22" si="17">(T15-S15)*24*60</f>
        <v>95.000000000000028</v>
      </c>
      <c r="W15" s="17"/>
      <c r="X15" s="17"/>
      <c r="Y15" s="22"/>
      <c r="Z15" s="22"/>
      <c r="AA15" s="610"/>
      <c r="AB15" s="610"/>
      <c r="AC15" s="19">
        <v>8</v>
      </c>
      <c r="AD15" s="19"/>
      <c r="AE15" s="15">
        <f t="shared" si="8"/>
        <v>-82.526315789474211</v>
      </c>
      <c r="AF15" s="196">
        <f t="shared" si="9"/>
        <v>0.95873684210526289</v>
      </c>
      <c r="AG15" s="619">
        <f>AF23</f>
        <v>0.95816829456671171</v>
      </c>
    </row>
    <row r="16" spans="1:33" ht="16.5" customHeight="1">
      <c r="A16" s="644" t="s">
        <v>762</v>
      </c>
      <c r="B16" s="200" t="s">
        <v>17</v>
      </c>
      <c r="C16" s="635" t="s">
        <v>18</v>
      </c>
      <c r="D16" s="635"/>
      <c r="E16" s="33">
        <v>41</v>
      </c>
      <c r="F16" s="200">
        <v>2123</v>
      </c>
      <c r="G16" s="191">
        <f t="shared" si="15"/>
        <v>87043</v>
      </c>
      <c r="H16" s="29" t="s">
        <v>5</v>
      </c>
      <c r="I16" s="198">
        <v>26</v>
      </c>
      <c r="J16" s="30">
        <v>1500</v>
      </c>
      <c r="K16" s="13">
        <f t="shared" si="1"/>
        <v>57.692307692307693</v>
      </c>
      <c r="L16" s="198">
        <v>26</v>
      </c>
      <c r="M16" s="14">
        <f t="shared" si="16"/>
        <v>1431.2359550561798</v>
      </c>
      <c r="N16" s="13">
        <f t="shared" si="3"/>
        <v>55.047536732929991</v>
      </c>
      <c r="O16" s="15">
        <f t="shared" si="4"/>
        <v>0</v>
      </c>
      <c r="P16" s="16">
        <f t="shared" si="5"/>
        <v>-2.644770959377702</v>
      </c>
      <c r="Q16" s="196">
        <f t="shared" si="6"/>
        <v>0.95415730337078652</v>
      </c>
      <c r="R16" s="619"/>
      <c r="S16" s="31">
        <v>0.27777777777777779</v>
      </c>
      <c r="T16" s="31">
        <v>0.33958333333333335</v>
      </c>
      <c r="U16" s="191">
        <f t="shared" ref="U16:U22" si="18">IF(S16=TIME(17,0,0),"",(S16-T15)*24*60)</f>
        <v>4.9999999999999822</v>
      </c>
      <c r="V16" s="199">
        <f t="shared" si="17"/>
        <v>89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-68.764044943820181</v>
      </c>
      <c r="AF16" s="196">
        <f t="shared" si="9"/>
        <v>0.95415730337078652</v>
      </c>
      <c r="AG16" s="619"/>
    </row>
    <row r="17" spans="1:33" ht="16.5" customHeight="1">
      <c r="A17" s="644" t="s">
        <v>763</v>
      </c>
      <c r="B17" s="200" t="s">
        <v>15</v>
      </c>
      <c r="C17" s="635" t="s">
        <v>76</v>
      </c>
      <c r="D17" s="635"/>
      <c r="E17" s="33">
        <v>68.88</v>
      </c>
      <c r="F17" s="200">
        <v>2175</v>
      </c>
      <c r="G17" s="191">
        <f t="shared" si="15"/>
        <v>149814</v>
      </c>
      <c r="H17" s="29" t="s">
        <v>5</v>
      </c>
      <c r="I17" s="198">
        <v>16</v>
      </c>
      <c r="J17" s="30">
        <v>2000</v>
      </c>
      <c r="K17" s="13">
        <f t="shared" si="1"/>
        <v>125</v>
      </c>
      <c r="L17" s="198">
        <v>16</v>
      </c>
      <c r="M17" s="14">
        <f t="shared" si="16"/>
        <v>1919.1176470588234</v>
      </c>
      <c r="N17" s="13">
        <f t="shared" si="3"/>
        <v>119.94485294117646</v>
      </c>
      <c r="O17" s="15">
        <f t="shared" si="4"/>
        <v>0</v>
      </c>
      <c r="P17" s="16">
        <f t="shared" si="5"/>
        <v>-5.0551470588235361</v>
      </c>
      <c r="Q17" s="196">
        <f t="shared" si="6"/>
        <v>0.95955882352941169</v>
      </c>
      <c r="R17" s="619"/>
      <c r="S17" s="31">
        <v>0.34513888888888888</v>
      </c>
      <c r="T17" s="31">
        <v>0.3923611111111111</v>
      </c>
      <c r="U17" s="191">
        <f t="shared" si="18"/>
        <v>7.9999999999999716</v>
      </c>
      <c r="V17" s="199">
        <f t="shared" si="17"/>
        <v>68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-80.882352941176578</v>
      </c>
      <c r="AF17" s="196">
        <f t="shared" si="9"/>
        <v>0.95955882352941169</v>
      </c>
      <c r="AG17" s="619"/>
    </row>
    <row r="18" spans="1:33" ht="16.5" customHeight="1">
      <c r="A18" s="644" t="s">
        <v>762</v>
      </c>
      <c r="B18" s="200" t="s">
        <v>10</v>
      </c>
      <c r="C18" s="635" t="s">
        <v>12</v>
      </c>
      <c r="D18" s="635"/>
      <c r="E18" s="33">
        <v>39.46</v>
      </c>
      <c r="F18" s="200">
        <v>2629</v>
      </c>
      <c r="G18" s="191">
        <f t="shared" si="15"/>
        <v>103740.34</v>
      </c>
      <c r="H18" s="29" t="s">
        <v>5</v>
      </c>
      <c r="I18" s="198">
        <v>15</v>
      </c>
      <c r="J18" s="30">
        <v>1500</v>
      </c>
      <c r="K18" s="13">
        <f t="shared" si="1"/>
        <v>100</v>
      </c>
      <c r="L18" s="198">
        <v>15</v>
      </c>
      <c r="M18" s="14">
        <f t="shared" si="16"/>
        <v>1434</v>
      </c>
      <c r="N18" s="13">
        <f t="shared" si="3"/>
        <v>95.6</v>
      </c>
      <c r="O18" s="15">
        <f t="shared" si="4"/>
        <v>0</v>
      </c>
      <c r="P18" s="16">
        <f t="shared" si="5"/>
        <v>-4.4000000000000057</v>
      </c>
      <c r="Q18" s="196">
        <f t="shared" si="6"/>
        <v>0.95599999999999996</v>
      </c>
      <c r="R18" s="619"/>
      <c r="S18" s="31">
        <v>0.39652777777777776</v>
      </c>
      <c r="T18" s="31">
        <v>0.47291666666666665</v>
      </c>
      <c r="U18" s="191">
        <f t="shared" si="18"/>
        <v>5.9999999999999787</v>
      </c>
      <c r="V18" s="199">
        <f t="shared" si="17"/>
        <v>110.00000000000001</v>
      </c>
      <c r="W18" s="17"/>
      <c r="X18" s="17"/>
      <c r="Y18" s="17"/>
      <c r="Z18" s="17"/>
      <c r="AA18" s="610"/>
      <c r="AB18" s="610"/>
      <c r="AC18" s="19"/>
      <c r="AD18" s="19"/>
      <c r="AE18" s="15">
        <f t="shared" si="8"/>
        <v>-66</v>
      </c>
      <c r="AF18" s="196">
        <f t="shared" si="9"/>
        <v>0.95599999999999996</v>
      </c>
      <c r="AG18" s="619"/>
    </row>
    <row r="19" spans="1:33" ht="16.5" customHeight="1">
      <c r="A19" s="644" t="s">
        <v>763</v>
      </c>
      <c r="B19" s="200" t="s">
        <v>6</v>
      </c>
      <c r="C19" s="635" t="s">
        <v>20</v>
      </c>
      <c r="D19" s="635"/>
      <c r="E19" s="33">
        <v>54.5</v>
      </c>
      <c r="F19" s="200">
        <v>1204</v>
      </c>
      <c r="G19" s="191">
        <f t="shared" si="15"/>
        <v>65618</v>
      </c>
      <c r="H19" s="29" t="s">
        <v>5</v>
      </c>
      <c r="I19" s="198">
        <v>19</v>
      </c>
      <c r="J19" s="30">
        <v>1500</v>
      </c>
      <c r="K19" s="13">
        <f t="shared" si="1"/>
        <v>78.94736842105263</v>
      </c>
      <c r="L19" s="198">
        <v>19</v>
      </c>
      <c r="M19" s="14">
        <f t="shared" si="16"/>
        <v>1444.8000000000004</v>
      </c>
      <c r="N19" s="13">
        <f t="shared" si="3"/>
        <v>76.042105263157922</v>
      </c>
      <c r="O19" s="15">
        <f t="shared" si="4"/>
        <v>0</v>
      </c>
      <c r="P19" s="16">
        <f t="shared" si="5"/>
        <v>-2.9052631578947086</v>
      </c>
      <c r="Q19" s="196">
        <f t="shared" si="6"/>
        <v>0.96320000000000039</v>
      </c>
      <c r="R19" s="619"/>
      <c r="S19" s="31">
        <v>0.70833333333333337</v>
      </c>
      <c r="T19" s="31">
        <v>0.74305555555555558</v>
      </c>
      <c r="U19" s="191" t="str">
        <f t="shared" si="18"/>
        <v/>
      </c>
      <c r="V19" s="199">
        <f t="shared" si="17"/>
        <v>49.999999999999986</v>
      </c>
      <c r="W19" s="17"/>
      <c r="X19" s="17"/>
      <c r="Y19" s="17"/>
      <c r="Z19" s="17"/>
      <c r="AA19" s="610"/>
      <c r="AB19" s="610"/>
      <c r="AC19" s="19"/>
      <c r="AD19" s="19"/>
      <c r="AE19" s="15">
        <f t="shared" si="8"/>
        <v>-55.199999999999591</v>
      </c>
      <c r="AF19" s="196">
        <f t="shared" si="9"/>
        <v>0.96320000000000028</v>
      </c>
      <c r="AG19" s="619"/>
    </row>
    <row r="20" spans="1:33" ht="16.5" customHeight="1">
      <c r="A20" s="644" t="s">
        <v>764</v>
      </c>
      <c r="B20" s="200" t="s">
        <v>6</v>
      </c>
      <c r="C20" s="202" t="s">
        <v>19</v>
      </c>
      <c r="D20" s="203"/>
      <c r="E20" s="33">
        <v>50.67</v>
      </c>
      <c r="F20" s="200">
        <v>2032</v>
      </c>
      <c r="G20" s="191">
        <f t="shared" si="15"/>
        <v>102961.44</v>
      </c>
      <c r="H20" s="29" t="s">
        <v>5</v>
      </c>
      <c r="I20" s="198">
        <v>17</v>
      </c>
      <c r="J20" s="30">
        <v>2000</v>
      </c>
      <c r="K20" s="13">
        <f t="shared" si="1"/>
        <v>117.64705882352941</v>
      </c>
      <c r="L20" s="198">
        <v>17</v>
      </c>
      <c r="M20" s="14">
        <f t="shared" si="16"/>
        <v>1905.000000000002</v>
      </c>
      <c r="N20" s="13">
        <f t="shared" si="3"/>
        <v>112.05882352941188</v>
      </c>
      <c r="O20" s="15">
        <f t="shared" si="4"/>
        <v>0</v>
      </c>
      <c r="P20" s="16">
        <f t="shared" si="5"/>
        <v>-5.5882352941175242</v>
      </c>
      <c r="Q20" s="196">
        <f t="shared" si="6"/>
        <v>0.95250000000000101</v>
      </c>
      <c r="R20" s="619"/>
      <c r="S20" s="31">
        <v>0.74652777777777779</v>
      </c>
      <c r="T20" s="31">
        <v>0.79097222222222219</v>
      </c>
      <c r="U20" s="191">
        <f t="shared" si="18"/>
        <v>4.9999999999999822</v>
      </c>
      <c r="V20" s="199">
        <f t="shared" si="17"/>
        <v>63.999999999999929</v>
      </c>
      <c r="W20" s="17"/>
      <c r="X20" s="17"/>
      <c r="Y20" s="20"/>
      <c r="Z20" s="20"/>
      <c r="AA20" s="194"/>
      <c r="AB20" s="195"/>
      <c r="AC20" s="19"/>
      <c r="AD20" s="19"/>
      <c r="AE20" s="15">
        <f t="shared" si="8"/>
        <v>-94.999999999997954</v>
      </c>
      <c r="AF20" s="196">
        <f t="shared" si="9"/>
        <v>0.95250000000000101</v>
      </c>
      <c r="AG20" s="619"/>
    </row>
    <row r="21" spans="1:33" ht="16.5" customHeight="1">
      <c r="A21" s="644" t="s">
        <v>762</v>
      </c>
      <c r="B21" s="200" t="s">
        <v>6</v>
      </c>
      <c r="C21" s="202" t="s">
        <v>45</v>
      </c>
      <c r="D21" s="203"/>
      <c r="E21" s="33">
        <v>51.06</v>
      </c>
      <c r="F21" s="200">
        <v>1000</v>
      </c>
      <c r="G21" s="191">
        <f t="shared" si="15"/>
        <v>51060</v>
      </c>
      <c r="H21" s="29">
        <v>2</v>
      </c>
      <c r="I21" s="198">
        <v>13</v>
      </c>
      <c r="J21" s="30">
        <v>2000</v>
      </c>
      <c r="K21" s="13">
        <f t="shared" si="1"/>
        <v>153.84615384615384</v>
      </c>
      <c r="L21" s="198">
        <v>13</v>
      </c>
      <c r="M21" s="14">
        <f t="shared" si="16"/>
        <v>1935.483870967739</v>
      </c>
      <c r="N21" s="13">
        <f t="shared" si="3"/>
        <v>148.88337468982607</v>
      </c>
      <c r="O21" s="15">
        <f t="shared" si="4"/>
        <v>0</v>
      </c>
      <c r="P21" s="16">
        <f t="shared" si="5"/>
        <v>-4.9627791563277697</v>
      </c>
      <c r="Q21" s="196">
        <f t="shared" si="6"/>
        <v>0.96774193548386944</v>
      </c>
      <c r="R21" s="619"/>
      <c r="S21" s="31">
        <v>0.7944444444444444</v>
      </c>
      <c r="T21" s="31">
        <v>0.81597222222222221</v>
      </c>
      <c r="U21" s="191">
        <f t="shared" si="18"/>
        <v>4.9999999999999822</v>
      </c>
      <c r="V21" s="199">
        <f t="shared" si="17"/>
        <v>31.00000000000005</v>
      </c>
      <c r="W21" s="17">
        <f>T21</f>
        <v>0.81597222222222221</v>
      </c>
      <c r="X21" s="17">
        <f>S22</f>
        <v>0.85763888888888884</v>
      </c>
      <c r="Y21" s="20"/>
      <c r="Z21" s="20"/>
      <c r="AA21" s="194"/>
      <c r="AB21" s="195"/>
      <c r="AC21" s="19"/>
      <c r="AD21" s="19"/>
      <c r="AE21" s="15">
        <f t="shared" si="8"/>
        <v>-64.516129032261006</v>
      </c>
      <c r="AF21" s="196">
        <f t="shared" si="9"/>
        <v>0.96774193548386944</v>
      </c>
      <c r="AG21" s="619"/>
    </row>
    <row r="22" spans="1:33" ht="16.5" customHeight="1">
      <c r="A22" s="644" t="s">
        <v>762</v>
      </c>
      <c r="B22" s="200" t="s">
        <v>6</v>
      </c>
      <c r="C22" s="202" t="s">
        <v>45</v>
      </c>
      <c r="D22" s="203"/>
      <c r="E22" s="33">
        <v>51.06</v>
      </c>
      <c r="F22" s="200">
        <v>2510</v>
      </c>
      <c r="G22" s="191">
        <f t="shared" si="15"/>
        <v>128160.6</v>
      </c>
      <c r="H22" s="29" t="s">
        <v>5</v>
      </c>
      <c r="I22" s="198">
        <v>13</v>
      </c>
      <c r="J22" s="30">
        <v>2000</v>
      </c>
      <c r="K22" s="13">
        <f t="shared" si="1"/>
        <v>153.84615384615384</v>
      </c>
      <c r="L22" s="198">
        <v>13</v>
      </c>
      <c r="M22" s="14">
        <f t="shared" si="16"/>
        <v>1906.3291139240498</v>
      </c>
      <c r="N22" s="13">
        <f t="shared" si="3"/>
        <v>146.64070107108074</v>
      </c>
      <c r="O22" s="15">
        <f t="shared" si="4"/>
        <v>0</v>
      </c>
      <c r="P22" s="16">
        <f t="shared" si="5"/>
        <v>-7.2054527750730983</v>
      </c>
      <c r="Q22" s="196">
        <f t="shared" si="6"/>
        <v>0.95316455696202484</v>
      </c>
      <c r="R22" s="619"/>
      <c r="S22" s="31">
        <v>0.85763888888888884</v>
      </c>
      <c r="T22" s="31">
        <v>0.91249999999999998</v>
      </c>
      <c r="U22" s="191">
        <f t="shared" si="18"/>
        <v>59.999999999999943</v>
      </c>
      <c r="V22" s="199">
        <f t="shared" si="17"/>
        <v>79.000000000000043</v>
      </c>
      <c r="W22" s="17"/>
      <c r="X22" s="17"/>
      <c r="Y22" s="20"/>
      <c r="Z22" s="20"/>
      <c r="AA22" s="194"/>
      <c r="AB22" s="195"/>
      <c r="AC22" s="19"/>
      <c r="AD22" s="19"/>
      <c r="AE22" s="15">
        <f t="shared" si="8"/>
        <v>-93.670886075950193</v>
      </c>
      <c r="AF22" s="196">
        <f t="shared" si="9"/>
        <v>0.95316455696202496</v>
      </c>
      <c r="AG22" s="619"/>
    </row>
    <row r="23" spans="1:33" ht="16.5" customHeight="1">
      <c r="A23" s="644" t="s">
        <v>762</v>
      </c>
      <c r="B23" s="33" t="s">
        <v>758</v>
      </c>
      <c r="C23" s="620"/>
      <c r="D23" s="620"/>
      <c r="E23" s="197"/>
      <c r="F23" s="34"/>
      <c r="G23" s="13"/>
      <c r="H23" s="200"/>
      <c r="I23" s="23">
        <v>16.625</v>
      </c>
      <c r="J23" s="30">
        <v>1812.5</v>
      </c>
      <c r="K23" s="13">
        <f t="shared" si="1"/>
        <v>109.02255639097744</v>
      </c>
      <c r="L23" s="23">
        <v>16.625</v>
      </c>
      <c r="M23" s="14">
        <f>AVERAGE(M15:M22)</f>
        <v>1736.680033902165</v>
      </c>
      <c r="N23" s="13">
        <f t="shared" si="3"/>
        <v>104.46195692644601</v>
      </c>
      <c r="O23" s="15">
        <f t="shared" si="4"/>
        <v>0</v>
      </c>
      <c r="P23" s="16">
        <f t="shared" si="5"/>
        <v>-4.5605994645314354</v>
      </c>
      <c r="Q23" s="196">
        <f t="shared" si="6"/>
        <v>0.95816829456671171</v>
      </c>
      <c r="R23" s="619"/>
      <c r="S23" s="31"/>
      <c r="T23" s="31"/>
      <c r="U23" s="191"/>
      <c r="V23" s="199"/>
      <c r="W23" s="13"/>
      <c r="X23" s="13"/>
      <c r="Y23" s="24">
        <f>SUM(Y15:Y22)</f>
        <v>0</v>
      </c>
      <c r="Z23" s="24">
        <f>SUM(Z15:Z22)</f>
        <v>0</v>
      </c>
      <c r="AA23" s="609"/>
      <c r="AB23" s="609"/>
      <c r="AC23" s="24">
        <v>8</v>
      </c>
      <c r="AD23" s="24">
        <f>SUM(AD15:AD22)</f>
        <v>0</v>
      </c>
      <c r="AE23" s="15">
        <f t="shared" si="8"/>
        <v>-75.819966097835049</v>
      </c>
      <c r="AF23" s="196">
        <f t="shared" si="9"/>
        <v>0.95816829456671171</v>
      </c>
      <c r="AG23" s="619"/>
    </row>
    <row r="24" spans="1:33" ht="15.75" customHeight="1">
      <c r="A24" s="637" t="s">
        <v>765</v>
      </c>
      <c r="B24" s="33" t="s">
        <v>6</v>
      </c>
      <c r="C24" s="635" t="s">
        <v>22</v>
      </c>
      <c r="D24" s="635"/>
      <c r="E24" s="33">
        <v>50.67</v>
      </c>
      <c r="F24" s="200">
        <v>1991</v>
      </c>
      <c r="G24" s="191">
        <f t="shared" ref="G24:G29" si="19">E24*F24</f>
        <v>100883.97</v>
      </c>
      <c r="H24" s="29" t="s">
        <v>5</v>
      </c>
      <c r="I24" s="198">
        <v>17</v>
      </c>
      <c r="J24" s="30">
        <v>2000</v>
      </c>
      <c r="K24" s="13">
        <f t="shared" si="1"/>
        <v>117.64705882352941</v>
      </c>
      <c r="L24" s="198">
        <v>17</v>
      </c>
      <c r="M24" s="14">
        <f t="shared" ref="M24:M29" si="20">F24/V24*60</f>
        <v>1926.7741935483878</v>
      </c>
      <c r="N24" s="13">
        <f t="shared" si="3"/>
        <v>113.3396584440228</v>
      </c>
      <c r="O24" s="15">
        <f t="shared" si="4"/>
        <v>0</v>
      </c>
      <c r="P24" s="16">
        <f t="shared" si="5"/>
        <v>-4.3074003795066034</v>
      </c>
      <c r="Q24" s="196">
        <f t="shared" si="6"/>
        <v>0.96338709677419387</v>
      </c>
      <c r="R24" s="619">
        <f>Q30</f>
        <v>0.95885949375526824</v>
      </c>
      <c r="S24" s="31">
        <v>0.20833333333333334</v>
      </c>
      <c r="T24" s="31">
        <v>0.25138888888888888</v>
      </c>
      <c r="U24" s="191"/>
      <c r="V24" s="199">
        <f t="shared" ref="V24:V29" si="21">(T24-S24)*24*60</f>
        <v>61.999999999999979</v>
      </c>
      <c r="W24" s="17"/>
      <c r="X24" s="17"/>
      <c r="Y24" s="22"/>
      <c r="Z24" s="22"/>
      <c r="AA24" s="610"/>
      <c r="AB24" s="610"/>
      <c r="AC24" s="19">
        <v>6</v>
      </c>
      <c r="AD24" s="19"/>
      <c r="AE24" s="15">
        <f t="shared" si="8"/>
        <v>-73.225806451612243</v>
      </c>
      <c r="AF24" s="196">
        <f t="shared" si="9"/>
        <v>0.96338709677419387</v>
      </c>
      <c r="AG24" s="619">
        <f>AF30</f>
        <v>0.95885949375526836</v>
      </c>
    </row>
    <row r="25" spans="1:33" ht="15.75" customHeight="1">
      <c r="A25" s="638" t="s">
        <v>765</v>
      </c>
      <c r="B25" s="33" t="s">
        <v>6</v>
      </c>
      <c r="C25" s="635" t="s">
        <v>23</v>
      </c>
      <c r="D25" s="635"/>
      <c r="E25" s="33">
        <v>57.73</v>
      </c>
      <c r="F25" s="200">
        <v>3217</v>
      </c>
      <c r="G25" s="191">
        <f t="shared" si="19"/>
        <v>185717.41</v>
      </c>
      <c r="H25" s="29" t="s">
        <v>5</v>
      </c>
      <c r="I25" s="198">
        <v>14</v>
      </c>
      <c r="J25" s="30">
        <v>2000</v>
      </c>
      <c r="K25" s="13">
        <f t="shared" si="1"/>
        <v>142.85714285714286</v>
      </c>
      <c r="L25" s="198">
        <v>14</v>
      </c>
      <c r="M25" s="14">
        <f t="shared" si="20"/>
        <v>1911.0891089108918</v>
      </c>
      <c r="N25" s="13">
        <f t="shared" si="3"/>
        <v>136.50636492220656</v>
      </c>
      <c r="O25" s="15">
        <f t="shared" si="4"/>
        <v>0</v>
      </c>
      <c r="P25" s="16">
        <f t="shared" si="5"/>
        <v>-6.3507779349363034</v>
      </c>
      <c r="Q25" s="196">
        <f t="shared" si="6"/>
        <v>0.95554455445544584</v>
      </c>
      <c r="R25" s="619"/>
      <c r="S25" s="31">
        <v>0.25486111111111109</v>
      </c>
      <c r="T25" s="31">
        <v>0.32499999999999996</v>
      </c>
      <c r="U25" s="191">
        <f t="shared" ref="U25:U29" si="22">IF(S25=TIME(17,0,0),"",(S25-T24)*24*60)</f>
        <v>4.9999999999999822</v>
      </c>
      <c r="V25" s="199">
        <f t="shared" si="21"/>
        <v>100.99999999999996</v>
      </c>
      <c r="W25" s="17"/>
      <c r="X25" s="191"/>
      <c r="Y25" s="191"/>
      <c r="Z25" s="191"/>
      <c r="AA25" s="610"/>
      <c r="AB25" s="610"/>
      <c r="AC25" s="19"/>
      <c r="AD25" s="19"/>
      <c r="AE25" s="15">
        <f t="shared" si="8"/>
        <v>-88.91089108910819</v>
      </c>
      <c r="AF25" s="196">
        <f t="shared" si="9"/>
        <v>0.95554455445544595</v>
      </c>
      <c r="AG25" s="619"/>
    </row>
    <row r="26" spans="1:33" ht="15.75" customHeight="1">
      <c r="A26" s="638" t="s">
        <v>765</v>
      </c>
      <c r="B26" s="33" t="s">
        <v>6</v>
      </c>
      <c r="C26" s="635" t="s">
        <v>24</v>
      </c>
      <c r="D26" s="635"/>
      <c r="E26" s="33">
        <v>53.27</v>
      </c>
      <c r="F26" s="200">
        <v>1823</v>
      </c>
      <c r="G26" s="191">
        <f t="shared" si="19"/>
        <v>97111.21</v>
      </c>
      <c r="H26" s="29" t="s">
        <v>5</v>
      </c>
      <c r="I26" s="198">
        <v>16</v>
      </c>
      <c r="J26" s="30">
        <v>2000</v>
      </c>
      <c r="K26" s="13">
        <f t="shared" si="1"/>
        <v>125</v>
      </c>
      <c r="L26" s="198">
        <v>16</v>
      </c>
      <c r="M26" s="14">
        <f t="shared" si="20"/>
        <v>1918.9473684210541</v>
      </c>
      <c r="N26" s="13">
        <f t="shared" si="3"/>
        <v>119.93421052631588</v>
      </c>
      <c r="O26" s="15">
        <f t="shared" si="4"/>
        <v>0</v>
      </c>
      <c r="P26" s="16">
        <f t="shared" si="5"/>
        <v>-5.06578947368412</v>
      </c>
      <c r="Q26" s="196">
        <f t="shared" si="6"/>
        <v>0.95947368421052703</v>
      </c>
      <c r="R26" s="619"/>
      <c r="S26" s="31">
        <v>0.32916666666666661</v>
      </c>
      <c r="T26" s="31">
        <v>0.36874999999999991</v>
      </c>
      <c r="U26" s="191">
        <f t="shared" si="22"/>
        <v>5.9999999999999787</v>
      </c>
      <c r="V26" s="199">
        <f t="shared" si="21"/>
        <v>56.999999999999957</v>
      </c>
      <c r="W26" s="17"/>
      <c r="X26" s="191"/>
      <c r="Y26" s="191"/>
      <c r="Z26" s="191"/>
      <c r="AA26" s="610"/>
      <c r="AB26" s="610"/>
      <c r="AC26" s="19"/>
      <c r="AD26" s="19"/>
      <c r="AE26" s="15">
        <f t="shared" si="8"/>
        <v>-81.05263157894592</v>
      </c>
      <c r="AF26" s="196">
        <f t="shared" si="9"/>
        <v>0.95947368421052703</v>
      </c>
      <c r="AG26" s="619"/>
    </row>
    <row r="27" spans="1:33" ht="15.75" customHeight="1">
      <c r="A27" s="638" t="s">
        <v>766</v>
      </c>
      <c r="B27" s="33" t="s">
        <v>6</v>
      </c>
      <c r="C27" s="635" t="s">
        <v>21</v>
      </c>
      <c r="D27" s="635"/>
      <c r="E27" s="33">
        <v>50.49</v>
      </c>
      <c r="F27" s="200">
        <v>2460</v>
      </c>
      <c r="G27" s="191">
        <f t="shared" si="19"/>
        <v>124205.40000000001</v>
      </c>
      <c r="H27" s="29" t="s">
        <v>5</v>
      </c>
      <c r="I27" s="198">
        <v>15</v>
      </c>
      <c r="J27" s="30">
        <v>2000</v>
      </c>
      <c r="K27" s="13">
        <f t="shared" si="1"/>
        <v>133.33333333333334</v>
      </c>
      <c r="L27" s="198">
        <v>15</v>
      </c>
      <c r="M27" s="14">
        <f t="shared" si="20"/>
        <v>1916.8831168831157</v>
      </c>
      <c r="N27" s="13">
        <f t="shared" si="3"/>
        <v>127.79220779220772</v>
      </c>
      <c r="O27" s="15">
        <f t="shared" si="4"/>
        <v>0</v>
      </c>
      <c r="P27" s="16">
        <f t="shared" si="5"/>
        <v>-5.5411255411256235</v>
      </c>
      <c r="Q27" s="196">
        <f t="shared" si="6"/>
        <v>0.95844155844155787</v>
      </c>
      <c r="R27" s="619"/>
      <c r="S27" s="31">
        <v>0.70833333333333337</v>
      </c>
      <c r="T27" s="31">
        <v>0.76180555555555562</v>
      </c>
      <c r="U27" s="191" t="str">
        <f t="shared" si="22"/>
        <v/>
      </c>
      <c r="V27" s="199">
        <f t="shared" si="21"/>
        <v>77.000000000000043</v>
      </c>
      <c r="W27" s="17"/>
      <c r="X27" s="191"/>
      <c r="Y27" s="191"/>
      <c r="Z27" s="191"/>
      <c r="AA27" s="610"/>
      <c r="AB27" s="610"/>
      <c r="AC27" s="19"/>
      <c r="AD27" s="19"/>
      <c r="AE27" s="15">
        <f t="shared" si="8"/>
        <v>-83.11688311688431</v>
      </c>
      <c r="AF27" s="196">
        <f t="shared" si="9"/>
        <v>0.95844155844155787</v>
      </c>
      <c r="AG27" s="619"/>
    </row>
    <row r="28" spans="1:33" ht="15.75" customHeight="1">
      <c r="A28" s="638" t="s">
        <v>765</v>
      </c>
      <c r="B28" s="33" t="s">
        <v>6</v>
      </c>
      <c r="C28" s="635" t="s">
        <v>26</v>
      </c>
      <c r="D28" s="635"/>
      <c r="E28" s="33">
        <v>54.09</v>
      </c>
      <c r="F28" s="200">
        <v>2421</v>
      </c>
      <c r="G28" s="191">
        <f t="shared" si="19"/>
        <v>130951.89000000001</v>
      </c>
      <c r="H28" s="29" t="s">
        <v>5</v>
      </c>
      <c r="I28" s="198">
        <v>18</v>
      </c>
      <c r="J28" s="30">
        <v>2000</v>
      </c>
      <c r="K28" s="13">
        <f t="shared" si="1"/>
        <v>111.11111111111111</v>
      </c>
      <c r="L28" s="198">
        <v>18</v>
      </c>
      <c r="M28" s="14">
        <f t="shared" si="20"/>
        <v>1911.3157894736828</v>
      </c>
      <c r="N28" s="13">
        <f t="shared" si="3"/>
        <v>106.18421052631571</v>
      </c>
      <c r="O28" s="15">
        <f t="shared" si="4"/>
        <v>0</v>
      </c>
      <c r="P28" s="16">
        <f t="shared" si="5"/>
        <v>-4.9269005847954048</v>
      </c>
      <c r="Q28" s="196">
        <f t="shared" si="6"/>
        <v>0.95565789473684137</v>
      </c>
      <c r="R28" s="619"/>
      <c r="S28" s="31">
        <v>0.76527777777777783</v>
      </c>
      <c r="T28" s="31">
        <v>0.81805555555555565</v>
      </c>
      <c r="U28" s="191">
        <f t="shared" si="22"/>
        <v>4.9999999999999822</v>
      </c>
      <c r="V28" s="199">
        <f t="shared" si="21"/>
        <v>76.000000000000057</v>
      </c>
      <c r="W28" s="17"/>
      <c r="X28" s="17"/>
      <c r="Y28" s="191"/>
      <c r="Z28" s="191"/>
      <c r="AA28" s="610"/>
      <c r="AB28" s="610"/>
      <c r="AC28" s="19"/>
      <c r="AD28" s="19"/>
      <c r="AE28" s="15">
        <f t="shared" si="8"/>
        <v>-88.684210526317202</v>
      </c>
      <c r="AF28" s="196">
        <f t="shared" si="9"/>
        <v>0.95565789473684137</v>
      </c>
      <c r="AG28" s="619"/>
    </row>
    <row r="29" spans="1:33" ht="15.75" customHeight="1">
      <c r="A29" s="638" t="s">
        <v>765</v>
      </c>
      <c r="B29" s="33" t="s">
        <v>6</v>
      </c>
      <c r="C29" s="635" t="s">
        <v>25</v>
      </c>
      <c r="D29" s="635"/>
      <c r="E29" s="33">
        <v>56.43</v>
      </c>
      <c r="F29" s="200">
        <v>1473</v>
      </c>
      <c r="G29" s="191">
        <f t="shared" si="19"/>
        <v>83121.39</v>
      </c>
      <c r="H29" s="29" t="s">
        <v>5</v>
      </c>
      <c r="I29" s="198">
        <v>13</v>
      </c>
      <c r="J29" s="30">
        <v>2000</v>
      </c>
      <c r="K29" s="13">
        <f t="shared" si="1"/>
        <v>153.84615384615384</v>
      </c>
      <c r="L29" s="198">
        <v>13</v>
      </c>
      <c r="M29" s="14">
        <f t="shared" si="20"/>
        <v>1921.304347826087</v>
      </c>
      <c r="N29" s="13">
        <f t="shared" si="3"/>
        <v>147.79264214046822</v>
      </c>
      <c r="O29" s="15">
        <f t="shared" si="4"/>
        <v>0</v>
      </c>
      <c r="P29" s="16">
        <f t="shared" si="5"/>
        <v>-6.0535117056856222</v>
      </c>
      <c r="Q29" s="196">
        <f t="shared" si="6"/>
        <v>0.96065217391304347</v>
      </c>
      <c r="R29" s="619"/>
      <c r="S29" s="31">
        <v>0.82152777777777786</v>
      </c>
      <c r="T29" s="31">
        <v>0.8534722222222223</v>
      </c>
      <c r="U29" s="191">
        <f t="shared" si="22"/>
        <v>4.9999999999999822</v>
      </c>
      <c r="V29" s="199">
        <f t="shared" si="21"/>
        <v>46</v>
      </c>
      <c r="W29" s="17"/>
      <c r="X29" s="22"/>
      <c r="Y29" s="22"/>
      <c r="Z29" s="22"/>
      <c r="AA29" s="610"/>
      <c r="AB29" s="610"/>
      <c r="AC29" s="19"/>
      <c r="AD29" s="19"/>
      <c r="AE29" s="15">
        <f t="shared" si="8"/>
        <v>-78.695652173913004</v>
      </c>
      <c r="AF29" s="196">
        <f t="shared" si="9"/>
        <v>0.96065217391304347</v>
      </c>
      <c r="AG29" s="619"/>
    </row>
    <row r="30" spans="1:33" ht="15.75" customHeight="1">
      <c r="A30" s="638" t="s">
        <v>765</v>
      </c>
      <c r="B30" s="33" t="s">
        <v>758</v>
      </c>
      <c r="C30" s="620"/>
      <c r="D30" s="620"/>
      <c r="E30" s="197"/>
      <c r="F30" s="200"/>
      <c r="G30" s="191"/>
      <c r="H30" s="200"/>
      <c r="I30" s="23">
        <v>15.5</v>
      </c>
      <c r="J30" s="30">
        <v>2000</v>
      </c>
      <c r="K30" s="13">
        <f t="shared" si="1"/>
        <v>129.03225806451613</v>
      </c>
      <c r="L30" s="23">
        <v>15.5</v>
      </c>
      <c r="M30" s="14">
        <f>AVERAGE(M24:M29)</f>
        <v>1917.7189875105366</v>
      </c>
      <c r="N30" s="13">
        <f t="shared" si="3"/>
        <v>123.72380564584107</v>
      </c>
      <c r="O30" s="15">
        <f t="shared" si="4"/>
        <v>0</v>
      </c>
      <c r="P30" s="16">
        <f t="shared" si="5"/>
        <v>-5.3084524186750599</v>
      </c>
      <c r="Q30" s="196">
        <f t="shared" si="6"/>
        <v>0.95885949375526824</v>
      </c>
      <c r="R30" s="619"/>
      <c r="S30" s="31"/>
      <c r="T30" s="31"/>
      <c r="U30" s="13"/>
      <c r="V30" s="199"/>
      <c r="W30" s="13"/>
      <c r="X30" s="13"/>
      <c r="Y30" s="24">
        <f>SUM(Y24:Y29)</f>
        <v>0</v>
      </c>
      <c r="Z30" s="24">
        <f>SUM(Z24:Z29)</f>
        <v>0</v>
      </c>
      <c r="AA30" s="609"/>
      <c r="AB30" s="609"/>
      <c r="AC30" s="24">
        <v>6</v>
      </c>
      <c r="AD30" s="24">
        <f>SUM(AD24:AD29)</f>
        <v>0</v>
      </c>
      <c r="AE30" s="15">
        <f t="shared" si="8"/>
        <v>-82.281012489463365</v>
      </c>
      <c r="AF30" s="196">
        <f t="shared" si="9"/>
        <v>0.95885949375526836</v>
      </c>
      <c r="AG30" s="619"/>
    </row>
    <row r="31" spans="1:33" ht="15.75" customHeight="1">
      <c r="A31" s="636" t="s">
        <v>767</v>
      </c>
      <c r="B31" s="33" t="s">
        <v>27</v>
      </c>
      <c r="C31" s="635" t="s">
        <v>28</v>
      </c>
      <c r="D31" s="635"/>
      <c r="E31" s="33">
        <v>31.29</v>
      </c>
      <c r="F31" s="200">
        <v>5800</v>
      </c>
      <c r="G31" s="191">
        <f t="shared" ref="G31:G38" si="23">E31*F31</f>
        <v>181482</v>
      </c>
      <c r="H31" s="29">
        <v>2</v>
      </c>
      <c r="I31" s="198">
        <v>18</v>
      </c>
      <c r="J31" s="30">
        <v>2400</v>
      </c>
      <c r="K31" s="13">
        <f t="shared" si="1"/>
        <v>133.33333333333334</v>
      </c>
      <c r="L31" s="198">
        <v>18</v>
      </c>
      <c r="M31" s="14">
        <f t="shared" ref="M31:M38" si="24">F31/V31*60</f>
        <v>2289.4736842105262</v>
      </c>
      <c r="N31" s="13">
        <f t="shared" si="3"/>
        <v>127.19298245614034</v>
      </c>
      <c r="O31" s="15">
        <f t="shared" si="4"/>
        <v>0</v>
      </c>
      <c r="P31" s="16">
        <f t="shared" si="5"/>
        <v>-6.1403508771930007</v>
      </c>
      <c r="Q31" s="196">
        <f t="shared" si="6"/>
        <v>0.95394736842105254</v>
      </c>
      <c r="R31" s="619">
        <f>Q39</f>
        <v>0.95893659279415011</v>
      </c>
      <c r="S31" s="31">
        <v>8.3333333333333329E-2</v>
      </c>
      <c r="T31" s="31">
        <v>0.18888888888888888</v>
      </c>
      <c r="U31" s="191"/>
      <c r="V31" s="199">
        <f t="shared" ref="V31:V38" si="25">(T31-S31)*24*60</f>
        <v>152</v>
      </c>
      <c r="W31" s="17">
        <f>T31</f>
        <v>0.18888888888888888</v>
      </c>
      <c r="X31" s="17">
        <f>S32</f>
        <v>0.2076388888888889</v>
      </c>
      <c r="Y31" s="17"/>
      <c r="Z31" s="17"/>
      <c r="AA31" s="610"/>
      <c r="AB31" s="610"/>
      <c r="AC31" s="19">
        <v>8</v>
      </c>
      <c r="AD31" s="19"/>
      <c r="AE31" s="15">
        <f t="shared" si="8"/>
        <v>-110.52631578947376</v>
      </c>
      <c r="AF31" s="196">
        <f t="shared" si="9"/>
        <v>0.95394736842105265</v>
      </c>
      <c r="AG31" s="619">
        <f>AF39</f>
        <v>0.95893659279415011</v>
      </c>
    </row>
    <row r="32" spans="1:33" ht="15.75" customHeight="1">
      <c r="A32" s="636" t="s">
        <v>767</v>
      </c>
      <c r="B32" s="33" t="s">
        <v>27</v>
      </c>
      <c r="C32" s="635" t="s">
        <v>29</v>
      </c>
      <c r="D32" s="635"/>
      <c r="E32" s="33">
        <v>26.37</v>
      </c>
      <c r="F32" s="200">
        <v>4300</v>
      </c>
      <c r="G32" s="191">
        <f t="shared" si="23"/>
        <v>113391</v>
      </c>
      <c r="H32" s="29">
        <v>2</v>
      </c>
      <c r="I32" s="198">
        <v>18</v>
      </c>
      <c r="J32" s="30">
        <v>2400</v>
      </c>
      <c r="K32" s="13">
        <f t="shared" si="1"/>
        <v>133.33333333333334</v>
      </c>
      <c r="L32" s="198">
        <v>18</v>
      </c>
      <c r="M32" s="14">
        <f t="shared" si="24"/>
        <v>2303.5714285714298</v>
      </c>
      <c r="N32" s="13">
        <f t="shared" si="3"/>
        <v>127.97619047619054</v>
      </c>
      <c r="O32" s="15">
        <f t="shared" si="4"/>
        <v>0</v>
      </c>
      <c r="P32" s="16">
        <f t="shared" si="5"/>
        <v>-5.3571428571428044</v>
      </c>
      <c r="Q32" s="196">
        <f t="shared" si="6"/>
        <v>0.95982142857142894</v>
      </c>
      <c r="R32" s="619"/>
      <c r="S32" s="31">
        <v>0.2076388888888889</v>
      </c>
      <c r="T32" s="31">
        <v>0.28541666666666665</v>
      </c>
      <c r="U32" s="191">
        <f t="shared" ref="U32:U38" si="26">(S32-T31)*24*60</f>
        <v>27.000000000000025</v>
      </c>
      <c r="V32" s="199">
        <f t="shared" si="25"/>
        <v>111.99999999999996</v>
      </c>
      <c r="W32" s="17"/>
      <c r="X32" s="17"/>
      <c r="Y32" s="17"/>
      <c r="Z32" s="17"/>
      <c r="AA32" s="610"/>
      <c r="AB32" s="610"/>
      <c r="AC32" s="19"/>
      <c r="AD32" s="19"/>
      <c r="AE32" s="15">
        <f t="shared" si="8"/>
        <v>-96.428571428570194</v>
      </c>
      <c r="AF32" s="196">
        <f t="shared" si="9"/>
        <v>0.95982142857142905</v>
      </c>
      <c r="AG32" s="619"/>
    </row>
    <row r="33" spans="1:33" ht="15.75" customHeight="1">
      <c r="A33" s="636" t="s">
        <v>767</v>
      </c>
      <c r="B33" s="33" t="s">
        <v>27</v>
      </c>
      <c r="C33" s="635" t="s">
        <v>34</v>
      </c>
      <c r="D33" s="635"/>
      <c r="E33" s="33">
        <v>24.43</v>
      </c>
      <c r="F33" s="200">
        <v>4500</v>
      </c>
      <c r="G33" s="191">
        <f t="shared" si="23"/>
        <v>109935</v>
      </c>
      <c r="H33" s="29">
        <v>2</v>
      </c>
      <c r="I33" s="198">
        <v>14</v>
      </c>
      <c r="J33" s="30">
        <v>2400</v>
      </c>
      <c r="K33" s="13">
        <f t="shared" si="1"/>
        <v>171.42857142857142</v>
      </c>
      <c r="L33" s="198">
        <v>14</v>
      </c>
      <c r="M33" s="14">
        <f t="shared" si="24"/>
        <v>2288.1355932203396</v>
      </c>
      <c r="N33" s="13">
        <f t="shared" si="3"/>
        <v>163.43825665859569</v>
      </c>
      <c r="O33" s="15">
        <f t="shared" si="4"/>
        <v>0</v>
      </c>
      <c r="P33" s="16">
        <f t="shared" si="5"/>
        <v>-7.9903147699757255</v>
      </c>
      <c r="Q33" s="196">
        <f t="shared" si="6"/>
        <v>0.95338983050847492</v>
      </c>
      <c r="R33" s="619"/>
      <c r="S33" s="31">
        <v>0.28888888888888886</v>
      </c>
      <c r="T33" s="31">
        <v>0.37083333333333329</v>
      </c>
      <c r="U33" s="191">
        <f t="shared" si="26"/>
        <v>4.9999999999999822</v>
      </c>
      <c r="V33" s="199">
        <f t="shared" si="25"/>
        <v>117.99999999999999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-111.86440677966038</v>
      </c>
      <c r="AF33" s="196">
        <f t="shared" si="9"/>
        <v>0.95338983050847481</v>
      </c>
      <c r="AG33" s="619"/>
    </row>
    <row r="34" spans="1:33" ht="15.75" customHeight="1">
      <c r="A34" s="636" t="s">
        <v>767</v>
      </c>
      <c r="B34" s="33" t="s">
        <v>27</v>
      </c>
      <c r="C34" s="635" t="s">
        <v>75</v>
      </c>
      <c r="D34" s="635"/>
      <c r="E34" s="33">
        <v>25.98</v>
      </c>
      <c r="F34" s="200">
        <v>4812</v>
      </c>
      <c r="G34" s="191">
        <f t="shared" si="23"/>
        <v>125015.76000000001</v>
      </c>
      <c r="H34" s="29" t="s">
        <v>5</v>
      </c>
      <c r="I34" s="198">
        <v>19</v>
      </c>
      <c r="J34" s="30">
        <v>2400</v>
      </c>
      <c r="K34" s="13">
        <f t="shared" si="1"/>
        <v>126.31578947368421</v>
      </c>
      <c r="L34" s="198">
        <v>19</v>
      </c>
      <c r="M34" s="14">
        <f t="shared" si="24"/>
        <v>2291.4285714285711</v>
      </c>
      <c r="N34" s="13">
        <f t="shared" si="3"/>
        <v>120.60150375939848</v>
      </c>
      <c r="O34" s="15">
        <f t="shared" si="4"/>
        <v>0</v>
      </c>
      <c r="P34" s="16">
        <f t="shared" si="5"/>
        <v>-5.7142857142857224</v>
      </c>
      <c r="Q34" s="196">
        <f t="shared" si="6"/>
        <v>0.9547619047619047</v>
      </c>
      <c r="R34" s="619"/>
      <c r="S34" s="31">
        <v>0.37638888888888883</v>
      </c>
      <c r="T34" s="31">
        <v>0.46388888888888885</v>
      </c>
      <c r="U34" s="191">
        <f t="shared" si="26"/>
        <v>7.9999999999999716</v>
      </c>
      <c r="V34" s="199">
        <f t="shared" si="25"/>
        <v>126.00000000000003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-108.5714285714289</v>
      </c>
      <c r="AF34" s="196">
        <f t="shared" si="9"/>
        <v>0.95476190476190459</v>
      </c>
      <c r="AG34" s="619"/>
    </row>
    <row r="35" spans="1:33" ht="15.75" customHeight="1">
      <c r="A35" s="636" t="s">
        <v>767</v>
      </c>
      <c r="B35" s="33" t="s">
        <v>27</v>
      </c>
      <c r="C35" s="635" t="s">
        <v>55</v>
      </c>
      <c r="D35" s="635"/>
      <c r="E35" s="33">
        <v>23.89</v>
      </c>
      <c r="F35" s="200">
        <v>1056</v>
      </c>
      <c r="G35" s="191">
        <f t="shared" si="23"/>
        <v>25227.84</v>
      </c>
      <c r="H35" s="29" t="s">
        <v>5</v>
      </c>
      <c r="I35" s="198">
        <v>13</v>
      </c>
      <c r="J35" s="30">
        <v>2400</v>
      </c>
      <c r="K35" s="13">
        <f t="shared" si="1"/>
        <v>184.61538461538461</v>
      </c>
      <c r="L35" s="198">
        <v>13</v>
      </c>
      <c r="M35" s="14">
        <f t="shared" si="24"/>
        <v>2346.6666666666679</v>
      </c>
      <c r="N35" s="13">
        <f t="shared" si="3"/>
        <v>180.51282051282061</v>
      </c>
      <c r="O35" s="15">
        <f t="shared" si="4"/>
        <v>0</v>
      </c>
      <c r="P35" s="16">
        <f t="shared" si="5"/>
        <v>-4.1025641025640027</v>
      </c>
      <c r="Q35" s="196">
        <f t="shared" si="6"/>
        <v>0.9777777777777783</v>
      </c>
      <c r="R35" s="619"/>
      <c r="S35" s="31">
        <v>0.46874999999999994</v>
      </c>
      <c r="T35" s="31">
        <v>0.48749999999999993</v>
      </c>
      <c r="U35" s="191">
        <f t="shared" si="26"/>
        <v>6.9999999999999751</v>
      </c>
      <c r="V35" s="199">
        <f t="shared" si="25"/>
        <v>26.999999999999986</v>
      </c>
      <c r="W35" s="17">
        <f>T35</f>
        <v>0.48749999999999993</v>
      </c>
      <c r="X35" s="17">
        <f>S36</f>
        <v>0.52708333333333324</v>
      </c>
      <c r="Y35" s="17"/>
      <c r="Z35" s="17"/>
      <c r="AA35" s="610"/>
      <c r="AB35" s="610"/>
      <c r="AC35" s="19"/>
      <c r="AD35" s="19"/>
      <c r="AE35" s="15">
        <f t="shared" si="8"/>
        <v>-53.333333333332121</v>
      </c>
      <c r="AF35" s="196">
        <f t="shared" si="9"/>
        <v>0.9777777777777783</v>
      </c>
      <c r="AG35" s="619"/>
    </row>
    <row r="36" spans="1:33" ht="15.75" customHeight="1">
      <c r="A36" s="636" t="s">
        <v>767</v>
      </c>
      <c r="B36" s="33" t="s">
        <v>27</v>
      </c>
      <c r="C36" s="635" t="s">
        <v>28</v>
      </c>
      <c r="D36" s="635"/>
      <c r="E36" s="33">
        <v>31.29</v>
      </c>
      <c r="F36" s="200">
        <v>4438</v>
      </c>
      <c r="G36" s="191">
        <f t="shared" si="23"/>
        <v>138865.01999999999</v>
      </c>
      <c r="H36" s="29" t="s">
        <v>5</v>
      </c>
      <c r="I36" s="198">
        <v>18</v>
      </c>
      <c r="J36" s="30">
        <v>2400</v>
      </c>
      <c r="K36" s="13">
        <f t="shared" si="1"/>
        <v>133.33333333333334</v>
      </c>
      <c r="L36" s="198">
        <v>18</v>
      </c>
      <c r="M36" s="14">
        <f t="shared" si="24"/>
        <v>2295.5172413793089</v>
      </c>
      <c r="N36" s="13">
        <f t="shared" si="3"/>
        <v>127.52873563218382</v>
      </c>
      <c r="O36" s="15">
        <f t="shared" si="4"/>
        <v>0</v>
      </c>
      <c r="P36" s="16">
        <f t="shared" si="5"/>
        <v>-5.8045977011495182</v>
      </c>
      <c r="Q36" s="196">
        <f t="shared" si="6"/>
        <v>0.95646551724137863</v>
      </c>
      <c r="R36" s="619"/>
      <c r="S36" s="31">
        <v>0.52708333333333324</v>
      </c>
      <c r="T36" s="31">
        <v>0.60763888888888884</v>
      </c>
      <c r="U36" s="191">
        <f t="shared" si="26"/>
        <v>56.999999999999957</v>
      </c>
      <c r="V36" s="199">
        <f t="shared" si="25"/>
        <v>116.00000000000007</v>
      </c>
      <c r="W36" s="17"/>
      <c r="X36" s="17"/>
      <c r="Y36" s="17"/>
      <c r="Z36" s="17"/>
      <c r="AA36" s="610"/>
      <c r="AB36" s="610"/>
      <c r="AC36" s="19"/>
      <c r="AD36" s="19"/>
      <c r="AE36" s="15">
        <f t="shared" si="8"/>
        <v>-104.48275862069113</v>
      </c>
      <c r="AF36" s="196">
        <f t="shared" si="9"/>
        <v>0.95646551724137874</v>
      </c>
      <c r="AG36" s="619"/>
    </row>
    <row r="37" spans="1:33" ht="15.75" customHeight="1">
      <c r="A37" s="636" t="s">
        <v>767</v>
      </c>
      <c r="B37" s="33" t="s">
        <v>27</v>
      </c>
      <c r="C37" s="635" t="s">
        <v>29</v>
      </c>
      <c r="D37" s="635"/>
      <c r="E37" s="33">
        <v>26.37</v>
      </c>
      <c r="F37" s="200">
        <v>3208</v>
      </c>
      <c r="G37" s="191">
        <f t="shared" si="23"/>
        <v>84594.96</v>
      </c>
      <c r="H37" s="29" t="s">
        <v>5</v>
      </c>
      <c r="I37" s="198">
        <v>18</v>
      </c>
      <c r="J37" s="30">
        <v>2400</v>
      </c>
      <c r="K37" s="13">
        <f t="shared" si="1"/>
        <v>133.33333333333334</v>
      </c>
      <c r="L37" s="198">
        <v>18</v>
      </c>
      <c r="M37" s="14">
        <f t="shared" si="24"/>
        <v>2291.4285714285706</v>
      </c>
      <c r="N37" s="13">
        <f t="shared" si="3"/>
        <v>127.30158730158726</v>
      </c>
      <c r="O37" s="15">
        <f t="shared" si="4"/>
        <v>0</v>
      </c>
      <c r="P37" s="16">
        <f t="shared" si="5"/>
        <v>-6.0317460317460814</v>
      </c>
      <c r="Q37" s="196">
        <f t="shared" si="6"/>
        <v>0.95476190476190437</v>
      </c>
      <c r="R37" s="619"/>
      <c r="S37" s="31">
        <v>0.61319444444444438</v>
      </c>
      <c r="T37" s="31">
        <v>0.67152777777777772</v>
      </c>
      <c r="U37" s="191">
        <f t="shared" si="26"/>
        <v>7.9999999999999716</v>
      </c>
      <c r="V37" s="199">
        <f t="shared" si="25"/>
        <v>84.000000000000028</v>
      </c>
      <c r="W37" s="17"/>
      <c r="X37" s="17"/>
      <c r="Y37" s="17"/>
      <c r="Z37" s="17"/>
      <c r="AA37" s="610"/>
      <c r="AB37" s="610"/>
      <c r="AC37" s="19"/>
      <c r="AD37" s="19"/>
      <c r="AE37" s="15">
        <f t="shared" si="8"/>
        <v>-108.57142857142935</v>
      </c>
      <c r="AF37" s="196">
        <f t="shared" si="9"/>
        <v>0.95476190476190448</v>
      </c>
      <c r="AG37" s="619"/>
    </row>
    <row r="38" spans="1:33" ht="15.75" customHeight="1">
      <c r="A38" s="636" t="s">
        <v>767</v>
      </c>
      <c r="B38" s="33" t="s">
        <v>27</v>
      </c>
      <c r="C38" s="202" t="s">
        <v>34</v>
      </c>
      <c r="D38" s="203"/>
      <c r="E38" s="33">
        <v>24.43</v>
      </c>
      <c r="F38" s="200">
        <v>3727</v>
      </c>
      <c r="G38" s="191">
        <f t="shared" si="23"/>
        <v>91050.61</v>
      </c>
      <c r="H38" s="29" t="s">
        <v>5</v>
      </c>
      <c r="I38" s="198">
        <v>14</v>
      </c>
      <c r="J38" s="30">
        <v>2400</v>
      </c>
      <c r="K38" s="13">
        <f t="shared" si="1"/>
        <v>171.42857142857142</v>
      </c>
      <c r="L38" s="198">
        <v>14</v>
      </c>
      <c r="M38" s="14">
        <f t="shared" si="24"/>
        <v>2305.3608247422685</v>
      </c>
      <c r="N38" s="13">
        <f t="shared" si="3"/>
        <v>164.66863033873346</v>
      </c>
      <c r="O38" s="15">
        <f t="shared" si="4"/>
        <v>0</v>
      </c>
      <c r="P38" s="16">
        <f t="shared" si="5"/>
        <v>-6.7599410898379517</v>
      </c>
      <c r="Q38" s="196">
        <f t="shared" si="6"/>
        <v>0.9605670103092786</v>
      </c>
      <c r="R38" s="619"/>
      <c r="S38" s="31">
        <v>0.67638888888888882</v>
      </c>
      <c r="T38" s="31">
        <v>0.74374999999999991</v>
      </c>
      <c r="U38" s="191">
        <f t="shared" si="26"/>
        <v>6.9999999999999751</v>
      </c>
      <c r="V38" s="199">
        <f t="shared" si="25"/>
        <v>96.999999999999972</v>
      </c>
      <c r="W38" s="17"/>
      <c r="X38" s="17"/>
      <c r="Y38" s="17"/>
      <c r="Z38" s="17"/>
      <c r="AA38" s="194"/>
      <c r="AB38" s="195"/>
      <c r="AC38" s="19"/>
      <c r="AD38" s="19"/>
      <c r="AE38" s="15">
        <f t="shared" si="8"/>
        <v>-94.639175257731495</v>
      </c>
      <c r="AF38" s="196">
        <f t="shared" si="9"/>
        <v>0.96056701030927849</v>
      </c>
      <c r="AG38" s="619"/>
    </row>
    <row r="39" spans="1:33" ht="15.75" customHeight="1">
      <c r="A39" s="636" t="s">
        <v>767</v>
      </c>
      <c r="B39" s="33" t="s">
        <v>758</v>
      </c>
      <c r="C39" s="620"/>
      <c r="D39" s="620"/>
      <c r="E39" s="197"/>
      <c r="F39" s="200"/>
      <c r="G39" s="191"/>
      <c r="H39" s="200"/>
      <c r="I39" s="23">
        <v>16.5</v>
      </c>
      <c r="J39" s="30">
        <v>2400</v>
      </c>
      <c r="K39" s="13">
        <f t="shared" si="1"/>
        <v>145.45454545454547</v>
      </c>
      <c r="L39" s="23">
        <v>16.5</v>
      </c>
      <c r="M39" s="14">
        <f>AVERAGE(M31:M38)</f>
        <v>2301.4478227059603</v>
      </c>
      <c r="N39" s="13">
        <f t="shared" si="3"/>
        <v>139.48168622460366</v>
      </c>
      <c r="O39" s="15">
        <f t="shared" si="4"/>
        <v>0</v>
      </c>
      <c r="P39" s="16">
        <f t="shared" si="5"/>
        <v>-5.972859229941804</v>
      </c>
      <c r="Q39" s="196">
        <f t="shared" si="6"/>
        <v>0.95893659279415011</v>
      </c>
      <c r="R39" s="619"/>
      <c r="S39" s="31"/>
      <c r="T39" s="31"/>
      <c r="U39" s="191"/>
      <c r="V39" s="199"/>
      <c r="W39" s="191"/>
      <c r="X39" s="191"/>
      <c r="Y39" s="24">
        <f>SUM(Y31:Y38)</f>
        <v>0</v>
      </c>
      <c r="Z39" s="24">
        <f>SUM(Z31:Z38)</f>
        <v>0</v>
      </c>
      <c r="AA39" s="609"/>
      <c r="AB39" s="609"/>
      <c r="AC39" s="24">
        <v>8</v>
      </c>
      <c r="AD39" s="24">
        <f>SUM(AD31:AD38)</f>
        <v>0</v>
      </c>
      <c r="AE39" s="15">
        <f t="shared" si="8"/>
        <v>-98.552177294039666</v>
      </c>
      <c r="AF39" s="196">
        <f t="shared" si="9"/>
        <v>0.95893659279415011</v>
      </c>
      <c r="AG39" s="619"/>
    </row>
    <row r="40" spans="1:33" ht="15.75" customHeight="1">
      <c r="A40" s="633" t="s">
        <v>768</v>
      </c>
      <c r="B40" s="33" t="s">
        <v>27</v>
      </c>
      <c r="C40" s="611" t="s">
        <v>33</v>
      </c>
      <c r="D40" s="611"/>
      <c r="E40" s="33">
        <v>26.18</v>
      </c>
      <c r="F40" s="200">
        <v>3900</v>
      </c>
      <c r="G40" s="191">
        <f t="shared" ref="G40:G48" si="27">E40*F40</f>
        <v>102102</v>
      </c>
      <c r="H40" s="29">
        <v>2</v>
      </c>
      <c r="I40" s="198">
        <v>20</v>
      </c>
      <c r="J40" s="30">
        <v>2400</v>
      </c>
      <c r="K40" s="13">
        <f t="shared" si="1"/>
        <v>120</v>
      </c>
      <c r="L40" s="198">
        <v>20</v>
      </c>
      <c r="M40" s="14">
        <f t="shared" ref="M40:M48" si="28">F40/V40*60</f>
        <v>2294.117647058823</v>
      </c>
      <c r="N40" s="13">
        <f t="shared" si="3"/>
        <v>114.70588235294115</v>
      </c>
      <c r="O40" s="15">
        <f t="shared" si="4"/>
        <v>0</v>
      </c>
      <c r="P40" s="16">
        <f t="shared" si="5"/>
        <v>-5.2941176470588545</v>
      </c>
      <c r="Q40" s="196">
        <f t="shared" si="6"/>
        <v>0.95588235294117618</v>
      </c>
      <c r="R40" s="619">
        <f>Q49</f>
        <v>0.95662286489134463</v>
      </c>
      <c r="S40" s="31">
        <v>8.3333333333333329E-2</v>
      </c>
      <c r="T40" s="31">
        <v>0.15416666666666667</v>
      </c>
      <c r="U40" s="191"/>
      <c r="V40" s="199">
        <f t="shared" ref="V40:V48" si="29">(T40-S40)*24*60</f>
        <v>102.00000000000001</v>
      </c>
      <c r="W40" s="22">
        <f>T40</f>
        <v>0.15416666666666667</v>
      </c>
      <c r="X40" s="22">
        <f>S41</f>
        <v>0.17291666666666666</v>
      </c>
      <c r="Y40" s="22"/>
      <c r="Z40" s="22"/>
      <c r="AA40" s="610"/>
      <c r="AB40" s="610"/>
      <c r="AC40" s="19">
        <v>9</v>
      </c>
      <c r="AD40" s="19"/>
      <c r="AE40" s="15">
        <f t="shared" si="8"/>
        <v>-105.88235294117703</v>
      </c>
      <c r="AF40" s="196">
        <f t="shared" si="9"/>
        <v>0.95588235294117618</v>
      </c>
      <c r="AG40" s="619">
        <f>AF49</f>
        <v>0.95662286489134474</v>
      </c>
    </row>
    <row r="41" spans="1:33" ht="15.75" customHeight="1">
      <c r="A41" s="633" t="s">
        <v>768</v>
      </c>
      <c r="B41" s="33" t="s">
        <v>27</v>
      </c>
      <c r="C41" s="611" t="s">
        <v>197</v>
      </c>
      <c r="D41" s="611"/>
      <c r="E41" s="33">
        <v>23.89</v>
      </c>
      <c r="F41" s="200">
        <v>5242</v>
      </c>
      <c r="G41" s="191">
        <f t="shared" si="27"/>
        <v>125231.38</v>
      </c>
      <c r="H41" s="29" t="s">
        <v>5</v>
      </c>
      <c r="I41" s="198">
        <v>17</v>
      </c>
      <c r="J41" s="30">
        <v>2400</v>
      </c>
      <c r="K41" s="13">
        <f t="shared" si="1"/>
        <v>141.1764705882353</v>
      </c>
      <c r="L41" s="198">
        <v>17</v>
      </c>
      <c r="M41" s="14">
        <f t="shared" si="28"/>
        <v>2295.7664233576643</v>
      </c>
      <c r="N41" s="13">
        <f t="shared" si="3"/>
        <v>135.04508372692143</v>
      </c>
      <c r="O41" s="15">
        <f t="shared" si="4"/>
        <v>0</v>
      </c>
      <c r="P41" s="16">
        <f t="shared" si="5"/>
        <v>-6.1313868613138709</v>
      </c>
      <c r="Q41" s="196">
        <f t="shared" si="6"/>
        <v>0.95656934306569341</v>
      </c>
      <c r="R41" s="619"/>
      <c r="S41" s="31">
        <v>0.17291666666666666</v>
      </c>
      <c r="T41" s="31">
        <v>0.26805555555555555</v>
      </c>
      <c r="U41" s="191">
        <f t="shared" ref="U41:U48" si="30">(S41-T40)*24*60</f>
        <v>26.999999999999986</v>
      </c>
      <c r="V41" s="199">
        <f t="shared" si="29"/>
        <v>137</v>
      </c>
      <c r="W41" s="191"/>
      <c r="X41" s="191"/>
      <c r="Y41" s="191"/>
      <c r="Z41" s="191"/>
      <c r="AA41" s="610"/>
      <c r="AB41" s="610"/>
      <c r="AC41" s="19"/>
      <c r="AD41" s="19"/>
      <c r="AE41" s="15">
        <f t="shared" si="8"/>
        <v>-104.23357664233572</v>
      </c>
      <c r="AF41" s="196">
        <f t="shared" si="9"/>
        <v>0.95656934306569341</v>
      </c>
      <c r="AG41" s="619"/>
    </row>
    <row r="42" spans="1:33">
      <c r="A42" s="634" t="s">
        <v>768</v>
      </c>
      <c r="B42" s="33" t="s">
        <v>27</v>
      </c>
      <c r="C42" s="611" t="s">
        <v>30</v>
      </c>
      <c r="D42" s="611"/>
      <c r="E42" s="33">
        <v>26.18</v>
      </c>
      <c r="F42" s="200">
        <v>5200</v>
      </c>
      <c r="G42" s="191">
        <f t="shared" si="27"/>
        <v>136136</v>
      </c>
      <c r="H42" s="29">
        <v>2</v>
      </c>
      <c r="I42" s="198">
        <v>18</v>
      </c>
      <c r="J42" s="30">
        <v>2400</v>
      </c>
      <c r="K42" s="13">
        <f t="shared" si="1"/>
        <v>133.33333333333334</v>
      </c>
      <c r="L42" s="198">
        <v>18</v>
      </c>
      <c r="M42" s="14">
        <f t="shared" si="28"/>
        <v>2294.1176470588234</v>
      </c>
      <c r="N42" s="13">
        <f t="shared" si="3"/>
        <v>127.45098039215685</v>
      </c>
      <c r="O42" s="15">
        <f t="shared" si="4"/>
        <v>0</v>
      </c>
      <c r="P42" s="16">
        <f t="shared" si="5"/>
        <v>-5.8823529411764923</v>
      </c>
      <c r="Q42" s="196">
        <f t="shared" si="6"/>
        <v>0.95588235294117629</v>
      </c>
      <c r="R42" s="619"/>
      <c r="S42" s="31">
        <v>0.27152777777777776</v>
      </c>
      <c r="T42" s="31">
        <v>0.3659722222222222</v>
      </c>
      <c r="U42" s="191">
        <f t="shared" si="30"/>
        <v>4.9999999999999822</v>
      </c>
      <c r="V42" s="199">
        <f t="shared" si="29"/>
        <v>136</v>
      </c>
      <c r="W42" s="191"/>
      <c r="X42" s="191"/>
      <c r="Y42" s="191"/>
      <c r="Z42" s="191"/>
      <c r="AA42" s="610"/>
      <c r="AB42" s="610"/>
      <c r="AC42" s="19"/>
      <c r="AD42" s="19"/>
      <c r="AE42" s="15">
        <f t="shared" si="8"/>
        <v>-105.88235294117658</v>
      </c>
      <c r="AF42" s="196">
        <f t="shared" si="9"/>
        <v>0.95588235294117641</v>
      </c>
      <c r="AG42" s="619"/>
    </row>
    <row r="43" spans="1:33">
      <c r="A43" s="634" t="s">
        <v>768</v>
      </c>
      <c r="B43" s="33" t="s">
        <v>27</v>
      </c>
      <c r="C43" s="611" t="s">
        <v>32</v>
      </c>
      <c r="D43" s="611"/>
      <c r="E43" s="33">
        <v>25.99</v>
      </c>
      <c r="F43" s="200">
        <v>2300</v>
      </c>
      <c r="G43" s="191">
        <f t="shared" si="27"/>
        <v>59777</v>
      </c>
      <c r="H43" s="29">
        <v>2</v>
      </c>
      <c r="I43" s="198">
        <v>14</v>
      </c>
      <c r="J43" s="30">
        <v>2400</v>
      </c>
      <c r="K43" s="13">
        <f t="shared" si="1"/>
        <v>171.42857142857142</v>
      </c>
      <c r="L43" s="198">
        <v>14</v>
      </c>
      <c r="M43" s="14">
        <f t="shared" si="28"/>
        <v>2299.9999999999991</v>
      </c>
      <c r="N43" s="13">
        <f t="shared" si="3"/>
        <v>164.28571428571422</v>
      </c>
      <c r="O43" s="15">
        <f t="shared" si="4"/>
        <v>0</v>
      </c>
      <c r="P43" s="16">
        <f t="shared" si="5"/>
        <v>-7.1428571428571956</v>
      </c>
      <c r="Q43" s="196">
        <f t="shared" si="6"/>
        <v>0.95833333333333304</v>
      </c>
      <c r="R43" s="619"/>
      <c r="S43" s="31">
        <v>0.36944444444444441</v>
      </c>
      <c r="T43" s="31">
        <v>0.41111111111111109</v>
      </c>
      <c r="U43" s="191">
        <f t="shared" si="30"/>
        <v>4.9999999999999822</v>
      </c>
      <c r="V43" s="199">
        <f t="shared" si="29"/>
        <v>60.000000000000028</v>
      </c>
      <c r="W43" s="17"/>
      <c r="X43" s="17"/>
      <c r="Y43" s="17"/>
      <c r="Z43" s="17"/>
      <c r="AA43" s="610"/>
      <c r="AB43" s="610"/>
      <c r="AC43" s="19"/>
      <c r="AD43" s="19"/>
      <c r="AE43" s="15">
        <f t="shared" si="8"/>
        <v>-100.00000000000091</v>
      </c>
      <c r="AF43" s="196">
        <f t="shared" si="9"/>
        <v>0.95833333333333293</v>
      </c>
      <c r="AG43" s="619"/>
    </row>
    <row r="44" spans="1:33">
      <c r="A44" s="634" t="s">
        <v>768</v>
      </c>
      <c r="B44" s="33" t="s">
        <v>27</v>
      </c>
      <c r="C44" s="611" t="s">
        <v>52</v>
      </c>
      <c r="D44" s="611"/>
      <c r="E44" s="33">
        <v>25.98</v>
      </c>
      <c r="F44" s="200">
        <v>2291</v>
      </c>
      <c r="G44" s="191">
        <f t="shared" si="27"/>
        <v>59520.18</v>
      </c>
      <c r="H44" s="29" t="s">
        <v>5</v>
      </c>
      <c r="I44" s="198">
        <v>17</v>
      </c>
      <c r="J44" s="30">
        <v>2400</v>
      </c>
      <c r="K44" s="13">
        <f t="shared" si="1"/>
        <v>141.1764705882353</v>
      </c>
      <c r="L44" s="198">
        <v>17</v>
      </c>
      <c r="M44" s="14">
        <f t="shared" si="28"/>
        <v>2290.9999999999991</v>
      </c>
      <c r="N44" s="13">
        <f t="shared" si="3"/>
        <v>134.7647058823529</v>
      </c>
      <c r="O44" s="15">
        <f t="shared" si="4"/>
        <v>0</v>
      </c>
      <c r="P44" s="16">
        <f t="shared" si="5"/>
        <v>-6.4117647058824048</v>
      </c>
      <c r="Q44" s="196">
        <f t="shared" si="6"/>
        <v>0.95458333333333301</v>
      </c>
      <c r="R44" s="619"/>
      <c r="S44" s="31">
        <v>0.4145833333333333</v>
      </c>
      <c r="T44" s="31">
        <v>0.45624999999999999</v>
      </c>
      <c r="U44" s="191">
        <f t="shared" si="30"/>
        <v>4.9999999999999822</v>
      </c>
      <c r="V44" s="199">
        <f t="shared" si="29"/>
        <v>60.000000000000028</v>
      </c>
      <c r="W44" s="17"/>
      <c r="X44" s="17"/>
      <c r="Y44" s="17"/>
      <c r="Z44" s="17"/>
      <c r="AA44" s="610"/>
      <c r="AB44" s="610"/>
      <c r="AC44" s="19"/>
      <c r="AD44" s="19"/>
      <c r="AE44" s="15">
        <f t="shared" si="8"/>
        <v>-109.00000000000091</v>
      </c>
      <c r="AF44" s="196">
        <f t="shared" si="9"/>
        <v>0.95458333333333301</v>
      </c>
      <c r="AG44" s="619"/>
    </row>
    <row r="45" spans="1:33">
      <c r="A45" s="634" t="s">
        <v>768</v>
      </c>
      <c r="B45" s="33" t="s">
        <v>27</v>
      </c>
      <c r="C45" s="611" t="s">
        <v>54</v>
      </c>
      <c r="D45" s="611"/>
      <c r="E45" s="33">
        <v>24.25</v>
      </c>
      <c r="F45" s="200">
        <v>2446</v>
      </c>
      <c r="G45" s="191">
        <f t="shared" si="27"/>
        <v>59315.5</v>
      </c>
      <c r="H45" s="29" t="s">
        <v>5</v>
      </c>
      <c r="I45" s="198">
        <v>16</v>
      </c>
      <c r="J45" s="30">
        <v>2400</v>
      </c>
      <c r="K45" s="13">
        <f t="shared" si="1"/>
        <v>150</v>
      </c>
      <c r="L45" s="198">
        <v>16</v>
      </c>
      <c r="M45" s="14">
        <f t="shared" si="28"/>
        <v>2293.1249999999995</v>
      </c>
      <c r="N45" s="13">
        <f t="shared" si="3"/>
        <v>143.32031249999997</v>
      </c>
      <c r="O45" s="15">
        <f t="shared" si="4"/>
        <v>0</v>
      </c>
      <c r="P45" s="16">
        <f t="shared" si="5"/>
        <v>-6.6796875000000284</v>
      </c>
      <c r="Q45" s="196">
        <f t="shared" si="6"/>
        <v>0.95546874999999976</v>
      </c>
      <c r="R45" s="619"/>
      <c r="S45" s="31">
        <v>0.46041666666666664</v>
      </c>
      <c r="T45" s="31">
        <v>0.50486111111111109</v>
      </c>
      <c r="U45" s="191">
        <f t="shared" si="30"/>
        <v>5.9999999999999787</v>
      </c>
      <c r="V45" s="199">
        <f t="shared" si="29"/>
        <v>64.000000000000014</v>
      </c>
      <c r="W45" s="17">
        <f>T45</f>
        <v>0.50486111111111109</v>
      </c>
      <c r="X45" s="17">
        <f>S46</f>
        <v>0.54305555555555551</v>
      </c>
      <c r="Y45" s="17"/>
      <c r="Z45" s="17"/>
      <c r="AA45" s="610"/>
      <c r="AB45" s="610"/>
      <c r="AC45" s="19"/>
      <c r="AD45" s="19"/>
      <c r="AE45" s="15">
        <f t="shared" si="8"/>
        <v>-106.87500000000045</v>
      </c>
      <c r="AF45" s="196">
        <f t="shared" si="9"/>
        <v>0.95546874999999976</v>
      </c>
      <c r="AG45" s="619"/>
    </row>
    <row r="46" spans="1:33">
      <c r="A46" s="634" t="s">
        <v>768</v>
      </c>
      <c r="B46" s="33" t="s">
        <v>27</v>
      </c>
      <c r="C46" s="611" t="s">
        <v>33</v>
      </c>
      <c r="D46" s="611"/>
      <c r="E46" s="33">
        <v>26.18</v>
      </c>
      <c r="F46" s="200">
        <v>2953</v>
      </c>
      <c r="G46" s="191">
        <f t="shared" si="27"/>
        <v>77309.539999999994</v>
      </c>
      <c r="H46" s="29" t="s">
        <v>5</v>
      </c>
      <c r="I46" s="198">
        <v>20</v>
      </c>
      <c r="J46" s="30">
        <v>2400</v>
      </c>
      <c r="K46" s="13">
        <f t="shared" si="1"/>
        <v>120</v>
      </c>
      <c r="L46" s="198">
        <v>20</v>
      </c>
      <c r="M46" s="14">
        <f t="shared" si="28"/>
        <v>2301.0389610389598</v>
      </c>
      <c r="N46" s="13">
        <f t="shared" si="3"/>
        <v>115.05194805194799</v>
      </c>
      <c r="O46" s="15">
        <f t="shared" si="4"/>
        <v>0</v>
      </c>
      <c r="P46" s="16">
        <f t="shared" si="5"/>
        <v>-4.9480519480520115</v>
      </c>
      <c r="Q46" s="196">
        <f t="shared" si="6"/>
        <v>0.95876623376623327</v>
      </c>
      <c r="R46" s="619"/>
      <c r="S46" s="31">
        <v>0.54305555555555551</v>
      </c>
      <c r="T46" s="31">
        <v>0.59652777777777777</v>
      </c>
      <c r="U46" s="191">
        <f t="shared" si="30"/>
        <v>54.999999999999964</v>
      </c>
      <c r="V46" s="199">
        <f t="shared" si="29"/>
        <v>77.000000000000043</v>
      </c>
      <c r="W46" s="17"/>
      <c r="X46" s="17"/>
      <c r="Y46" s="20"/>
      <c r="Z46" s="20"/>
      <c r="AA46" s="614"/>
      <c r="AB46" s="615"/>
      <c r="AC46" s="19"/>
      <c r="AD46" s="19"/>
      <c r="AE46" s="15">
        <f t="shared" si="8"/>
        <v>-98.961038961040231</v>
      </c>
      <c r="AF46" s="196">
        <f t="shared" si="9"/>
        <v>0.95876623376623327</v>
      </c>
      <c r="AG46" s="619"/>
    </row>
    <row r="47" spans="1:33">
      <c r="A47" s="634" t="s">
        <v>768</v>
      </c>
      <c r="B47" s="33" t="s">
        <v>27</v>
      </c>
      <c r="C47" s="611" t="s">
        <v>30</v>
      </c>
      <c r="D47" s="611"/>
      <c r="E47" s="33">
        <v>26.18</v>
      </c>
      <c r="F47" s="200">
        <v>4080</v>
      </c>
      <c r="G47" s="191">
        <f t="shared" si="27"/>
        <v>106814.39999999999</v>
      </c>
      <c r="H47" s="29" t="s">
        <v>5</v>
      </c>
      <c r="I47" s="198">
        <v>18</v>
      </c>
      <c r="J47" s="30">
        <v>2400</v>
      </c>
      <c r="K47" s="13">
        <f t="shared" si="1"/>
        <v>133.33333333333334</v>
      </c>
      <c r="L47" s="198">
        <v>18</v>
      </c>
      <c r="M47" s="14">
        <f t="shared" si="28"/>
        <v>2287.8504672897211</v>
      </c>
      <c r="N47" s="13">
        <f t="shared" si="3"/>
        <v>127.10280373831785</v>
      </c>
      <c r="O47" s="15">
        <f t="shared" si="4"/>
        <v>0</v>
      </c>
      <c r="P47" s="16">
        <f t="shared" si="5"/>
        <v>-6.2305295950154971</v>
      </c>
      <c r="Q47" s="196">
        <f t="shared" si="6"/>
        <v>0.95327102803738373</v>
      </c>
      <c r="R47" s="619"/>
      <c r="S47" s="31">
        <v>0.6020833333333333</v>
      </c>
      <c r="T47" s="31">
        <v>0.67638888888888882</v>
      </c>
      <c r="U47" s="191">
        <f t="shared" si="30"/>
        <v>7.9999999999999716</v>
      </c>
      <c r="V47" s="199">
        <f t="shared" si="29"/>
        <v>106.99999999999994</v>
      </c>
      <c r="W47" s="17"/>
      <c r="X47" s="17"/>
      <c r="Y47" s="20"/>
      <c r="Z47" s="20"/>
      <c r="AA47" s="614"/>
      <c r="AB47" s="615"/>
      <c r="AC47" s="19"/>
      <c r="AD47" s="19"/>
      <c r="AE47" s="15">
        <f t="shared" si="8"/>
        <v>-112.14953271027889</v>
      </c>
      <c r="AF47" s="196">
        <f t="shared" si="9"/>
        <v>0.95327102803738384</v>
      </c>
      <c r="AG47" s="619"/>
    </row>
    <row r="48" spans="1:33">
      <c r="A48" s="634" t="s">
        <v>768</v>
      </c>
      <c r="B48" s="33" t="s">
        <v>27</v>
      </c>
      <c r="C48" s="612" t="s">
        <v>32</v>
      </c>
      <c r="D48" s="613"/>
      <c r="E48" s="33">
        <v>25.99</v>
      </c>
      <c r="F48" s="200">
        <v>2037</v>
      </c>
      <c r="G48" s="191">
        <f t="shared" si="27"/>
        <v>52941.63</v>
      </c>
      <c r="H48" s="29" t="s">
        <v>5</v>
      </c>
      <c r="I48" s="198">
        <v>14</v>
      </c>
      <c r="J48" s="30">
        <v>2400</v>
      </c>
      <c r="K48" s="13">
        <f t="shared" si="1"/>
        <v>171.42857142857142</v>
      </c>
      <c r="L48" s="198">
        <v>14</v>
      </c>
      <c r="M48" s="14">
        <f t="shared" si="28"/>
        <v>2306.0377358490578</v>
      </c>
      <c r="N48" s="13">
        <f t="shared" si="3"/>
        <v>164.71698113207555</v>
      </c>
      <c r="O48" s="15">
        <f t="shared" si="4"/>
        <v>0</v>
      </c>
      <c r="P48" s="16">
        <f t="shared" si="5"/>
        <v>-6.7115902964958707</v>
      </c>
      <c r="Q48" s="196">
        <f t="shared" si="6"/>
        <v>0.96084905660377407</v>
      </c>
      <c r="R48" s="619"/>
      <c r="S48" s="31">
        <v>0.68194444444444435</v>
      </c>
      <c r="T48" s="31">
        <v>0.71874999999999989</v>
      </c>
      <c r="U48" s="191">
        <f t="shared" si="30"/>
        <v>7.9999999999999716</v>
      </c>
      <c r="V48" s="199">
        <f t="shared" si="29"/>
        <v>52.999999999999972</v>
      </c>
      <c r="W48" s="17"/>
      <c r="X48" s="17"/>
      <c r="Y48" s="20"/>
      <c r="Z48" s="20"/>
      <c r="AA48" s="194"/>
      <c r="AB48" s="195"/>
      <c r="AC48" s="19"/>
      <c r="AD48" s="19"/>
      <c r="AE48" s="15">
        <f t="shared" si="8"/>
        <v>-93.962264150942246</v>
      </c>
      <c r="AF48" s="196">
        <f t="shared" si="9"/>
        <v>0.96084905660377407</v>
      </c>
      <c r="AG48" s="619"/>
    </row>
    <row r="49" spans="1:33">
      <c r="A49" s="634" t="s">
        <v>768</v>
      </c>
      <c r="B49" s="34" t="s">
        <v>758</v>
      </c>
      <c r="C49" s="620"/>
      <c r="D49" s="620"/>
      <c r="E49" s="197"/>
      <c r="F49" s="34"/>
      <c r="G49" s="13"/>
      <c r="H49" s="200"/>
      <c r="I49" s="23">
        <v>17.111111111111111</v>
      </c>
      <c r="J49" s="30">
        <v>2400</v>
      </c>
      <c r="K49" s="13">
        <f t="shared" si="1"/>
        <v>140.25974025974025</v>
      </c>
      <c r="L49" s="23">
        <v>17.111111111111111</v>
      </c>
      <c r="M49" s="14">
        <f>AVERAGE(M40:M48)</f>
        <v>2295.8948757392272</v>
      </c>
      <c r="N49" s="13">
        <f t="shared" si="3"/>
        <v>134.1756745561886</v>
      </c>
      <c r="O49" s="15">
        <f t="shared" si="4"/>
        <v>0</v>
      </c>
      <c r="P49" s="16">
        <f t="shared" si="5"/>
        <v>-6.0840657035516585</v>
      </c>
      <c r="Q49" s="196">
        <f t="shared" si="6"/>
        <v>0.95662286489134463</v>
      </c>
      <c r="R49" s="619"/>
      <c r="S49" s="31"/>
      <c r="T49" s="31"/>
      <c r="U49" s="13"/>
      <c r="V49" s="199"/>
      <c r="W49" s="13"/>
      <c r="X49" s="13"/>
      <c r="Y49" s="24">
        <f>SUM(Y40:Y48)</f>
        <v>0</v>
      </c>
      <c r="Z49" s="24">
        <f>SUM(Z40:Z48)</f>
        <v>0</v>
      </c>
      <c r="AA49" s="609"/>
      <c r="AB49" s="609"/>
      <c r="AC49" s="24">
        <v>9</v>
      </c>
      <c r="AD49" s="24">
        <f>SUM(AD40:AD48)</f>
        <v>0</v>
      </c>
      <c r="AE49" s="15">
        <f t="shared" si="8"/>
        <v>-104.10512426077275</v>
      </c>
      <c r="AF49" s="196">
        <f t="shared" si="9"/>
        <v>0.95662286489134474</v>
      </c>
      <c r="AG49" s="619"/>
    </row>
    <row r="50" spans="1:33" ht="15.75" customHeight="1">
      <c r="A50" s="630" t="s">
        <v>769</v>
      </c>
      <c r="B50" s="33" t="s">
        <v>36</v>
      </c>
      <c r="C50" s="612" t="s">
        <v>37</v>
      </c>
      <c r="D50" s="613"/>
      <c r="E50" s="33">
        <v>21.13</v>
      </c>
      <c r="F50" s="200">
        <v>6587</v>
      </c>
      <c r="G50" s="191">
        <f t="shared" ref="G50:G52" si="31">E50*F50</f>
        <v>139183.31</v>
      </c>
      <c r="H50" s="29" t="s">
        <v>5</v>
      </c>
      <c r="I50" s="198">
        <v>10</v>
      </c>
      <c r="J50" s="30">
        <v>3000</v>
      </c>
      <c r="K50" s="13">
        <f t="shared" si="1"/>
        <v>300</v>
      </c>
      <c r="L50" s="198">
        <v>10</v>
      </c>
      <c r="M50" s="14">
        <f t="shared" ref="M50:M52" si="32">F50/V50*60</f>
        <v>2863.9130434782596</v>
      </c>
      <c r="N50" s="14">
        <f t="shared" si="3"/>
        <v>286.39130434782595</v>
      </c>
      <c r="O50" s="15">
        <f t="shared" si="4"/>
        <v>0</v>
      </c>
      <c r="P50" s="16">
        <f t="shared" si="5"/>
        <v>-13.608695652174049</v>
      </c>
      <c r="Q50" s="196">
        <f t="shared" si="6"/>
        <v>0.95463768115941983</v>
      </c>
      <c r="R50" s="625">
        <f>Q53</f>
        <v>0.95590956872910571</v>
      </c>
      <c r="S50" s="31">
        <v>0.20833333333333334</v>
      </c>
      <c r="T50" s="31">
        <v>0.3041666666666667</v>
      </c>
      <c r="U50" s="22"/>
      <c r="V50" s="199">
        <f t="shared" ref="V50:V52" si="33">(T50-S50)*24*60</f>
        <v>138.00000000000006</v>
      </c>
      <c r="W50" s="17"/>
      <c r="X50" s="17"/>
      <c r="Y50" s="20"/>
      <c r="Z50" s="20"/>
      <c r="AA50" s="614"/>
      <c r="AB50" s="615"/>
      <c r="AC50" s="19">
        <v>3</v>
      </c>
      <c r="AD50" s="19"/>
      <c r="AE50" s="15">
        <f t="shared" si="8"/>
        <v>-136.08695652174038</v>
      </c>
      <c r="AF50" s="196">
        <f t="shared" si="9"/>
        <v>0.95463768115941983</v>
      </c>
      <c r="AG50" s="625">
        <f>AF53</f>
        <v>0.95590956872910571</v>
      </c>
    </row>
    <row r="51" spans="1:33" ht="15.75" customHeight="1">
      <c r="A51" s="631" t="s">
        <v>769</v>
      </c>
      <c r="B51" s="33" t="s">
        <v>36</v>
      </c>
      <c r="C51" s="612" t="s">
        <v>38</v>
      </c>
      <c r="D51" s="613"/>
      <c r="E51" s="33">
        <v>27.17</v>
      </c>
      <c r="F51" s="200">
        <v>7321</v>
      </c>
      <c r="G51" s="191">
        <f t="shared" si="31"/>
        <v>198911.57</v>
      </c>
      <c r="H51" s="29" t="s">
        <v>5</v>
      </c>
      <c r="I51" s="198">
        <v>10</v>
      </c>
      <c r="J51" s="30">
        <v>3000</v>
      </c>
      <c r="K51" s="13">
        <f t="shared" si="1"/>
        <v>300</v>
      </c>
      <c r="L51" s="198">
        <v>10</v>
      </c>
      <c r="M51" s="14">
        <f t="shared" si="32"/>
        <v>2870.9803921568623</v>
      </c>
      <c r="N51" s="14">
        <f t="shared" si="3"/>
        <v>287.09803921568624</v>
      </c>
      <c r="O51" s="15">
        <f t="shared" si="4"/>
        <v>0</v>
      </c>
      <c r="P51" s="16">
        <f t="shared" si="5"/>
        <v>-12.901960784313758</v>
      </c>
      <c r="Q51" s="196">
        <f t="shared" si="6"/>
        <v>0.95699346405228747</v>
      </c>
      <c r="R51" s="626"/>
      <c r="S51" s="31">
        <v>0.30972222222222223</v>
      </c>
      <c r="T51" s="31">
        <v>0.41597222222222224</v>
      </c>
      <c r="U51" s="191">
        <f t="shared" ref="U51:U52" si="34">(S51-T50)*24*60</f>
        <v>7.9999999999999716</v>
      </c>
      <c r="V51" s="199">
        <f t="shared" si="33"/>
        <v>153.00000000000003</v>
      </c>
      <c r="W51" s="17"/>
      <c r="X51" s="17"/>
      <c r="Y51" s="20"/>
      <c r="Z51" s="20"/>
      <c r="AA51" s="614"/>
      <c r="AB51" s="615"/>
      <c r="AC51" s="19"/>
      <c r="AD51" s="19"/>
      <c r="AE51" s="15">
        <f t="shared" si="8"/>
        <v>-129.01960784313769</v>
      </c>
      <c r="AF51" s="196">
        <f t="shared" si="9"/>
        <v>0.95699346405228747</v>
      </c>
      <c r="AG51" s="626"/>
    </row>
    <row r="52" spans="1:33" ht="15.75" customHeight="1">
      <c r="A52" s="631" t="s">
        <v>769</v>
      </c>
      <c r="B52" s="33" t="s">
        <v>36</v>
      </c>
      <c r="C52" s="612" t="s">
        <v>49</v>
      </c>
      <c r="D52" s="613"/>
      <c r="E52" s="33">
        <v>35.869999999999997</v>
      </c>
      <c r="F52" s="200">
        <v>3920</v>
      </c>
      <c r="G52" s="191">
        <f t="shared" si="31"/>
        <v>140610.4</v>
      </c>
      <c r="H52" s="29" t="s">
        <v>5</v>
      </c>
      <c r="I52" s="198">
        <v>10</v>
      </c>
      <c r="J52" s="30">
        <v>3000</v>
      </c>
      <c r="K52" s="13">
        <f t="shared" si="1"/>
        <v>300</v>
      </c>
      <c r="L52" s="198">
        <v>10</v>
      </c>
      <c r="M52" s="14">
        <f t="shared" si="32"/>
        <v>2868.2926829268285</v>
      </c>
      <c r="N52" s="14">
        <f t="shared" si="3"/>
        <v>286.82926829268285</v>
      </c>
      <c r="O52" s="15">
        <f t="shared" si="4"/>
        <v>0</v>
      </c>
      <c r="P52" s="16">
        <f t="shared" si="5"/>
        <v>-13.170731707317145</v>
      </c>
      <c r="Q52" s="196">
        <f t="shared" si="6"/>
        <v>0.9560975609756095</v>
      </c>
      <c r="R52" s="626"/>
      <c r="S52" s="31">
        <v>0.41944444444444445</v>
      </c>
      <c r="T52" s="31">
        <v>0.47638888888888892</v>
      </c>
      <c r="U52" s="191">
        <f t="shared" si="34"/>
        <v>4.9999999999999822</v>
      </c>
      <c r="V52" s="199">
        <f t="shared" si="33"/>
        <v>82.000000000000028</v>
      </c>
      <c r="W52" s="17"/>
      <c r="X52" s="17"/>
      <c r="Y52" s="20"/>
      <c r="Z52" s="20"/>
      <c r="AA52" s="614"/>
      <c r="AB52" s="615"/>
      <c r="AC52" s="19"/>
      <c r="AD52" s="19"/>
      <c r="AE52" s="15">
        <f t="shared" si="8"/>
        <v>-131.70731707317145</v>
      </c>
      <c r="AF52" s="196">
        <f t="shared" si="9"/>
        <v>0.9560975609756095</v>
      </c>
      <c r="AG52" s="626"/>
    </row>
    <row r="53" spans="1:33" ht="15.75" customHeight="1">
      <c r="A53" s="632" t="s">
        <v>769</v>
      </c>
      <c r="B53" s="33" t="s">
        <v>758</v>
      </c>
      <c r="C53" s="607"/>
      <c r="D53" s="608"/>
      <c r="E53" s="189"/>
      <c r="F53" s="200"/>
      <c r="G53" s="191"/>
      <c r="H53" s="200"/>
      <c r="I53" s="23">
        <v>10</v>
      </c>
      <c r="J53" s="30">
        <v>3000</v>
      </c>
      <c r="K53" s="13">
        <f t="shared" si="1"/>
        <v>300</v>
      </c>
      <c r="L53" s="23">
        <v>10</v>
      </c>
      <c r="M53" s="14">
        <f>AVERAGE(M50:M52)</f>
        <v>2867.7287061873171</v>
      </c>
      <c r="N53" s="13">
        <f t="shared" si="3"/>
        <v>286.7728706187317</v>
      </c>
      <c r="O53" s="15">
        <f t="shared" si="4"/>
        <v>0</v>
      </c>
      <c r="P53" s="16">
        <f t="shared" si="5"/>
        <v>-13.227129381268298</v>
      </c>
      <c r="Q53" s="196">
        <f t="shared" si="6"/>
        <v>0.95590956872910571</v>
      </c>
      <c r="R53" s="627"/>
      <c r="S53" s="31"/>
      <c r="T53" s="31"/>
      <c r="U53" s="191"/>
      <c r="V53" s="199"/>
      <c r="W53" s="17"/>
      <c r="X53" s="17"/>
      <c r="Y53" s="24">
        <f>SUM(Y50:Y52)</f>
        <v>0</v>
      </c>
      <c r="Z53" s="24">
        <f>SUM(Z50:Z52)</f>
        <v>0</v>
      </c>
      <c r="AA53" s="628"/>
      <c r="AB53" s="629"/>
      <c r="AC53" s="24">
        <v>3</v>
      </c>
      <c r="AD53" s="24">
        <f>SUM(AD50:AD52)</f>
        <v>0</v>
      </c>
      <c r="AE53" s="15">
        <f t="shared" si="8"/>
        <v>-132.27129381268287</v>
      </c>
      <c r="AF53" s="196">
        <f t="shared" si="9"/>
        <v>0.95590956872910571</v>
      </c>
      <c r="AG53" s="627"/>
    </row>
    <row r="54" spans="1:33" ht="15.75" customHeight="1">
      <c r="A54" s="623" t="s">
        <v>770</v>
      </c>
      <c r="B54" s="33" t="s">
        <v>6</v>
      </c>
      <c r="C54" s="611" t="s">
        <v>41</v>
      </c>
      <c r="D54" s="611"/>
      <c r="E54" s="33">
        <v>51.44</v>
      </c>
      <c r="F54" s="35">
        <v>1783</v>
      </c>
      <c r="G54" s="191">
        <f t="shared" ref="G54:G62" si="35">E54*F54</f>
        <v>91717.51999999999</v>
      </c>
      <c r="H54" s="29" t="s">
        <v>5</v>
      </c>
      <c r="I54" s="198">
        <v>25</v>
      </c>
      <c r="J54" s="30">
        <v>2000</v>
      </c>
      <c r="K54" s="13">
        <f t="shared" si="1"/>
        <v>80</v>
      </c>
      <c r="L54" s="198">
        <v>25</v>
      </c>
      <c r="M54" s="14">
        <f t="shared" ref="M54" si="36">F54/V54*60</f>
        <v>1910.3571428571429</v>
      </c>
      <c r="N54" s="14">
        <f t="shared" si="3"/>
        <v>76.414285714285711</v>
      </c>
      <c r="O54" s="15">
        <f t="shared" si="4"/>
        <v>0</v>
      </c>
      <c r="P54" s="16">
        <f t="shared" si="5"/>
        <v>-3.585714285714289</v>
      </c>
      <c r="Q54" s="196">
        <f t="shared" si="6"/>
        <v>0.95517857142857143</v>
      </c>
      <c r="R54" s="619">
        <f>Q63</f>
        <v>0.96020287900424095</v>
      </c>
      <c r="S54" s="31">
        <v>0.20833333333333334</v>
      </c>
      <c r="T54" s="31">
        <v>0.24722222222222223</v>
      </c>
      <c r="U54" s="22"/>
      <c r="V54" s="199">
        <f t="shared" ref="V54:V62" si="37">(T54-S54)*24*60</f>
        <v>56</v>
      </c>
      <c r="W54" s="17"/>
      <c r="X54" s="17"/>
      <c r="Y54" s="22"/>
      <c r="Z54" s="22"/>
      <c r="AA54" s="610"/>
      <c r="AB54" s="610"/>
      <c r="AC54" s="19">
        <v>9</v>
      </c>
      <c r="AD54" s="19"/>
      <c r="AE54" s="15">
        <f t="shared" si="8"/>
        <v>-89.64285714285711</v>
      </c>
      <c r="AF54" s="196">
        <f t="shared" si="9"/>
        <v>0.95517857142857143</v>
      </c>
      <c r="AG54" s="619">
        <f>AF63</f>
        <v>0.96020287900424095</v>
      </c>
    </row>
    <row r="55" spans="1:33" ht="15.75" customHeight="1">
      <c r="A55" s="623" t="s">
        <v>770</v>
      </c>
      <c r="B55" s="33" t="s">
        <v>6</v>
      </c>
      <c r="C55" s="611" t="s">
        <v>77</v>
      </c>
      <c r="D55" s="611"/>
      <c r="E55" s="33">
        <v>56.43</v>
      </c>
      <c r="F55" s="35">
        <v>2649</v>
      </c>
      <c r="G55" s="191">
        <f t="shared" si="35"/>
        <v>149483.07</v>
      </c>
      <c r="H55" s="29" t="s">
        <v>5</v>
      </c>
      <c r="I55" s="198">
        <v>23</v>
      </c>
      <c r="J55" s="30">
        <v>2000</v>
      </c>
      <c r="K55" s="13">
        <f t="shared" si="1"/>
        <v>86.956521739130437</v>
      </c>
      <c r="L55" s="198">
        <v>23</v>
      </c>
      <c r="M55" s="14">
        <f>F55/V55*60</f>
        <v>1914.9397590361441</v>
      </c>
      <c r="N55" s="14">
        <f t="shared" si="3"/>
        <v>83.258250392875837</v>
      </c>
      <c r="O55" s="15">
        <f t="shared" si="4"/>
        <v>0</v>
      </c>
      <c r="P55" s="16">
        <f t="shared" si="5"/>
        <v>-3.6982713462546002</v>
      </c>
      <c r="Q55" s="196">
        <f t="shared" si="6"/>
        <v>0.95746987951807205</v>
      </c>
      <c r="R55" s="619"/>
      <c r="S55" s="31">
        <v>0.25069444444444444</v>
      </c>
      <c r="T55" s="31">
        <v>0.30833333333333335</v>
      </c>
      <c r="U55" s="191">
        <f t="shared" ref="U55:U62" si="38">IF(S55=TIME(17,0,0),"",(S55-T54)*24*60)</f>
        <v>4.9999999999999822</v>
      </c>
      <c r="V55" s="199">
        <f t="shared" si="37"/>
        <v>83.000000000000028</v>
      </c>
      <c r="W55" s="17"/>
      <c r="X55" s="17"/>
      <c r="Y55" s="17"/>
      <c r="Z55" s="17"/>
      <c r="AA55" s="610"/>
      <c r="AB55" s="610"/>
      <c r="AC55" s="19"/>
      <c r="AD55" s="19"/>
      <c r="AE55" s="15">
        <f t="shared" si="8"/>
        <v>-85.060240963855904</v>
      </c>
      <c r="AF55" s="196">
        <f t="shared" si="9"/>
        <v>0.95746987951807205</v>
      </c>
      <c r="AG55" s="619"/>
    </row>
    <row r="56" spans="1:33" ht="15.75" customHeight="1">
      <c r="A56" s="623" t="s">
        <v>770</v>
      </c>
      <c r="B56" s="33" t="s">
        <v>6</v>
      </c>
      <c r="C56" s="612" t="s">
        <v>73</v>
      </c>
      <c r="D56" s="613"/>
      <c r="E56" s="33">
        <v>56.43</v>
      </c>
      <c r="F56" s="35">
        <v>1842</v>
      </c>
      <c r="G56" s="191">
        <f t="shared" si="35"/>
        <v>103944.06</v>
      </c>
      <c r="H56" s="29" t="s">
        <v>5</v>
      </c>
      <c r="I56" s="198">
        <v>25</v>
      </c>
      <c r="J56" s="30">
        <v>2000</v>
      </c>
      <c r="K56" s="13">
        <f t="shared" si="1"/>
        <v>80</v>
      </c>
      <c r="L56" s="198">
        <v>25</v>
      </c>
      <c r="M56" s="14">
        <f t="shared" ref="M56:M62" si="39">F56/V56*60</f>
        <v>1905.5172413793091</v>
      </c>
      <c r="N56" s="14">
        <f t="shared" si="3"/>
        <v>76.220689655172364</v>
      </c>
      <c r="O56" s="15">
        <f t="shared" si="4"/>
        <v>0</v>
      </c>
      <c r="P56" s="16">
        <f t="shared" si="5"/>
        <v>-3.7793103448276355</v>
      </c>
      <c r="Q56" s="196">
        <f t="shared" si="6"/>
        <v>0.95275862068965456</v>
      </c>
      <c r="R56" s="619"/>
      <c r="S56" s="31">
        <v>0.31388888888888888</v>
      </c>
      <c r="T56" s="31">
        <v>0.35416666666666669</v>
      </c>
      <c r="U56" s="191">
        <f t="shared" si="38"/>
        <v>7.9999999999999716</v>
      </c>
      <c r="V56" s="199">
        <f t="shared" si="37"/>
        <v>58.000000000000036</v>
      </c>
      <c r="W56" s="17"/>
      <c r="X56" s="17"/>
      <c r="Y56" s="20"/>
      <c r="Z56" s="20"/>
      <c r="AA56" s="610"/>
      <c r="AB56" s="610"/>
      <c r="AC56" s="19"/>
      <c r="AD56" s="19"/>
      <c r="AE56" s="15">
        <f t="shared" si="8"/>
        <v>-94.482758620690902</v>
      </c>
      <c r="AF56" s="196">
        <f t="shared" si="9"/>
        <v>0.95275862068965456</v>
      </c>
      <c r="AG56" s="619"/>
    </row>
    <row r="57" spans="1:33" ht="15.75" customHeight="1">
      <c r="A57" s="623" t="s">
        <v>770</v>
      </c>
      <c r="B57" s="33" t="s">
        <v>10</v>
      </c>
      <c r="C57" s="192" t="s">
        <v>42</v>
      </c>
      <c r="D57" s="193"/>
      <c r="E57" s="33">
        <v>46</v>
      </c>
      <c r="F57" s="35">
        <v>1588</v>
      </c>
      <c r="G57" s="191">
        <f t="shared" si="35"/>
        <v>73048</v>
      </c>
      <c r="H57" s="29" t="s">
        <v>5</v>
      </c>
      <c r="I57" s="198">
        <v>16</v>
      </c>
      <c r="J57" s="30">
        <v>2000</v>
      </c>
      <c r="K57" s="13">
        <f t="shared" si="1"/>
        <v>125</v>
      </c>
      <c r="L57" s="198">
        <v>16</v>
      </c>
      <c r="M57" s="14">
        <f t="shared" si="39"/>
        <v>1905.6000000000006</v>
      </c>
      <c r="N57" s="14">
        <f t="shared" si="3"/>
        <v>119.10000000000004</v>
      </c>
      <c r="O57" s="15">
        <f t="shared" si="4"/>
        <v>0</v>
      </c>
      <c r="P57" s="16">
        <f t="shared" si="5"/>
        <v>-5.8999999999999631</v>
      </c>
      <c r="Q57" s="196">
        <f t="shared" si="6"/>
        <v>0.95280000000000031</v>
      </c>
      <c r="R57" s="619"/>
      <c r="S57" s="31">
        <v>0.35902777777777778</v>
      </c>
      <c r="T57" s="31">
        <v>0.39374999999999999</v>
      </c>
      <c r="U57" s="191">
        <f t="shared" si="38"/>
        <v>6.9999999999999751</v>
      </c>
      <c r="V57" s="199">
        <f t="shared" si="37"/>
        <v>49.999999999999986</v>
      </c>
      <c r="W57" s="17"/>
      <c r="X57" s="17"/>
      <c r="Y57" s="20"/>
      <c r="Z57" s="20"/>
      <c r="AA57" s="610"/>
      <c r="AB57" s="610"/>
      <c r="AC57" s="19"/>
      <c r="AD57" s="19"/>
      <c r="AE57" s="15">
        <f t="shared" si="8"/>
        <v>-94.399999999999409</v>
      </c>
      <c r="AF57" s="196">
        <f t="shared" si="9"/>
        <v>0.95280000000000031</v>
      </c>
      <c r="AG57" s="619"/>
    </row>
    <row r="58" spans="1:33" ht="15.75" customHeight="1">
      <c r="A58" s="623" t="s">
        <v>770</v>
      </c>
      <c r="B58" s="33" t="s">
        <v>10</v>
      </c>
      <c r="C58" s="192" t="s">
        <v>43</v>
      </c>
      <c r="D58" s="193"/>
      <c r="E58" s="33">
        <v>46</v>
      </c>
      <c r="F58" s="35">
        <v>1649</v>
      </c>
      <c r="G58" s="191">
        <f t="shared" si="35"/>
        <v>75854</v>
      </c>
      <c r="H58" s="29" t="s">
        <v>5</v>
      </c>
      <c r="I58" s="198">
        <v>17</v>
      </c>
      <c r="J58" s="30">
        <v>2000</v>
      </c>
      <c r="K58" s="13">
        <f t="shared" si="1"/>
        <v>117.64705882352941</v>
      </c>
      <c r="L58" s="198">
        <v>17</v>
      </c>
      <c r="M58" s="14">
        <f t="shared" si="39"/>
        <v>1940.0000000000009</v>
      </c>
      <c r="N58" s="14">
        <f t="shared" si="3"/>
        <v>114.11764705882358</v>
      </c>
      <c r="O58" s="15">
        <f t="shared" si="4"/>
        <v>0</v>
      </c>
      <c r="P58" s="16">
        <f t="shared" si="5"/>
        <v>-3.5294117647058272</v>
      </c>
      <c r="Q58" s="196">
        <f t="shared" si="6"/>
        <v>0.97000000000000042</v>
      </c>
      <c r="R58" s="619"/>
      <c r="S58" s="31">
        <v>0.39791666666666664</v>
      </c>
      <c r="T58" s="31">
        <v>0.43333333333333329</v>
      </c>
      <c r="U58" s="191">
        <f t="shared" si="38"/>
        <v>5.9999999999999787</v>
      </c>
      <c r="V58" s="199">
        <f t="shared" si="37"/>
        <v>50.999999999999979</v>
      </c>
      <c r="W58" s="17"/>
      <c r="X58" s="17"/>
      <c r="Y58" s="20"/>
      <c r="Z58" s="20"/>
      <c r="AA58" s="610"/>
      <c r="AB58" s="610"/>
      <c r="AC58" s="19"/>
      <c r="AD58" s="19"/>
      <c r="AE58" s="15">
        <f t="shared" si="8"/>
        <v>-59.999999999999091</v>
      </c>
      <c r="AF58" s="196">
        <f t="shared" si="9"/>
        <v>0.97000000000000042</v>
      </c>
      <c r="AG58" s="619"/>
    </row>
    <row r="59" spans="1:33" ht="15.75" customHeight="1">
      <c r="A59" s="623" t="s">
        <v>770</v>
      </c>
      <c r="B59" s="33" t="s">
        <v>6</v>
      </c>
      <c r="C59" s="612" t="s">
        <v>44</v>
      </c>
      <c r="D59" s="613"/>
      <c r="E59" s="33">
        <v>55.56</v>
      </c>
      <c r="F59" s="35">
        <v>1000</v>
      </c>
      <c r="G59" s="191">
        <f t="shared" si="35"/>
        <v>55560</v>
      </c>
      <c r="H59" s="29">
        <v>2</v>
      </c>
      <c r="I59" s="198">
        <v>17</v>
      </c>
      <c r="J59" s="30">
        <v>2000</v>
      </c>
      <c r="K59" s="13">
        <f t="shared" si="1"/>
        <v>117.64705882352941</v>
      </c>
      <c r="L59" s="198">
        <v>17</v>
      </c>
      <c r="M59" s="14">
        <f t="shared" si="39"/>
        <v>1935.483870967739</v>
      </c>
      <c r="N59" s="14">
        <f t="shared" si="3"/>
        <v>113.85199240986699</v>
      </c>
      <c r="O59" s="15">
        <f t="shared" si="4"/>
        <v>0</v>
      </c>
      <c r="P59" s="16">
        <f t="shared" si="5"/>
        <v>-3.7950664136624113</v>
      </c>
      <c r="Q59" s="196">
        <f t="shared" si="6"/>
        <v>0.96774193548386955</v>
      </c>
      <c r="R59" s="619"/>
      <c r="S59" s="31">
        <v>0.70833333333333337</v>
      </c>
      <c r="T59" s="31">
        <v>0.72986111111111118</v>
      </c>
      <c r="U59" s="191" t="str">
        <f t="shared" si="38"/>
        <v/>
      </c>
      <c r="V59" s="199">
        <f t="shared" si="37"/>
        <v>31.00000000000005</v>
      </c>
      <c r="W59" s="17"/>
      <c r="X59" s="17"/>
      <c r="Y59" s="20"/>
      <c r="Z59" s="20"/>
      <c r="AA59" s="614"/>
      <c r="AB59" s="615"/>
      <c r="AC59" s="19"/>
      <c r="AD59" s="19"/>
      <c r="AE59" s="15">
        <f t="shared" si="8"/>
        <v>-64.516129032261006</v>
      </c>
      <c r="AF59" s="196">
        <f t="shared" si="9"/>
        <v>0.96774193548386944</v>
      </c>
      <c r="AG59" s="619"/>
    </row>
    <row r="60" spans="1:33" ht="15.75" customHeight="1">
      <c r="A60" s="623" t="s">
        <v>770</v>
      </c>
      <c r="B60" s="33" t="s">
        <v>6</v>
      </c>
      <c r="C60" s="612" t="s">
        <v>72</v>
      </c>
      <c r="D60" s="613"/>
      <c r="E60" s="33">
        <v>58.17</v>
      </c>
      <c r="F60" s="35">
        <v>2330</v>
      </c>
      <c r="G60" s="191">
        <f t="shared" si="35"/>
        <v>135536.1</v>
      </c>
      <c r="H60" s="29" t="s">
        <v>5</v>
      </c>
      <c r="I60" s="198">
        <v>13</v>
      </c>
      <c r="J60" s="30">
        <v>2000</v>
      </c>
      <c r="K60" s="13">
        <f t="shared" si="1"/>
        <v>153.84615384615384</v>
      </c>
      <c r="L60" s="198">
        <v>13</v>
      </c>
      <c r="M60" s="14">
        <f t="shared" si="39"/>
        <v>1915.0684931506835</v>
      </c>
      <c r="N60" s="14">
        <f t="shared" si="3"/>
        <v>147.31296101159103</v>
      </c>
      <c r="O60" s="15">
        <f t="shared" si="4"/>
        <v>0</v>
      </c>
      <c r="P60" s="16">
        <f t="shared" si="5"/>
        <v>-6.5331928345628114</v>
      </c>
      <c r="Q60" s="196">
        <f t="shared" si="6"/>
        <v>0.9575342465753417</v>
      </c>
      <c r="R60" s="619"/>
      <c r="S60" s="31">
        <v>0.73333333333333339</v>
      </c>
      <c r="T60" s="31">
        <v>0.78402777777777788</v>
      </c>
      <c r="U60" s="191">
        <f t="shared" si="38"/>
        <v>4.9999999999999822</v>
      </c>
      <c r="V60" s="199">
        <f t="shared" si="37"/>
        <v>73.000000000000057</v>
      </c>
      <c r="W60" s="17"/>
      <c r="X60" s="17"/>
      <c r="Y60" s="20"/>
      <c r="Z60" s="20"/>
      <c r="AA60" s="614"/>
      <c r="AB60" s="615"/>
      <c r="AC60" s="19"/>
      <c r="AD60" s="19"/>
      <c r="AE60" s="15">
        <f t="shared" si="8"/>
        <v>-84.93150684931652</v>
      </c>
      <c r="AF60" s="196">
        <f t="shared" si="9"/>
        <v>0.9575342465753417</v>
      </c>
      <c r="AG60" s="619"/>
    </row>
    <row r="61" spans="1:33" ht="15.75" customHeight="1">
      <c r="A61" s="623" t="s">
        <v>770</v>
      </c>
      <c r="B61" s="33" t="s">
        <v>6</v>
      </c>
      <c r="C61" s="612" t="s">
        <v>82</v>
      </c>
      <c r="D61" s="613"/>
      <c r="E61" s="33">
        <v>54.09</v>
      </c>
      <c r="F61" s="35">
        <v>2495</v>
      </c>
      <c r="G61" s="191">
        <f t="shared" si="35"/>
        <v>134954.55000000002</v>
      </c>
      <c r="H61" s="29" t="s">
        <v>5</v>
      </c>
      <c r="I61" s="198">
        <v>14</v>
      </c>
      <c r="J61" s="30">
        <v>2000</v>
      </c>
      <c r="K61" s="13">
        <f t="shared" si="1"/>
        <v>142.85714285714286</v>
      </c>
      <c r="L61" s="198">
        <v>14</v>
      </c>
      <c r="M61" s="14">
        <f t="shared" si="39"/>
        <v>1919.2307692307684</v>
      </c>
      <c r="N61" s="14">
        <f t="shared" si="3"/>
        <v>137.08791208791203</v>
      </c>
      <c r="O61" s="15">
        <f t="shared" si="4"/>
        <v>0</v>
      </c>
      <c r="P61" s="16">
        <f t="shared" si="5"/>
        <v>-5.7692307692308304</v>
      </c>
      <c r="Q61" s="196">
        <f t="shared" si="6"/>
        <v>0.9596153846153842</v>
      </c>
      <c r="R61" s="619"/>
      <c r="S61" s="31">
        <v>0.78750000000000009</v>
      </c>
      <c r="T61" s="31">
        <v>0.84166666666666679</v>
      </c>
      <c r="U61" s="191">
        <f t="shared" si="38"/>
        <v>4.9999999999999822</v>
      </c>
      <c r="V61" s="199">
        <f t="shared" si="37"/>
        <v>78.000000000000043</v>
      </c>
      <c r="W61" s="17">
        <f>T61</f>
        <v>0.84166666666666679</v>
      </c>
      <c r="X61" s="17">
        <f>S62</f>
        <v>0.88125000000000009</v>
      </c>
      <c r="Y61" s="20"/>
      <c r="Z61" s="20"/>
      <c r="AA61" s="614"/>
      <c r="AB61" s="615"/>
      <c r="AC61" s="19"/>
      <c r="AD61" s="19"/>
      <c r="AE61" s="15">
        <f t="shared" si="8"/>
        <v>-80.769230769231626</v>
      </c>
      <c r="AF61" s="196">
        <f t="shared" si="9"/>
        <v>0.9596153846153842</v>
      </c>
      <c r="AG61" s="619"/>
    </row>
    <row r="62" spans="1:33">
      <c r="A62" s="623" t="s">
        <v>770</v>
      </c>
      <c r="B62" s="33" t="s">
        <v>6</v>
      </c>
      <c r="C62" s="192" t="s">
        <v>44</v>
      </c>
      <c r="D62" s="193"/>
      <c r="E62" s="33">
        <v>55.56</v>
      </c>
      <c r="F62" s="35">
        <v>1776</v>
      </c>
      <c r="G62" s="191">
        <f t="shared" si="35"/>
        <v>98674.559999999998</v>
      </c>
      <c r="H62" s="29" t="s">
        <v>5</v>
      </c>
      <c r="I62" s="198">
        <v>17</v>
      </c>
      <c r="J62" s="30">
        <v>2000</v>
      </c>
      <c r="K62" s="13">
        <f t="shared" si="1"/>
        <v>117.64705882352941</v>
      </c>
      <c r="L62" s="198">
        <v>17</v>
      </c>
      <c r="M62" s="14">
        <f t="shared" si="39"/>
        <v>1937.4545454545466</v>
      </c>
      <c r="N62" s="14">
        <f t="shared" si="3"/>
        <v>113.96791443850275</v>
      </c>
      <c r="O62" s="15">
        <f t="shared" si="4"/>
        <v>0</v>
      </c>
      <c r="P62" s="16">
        <f t="shared" si="5"/>
        <v>-3.6791443850266603</v>
      </c>
      <c r="Q62" s="196">
        <f t="shared" si="6"/>
        <v>0.96872727272727344</v>
      </c>
      <c r="R62" s="619"/>
      <c r="S62" s="31">
        <v>0.88125000000000009</v>
      </c>
      <c r="T62" s="31">
        <v>0.91944444444444451</v>
      </c>
      <c r="U62" s="191">
        <f t="shared" si="38"/>
        <v>56.999999999999957</v>
      </c>
      <c r="V62" s="199">
        <f t="shared" si="37"/>
        <v>54.999999999999964</v>
      </c>
      <c r="W62" s="17"/>
      <c r="X62" s="17"/>
      <c r="Y62" s="20"/>
      <c r="Z62" s="20"/>
      <c r="AA62" s="194"/>
      <c r="AB62" s="195"/>
      <c r="AC62" s="19"/>
      <c r="AD62" s="19"/>
      <c r="AE62" s="15">
        <f t="shared" si="8"/>
        <v>-62.545454545453367</v>
      </c>
      <c r="AF62" s="196">
        <f t="shared" si="9"/>
        <v>0.96872727272727333</v>
      </c>
      <c r="AG62" s="619"/>
    </row>
    <row r="63" spans="1:33">
      <c r="A63" s="624" t="s">
        <v>770</v>
      </c>
      <c r="B63" s="33" t="s">
        <v>758</v>
      </c>
      <c r="C63" s="620"/>
      <c r="D63" s="620"/>
      <c r="E63" s="197"/>
      <c r="F63" s="34"/>
      <c r="G63" s="13"/>
      <c r="H63" s="200"/>
      <c r="I63" s="23">
        <v>18.555555555555557</v>
      </c>
      <c r="J63" s="30">
        <v>2000</v>
      </c>
      <c r="K63" s="13">
        <f t="shared" si="1"/>
        <v>107.78443113772454</v>
      </c>
      <c r="L63" s="23">
        <v>18.555555555555557</v>
      </c>
      <c r="M63" s="14">
        <f>AVERAGE(M54:M62)</f>
        <v>1920.4057580084818</v>
      </c>
      <c r="N63" s="13">
        <f t="shared" si="3"/>
        <v>103.49492109027746</v>
      </c>
      <c r="O63" s="15">
        <f t="shared" si="4"/>
        <v>0</v>
      </c>
      <c r="P63" s="16">
        <f t="shared" si="5"/>
        <v>-4.2895100474470809</v>
      </c>
      <c r="Q63" s="196">
        <f t="shared" si="6"/>
        <v>0.96020287900424095</v>
      </c>
      <c r="R63" s="619"/>
      <c r="S63" s="31"/>
      <c r="T63" s="31"/>
      <c r="U63" s="191"/>
      <c r="V63" s="199"/>
      <c r="W63" s="13"/>
      <c r="X63" s="13"/>
      <c r="Y63" s="24">
        <f>SUM(Y54:Y62)</f>
        <v>0</v>
      </c>
      <c r="Z63" s="24">
        <f>SUM(Z54:Z62)</f>
        <v>0</v>
      </c>
      <c r="AA63" s="609"/>
      <c r="AB63" s="609"/>
      <c r="AC63" s="24">
        <v>9</v>
      </c>
      <c r="AD63" s="24">
        <f>SUM(AD54:AD62)</f>
        <v>0</v>
      </c>
      <c r="AE63" s="15">
        <f>M63-J63</f>
        <v>-79.594241991518174</v>
      </c>
      <c r="AF63" s="196">
        <f t="shared" si="9"/>
        <v>0.96020287900424095</v>
      </c>
      <c r="AG63" s="619"/>
    </row>
    <row r="64" spans="1:33" ht="15.75" customHeight="1">
      <c r="A64" s="621" t="s">
        <v>771</v>
      </c>
      <c r="B64" s="200" t="s">
        <v>36</v>
      </c>
      <c r="C64" s="611" t="s">
        <v>46</v>
      </c>
      <c r="D64" s="611"/>
      <c r="E64" s="33">
        <v>35.119999999999997</v>
      </c>
      <c r="F64" s="35">
        <v>6178</v>
      </c>
      <c r="G64" s="191">
        <f t="shared" ref="G64:G68" si="40">E64*F64</f>
        <v>216971.36</v>
      </c>
      <c r="H64" s="29" t="s">
        <v>5</v>
      </c>
      <c r="I64" s="198">
        <v>10</v>
      </c>
      <c r="J64" s="30">
        <v>3000</v>
      </c>
      <c r="K64" s="13">
        <f t="shared" si="1"/>
        <v>300</v>
      </c>
      <c r="L64" s="198">
        <v>10</v>
      </c>
      <c r="M64" s="14">
        <f t="shared" ref="M64:M68" si="41">F64/V64*60</f>
        <v>2873.4883720930238</v>
      </c>
      <c r="N64" s="13">
        <f t="shared" si="3"/>
        <v>287.34883720930236</v>
      </c>
      <c r="O64" s="15">
        <f t="shared" si="4"/>
        <v>0</v>
      </c>
      <c r="P64" s="16">
        <f t="shared" si="5"/>
        <v>-12.65116279069764</v>
      </c>
      <c r="Q64" s="196">
        <f t="shared" si="6"/>
        <v>0.95782945736434122</v>
      </c>
      <c r="R64" s="619">
        <f>Q69</f>
        <v>0.9637126897726076</v>
      </c>
      <c r="S64" s="31">
        <v>0.20833333333333334</v>
      </c>
      <c r="T64" s="31">
        <v>0.29791666666666666</v>
      </c>
      <c r="U64" s="191"/>
      <c r="V64" s="199">
        <f t="shared" ref="V64:V68" si="42">(T64-S64)*24*60</f>
        <v>128.99999999999997</v>
      </c>
      <c r="W64" s="17"/>
      <c r="X64" s="17"/>
      <c r="Y64" s="22"/>
      <c r="Z64" s="22"/>
      <c r="AA64" s="610"/>
      <c r="AB64" s="610"/>
      <c r="AC64" s="19">
        <v>5</v>
      </c>
      <c r="AD64" s="19"/>
      <c r="AE64" s="15">
        <f t="shared" ref="AE64:AE77" si="43">M64-J64</f>
        <v>-126.51162790697617</v>
      </c>
      <c r="AF64" s="196">
        <f t="shared" si="9"/>
        <v>0.95782945736434133</v>
      </c>
      <c r="AG64" s="619">
        <f>AF69</f>
        <v>0.96371268977260771</v>
      </c>
    </row>
    <row r="65" spans="1:33" ht="15.75" customHeight="1">
      <c r="A65" s="621" t="s">
        <v>771</v>
      </c>
      <c r="B65" s="200" t="s">
        <v>36</v>
      </c>
      <c r="C65" s="611" t="s">
        <v>47</v>
      </c>
      <c r="D65" s="611"/>
      <c r="E65" s="33">
        <v>26.78</v>
      </c>
      <c r="F65" s="35">
        <v>3150</v>
      </c>
      <c r="G65" s="191">
        <f t="shared" si="40"/>
        <v>84357</v>
      </c>
      <c r="H65" s="29" t="s">
        <v>5</v>
      </c>
      <c r="I65" s="198">
        <v>10</v>
      </c>
      <c r="J65" s="30">
        <v>3000</v>
      </c>
      <c r="K65" s="13">
        <f t="shared" si="1"/>
        <v>300</v>
      </c>
      <c r="L65" s="198">
        <v>10</v>
      </c>
      <c r="M65" s="14">
        <f t="shared" si="41"/>
        <v>2863.6363636363635</v>
      </c>
      <c r="N65" s="13">
        <f t="shared" si="3"/>
        <v>286.36363636363637</v>
      </c>
      <c r="O65" s="15">
        <f t="shared" si="4"/>
        <v>0</v>
      </c>
      <c r="P65" s="16">
        <f t="shared" si="5"/>
        <v>-13.636363636363626</v>
      </c>
      <c r="Q65" s="196">
        <f t="shared" si="6"/>
        <v>0.95454545454545459</v>
      </c>
      <c r="R65" s="619"/>
      <c r="S65" s="31">
        <v>0.30208333333333331</v>
      </c>
      <c r="T65" s="31">
        <v>0.34791666666666665</v>
      </c>
      <c r="U65" s="191">
        <f t="shared" ref="U65:U68" si="44">(S65-T64)*24*60</f>
        <v>5.9999999999999787</v>
      </c>
      <c r="V65" s="199">
        <f t="shared" si="42"/>
        <v>66</v>
      </c>
      <c r="W65" s="191"/>
      <c r="X65" s="191"/>
      <c r="Y65" s="191"/>
      <c r="Z65" s="191"/>
      <c r="AA65" s="610"/>
      <c r="AB65" s="610"/>
      <c r="AC65" s="19"/>
      <c r="AD65" s="19"/>
      <c r="AE65" s="15">
        <f t="shared" si="43"/>
        <v>-136.36363636363649</v>
      </c>
      <c r="AF65" s="196">
        <f t="shared" si="9"/>
        <v>0.95454545454545447</v>
      </c>
      <c r="AG65" s="619"/>
    </row>
    <row r="66" spans="1:33" ht="15.75" customHeight="1">
      <c r="A66" s="621" t="s">
        <v>771</v>
      </c>
      <c r="B66" s="200" t="s">
        <v>36</v>
      </c>
      <c r="C66" s="611" t="s">
        <v>48</v>
      </c>
      <c r="D66" s="611"/>
      <c r="E66" s="33">
        <v>36.14</v>
      </c>
      <c r="F66" s="35">
        <v>1281</v>
      </c>
      <c r="G66" s="191">
        <f t="shared" si="40"/>
        <v>46295.340000000004</v>
      </c>
      <c r="H66" s="29" t="s">
        <v>5</v>
      </c>
      <c r="I66" s="198">
        <v>11</v>
      </c>
      <c r="J66" s="30">
        <v>3000</v>
      </c>
      <c r="K66" s="13">
        <f t="shared" si="1"/>
        <v>272.72727272727275</v>
      </c>
      <c r="L66" s="198">
        <v>11</v>
      </c>
      <c r="M66" s="14">
        <f t="shared" si="41"/>
        <v>2956.1538461538476</v>
      </c>
      <c r="N66" s="13">
        <f t="shared" si="3"/>
        <v>268.74125874125889</v>
      </c>
      <c r="O66" s="15">
        <f t="shared" si="4"/>
        <v>0</v>
      </c>
      <c r="P66" s="16">
        <f t="shared" si="5"/>
        <v>-3.9860139860138588</v>
      </c>
      <c r="Q66" s="196">
        <f t="shared" si="6"/>
        <v>0.98538461538461586</v>
      </c>
      <c r="R66" s="619"/>
      <c r="S66" s="31">
        <v>0.3520833333333333</v>
      </c>
      <c r="T66" s="31">
        <v>0.37013888888888885</v>
      </c>
      <c r="U66" s="191">
        <f t="shared" si="44"/>
        <v>5.9999999999999787</v>
      </c>
      <c r="V66" s="199">
        <f t="shared" si="42"/>
        <v>25.999999999999986</v>
      </c>
      <c r="W66" s="191"/>
      <c r="X66" s="191"/>
      <c r="Y66" s="191"/>
      <c r="Z66" s="191"/>
      <c r="AA66" s="610"/>
      <c r="AB66" s="610"/>
      <c r="AC66" s="19"/>
      <c r="AD66" s="19"/>
      <c r="AE66" s="15">
        <f t="shared" si="43"/>
        <v>-43.846153846152447</v>
      </c>
      <c r="AF66" s="196">
        <f t="shared" si="9"/>
        <v>0.98538461538461586</v>
      </c>
      <c r="AG66" s="619"/>
    </row>
    <row r="67" spans="1:33" ht="15.75" customHeight="1">
      <c r="A67" s="621" t="s">
        <v>771</v>
      </c>
      <c r="B67" s="200" t="s">
        <v>36</v>
      </c>
      <c r="C67" s="611" t="s">
        <v>39</v>
      </c>
      <c r="D67" s="611"/>
      <c r="E67" s="33">
        <v>35.869999999999997</v>
      </c>
      <c r="F67" s="35">
        <v>1743</v>
      </c>
      <c r="G67" s="191">
        <f t="shared" si="40"/>
        <v>62521.409999999996</v>
      </c>
      <c r="H67" s="29" t="s">
        <v>5</v>
      </c>
      <c r="I67" s="198">
        <v>9</v>
      </c>
      <c r="J67" s="30">
        <v>3000</v>
      </c>
      <c r="K67" s="13">
        <f t="shared" si="1"/>
        <v>333.33333333333331</v>
      </c>
      <c r="L67" s="198">
        <v>9</v>
      </c>
      <c r="M67" s="14">
        <f t="shared" si="41"/>
        <v>2904.9999999999977</v>
      </c>
      <c r="N67" s="13">
        <f t="shared" si="3"/>
        <v>322.77777777777754</v>
      </c>
      <c r="O67" s="15">
        <f t="shared" si="4"/>
        <v>0</v>
      </c>
      <c r="P67" s="16">
        <f t="shared" si="5"/>
        <v>-10.55555555555577</v>
      </c>
      <c r="Q67" s="196">
        <f t="shared" si="6"/>
        <v>0.96833333333333271</v>
      </c>
      <c r="R67" s="619"/>
      <c r="S67" s="31">
        <v>0.37361111111111106</v>
      </c>
      <c r="T67" s="31">
        <v>0.39861111111111108</v>
      </c>
      <c r="U67" s="191">
        <f t="shared" si="44"/>
        <v>4.9999999999999822</v>
      </c>
      <c r="V67" s="199">
        <f t="shared" si="42"/>
        <v>36.000000000000028</v>
      </c>
      <c r="W67" s="191"/>
      <c r="X67" s="191"/>
      <c r="Y67" s="191"/>
      <c r="Z67" s="191"/>
      <c r="AA67" s="610"/>
      <c r="AB67" s="610"/>
      <c r="AC67" s="19"/>
      <c r="AD67" s="19"/>
      <c r="AE67" s="15">
        <f t="shared" si="43"/>
        <v>-95.000000000002274</v>
      </c>
      <c r="AF67" s="196">
        <f t="shared" si="9"/>
        <v>0.9683333333333326</v>
      </c>
      <c r="AG67" s="619"/>
    </row>
    <row r="68" spans="1:33">
      <c r="A68" s="622" t="s">
        <v>771</v>
      </c>
      <c r="B68" s="200" t="s">
        <v>36</v>
      </c>
      <c r="C68" s="611" t="s">
        <v>74</v>
      </c>
      <c r="D68" s="611"/>
      <c r="E68" s="33">
        <v>33.770000000000003</v>
      </c>
      <c r="F68" s="35">
        <v>4048</v>
      </c>
      <c r="G68" s="191">
        <f t="shared" si="40"/>
        <v>136700.96000000002</v>
      </c>
      <c r="H68" s="29" t="s">
        <v>5</v>
      </c>
      <c r="I68" s="198">
        <v>12</v>
      </c>
      <c r="J68" s="30">
        <v>3000</v>
      </c>
      <c r="K68" s="13">
        <f t="shared" si="1"/>
        <v>250</v>
      </c>
      <c r="L68" s="198">
        <v>12</v>
      </c>
      <c r="M68" s="14">
        <f t="shared" si="41"/>
        <v>2857.411764705882</v>
      </c>
      <c r="N68" s="13">
        <f t="shared" si="3"/>
        <v>238.11764705882351</v>
      </c>
      <c r="O68" s="15">
        <f t="shared" si="4"/>
        <v>0</v>
      </c>
      <c r="P68" s="16">
        <f t="shared" si="5"/>
        <v>-11.882352941176492</v>
      </c>
      <c r="Q68" s="196">
        <f t="shared" si="6"/>
        <v>0.95247058823529407</v>
      </c>
      <c r="R68" s="619"/>
      <c r="S68" s="31">
        <v>0.40416666666666662</v>
      </c>
      <c r="T68" s="31">
        <v>0.46319444444444441</v>
      </c>
      <c r="U68" s="191">
        <f t="shared" si="44"/>
        <v>7.9999999999999716</v>
      </c>
      <c r="V68" s="199">
        <f t="shared" si="42"/>
        <v>85.000000000000014</v>
      </c>
      <c r="W68" s="17"/>
      <c r="X68" s="17"/>
      <c r="Y68" s="17"/>
      <c r="Z68" s="17"/>
      <c r="AA68" s="610"/>
      <c r="AB68" s="610"/>
      <c r="AC68" s="19"/>
      <c r="AD68" s="19"/>
      <c r="AE68" s="15">
        <f t="shared" si="43"/>
        <v>-142.58823529411802</v>
      </c>
      <c r="AF68" s="196">
        <f t="shared" si="9"/>
        <v>0.95247058823529396</v>
      </c>
      <c r="AG68" s="619"/>
    </row>
    <row r="69" spans="1:33">
      <c r="A69" s="622" t="s">
        <v>771</v>
      </c>
      <c r="B69" s="33" t="s">
        <v>758</v>
      </c>
      <c r="C69" s="620"/>
      <c r="D69" s="620"/>
      <c r="E69" s="197"/>
      <c r="F69" s="34"/>
      <c r="G69" s="13"/>
      <c r="H69" s="200"/>
      <c r="I69" s="23">
        <v>10.4</v>
      </c>
      <c r="J69" s="30">
        <v>3000</v>
      </c>
      <c r="K69" s="13">
        <f t="shared" ref="K69:K77" si="45">J69/I69</f>
        <v>288.46153846153845</v>
      </c>
      <c r="L69" s="23">
        <v>10.4</v>
      </c>
      <c r="M69" s="14">
        <f>AVERAGE(M64:M68)</f>
        <v>2891.138069317823</v>
      </c>
      <c r="N69" s="13">
        <f t="shared" ref="N69:N77" si="46">M69/L69</f>
        <v>277.99404512671373</v>
      </c>
      <c r="O69" s="15">
        <f t="shared" ref="O69:O77" si="47">L69-I69</f>
        <v>0</v>
      </c>
      <c r="P69" s="16">
        <f t="shared" ref="P69:P77" si="48">N69-K69</f>
        <v>-10.467493334824724</v>
      </c>
      <c r="Q69" s="196">
        <f t="shared" ref="Q69:Q77" si="49">N69/K69</f>
        <v>0.9637126897726076</v>
      </c>
      <c r="R69" s="619"/>
      <c r="S69" s="31"/>
      <c r="T69" s="31"/>
      <c r="U69" s="13"/>
      <c r="V69" s="199"/>
      <c r="W69" s="13"/>
      <c r="X69" s="13"/>
      <c r="Y69" s="24">
        <f>SUM(Y64:Y68)</f>
        <v>0</v>
      </c>
      <c r="Z69" s="24">
        <f>SUM(Z64:Z68)</f>
        <v>0</v>
      </c>
      <c r="AA69" s="609"/>
      <c r="AB69" s="609"/>
      <c r="AC69" s="24">
        <v>5</v>
      </c>
      <c r="AD69" s="24">
        <f>SUM(AD64:AD68)</f>
        <v>0</v>
      </c>
      <c r="AE69" s="15">
        <f t="shared" si="43"/>
        <v>-108.86193068217699</v>
      </c>
      <c r="AF69" s="196">
        <f t="shared" ref="AF69:AF77" si="50">M69/J69</f>
        <v>0.96371268977260771</v>
      </c>
      <c r="AG69" s="619"/>
    </row>
    <row r="70" spans="1:33" ht="15.75" customHeight="1">
      <c r="A70" s="616" t="s">
        <v>772</v>
      </c>
      <c r="B70" s="200" t="s">
        <v>27</v>
      </c>
      <c r="C70" s="611" t="s">
        <v>50</v>
      </c>
      <c r="D70" s="611"/>
      <c r="E70" s="33">
        <v>19.02</v>
      </c>
      <c r="F70" s="200">
        <v>6300</v>
      </c>
      <c r="G70" s="191">
        <f t="shared" ref="G70:G76" si="51">E70*F70</f>
        <v>119826</v>
      </c>
      <c r="H70" s="29">
        <v>2</v>
      </c>
      <c r="I70" s="198">
        <v>14</v>
      </c>
      <c r="J70" s="30">
        <v>2400</v>
      </c>
      <c r="K70" s="13">
        <f t="shared" si="45"/>
        <v>171.42857142857142</v>
      </c>
      <c r="L70" s="198">
        <v>14</v>
      </c>
      <c r="M70" s="14">
        <f t="shared" ref="M70:M76" si="52">F70/V70*60</f>
        <v>2290.909090909091</v>
      </c>
      <c r="N70" s="13">
        <f t="shared" si="46"/>
        <v>163.63636363636365</v>
      </c>
      <c r="O70" s="15">
        <f t="shared" si="47"/>
        <v>0</v>
      </c>
      <c r="P70" s="16">
        <f t="shared" si="48"/>
        <v>-7.7922077922077619</v>
      </c>
      <c r="Q70" s="196">
        <f t="shared" si="49"/>
        <v>0.9545454545454547</v>
      </c>
      <c r="R70" s="619">
        <f>Q77</f>
        <v>0.9535201295791581</v>
      </c>
      <c r="S70" s="31">
        <v>8.3333333333333329E-2</v>
      </c>
      <c r="T70" s="31">
        <v>0.19791666666666666</v>
      </c>
      <c r="U70" s="22"/>
      <c r="V70" s="199">
        <f t="shared" ref="V70:V76" si="53">(T70-S70)*24*60</f>
        <v>165</v>
      </c>
      <c r="W70" s="17">
        <f>T70</f>
        <v>0.19791666666666666</v>
      </c>
      <c r="X70" s="17">
        <f>S71</f>
        <v>0.2159722222222222</v>
      </c>
      <c r="Y70" s="17"/>
      <c r="Z70" s="17"/>
      <c r="AA70" s="610"/>
      <c r="AB70" s="610"/>
      <c r="AC70" s="19">
        <v>7</v>
      </c>
      <c r="AD70" s="19"/>
      <c r="AE70" s="15">
        <f t="shared" si="43"/>
        <v>-109.09090909090901</v>
      </c>
      <c r="AF70" s="196">
        <f t="shared" si="50"/>
        <v>0.95454545454545459</v>
      </c>
      <c r="AG70" s="619">
        <f>AF77</f>
        <v>0.9535201295791581</v>
      </c>
    </row>
    <row r="71" spans="1:33" ht="15.75" customHeight="1">
      <c r="A71" s="617" t="s">
        <v>772</v>
      </c>
      <c r="B71" s="200" t="s">
        <v>27</v>
      </c>
      <c r="C71" s="611" t="s">
        <v>51</v>
      </c>
      <c r="D71" s="611"/>
      <c r="E71" s="33">
        <v>20.36</v>
      </c>
      <c r="F71" s="200">
        <v>4811</v>
      </c>
      <c r="G71" s="191">
        <f t="shared" si="51"/>
        <v>97951.959999999992</v>
      </c>
      <c r="H71" s="29" t="s">
        <v>5</v>
      </c>
      <c r="I71" s="198">
        <v>17</v>
      </c>
      <c r="J71" s="30">
        <v>2400</v>
      </c>
      <c r="K71" s="13">
        <f t="shared" si="45"/>
        <v>141.1764705882353</v>
      </c>
      <c r="L71" s="198">
        <v>17</v>
      </c>
      <c r="M71" s="14">
        <f t="shared" si="52"/>
        <v>2290.9523809523816</v>
      </c>
      <c r="N71" s="13">
        <f t="shared" si="46"/>
        <v>134.76190476190482</v>
      </c>
      <c r="O71" s="15">
        <f t="shared" si="47"/>
        <v>0</v>
      </c>
      <c r="P71" s="16">
        <f t="shared" si="48"/>
        <v>-6.4145658263304881</v>
      </c>
      <c r="Q71" s="196">
        <f t="shared" si="49"/>
        <v>0.95456349206349234</v>
      </c>
      <c r="R71" s="619"/>
      <c r="S71" s="31">
        <v>0.2159722222222222</v>
      </c>
      <c r="T71" s="31">
        <v>0.3034722222222222</v>
      </c>
      <c r="U71" s="191">
        <f t="shared" ref="U71:U76" si="54">(S71-T70)*24*60</f>
        <v>25.999999999999986</v>
      </c>
      <c r="V71" s="199">
        <f t="shared" si="53"/>
        <v>125.99999999999997</v>
      </c>
      <c r="W71" s="17"/>
      <c r="X71" s="17"/>
      <c r="Y71" s="17"/>
      <c r="Z71" s="17"/>
      <c r="AA71" s="610"/>
      <c r="AB71" s="610"/>
      <c r="AC71" s="19"/>
      <c r="AD71" s="19"/>
      <c r="AE71" s="15">
        <f t="shared" si="43"/>
        <v>-109.04761904761835</v>
      </c>
      <c r="AF71" s="196">
        <f t="shared" si="50"/>
        <v>0.95456349206349234</v>
      </c>
      <c r="AG71" s="619"/>
    </row>
    <row r="72" spans="1:33" ht="15.75" customHeight="1">
      <c r="A72" s="617" t="s">
        <v>772</v>
      </c>
      <c r="B72" s="200" t="s">
        <v>27</v>
      </c>
      <c r="C72" s="611" t="s">
        <v>35</v>
      </c>
      <c r="D72" s="611"/>
      <c r="E72" s="33">
        <v>34.1</v>
      </c>
      <c r="F72" s="200">
        <v>4000</v>
      </c>
      <c r="G72" s="191">
        <f t="shared" si="51"/>
        <v>136400</v>
      </c>
      <c r="H72" s="29">
        <v>2</v>
      </c>
      <c r="I72" s="198">
        <v>17</v>
      </c>
      <c r="J72" s="30">
        <v>1600</v>
      </c>
      <c r="K72" s="13">
        <f t="shared" si="45"/>
        <v>94.117647058823536</v>
      </c>
      <c r="L72" s="198">
        <v>17</v>
      </c>
      <c r="M72" s="14">
        <f t="shared" si="52"/>
        <v>1528.6624203821657</v>
      </c>
      <c r="N72" s="13">
        <f t="shared" si="46"/>
        <v>89.92131884600974</v>
      </c>
      <c r="O72" s="15">
        <f t="shared" si="47"/>
        <v>0</v>
      </c>
      <c r="P72" s="16">
        <f t="shared" si="48"/>
        <v>-4.1963282128137962</v>
      </c>
      <c r="Q72" s="196">
        <f t="shared" si="49"/>
        <v>0.9554140127388534</v>
      </c>
      <c r="R72" s="619"/>
      <c r="S72" s="31">
        <v>0.30694444444444441</v>
      </c>
      <c r="T72" s="31">
        <v>0.41597222222222219</v>
      </c>
      <c r="U72" s="191">
        <f t="shared" si="54"/>
        <v>4.9999999999999822</v>
      </c>
      <c r="V72" s="199">
        <f t="shared" si="53"/>
        <v>157</v>
      </c>
      <c r="W72" s="17"/>
      <c r="X72" s="17"/>
      <c r="Y72" s="17"/>
      <c r="Z72" s="17"/>
      <c r="AA72" s="610"/>
      <c r="AB72" s="610"/>
      <c r="AC72" s="19"/>
      <c r="AD72" s="19"/>
      <c r="AE72" s="15">
        <f t="shared" si="43"/>
        <v>-71.337579617834308</v>
      </c>
      <c r="AF72" s="196">
        <f t="shared" si="50"/>
        <v>0.95541401273885351</v>
      </c>
      <c r="AG72" s="619"/>
    </row>
    <row r="73" spans="1:33" ht="15.75" customHeight="1">
      <c r="A73" s="617" t="s">
        <v>772</v>
      </c>
      <c r="B73" s="200" t="s">
        <v>27</v>
      </c>
      <c r="C73" s="611" t="s">
        <v>31</v>
      </c>
      <c r="D73" s="611"/>
      <c r="E73" s="33">
        <v>25.99</v>
      </c>
      <c r="F73" s="200">
        <v>1408</v>
      </c>
      <c r="G73" s="191">
        <f t="shared" si="51"/>
        <v>36593.919999999998</v>
      </c>
      <c r="H73" s="29" t="s">
        <v>5</v>
      </c>
      <c r="I73" s="198">
        <v>18</v>
      </c>
      <c r="J73" s="30">
        <v>2400</v>
      </c>
      <c r="K73" s="13">
        <f t="shared" si="45"/>
        <v>133.33333333333334</v>
      </c>
      <c r="L73" s="198">
        <v>18</v>
      </c>
      <c r="M73" s="14">
        <f t="shared" si="52"/>
        <v>2283.2432432432415</v>
      </c>
      <c r="N73" s="13">
        <f t="shared" si="46"/>
        <v>126.84684684684674</v>
      </c>
      <c r="O73" s="15">
        <f t="shared" si="47"/>
        <v>0</v>
      </c>
      <c r="P73" s="16">
        <f t="shared" si="48"/>
        <v>-6.4864864864865979</v>
      </c>
      <c r="Q73" s="196">
        <f t="shared" si="49"/>
        <v>0.95135135135135052</v>
      </c>
      <c r="R73" s="619"/>
      <c r="S73" s="31">
        <v>0.4194444444444444</v>
      </c>
      <c r="T73" s="31">
        <v>0.44513888888888886</v>
      </c>
      <c r="U73" s="191">
        <f t="shared" si="54"/>
        <v>4.9999999999999822</v>
      </c>
      <c r="V73" s="199">
        <f t="shared" si="53"/>
        <v>37.000000000000028</v>
      </c>
      <c r="W73" s="17"/>
      <c r="X73" s="17"/>
      <c r="Y73" s="17"/>
      <c r="Z73" s="17"/>
      <c r="AA73" s="610"/>
      <c r="AB73" s="610"/>
      <c r="AC73" s="19"/>
      <c r="AD73" s="19"/>
      <c r="AE73" s="15">
        <f t="shared" si="43"/>
        <v>-116.75675675675848</v>
      </c>
      <c r="AF73" s="196">
        <f t="shared" si="50"/>
        <v>0.95135135135135063</v>
      </c>
      <c r="AG73" s="619"/>
    </row>
    <row r="74" spans="1:33" ht="15.75" customHeight="1">
      <c r="A74" s="617" t="s">
        <v>772</v>
      </c>
      <c r="B74" s="200" t="s">
        <v>27</v>
      </c>
      <c r="C74" s="611" t="s">
        <v>53</v>
      </c>
      <c r="D74" s="611"/>
      <c r="E74" s="33">
        <v>28.29</v>
      </c>
      <c r="F74" s="200">
        <v>3241</v>
      </c>
      <c r="G74" s="191">
        <f t="shared" si="51"/>
        <v>91687.89</v>
      </c>
      <c r="H74" s="29" t="s">
        <v>5</v>
      </c>
      <c r="I74" s="198">
        <v>19</v>
      </c>
      <c r="J74" s="30">
        <v>2400</v>
      </c>
      <c r="K74" s="13">
        <f t="shared" si="45"/>
        <v>126.31578947368421</v>
      </c>
      <c r="L74" s="198">
        <v>19</v>
      </c>
      <c r="M74" s="14">
        <f t="shared" si="52"/>
        <v>2287.7647058823527</v>
      </c>
      <c r="N74" s="13">
        <f t="shared" si="46"/>
        <v>120.40866873065015</v>
      </c>
      <c r="O74" s="15">
        <f t="shared" si="47"/>
        <v>0</v>
      </c>
      <c r="P74" s="16">
        <f t="shared" si="48"/>
        <v>-5.9071207430340564</v>
      </c>
      <c r="Q74" s="196">
        <f t="shared" si="49"/>
        <v>0.95323529411764707</v>
      </c>
      <c r="R74" s="619"/>
      <c r="S74" s="31">
        <v>0.44999999999999996</v>
      </c>
      <c r="T74" s="31">
        <v>0.50902777777777775</v>
      </c>
      <c r="U74" s="191">
        <f t="shared" si="54"/>
        <v>6.9999999999999751</v>
      </c>
      <c r="V74" s="199">
        <f t="shared" si="53"/>
        <v>85.000000000000014</v>
      </c>
      <c r="W74" s="17">
        <f>T74</f>
        <v>0.50902777777777775</v>
      </c>
      <c r="X74" s="17">
        <f>S75</f>
        <v>0.54791666666666661</v>
      </c>
      <c r="Y74" s="17"/>
      <c r="Z74" s="17"/>
      <c r="AA74" s="610"/>
      <c r="AB74" s="610"/>
      <c r="AC74" s="19"/>
      <c r="AD74" s="19"/>
      <c r="AE74" s="15">
        <f t="shared" si="43"/>
        <v>-112.2352941176473</v>
      </c>
      <c r="AF74" s="196">
        <f t="shared" si="50"/>
        <v>0.95323529411764696</v>
      </c>
      <c r="AG74" s="619"/>
    </row>
    <row r="75" spans="1:33" ht="15.75" customHeight="1">
      <c r="A75" s="617" t="s">
        <v>772</v>
      </c>
      <c r="B75" s="200" t="s">
        <v>27</v>
      </c>
      <c r="C75" s="611" t="s">
        <v>50</v>
      </c>
      <c r="D75" s="611"/>
      <c r="E75" s="33">
        <v>19.02</v>
      </c>
      <c r="F75" s="200">
        <v>5345</v>
      </c>
      <c r="G75" s="191">
        <f t="shared" si="51"/>
        <v>101661.9</v>
      </c>
      <c r="H75" s="29" t="s">
        <v>5</v>
      </c>
      <c r="I75" s="198">
        <v>14</v>
      </c>
      <c r="J75" s="30">
        <v>2400</v>
      </c>
      <c r="K75" s="13">
        <f t="shared" si="45"/>
        <v>171.42857142857142</v>
      </c>
      <c r="L75" s="198">
        <v>14</v>
      </c>
      <c r="M75" s="14">
        <f t="shared" si="52"/>
        <v>2290.7142857142862</v>
      </c>
      <c r="N75" s="13">
        <f t="shared" si="46"/>
        <v>163.62244897959187</v>
      </c>
      <c r="O75" s="15">
        <f t="shared" si="47"/>
        <v>0</v>
      </c>
      <c r="P75" s="16">
        <f t="shared" si="48"/>
        <v>-7.8061224489795507</v>
      </c>
      <c r="Q75" s="196">
        <f t="shared" si="49"/>
        <v>0.95446428571428599</v>
      </c>
      <c r="R75" s="619"/>
      <c r="S75" s="31">
        <v>0.54791666666666661</v>
      </c>
      <c r="T75" s="31">
        <v>0.64513888888888882</v>
      </c>
      <c r="U75" s="191">
        <f t="shared" si="54"/>
        <v>55.999999999999957</v>
      </c>
      <c r="V75" s="199">
        <f t="shared" si="53"/>
        <v>139.99999999999997</v>
      </c>
      <c r="W75" s="17"/>
      <c r="X75" s="17"/>
      <c r="Y75" s="17"/>
      <c r="Z75" s="17"/>
      <c r="AA75" s="610"/>
      <c r="AB75" s="610"/>
      <c r="AC75" s="19"/>
      <c r="AD75" s="19"/>
      <c r="AE75" s="15">
        <f t="shared" si="43"/>
        <v>-109.28571428571377</v>
      </c>
      <c r="AF75" s="196">
        <f t="shared" si="50"/>
        <v>0.95446428571428588</v>
      </c>
      <c r="AG75" s="619"/>
    </row>
    <row r="76" spans="1:33" ht="15.75" customHeight="1">
      <c r="A76" s="617" t="s">
        <v>772</v>
      </c>
      <c r="B76" s="200" t="s">
        <v>27</v>
      </c>
      <c r="C76" s="612" t="s">
        <v>35</v>
      </c>
      <c r="D76" s="613"/>
      <c r="E76" s="33">
        <v>34.1</v>
      </c>
      <c r="F76" s="200">
        <v>3220</v>
      </c>
      <c r="G76" s="191">
        <f t="shared" si="51"/>
        <v>109802</v>
      </c>
      <c r="H76" s="29" t="s">
        <v>5</v>
      </c>
      <c r="I76" s="198">
        <v>17</v>
      </c>
      <c r="J76" s="30">
        <v>1600</v>
      </c>
      <c r="K76" s="13">
        <f t="shared" si="45"/>
        <v>94.117647058823536</v>
      </c>
      <c r="L76" s="198">
        <v>17</v>
      </c>
      <c r="M76" s="14">
        <f t="shared" si="52"/>
        <v>1521.2598425196848</v>
      </c>
      <c r="N76" s="13">
        <f t="shared" si="46"/>
        <v>89.485873089393223</v>
      </c>
      <c r="O76" s="15">
        <f t="shared" si="47"/>
        <v>0</v>
      </c>
      <c r="P76" s="16">
        <f t="shared" si="48"/>
        <v>-4.6317739694303128</v>
      </c>
      <c r="Q76" s="196">
        <f t="shared" si="49"/>
        <v>0.9507874015748029</v>
      </c>
      <c r="R76" s="619"/>
      <c r="S76" s="31">
        <v>0.64861111111111103</v>
      </c>
      <c r="T76" s="31">
        <v>0.73680555555555549</v>
      </c>
      <c r="U76" s="191">
        <f t="shared" si="54"/>
        <v>4.9999999999999822</v>
      </c>
      <c r="V76" s="199">
        <f t="shared" si="53"/>
        <v>127.00000000000003</v>
      </c>
      <c r="W76" s="17"/>
      <c r="X76" s="17"/>
      <c r="Y76" s="20"/>
      <c r="Z76" s="20"/>
      <c r="AA76" s="614"/>
      <c r="AB76" s="615"/>
      <c r="AC76" s="19"/>
      <c r="AD76" s="19"/>
      <c r="AE76" s="15">
        <f t="shared" si="43"/>
        <v>-78.740157480315247</v>
      </c>
      <c r="AF76" s="196">
        <f t="shared" si="50"/>
        <v>0.95078740157480301</v>
      </c>
      <c r="AG76" s="619"/>
    </row>
    <row r="77" spans="1:33" ht="16.5" customHeight="1">
      <c r="A77" s="618" t="s">
        <v>772</v>
      </c>
      <c r="B77" s="33" t="s">
        <v>758</v>
      </c>
      <c r="C77" s="607"/>
      <c r="D77" s="608"/>
      <c r="E77" s="197"/>
      <c r="F77" s="34"/>
      <c r="G77" s="13"/>
      <c r="H77" s="200"/>
      <c r="I77" s="23">
        <v>16.571428571428573</v>
      </c>
      <c r="J77" s="30">
        <v>2171.4285714285716</v>
      </c>
      <c r="K77" s="13">
        <f t="shared" si="45"/>
        <v>131.0344827586207</v>
      </c>
      <c r="L77" s="23">
        <v>16.571428571428573</v>
      </c>
      <c r="M77" s="14">
        <f>AVERAGE(M70:M76)</f>
        <v>2070.5008528004578</v>
      </c>
      <c r="N77" s="13">
        <f t="shared" si="46"/>
        <v>124.94401697933796</v>
      </c>
      <c r="O77" s="15">
        <f t="shared" si="47"/>
        <v>0</v>
      </c>
      <c r="P77" s="16">
        <f t="shared" si="48"/>
        <v>-6.0904657792827379</v>
      </c>
      <c r="Q77" s="196">
        <f t="shared" si="49"/>
        <v>0.9535201295791581</v>
      </c>
      <c r="R77" s="619"/>
      <c r="S77" s="31"/>
      <c r="T77" s="31"/>
      <c r="U77" s="13"/>
      <c r="V77" s="199"/>
      <c r="W77" s="13"/>
      <c r="X77" s="13"/>
      <c r="Y77" s="24">
        <f>SUM(Y70:Y76)</f>
        <v>0</v>
      </c>
      <c r="Z77" s="24">
        <f>SUM(Z70:Z76)</f>
        <v>0</v>
      </c>
      <c r="AA77" s="609"/>
      <c r="AB77" s="609"/>
      <c r="AC77" s="24">
        <v>7</v>
      </c>
      <c r="AD77" s="24">
        <f>SUM(AD70:AD76)</f>
        <v>0</v>
      </c>
      <c r="AE77" s="15">
        <f t="shared" si="43"/>
        <v>-100.92771862811378</v>
      </c>
      <c r="AF77" s="196">
        <f t="shared" si="50"/>
        <v>0.9535201295791581</v>
      </c>
      <c r="AG77" s="619"/>
    </row>
    <row r="78" spans="1:33">
      <c r="D78" s="25"/>
      <c r="E78" s="25"/>
    </row>
  </sheetData>
  <mergeCells count="196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31:AG39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A34:AB34"/>
    <mergeCell ref="C35:D35"/>
    <mergeCell ref="AA35:AB35"/>
    <mergeCell ref="C36:D36"/>
    <mergeCell ref="AA36:AB36"/>
    <mergeCell ref="C37:D37"/>
    <mergeCell ref="AA37:AB37"/>
    <mergeCell ref="A31:A39"/>
    <mergeCell ref="C31:D31"/>
    <mergeCell ref="R31:R39"/>
    <mergeCell ref="AA31:AB31"/>
    <mergeCell ref="C39:D39"/>
    <mergeCell ref="AA39:AB39"/>
    <mergeCell ref="A40:A49"/>
    <mergeCell ref="C40:D40"/>
    <mergeCell ref="R40:R49"/>
    <mergeCell ref="AA40:AB40"/>
    <mergeCell ref="AA45:AB45"/>
    <mergeCell ref="C46:D46"/>
    <mergeCell ref="AA46:AB46"/>
    <mergeCell ref="C47:D47"/>
    <mergeCell ref="AA47:AB47"/>
    <mergeCell ref="C48:D48"/>
    <mergeCell ref="C49:D49"/>
    <mergeCell ref="AA49:AB49"/>
    <mergeCell ref="A50:A53"/>
    <mergeCell ref="C50:D50"/>
    <mergeCell ref="R50:R53"/>
    <mergeCell ref="AA50:AB50"/>
    <mergeCell ref="AG40:AG49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54:AG63"/>
    <mergeCell ref="C55:D55"/>
    <mergeCell ref="AA55:AB55"/>
    <mergeCell ref="C56:D56"/>
    <mergeCell ref="AA56:AB56"/>
    <mergeCell ref="AA57:AB57"/>
    <mergeCell ref="AG50:AG53"/>
    <mergeCell ref="C51:D51"/>
    <mergeCell ref="AA51:AB51"/>
    <mergeCell ref="C52:D52"/>
    <mergeCell ref="AA52:AB52"/>
    <mergeCell ref="C53:D53"/>
    <mergeCell ref="AA53:AB53"/>
    <mergeCell ref="C63:D63"/>
    <mergeCell ref="AA63:AB63"/>
    <mergeCell ref="A64:A69"/>
    <mergeCell ref="C64:D64"/>
    <mergeCell ref="R64:R69"/>
    <mergeCell ref="AA64:AB64"/>
    <mergeCell ref="AA69:AB69"/>
    <mergeCell ref="AA58:AB58"/>
    <mergeCell ref="C59:D59"/>
    <mergeCell ref="AA59:AB59"/>
    <mergeCell ref="C60:D60"/>
    <mergeCell ref="AA60:AB60"/>
    <mergeCell ref="C61:D61"/>
    <mergeCell ref="AA61:AB61"/>
    <mergeCell ref="A54:A63"/>
    <mergeCell ref="C54:D54"/>
    <mergeCell ref="R54:R63"/>
    <mergeCell ref="AA54:AB54"/>
    <mergeCell ref="AG64:AG69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70:A77"/>
    <mergeCell ref="C70:D70"/>
    <mergeCell ref="R70:R77"/>
    <mergeCell ref="AA70:AB70"/>
    <mergeCell ref="AG70:AG77"/>
    <mergeCell ref="C71:D71"/>
    <mergeCell ref="AA71:AB71"/>
    <mergeCell ref="C72:D72"/>
    <mergeCell ref="AA72:AB72"/>
    <mergeCell ref="C73:D73"/>
    <mergeCell ref="C77:D77"/>
    <mergeCell ref="AA77:AB77"/>
    <mergeCell ref="AA73:AB73"/>
    <mergeCell ref="C74:D74"/>
    <mergeCell ref="AA74:AB74"/>
    <mergeCell ref="C75:D75"/>
    <mergeCell ref="AA75:AB75"/>
    <mergeCell ref="C76:D76"/>
    <mergeCell ref="AA76:AB76"/>
  </mergeCells>
  <phoneticPr fontId="3" type="noConversion"/>
  <conditionalFormatting sqref="O67:O75 O63:O64 O77 O5:O10 O14:O16 O23:O59">
    <cfRule type="cellIs" dxfId="613" priority="68" operator="greaterThan">
      <formula>0</formula>
    </cfRule>
  </conditionalFormatting>
  <conditionalFormatting sqref="P5:P8 P67:P68 AE67:AE68 P70:P75 P31:P38 P64 P10 P14:P16 P24:P29 P54:P59 P40:P52 AE5:AE64 AE70:AE77">
    <cfRule type="cellIs" dxfId="612" priority="72" operator="lessThan">
      <formula>0</formula>
    </cfRule>
  </conditionalFormatting>
  <conditionalFormatting sqref="AF67:AF68 Q67:Q75 Q63:Q64 Q77 Q5:Q10 Q14:Q16 Q23:Q59 AF5:AF64 AF70:AF77">
    <cfRule type="cellIs" dxfId="611" priority="69" operator="greaterThan">
      <formula>1</formula>
    </cfRule>
    <cfRule type="cellIs" dxfId="610" priority="70" operator="lessThan">
      <formula>0.8</formula>
    </cfRule>
  </conditionalFormatting>
  <conditionalFormatting sqref="AG15:AG16 R15:R16 AG67 R67:R75 R23:R47 AG23:AG47 AG63:AG64 R63:R64 R77 AG5:AG10 R5:R10 AG49:AG59 R49:R59">
    <cfRule type="cellIs" dxfId="609" priority="74" operator="lessThan">
      <formula>0.8</formula>
    </cfRule>
  </conditionalFormatting>
  <conditionalFormatting sqref="AG50">
    <cfRule type="cellIs" dxfId="608" priority="76" operator="lessThan">
      <formula>0.8</formula>
    </cfRule>
  </conditionalFormatting>
  <conditionalFormatting sqref="AG24:AG29">
    <cfRule type="cellIs" dxfId="607" priority="73" operator="lessThan">
      <formula>0.8</formula>
    </cfRule>
  </conditionalFormatting>
  <conditionalFormatting sqref="AG31">
    <cfRule type="cellIs" dxfId="606" priority="75" operator="lessThan">
      <formula>0.8</formula>
    </cfRule>
  </conditionalFormatting>
  <conditionalFormatting sqref="AG40:AG47">
    <cfRule type="cellIs" dxfId="605" priority="71" operator="lessThan">
      <formula>0.8</formula>
    </cfRule>
  </conditionalFormatting>
  <conditionalFormatting sqref="AE69">
    <cfRule type="cellIs" dxfId="604" priority="67" operator="lessThan">
      <formula>0</formula>
    </cfRule>
  </conditionalFormatting>
  <conditionalFormatting sqref="AF69">
    <cfRule type="cellIs" dxfId="603" priority="65" operator="greaterThan">
      <formula>1</formula>
    </cfRule>
    <cfRule type="cellIs" dxfId="602" priority="66" operator="lessThan">
      <formula>0.8</formula>
    </cfRule>
  </conditionalFormatting>
  <conditionalFormatting sqref="O17:O18">
    <cfRule type="cellIs" dxfId="601" priority="60" operator="greaterThan">
      <formula>0</formula>
    </cfRule>
  </conditionalFormatting>
  <conditionalFormatting sqref="P17:P18">
    <cfRule type="cellIs" dxfId="600" priority="63" operator="lessThan">
      <formula>0</formula>
    </cfRule>
  </conditionalFormatting>
  <conditionalFormatting sqref="Q17:Q18">
    <cfRule type="cellIs" dxfId="599" priority="61" operator="greaterThan">
      <formula>1</formula>
    </cfRule>
    <cfRule type="cellIs" dxfId="598" priority="62" operator="lessThan">
      <formula>0.8</formula>
    </cfRule>
  </conditionalFormatting>
  <conditionalFormatting sqref="R17:R18 AG17:AG18">
    <cfRule type="cellIs" dxfId="597" priority="64" operator="lessThan">
      <formula>0.8</formula>
    </cfRule>
  </conditionalFormatting>
  <conditionalFormatting sqref="O11:O13">
    <cfRule type="cellIs" dxfId="596" priority="56" operator="greaterThan">
      <formula>0</formula>
    </cfRule>
  </conditionalFormatting>
  <conditionalFormatting sqref="P11:P13">
    <cfRule type="cellIs" dxfId="595" priority="59" operator="lessThan">
      <formula>0</formula>
    </cfRule>
  </conditionalFormatting>
  <conditionalFormatting sqref="Q11:Q13">
    <cfRule type="cellIs" dxfId="594" priority="57" operator="greaterThan">
      <formula>1</formula>
    </cfRule>
    <cfRule type="cellIs" dxfId="593" priority="58" operator="lessThan">
      <formula>0.8</formula>
    </cfRule>
  </conditionalFormatting>
  <conditionalFormatting sqref="O60">
    <cfRule type="cellIs" dxfId="592" priority="51" operator="greaterThan">
      <formula>0</formula>
    </cfRule>
  </conditionalFormatting>
  <conditionalFormatting sqref="P60">
    <cfRule type="cellIs" dxfId="591" priority="54" operator="lessThan">
      <formula>0</formula>
    </cfRule>
  </conditionalFormatting>
  <conditionalFormatting sqref="Q60">
    <cfRule type="cellIs" dxfId="590" priority="52" operator="greaterThan">
      <formula>1</formula>
    </cfRule>
    <cfRule type="cellIs" dxfId="589" priority="53" operator="lessThan">
      <formula>0.8</formula>
    </cfRule>
  </conditionalFormatting>
  <conditionalFormatting sqref="R60 AG60">
    <cfRule type="cellIs" dxfId="588" priority="55" operator="lessThan">
      <formula>0.8</formula>
    </cfRule>
  </conditionalFormatting>
  <conditionalFormatting sqref="R48 AG48">
    <cfRule type="cellIs" dxfId="587" priority="50" operator="lessThan">
      <formula>0.8</formula>
    </cfRule>
  </conditionalFormatting>
  <conditionalFormatting sqref="AG48">
    <cfRule type="cellIs" dxfId="586" priority="49" operator="lessThan">
      <formula>0.8</formula>
    </cfRule>
  </conditionalFormatting>
  <conditionalFormatting sqref="O66">
    <cfRule type="cellIs" dxfId="585" priority="44" operator="greaterThan">
      <formula>0</formula>
    </cfRule>
  </conditionalFormatting>
  <conditionalFormatting sqref="P66 AE66">
    <cfRule type="cellIs" dxfId="584" priority="47" operator="lessThan">
      <formula>0</formula>
    </cfRule>
  </conditionalFormatting>
  <conditionalFormatting sqref="Q66 AF66">
    <cfRule type="cellIs" dxfId="583" priority="45" operator="greaterThan">
      <formula>1</formula>
    </cfRule>
    <cfRule type="cellIs" dxfId="582" priority="46" operator="lessThan">
      <formula>0.8</formula>
    </cfRule>
  </conditionalFormatting>
  <conditionalFormatting sqref="R66 AG66">
    <cfRule type="cellIs" dxfId="581" priority="48" operator="lessThan">
      <formula>0.8</formula>
    </cfRule>
  </conditionalFormatting>
  <conditionalFormatting sqref="O76">
    <cfRule type="cellIs" dxfId="580" priority="39" operator="greaterThan">
      <formula>0</formula>
    </cfRule>
  </conditionalFormatting>
  <conditionalFormatting sqref="P76">
    <cfRule type="cellIs" dxfId="579" priority="42" operator="lessThan">
      <formula>0</formula>
    </cfRule>
  </conditionalFormatting>
  <conditionalFormatting sqref="Q76">
    <cfRule type="cellIs" dxfId="578" priority="40" operator="greaterThan">
      <formula>1</formula>
    </cfRule>
    <cfRule type="cellIs" dxfId="577" priority="41" operator="lessThan">
      <formula>0.8</formula>
    </cfRule>
  </conditionalFormatting>
  <conditionalFormatting sqref="R76">
    <cfRule type="cellIs" dxfId="576" priority="43" operator="lessThan">
      <formula>0.8</formula>
    </cfRule>
  </conditionalFormatting>
  <conditionalFormatting sqref="O19:O20">
    <cfRule type="cellIs" dxfId="575" priority="34" operator="greaterThan">
      <formula>0</formula>
    </cfRule>
  </conditionalFormatting>
  <conditionalFormatting sqref="P19:P20">
    <cfRule type="cellIs" dxfId="574" priority="37" operator="lessThan">
      <formula>0</formula>
    </cfRule>
  </conditionalFormatting>
  <conditionalFormatting sqref="Q19:Q20">
    <cfRule type="cellIs" dxfId="573" priority="35" operator="greaterThan">
      <formula>1</formula>
    </cfRule>
    <cfRule type="cellIs" dxfId="572" priority="36" operator="lessThan">
      <formula>0.8</formula>
    </cfRule>
  </conditionalFormatting>
  <conditionalFormatting sqref="R19:R20 AG19:AG20">
    <cfRule type="cellIs" dxfId="571" priority="38" operator="lessThan">
      <formula>0.8</formula>
    </cfRule>
  </conditionalFormatting>
  <conditionalFormatting sqref="O61">
    <cfRule type="cellIs" dxfId="570" priority="29" operator="greaterThan">
      <formula>0</formula>
    </cfRule>
  </conditionalFormatting>
  <conditionalFormatting sqref="P61">
    <cfRule type="cellIs" dxfId="569" priority="32" operator="lessThan">
      <formula>0</formula>
    </cfRule>
  </conditionalFormatting>
  <conditionalFormatting sqref="Q61">
    <cfRule type="cellIs" dxfId="568" priority="30" operator="greaterThan">
      <formula>1</formula>
    </cfRule>
    <cfRule type="cellIs" dxfId="567" priority="31" operator="lessThan">
      <formula>0.8</formula>
    </cfRule>
  </conditionalFormatting>
  <conditionalFormatting sqref="AG61 R61">
    <cfRule type="cellIs" dxfId="566" priority="33" operator="lessThan">
      <formula>0.8</formula>
    </cfRule>
  </conditionalFormatting>
  <conditionalFormatting sqref="O65">
    <cfRule type="cellIs" dxfId="565" priority="24" operator="greaterThan">
      <formula>0</formula>
    </cfRule>
  </conditionalFormatting>
  <conditionalFormatting sqref="P65 AE65">
    <cfRule type="cellIs" dxfId="564" priority="27" operator="lessThan">
      <formula>0</formula>
    </cfRule>
  </conditionalFormatting>
  <conditionalFormatting sqref="Q65 AF65">
    <cfRule type="cellIs" dxfId="563" priority="25" operator="greaterThan">
      <formula>1</formula>
    </cfRule>
    <cfRule type="cellIs" dxfId="562" priority="26" operator="lessThan">
      <formula>0.8</formula>
    </cfRule>
  </conditionalFormatting>
  <conditionalFormatting sqref="R65 AG65">
    <cfRule type="cellIs" dxfId="561" priority="28" operator="lessThan">
      <formula>0.8</formula>
    </cfRule>
  </conditionalFormatting>
  <conditionalFormatting sqref="O21">
    <cfRule type="cellIs" dxfId="560" priority="19" operator="greaterThan">
      <formula>0</formula>
    </cfRule>
  </conditionalFormatting>
  <conditionalFormatting sqref="P21">
    <cfRule type="cellIs" dxfId="559" priority="22" operator="lessThan">
      <formula>0</formula>
    </cfRule>
  </conditionalFormatting>
  <conditionalFormatting sqref="Q21">
    <cfRule type="cellIs" dxfId="558" priority="20" operator="greaterThan">
      <formula>1</formula>
    </cfRule>
    <cfRule type="cellIs" dxfId="557" priority="21" operator="lessThan">
      <formula>0.8</formula>
    </cfRule>
  </conditionalFormatting>
  <conditionalFormatting sqref="AG21 R21">
    <cfRule type="cellIs" dxfId="556" priority="23" operator="lessThan">
      <formula>0.8</formula>
    </cfRule>
  </conditionalFormatting>
  <conditionalFormatting sqref="O22">
    <cfRule type="cellIs" dxfId="555" priority="14" operator="greaterThan">
      <formula>0</formula>
    </cfRule>
  </conditionalFormatting>
  <conditionalFormatting sqref="P22">
    <cfRule type="cellIs" dxfId="554" priority="17" operator="lessThan">
      <formula>0</formula>
    </cfRule>
  </conditionalFormatting>
  <conditionalFormatting sqref="Q22">
    <cfRule type="cellIs" dxfId="553" priority="15" operator="greaterThan">
      <formula>1</formula>
    </cfRule>
    <cfRule type="cellIs" dxfId="552" priority="16" operator="lessThan">
      <formula>0.8</formula>
    </cfRule>
  </conditionalFormatting>
  <conditionalFormatting sqref="AG22 R22">
    <cfRule type="cellIs" dxfId="551" priority="18" operator="lessThan">
      <formula>0.8</formula>
    </cfRule>
  </conditionalFormatting>
  <conditionalFormatting sqref="P9">
    <cfRule type="cellIs" dxfId="550" priority="13" operator="lessThan">
      <formula>0</formula>
    </cfRule>
  </conditionalFormatting>
  <conditionalFormatting sqref="P23">
    <cfRule type="cellIs" dxfId="549" priority="12" operator="lessThan">
      <formula>0</formula>
    </cfRule>
  </conditionalFormatting>
  <conditionalFormatting sqref="P30">
    <cfRule type="cellIs" dxfId="548" priority="11" operator="lessThan">
      <formula>0</formula>
    </cfRule>
  </conditionalFormatting>
  <conditionalFormatting sqref="P39">
    <cfRule type="cellIs" dxfId="547" priority="10" operator="lessThan">
      <formula>0</formula>
    </cfRule>
  </conditionalFormatting>
  <conditionalFormatting sqref="P53">
    <cfRule type="cellIs" dxfId="546" priority="9" operator="lessThan">
      <formula>0</formula>
    </cfRule>
  </conditionalFormatting>
  <conditionalFormatting sqref="P63">
    <cfRule type="cellIs" dxfId="545" priority="8" operator="lessThan">
      <formula>0</formula>
    </cfRule>
  </conditionalFormatting>
  <conditionalFormatting sqref="P69">
    <cfRule type="cellIs" dxfId="544" priority="7" operator="lessThan">
      <formula>0</formula>
    </cfRule>
  </conditionalFormatting>
  <conditionalFormatting sqref="P77">
    <cfRule type="cellIs" dxfId="543" priority="6" operator="lessThan">
      <formula>0</formula>
    </cfRule>
  </conditionalFormatting>
  <conditionalFormatting sqref="O62">
    <cfRule type="cellIs" dxfId="542" priority="1" operator="greaterThan">
      <formula>0</formula>
    </cfRule>
  </conditionalFormatting>
  <conditionalFormatting sqref="P62">
    <cfRule type="cellIs" dxfId="541" priority="4" operator="lessThan">
      <formula>0</formula>
    </cfRule>
  </conditionalFormatting>
  <conditionalFormatting sqref="Q62">
    <cfRule type="cellIs" dxfId="540" priority="2" operator="greaterThan">
      <formula>1</formula>
    </cfRule>
    <cfRule type="cellIs" dxfId="539" priority="3" operator="lessThan">
      <formula>0.8</formula>
    </cfRule>
  </conditionalFormatting>
  <conditionalFormatting sqref="AG62 R62">
    <cfRule type="cellIs" dxfId="538" priority="5" operator="lessThan">
      <formula>0.8</formula>
    </cfRule>
  </conditionalFormatting>
  <dataValidations count="1">
    <dataValidation type="list" allowBlank="1" showInputMessage="1" showErrorMessage="1" sqref="AB9 AA5:AB8 AB68 AA9:AA68 AB11:AB64 AA69:AB7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7" sqref="R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581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596" t="str">
        <f>TEXT('0906 4度C'!A2,"yyyy.mm.ddaaaa")</f>
        <v>2026.09.06星期日</v>
      </c>
      <c r="D3" s="597"/>
      <c r="E3" s="39" t="s">
        <v>582</v>
      </c>
      <c r="F3" s="598">
        <f>'0906 4度C'!D1</f>
        <v>202915</v>
      </c>
      <c r="G3" s="599"/>
      <c r="H3" s="39" t="s">
        <v>583</v>
      </c>
      <c r="I3" s="600">
        <f>'0906 4度C'!F1</f>
        <v>7001459.9699999988</v>
      </c>
      <c r="J3" s="601"/>
      <c r="K3" s="40"/>
      <c r="L3" s="41"/>
      <c r="M3" s="42"/>
      <c r="N3" s="42"/>
    </row>
    <row r="4" spans="2:17" ht="28.5" customHeight="1">
      <c r="B4" s="602" t="s">
        <v>584</v>
      </c>
      <c r="C4" s="588" t="s">
        <v>585</v>
      </c>
      <c r="D4" s="589"/>
      <c r="E4" s="605" t="s">
        <v>586</v>
      </c>
      <c r="F4" s="606"/>
      <c r="G4" s="605" t="s">
        <v>587</v>
      </c>
      <c r="H4" s="606"/>
      <c r="I4" s="605" t="s">
        <v>588</v>
      </c>
      <c r="J4" s="606"/>
      <c r="K4" s="586" t="s">
        <v>589</v>
      </c>
      <c r="L4" s="587"/>
      <c r="M4" s="587" t="s">
        <v>590</v>
      </c>
      <c r="N4" s="587"/>
    </row>
    <row r="5" spans="2:17" ht="28.5" customHeight="1">
      <c r="B5" s="603"/>
      <c r="C5" s="588" t="s">
        <v>591</v>
      </c>
      <c r="D5" s="589"/>
      <c r="E5" s="588" t="s">
        <v>592</v>
      </c>
      <c r="F5" s="589"/>
      <c r="G5" s="590" t="s">
        <v>593</v>
      </c>
      <c r="H5" s="591"/>
      <c r="I5" s="592" t="s">
        <v>594</v>
      </c>
      <c r="J5" s="593"/>
      <c r="K5" s="43" t="s">
        <v>595</v>
      </c>
      <c r="L5" s="44" t="s">
        <v>596</v>
      </c>
      <c r="M5" s="43" t="s">
        <v>595</v>
      </c>
      <c r="N5" s="44" t="s">
        <v>597</v>
      </c>
    </row>
    <row r="6" spans="2:17" ht="28.5" customHeight="1">
      <c r="B6" s="603"/>
      <c r="C6" s="588" t="s">
        <v>56</v>
      </c>
      <c r="D6" s="589"/>
      <c r="E6" s="580">
        <f>AVERAGE(D13:M13)</f>
        <v>156.25685050458969</v>
      </c>
      <c r="F6" s="581">
        <f>AVERAGE(D31:O31,D13:J13)</f>
        <v>163.57307068078106</v>
      </c>
      <c r="G6" s="582">
        <f>AVERAGE(D13:J13)</f>
        <v>163.57307068078106</v>
      </c>
      <c r="H6" s="583"/>
      <c r="I6" s="582">
        <f>AVERAGE(K13:M13)</f>
        <v>139.18567009347649</v>
      </c>
      <c r="J6" s="583"/>
      <c r="K6" s="584">
        <f>'0906 4度C'!Y2</f>
        <v>0</v>
      </c>
      <c r="L6" s="569">
        <f>'0906 4度C'!Z2</f>
        <v>0</v>
      </c>
      <c r="M6" s="585">
        <f>'0906 4度C'!AC2</f>
        <v>66</v>
      </c>
      <c r="N6" s="569">
        <f>'0906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149.84098962337629</v>
      </c>
      <c r="F7" s="573">
        <f>AVERAGE(D32:O32,D14:J14)</f>
        <v>156.90066592171161</v>
      </c>
      <c r="G7" s="574">
        <f>AVERAGE(D14:J14)</f>
        <v>156.90066592171161</v>
      </c>
      <c r="H7" s="575"/>
      <c r="I7" s="574">
        <f>AVERAGE(K14:M14)</f>
        <v>133.36841159392728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0.95885870802215734</v>
      </c>
      <c r="F8" s="577">
        <f>AVERAGE(D15:J15,D33:O33)</f>
        <v>0.95914090012026654</v>
      </c>
      <c r="G8" s="578">
        <f>AVERAGE(D15:J15)</f>
        <v>0.95914090012026654</v>
      </c>
      <c r="H8" s="579"/>
      <c r="I8" s="578">
        <f>AVERAGE(K15:M15)</f>
        <v>0.95820025979323642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598</v>
      </c>
      <c r="N9" s="42"/>
      <c r="O9" s="42"/>
      <c r="P9" s="42"/>
      <c r="Q9" s="42"/>
    </row>
    <row r="10" spans="2:17" ht="30" customHeight="1">
      <c r="B10" s="552" t="s">
        <v>220</v>
      </c>
      <c r="C10" s="553"/>
      <c r="D10" s="554" t="s">
        <v>599</v>
      </c>
      <c r="E10" s="555"/>
      <c r="F10" s="555"/>
      <c r="G10" s="555"/>
      <c r="H10" s="555"/>
      <c r="I10" s="555"/>
      <c r="J10" s="556"/>
      <c r="K10" s="557" t="s">
        <v>600</v>
      </c>
      <c r="L10" s="558"/>
      <c r="M10" s="559"/>
      <c r="P10" s="48"/>
      <c r="Q10" s="48"/>
    </row>
    <row r="11" spans="2:17" ht="17.25" customHeight="1">
      <c r="B11" s="560" t="s">
        <v>601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602</v>
      </c>
      <c r="C13" s="55" t="s">
        <v>603</v>
      </c>
      <c r="D13" s="56">
        <f>SUMIFS('0906 4度C'!$K:$K,'0906 4度C'!$A:$A,"新豐6線",'0906 4度C'!$B:$B,"平均")</f>
        <v>129.03225806451613</v>
      </c>
      <c r="E13" s="57">
        <f>SUMIFS('0906 4度C'!$K:$K,'0906 4度C'!$A:$A,"新豐2線",'0906 4度C'!$B:$B,"平均")</f>
        <v>81.081081081081081</v>
      </c>
      <c r="F13" s="58">
        <f>SUMIFS('0906 4度C'!$K:$K,'0906 4度C'!$A:$A,"新豐5線",'0906 4度C'!$B:$B,"平均")</f>
        <v>109.02255639097744</v>
      </c>
      <c r="G13" s="58">
        <f>SUMIFS('0906 4度C'!$K:$K,'0906 4度C'!$A:$A,"新豐7線",'0906 4度C'!$B:$B,"平均")</f>
        <v>129.62962962962962</v>
      </c>
      <c r="H13" s="58">
        <f>SUMIFS('0906 4度C'!$K:$K,'0906 4度C'!$A:$A,"新豐3線",'0906 4度C'!$B:$B,"平均")</f>
        <v>300</v>
      </c>
      <c r="I13" s="58">
        <f>SUMIFS('0906 4度C'!$K:$K,'0906 4度C'!$A:$A,"新豐1線",'0906 4度C'!$B:$B,"平均")</f>
        <v>107.78443113772454</v>
      </c>
      <c r="J13" s="59">
        <f>SUMIFS('0906 4度C'!$K:$K,'0906 4度C'!$A:$A,"新豐10線",'0906 4度C'!$B:$B,"平均")</f>
        <v>288.46153846153845</v>
      </c>
      <c r="K13" s="60">
        <f>SUMIFS('0906 4度C'!$K:$K,'0906 4度C'!$A:$A,"新豐8線",'0906 4度C'!$B:$B,"平均")</f>
        <v>144.96644295302013</v>
      </c>
      <c r="L13" s="61">
        <f>SUMIFS('0906 4度C'!$K:$K,'0906 4度C'!$A:$A,"新豐9線",'0906 4度C'!$B:$B,"平均")</f>
        <v>140.25974025974025</v>
      </c>
      <c r="M13" s="59">
        <f>SUMIFS('0906 4度C'!$K:$K,'0906 4度C'!$A:$A,"新豐4線",'0906 4度C'!$B:$B,"平均")</f>
        <v>132.33082706766916</v>
      </c>
    </row>
    <row r="14" spans="2:17" ht="39.6" customHeight="1">
      <c r="B14" s="565"/>
      <c r="C14" s="62" t="s">
        <v>604</v>
      </c>
      <c r="D14" s="63">
        <f>SUMIFS('0906 4度C'!$N:$N,'0906 4度C'!$A:$A,"新豐6線",'0906 4度C'!$B:$B,"平均")</f>
        <v>124.29362089747721</v>
      </c>
      <c r="E14" s="64">
        <f>SUMIFS('0906 4度C'!$N:$N,'0906 4度C'!$A:$A,"新豐2線",'0906 4度C'!$B:$B,"平均")</f>
        <v>77.461707107355906</v>
      </c>
      <c r="F14" s="64">
        <f>SUMIFS('0906 4度C'!$N:$N,'0906 4度C'!$A:$A,"新豐5線",'0906 4度C'!$B:$B,"平均")</f>
        <v>104.30378543030923</v>
      </c>
      <c r="G14" s="64">
        <f>SUMIFS('0906 4度C'!$N:$N,'0906 4度C'!$A:$A,"新豐7線",'0906 4度C'!$B:$B,"平均")</f>
        <v>124.46006446053211</v>
      </c>
      <c r="H14" s="64">
        <f>SUMIFS('0906 4度C'!$N:$N,'0906 4度C'!$A:$A,"新豐3線",'0906 4度C'!$B:$B,"平均")</f>
        <v>287.15350291467934</v>
      </c>
      <c r="I14" s="64">
        <f>SUMIFS('0906 4度C'!$N:$N,'0906 4度C'!$A:$A,"新豐1線",'0906 4度C'!$B:$B,"平均")</f>
        <v>103.56180651653135</v>
      </c>
      <c r="J14" s="65">
        <f>SUMIFS('0906 4度C'!$N:$N,'0906 4度C'!$A:$A,"新豐10線",'0906 4度C'!$B:$B,"平均")</f>
        <v>277.07017412509623</v>
      </c>
      <c r="K14" s="66">
        <f>SUMIFS('0906 4度C'!$N:$N,'0906 4度C'!$A:$A,"新豐8線",'0906 4度C'!$B:$B,"平均")</f>
        <v>138.8335890185634</v>
      </c>
      <c r="L14" s="67">
        <f>SUMIFS('0906 4度C'!$N:$N,'0906 4度C'!$A:$A,"新豐9線",'0906 4度C'!$B:$B,"平均")</f>
        <v>134.54529249916519</v>
      </c>
      <c r="M14" s="65">
        <f>SUMIFS('0906 4度C'!$N:$N,'0906 4度C'!$A:$A,"新豐4線",'0906 4度C'!$B:$B,"平均")</f>
        <v>126.72635326405323</v>
      </c>
    </row>
    <row r="15" spans="2:17" ht="40.15" customHeight="1">
      <c r="B15" s="566"/>
      <c r="C15" s="68" t="s">
        <v>227</v>
      </c>
      <c r="D15" s="69">
        <f t="shared" ref="D15:M15" si="0">D14/D13</f>
        <v>0.96327556195544839</v>
      </c>
      <c r="E15" s="70">
        <f t="shared" si="0"/>
        <v>0.95536105432405616</v>
      </c>
      <c r="F15" s="70">
        <f t="shared" si="0"/>
        <v>0.95671748015387093</v>
      </c>
      <c r="G15" s="70">
        <f t="shared" si="0"/>
        <v>0.96012049726696203</v>
      </c>
      <c r="H15" s="70">
        <f t="shared" si="0"/>
        <v>0.95717834304893112</v>
      </c>
      <c r="I15" s="70">
        <f t="shared" si="0"/>
        <v>0.96082342712559654</v>
      </c>
      <c r="J15" s="71">
        <f t="shared" si="0"/>
        <v>0.96050993696700027</v>
      </c>
      <c r="K15" s="69">
        <f t="shared" si="0"/>
        <v>0.95769466498916422</v>
      </c>
      <c r="L15" s="70">
        <f t="shared" si="0"/>
        <v>0.95925810392923327</v>
      </c>
      <c r="M15" s="71">
        <f t="shared" si="0"/>
        <v>0.95764801046131143</v>
      </c>
    </row>
    <row r="16" spans="2:17" ht="17.25" customHeight="1">
      <c r="B16" s="567" t="s">
        <v>605</v>
      </c>
      <c r="C16" s="72" t="s">
        <v>606</v>
      </c>
      <c r="D16" s="73">
        <f>VLOOKUP("新豐6線",'0906 4度C'!$A:$T,19,0)</f>
        <v>0.70833333333333337</v>
      </c>
      <c r="E16" s="74">
        <f>VLOOKUP("新豐2線",'0906 4度C'!$A:$T,19,0)</f>
        <v>8.3333333333333329E-2</v>
      </c>
      <c r="F16" s="74">
        <f>VLOOKUP("新豐5線",'0906 4度C'!$A:$T,19,0)</f>
        <v>0.20833333333333334</v>
      </c>
      <c r="G16" s="74">
        <f>VLOOKUP("新豐7線",'0906 4度C'!$A:$T,19,0)</f>
        <v>0.20833333333333334</v>
      </c>
      <c r="H16" s="74">
        <f>VLOOKUP("新豐3線",'0906 4度C'!$A:$T,19,0)</f>
        <v>0.20833333333333334</v>
      </c>
      <c r="I16" s="74">
        <f>VLOOKUP("新豐1線",'0906 4度C'!$A:$T,19,0)</f>
        <v>0.20833333333333334</v>
      </c>
      <c r="J16" s="75">
        <f>VLOOKUP("新豐10線",'0906 4度C'!$A:$T,19,0)</f>
        <v>0.20833333333333334</v>
      </c>
      <c r="K16" s="76">
        <f>VLOOKUP("新豐8線",'0906 4度C'!$A:$T,19,0)</f>
        <v>8.3333333333333329E-2</v>
      </c>
      <c r="L16" s="77">
        <f>VLOOKUP("新豐9線",'0906 4度C'!$A:$T,19,0)</f>
        <v>8.3333333333333329E-2</v>
      </c>
      <c r="M16" s="78">
        <f>VLOOKUP("新豐4線",'0906 4度C'!$A:$T,19,0)</f>
        <v>8.3333333333333329E-2</v>
      </c>
    </row>
    <row r="17" spans="2:13" ht="17.25" customHeight="1">
      <c r="B17" s="568"/>
      <c r="C17" s="72" t="s">
        <v>607</v>
      </c>
      <c r="D17" s="76">
        <f>LOOKUP(2,1/(('0906 4度C'!$A:$A="新豐6線")*('0906 4度C'!$T:$T&lt;&gt;"")),'0906 4度C'!$T:$T)</f>
        <v>0.93472222222222223</v>
      </c>
      <c r="E17" s="74">
        <f>LOOKUP(2,1/(('0906 4度C'!$A:$A="新豐2線")*('0906 4度C'!$T:$T&lt;&gt;"")),'0906 4度C'!$T:$T)</f>
        <v>0.63680555555555551</v>
      </c>
      <c r="F17" s="74">
        <f>LOOKUP(2,1/(('0906 4度C'!$A:$A="新豐5線")*('0906 4度C'!$T:$T&lt;&gt;"")),'0906 4度C'!$T:$T)</f>
        <v>0.92152777777777772</v>
      </c>
      <c r="G17" s="74">
        <f>LOOKUP(2,1/(('0906 4度C'!$A:$A="新豐7線")*('0906 4度C'!$T:$T&lt;&gt;"")),'0906 4度C'!$T:$T)</f>
        <v>0.90486111111111112</v>
      </c>
      <c r="H17" s="74">
        <f>LOOKUP(2,1/(('0906 4度C'!$A:$A="新豐3線")*('0906 4度C'!$T:$T&lt;&gt;"")),'0906 4度C'!$T:$T)</f>
        <v>0.46666666666666667</v>
      </c>
      <c r="I17" s="74">
        <f>LOOKUP(2,1/(('0906 4度C'!$A:$A="新豐1線")*('0906 4度C'!$T:$T&lt;&gt;"")),'0906 4度C'!$T:$T)</f>
        <v>0.93263888888888891</v>
      </c>
      <c r="J17" s="75">
        <f>LOOKUP(2,1/(('0906 4度C'!$A:$A="新豐10線")*('0906 4度C'!$T:$T&lt;&gt;"")),'0906 4度C'!$T:$T)</f>
        <v>0.44861111111111107</v>
      </c>
      <c r="K17" s="73">
        <f>LOOKUP(2,1/(('0906 4度C'!$A:$A="新豐8線")*('0906 4度C'!$T:$T&lt;&gt;"")),'0906 4度C'!$T:$T)</f>
        <v>0.77569444444444435</v>
      </c>
      <c r="L17" s="74">
        <f>LOOKUP(2,1/(('0906 4度C'!$A:$A="新豐9線")*('0906 4度C'!$T:$T&lt;&gt;"")),'0906 4度C'!$T:$T)</f>
        <v>0.77013888888888882</v>
      </c>
      <c r="M17" s="75">
        <f>LOOKUP(2,1/(('0906 4度C'!$A:$A="新豐4線")*('0906 4度C'!$T:$T&lt;&gt;"")),'0906 4度C'!$T:$T)</f>
        <v>0.78680555555555542</v>
      </c>
    </row>
    <row r="18" spans="2:13" ht="17.25" customHeight="1">
      <c r="B18" s="546" t="s">
        <v>608</v>
      </c>
      <c r="C18" s="79" t="s">
        <v>609</v>
      </c>
      <c r="D18" s="80">
        <f>SUMIFS('0906 4度C'!$Y:$Y,'0906 4度C'!$A:$A,"新豐6線",'0906 4度C'!$B:$B,"平均")</f>
        <v>0</v>
      </c>
      <c r="E18" s="81">
        <f>SUMIFS('0906 4度C'!$Y:$Y,'0906 4度C'!$A:$A,"新豐2線",'0906 4度C'!$B:$B,"平均")</f>
        <v>0</v>
      </c>
      <c r="F18" s="81">
        <f>SUMIFS('0906 4度C'!$Y:$Y,'0906 4度C'!$A:$A,"新豐5線",'0906 4度C'!$B:$B,"平均")</f>
        <v>0</v>
      </c>
      <c r="G18" s="81">
        <f>SUMIFS('0906 4度C'!$Y:$Y,'0906 4度C'!$A:$A,"新豐7線",'0906 4度C'!$B:$B,"平均")</f>
        <v>0</v>
      </c>
      <c r="H18" s="81">
        <f>SUMIFS('0906 4度C'!$Y:$Y,'0906 4度C'!$A:$A,"新豐3線",'0906 4度C'!$B:$B,"平均")</f>
        <v>0</v>
      </c>
      <c r="I18" s="81">
        <f>SUMIFS('0906 4度C'!$Y:$Y,'0906 4度C'!$A:$A,"新豐1線",'0906 4度C'!$B:$B,"平均")</f>
        <v>0</v>
      </c>
      <c r="J18" s="82">
        <f>SUMIFS('0906 4度C'!$Y:$Y,'0906 4度C'!$A:$A,"新豐10線",'0906 4度C'!$B:$B,"平均")</f>
        <v>0</v>
      </c>
      <c r="K18" s="83">
        <f>SUMIFS('0906 4度C'!$Y:$Y,'0906 4度C'!$A:$A,"新豐8線",'0906 4度C'!$B:$B,"平均")</f>
        <v>0</v>
      </c>
      <c r="L18" s="81">
        <f>SUMIFS('0906 4度C'!$Y:$Y,'0906 4度C'!$A:$A,"新豐9線",'0906 4度C'!$B:$B,"平均")</f>
        <v>0</v>
      </c>
      <c r="M18" s="82">
        <f>SUMIFS('0906 4度C'!$Y:$Y,'0906 4度C'!$A:$A,"新豐4線",'0906 4度C'!$B:$B,"平均")</f>
        <v>0</v>
      </c>
    </row>
    <row r="19" spans="2:13" ht="17.25" customHeight="1">
      <c r="B19" s="547"/>
      <c r="C19" s="79" t="s">
        <v>610</v>
      </c>
      <c r="D19" s="80">
        <f>SUMIFS('0906 4度C'!$Z:$Z,'0906 4度C'!$A:$A,"新豐6線",'0906 4度C'!$B:$B,"平均")</f>
        <v>0</v>
      </c>
      <c r="E19" s="81">
        <f>SUMIFS('0906 4度C'!$Z:$Z,'0906 4度C'!$A:$A,"新豐2線",'0906 4度C'!$B:$B,"平均")</f>
        <v>0</v>
      </c>
      <c r="F19" s="81">
        <f>SUMIFS('0906 4度C'!$Z:$Z,'0906 4度C'!$A:$A,"新豐5線",'0906 4度C'!$B:$B,"平均")</f>
        <v>0</v>
      </c>
      <c r="G19" s="81">
        <f>SUMIFS('0906 4度C'!$Z:$Z,'0906 4度C'!$A:$A,"新豐7線",'0906 4度C'!$B:$B,"平均")</f>
        <v>0</v>
      </c>
      <c r="H19" s="81">
        <f>SUMIFS('0906 4度C'!$Z:$Z,'0906 4度C'!$A:$A,"新豐3線",'0906 4度C'!$B:$B,"平均")</f>
        <v>0</v>
      </c>
      <c r="I19" s="81">
        <f>SUMIFS('0906 4度C'!$Z:$Z,'0906 4度C'!$A:$A,"新豐1線",'0906 4度C'!$B:$B,"平均")</f>
        <v>0</v>
      </c>
      <c r="J19" s="82">
        <f>SUMIFS('0906 4度C'!$Z:$Z,'0906 4度C'!$A:$A,"新豐10線",'0906 4度C'!$B:$B,"平均")</f>
        <v>0</v>
      </c>
      <c r="K19" s="83">
        <f>SUMIFS('0906 4度C'!$Z:$Z,'0906 4度C'!$A:$A,"新豐8線",'0906 4度C'!$B:$B,"平均")</f>
        <v>0</v>
      </c>
      <c r="L19" s="81">
        <f>SUMIFS('0906 4度C'!$Z:$Z,'0906 4度C'!$A:$A,"新豐9線",'0906 4度C'!$B:$B,"平均")</f>
        <v>0</v>
      </c>
      <c r="M19" s="82">
        <f>SUMIFS('0906 4度C'!$Z:$Z,'0906 4度C'!$A:$A,"新豐4線",'0906 4度C'!$B:$B,"平均")</f>
        <v>0</v>
      </c>
    </row>
    <row r="20" spans="2:13" ht="17.25" customHeight="1">
      <c r="B20" s="546" t="s">
        <v>611</v>
      </c>
      <c r="C20" s="79" t="s">
        <v>612</v>
      </c>
      <c r="D20" s="80">
        <f>SUMIFS('0906 4度C'!$AC:$AC,'0906 4度C'!$A:$A,"新豐6線",'0906 4度C'!$B:$B,"平均")</f>
        <v>4</v>
      </c>
      <c r="E20" s="81">
        <f>SUMIFS('0906 4度C'!$AC:$AC,'0906 4度C'!$A:$A,"新豐2線",'0906 4度C'!$B:$B,"平均")</f>
        <v>4</v>
      </c>
      <c r="F20" s="81">
        <f>SUMIFS('0906 4度C'!$AC:$AC,'0906 4度C'!$A:$A,"新豐5線",'0906 4度C'!$B:$B,"平均")</f>
        <v>8</v>
      </c>
      <c r="G20" s="81">
        <f>SUMIFS('0906 4度C'!$AC:$AC,'0906 4度C'!$A:$A,"新豐7線",'0906 4度C'!$B:$B,"平均")</f>
        <v>7</v>
      </c>
      <c r="H20" s="81">
        <f>SUMIFS('0906 4度C'!$AC:$AC,'0906 4度C'!$A:$A,"新豐3線",'0906 4度C'!$B:$B,"平均")</f>
        <v>3</v>
      </c>
      <c r="I20" s="81">
        <f>SUMIFS('0906 4度C'!$AC:$AC,'0906 4度C'!$A:$A,"新豐1線",'0906 4度C'!$B:$B,"平均")</f>
        <v>9</v>
      </c>
      <c r="J20" s="82">
        <f>SUMIFS('0906 4度C'!$AC:$AC,'0906 4度C'!$A:$A,"新豐10線",'0906 4度C'!$B:$B,"平均")</f>
        <v>5</v>
      </c>
      <c r="K20" s="83">
        <f>SUMIFS('0906 4度C'!$AC:$AC,'0906 4度C'!$A:$A,"新豐8線",'0906 4度C'!$B:$B,"平均")</f>
        <v>9</v>
      </c>
      <c r="L20" s="81">
        <f>SUMIFS('0906 4度C'!$AC:$AC,'0906 4度C'!$A:$A,"新豐9線",'0906 4度C'!$B:$B,"平均")</f>
        <v>9</v>
      </c>
      <c r="M20" s="82">
        <f>SUMIFS('0906 4度C'!$AC:$AC,'0906 4度C'!$A:$A,"新豐4線",'0906 4度C'!$B:$B,"平均")</f>
        <v>8</v>
      </c>
    </row>
    <row r="21" spans="2:13" ht="17.25" customHeight="1">
      <c r="B21" s="547"/>
      <c r="C21" s="79" t="s">
        <v>334</v>
      </c>
      <c r="D21" s="80">
        <f>SUMIFS('0906 4度C'!$AD:$AD,'0906 4度C'!$A:$A,"新豐6線",'0906 4度C'!$B:$B,"平均")</f>
        <v>0</v>
      </c>
      <c r="E21" s="81">
        <f>SUMIFS('0906 4度C'!$AD:$AD,'0906 4度C'!$A:$A,"新豐2線",'0906 4度C'!$B:$B,"平均")</f>
        <v>0</v>
      </c>
      <c r="F21" s="81">
        <f>SUMIFS('0906 4度C'!$AD:$AD,'0906 4度C'!$A:$A,"新豐5線",'0906 4度C'!$B:$B,"平均")</f>
        <v>0</v>
      </c>
      <c r="G21" s="81">
        <f>SUMIFS('0906 4度C'!$AD:$AD,'0906 4度C'!$A:$A,"新豐7線",'0906 4度C'!$B:$B,"平均")</f>
        <v>0</v>
      </c>
      <c r="H21" s="81">
        <f>SUMIFS('0906 4度C'!$AD:$AD,'0906 4度C'!$A:$A,"新豐3線",'0906 4度C'!$B:$B,"平均")</f>
        <v>0</v>
      </c>
      <c r="I21" s="81">
        <f>SUMIFS('0906 4度C'!$AD:$AD,'0906 4度C'!$A:$A,"新豐1線",'0906 4度C'!$B:$B,"平均")</f>
        <v>0</v>
      </c>
      <c r="J21" s="82">
        <f>SUMIFS('0906 4度C'!$AD:$AD,'0906 4度C'!$A:$A,"新豐10線",'0906 4度C'!$B:$B,"平均")</f>
        <v>0</v>
      </c>
      <c r="K21" s="83">
        <f>SUMIFS('0906 4度C'!$AD:$AD,'0906 4度C'!$A:$A,"新豐8線",'0906 4度C'!$B:$B,"平均")</f>
        <v>0</v>
      </c>
      <c r="L21" s="81">
        <f>SUMIFS('0906 4度C'!$AD:$AD,'0906 4度C'!$A:$A,"新豐9線",'0906 4度C'!$B:$B,"平均")</f>
        <v>0</v>
      </c>
      <c r="M21" s="82">
        <f>SUMIFS('0906 4度C'!$AD:$AD,'0906 4度C'!$A:$A,"新豐4線",'0906 4度C'!$B:$B,"平均")</f>
        <v>0</v>
      </c>
    </row>
    <row r="22" spans="2:13" ht="17.25" customHeight="1">
      <c r="B22" s="548" t="s">
        <v>613</v>
      </c>
      <c r="C22" s="549"/>
      <c r="D22" s="84">
        <f>SUMIFS('0906 4度C'!$I:$I,'0906 4度C'!$A:$A,"新豐6線",'0906 4度C'!$B:$B,"平均")</f>
        <v>15.5</v>
      </c>
      <c r="E22" s="85">
        <f>SUMIFS('0906 4度C'!$I:$I,'0906 4度C'!$A:$A,"新豐2線",'0906 4度C'!$B:$B,"平均")</f>
        <v>18.5</v>
      </c>
      <c r="F22" s="85">
        <f>SUMIFS('0906 4度C'!$I:$I,'0906 4度C'!$A:$A,"新豐5線",'0906 4度C'!$B:$B,"平均")</f>
        <v>16.625</v>
      </c>
      <c r="G22" s="85">
        <f>SUMIFS('0906 4度C'!$I:$I,'0906 4度C'!$A:$A,"新豐7線",'0906 4度C'!$B:$B,"平均")</f>
        <v>15.428571428571429</v>
      </c>
      <c r="H22" s="85">
        <f>SUMIFS('0906 4度C'!$I:$I,'0906 4度C'!$A:$A,"新豐3線",'0906 4度C'!$B:$B,"平均")</f>
        <v>10</v>
      </c>
      <c r="I22" s="85">
        <f>SUMIFS('0906 4度C'!$I:$I,'0906 4度C'!$A:$A,"新豐1線",'0906 4度C'!$B:$B,"平均")</f>
        <v>18.555555555555557</v>
      </c>
      <c r="J22" s="86">
        <f>SUMIFS('0906 4度C'!$I:$I,'0906 4度C'!$A:$A,"新豐10線",'0906 4度C'!$B:$B,"平均")</f>
        <v>10.4</v>
      </c>
      <c r="K22" s="84">
        <f>SUMIFS('0906 4度C'!$I:$I,'0906 4度C'!$A:$A,"新豐8線",'0906 4度C'!$B:$B,"平均")</f>
        <v>16.555555555555557</v>
      </c>
      <c r="L22" s="85">
        <f>SUMIFS('0906 4度C'!$I:$I,'0906 4度C'!$A:$A,"新豐9線",'0906 4度C'!$B:$B,"平均")</f>
        <v>17.111111111111111</v>
      </c>
      <c r="M22" s="86">
        <f>SUMIFS('0906 4度C'!$I:$I,'0906 4度C'!$A:$A,"新豐4線",'0906 4度C'!$B:$B,"平均")</f>
        <v>16.625</v>
      </c>
    </row>
    <row r="23" spans="2:13" ht="17.25" customHeight="1">
      <c r="B23" s="548" t="s">
        <v>614</v>
      </c>
      <c r="C23" s="549"/>
      <c r="D23" s="87" t="s">
        <v>69</v>
      </c>
      <c r="E23" s="88" t="s">
        <v>70</v>
      </c>
      <c r="F23" s="88" t="s">
        <v>615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616</v>
      </c>
      <c r="L23" s="88" t="s">
        <v>617</v>
      </c>
      <c r="M23" s="89" t="s">
        <v>616</v>
      </c>
    </row>
    <row r="24" spans="2:13" ht="17.25" customHeight="1">
      <c r="B24" s="548" t="s">
        <v>618</v>
      </c>
      <c r="C24" s="549"/>
      <c r="D24" s="87"/>
      <c r="E24" s="88"/>
      <c r="F24" s="88" t="s">
        <v>619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620</v>
      </c>
      <c r="C25" s="551"/>
      <c r="D25" s="90"/>
      <c r="E25" s="91" t="s">
        <v>621</v>
      </c>
      <c r="F25" s="544" t="s">
        <v>622</v>
      </c>
      <c r="G25" s="545"/>
      <c r="H25" s="91" t="s">
        <v>623</v>
      </c>
      <c r="I25" s="91" t="s">
        <v>130</v>
      </c>
      <c r="J25" s="92" t="s">
        <v>623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53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1"/>
  <sheetViews>
    <sheetView zoomScale="80" zoomScaleNormal="80" workbookViewId="0">
      <pane ySplit="4" topLeftCell="A50" activePane="bottomLeft" state="frozen"/>
      <selection activeCell="A9" sqref="A9"/>
      <selection pane="bottomLeft" activeCell="D64" sqref="D6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624</v>
      </c>
      <c r="B1" s="1"/>
      <c r="C1" s="2" t="s">
        <v>625</v>
      </c>
      <c r="D1" s="3">
        <f>SUM(F5:F80)</f>
        <v>202915</v>
      </c>
      <c r="E1" s="177" t="s">
        <v>626</v>
      </c>
      <c r="F1" s="1">
        <f>SUM(G5:G80)</f>
        <v>7001459.9699999988</v>
      </c>
      <c r="G1" s="1" t="s">
        <v>627</v>
      </c>
      <c r="H1" s="4">
        <f>L9+L14+L55+L65+L23+L71+L41+L51+L31+L80</f>
        <v>155.30079365079365</v>
      </c>
      <c r="I1" s="660" t="s">
        <v>628</v>
      </c>
      <c r="J1" s="660"/>
      <c r="K1" s="660"/>
      <c r="L1" s="660" t="s">
        <v>629</v>
      </c>
      <c r="M1" s="660"/>
      <c r="N1" s="660"/>
      <c r="O1" s="660" t="s">
        <v>630</v>
      </c>
      <c r="P1" s="660"/>
      <c r="Q1" s="660"/>
      <c r="R1" s="660"/>
      <c r="S1" s="660" t="s">
        <v>631</v>
      </c>
      <c r="T1" s="660"/>
      <c r="U1" s="660"/>
      <c r="V1" s="660"/>
      <c r="W1" s="660"/>
      <c r="X1" s="660"/>
      <c r="Y1" s="5" t="s">
        <v>632</v>
      </c>
      <c r="Z1" s="6" t="s">
        <v>633</v>
      </c>
      <c r="AA1" s="661" t="s">
        <v>634</v>
      </c>
      <c r="AB1" s="661"/>
      <c r="AC1" s="7" t="s">
        <v>632</v>
      </c>
      <c r="AD1" s="6" t="s">
        <v>635</v>
      </c>
      <c r="AE1" s="660" t="s">
        <v>145</v>
      </c>
      <c r="AF1" s="662"/>
      <c r="AG1" s="662"/>
    </row>
    <row r="2" spans="1:33" ht="26.25" customHeight="1">
      <c r="A2" s="27">
        <v>46271</v>
      </c>
      <c r="B2" s="28" t="s">
        <v>580</v>
      </c>
      <c r="C2" s="2" t="s">
        <v>602</v>
      </c>
      <c r="D2" s="9">
        <f>AVERAGE(N9,N14,N55,N65,N23,N71,N31,N41,N51,N80)</f>
        <v>149.84098962337629</v>
      </c>
      <c r="E2" s="10" t="s">
        <v>0</v>
      </c>
      <c r="F2" s="11">
        <f>F1/D1</f>
        <v>34.504398245570798</v>
      </c>
      <c r="G2" s="1" t="s">
        <v>636</v>
      </c>
      <c r="H2" s="174">
        <f>COUNT(H5:H80)</f>
        <v>15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SUM(Y9+Y14+Y23+Y31+Y41+Y51+Y55+Y65+Y71+Y80)</f>
        <v>0</v>
      </c>
      <c r="Z2" s="12">
        <f>SUM(Z9+Z14+Z23+Z31+Z41+Z51+Z55+Z65+Z71+Z80)</f>
        <v>0</v>
      </c>
      <c r="AA2" s="661"/>
      <c r="AB2" s="661"/>
      <c r="AC2" s="12">
        <f>SUM(AC9+AC14+AC23+AC31+AC41+AC51+AC55+AC65+AC71+AC80)</f>
        <v>66</v>
      </c>
      <c r="AD2" s="12">
        <f>SUM(AD9+AD14+AD23+AD31+AD41+AD51+AD55+AD65+AD71+AD80)</f>
        <v>0</v>
      </c>
      <c r="AE2" s="662"/>
      <c r="AF2" s="662"/>
      <c r="AG2" s="662"/>
    </row>
    <row r="3" spans="1:33" ht="40.5" customHeight="1">
      <c r="A3" s="610" t="s">
        <v>637</v>
      </c>
      <c r="B3" s="610" t="s">
        <v>638</v>
      </c>
      <c r="C3" s="610" t="s">
        <v>639</v>
      </c>
      <c r="D3" s="610"/>
      <c r="E3" s="658" t="s">
        <v>640</v>
      </c>
      <c r="F3" s="610" t="s">
        <v>641</v>
      </c>
      <c r="G3" s="658" t="s">
        <v>642</v>
      </c>
      <c r="H3" s="651" t="s">
        <v>643</v>
      </c>
      <c r="I3" s="649" t="s">
        <v>644</v>
      </c>
      <c r="J3" s="646" t="s">
        <v>645</v>
      </c>
      <c r="K3" s="656" t="s">
        <v>602</v>
      </c>
      <c r="L3" s="649" t="s">
        <v>156</v>
      </c>
      <c r="M3" s="646" t="s">
        <v>645</v>
      </c>
      <c r="N3" s="656" t="s">
        <v>602</v>
      </c>
      <c r="O3" s="649" t="s">
        <v>644</v>
      </c>
      <c r="P3" s="656" t="s">
        <v>602</v>
      </c>
      <c r="Q3" s="647" t="s">
        <v>646</v>
      </c>
      <c r="R3" s="623" t="s">
        <v>647</v>
      </c>
      <c r="S3" s="657" t="s">
        <v>1</v>
      </c>
      <c r="T3" s="657"/>
      <c r="U3" s="651" t="s">
        <v>2</v>
      </c>
      <c r="V3" s="651" t="s">
        <v>648</v>
      </c>
      <c r="W3" s="610" t="s">
        <v>649</v>
      </c>
      <c r="X3" s="610"/>
      <c r="Y3" s="652" t="s">
        <v>650</v>
      </c>
      <c r="Z3" s="609"/>
      <c r="AA3" s="653" t="s">
        <v>651</v>
      </c>
      <c r="AB3" s="654"/>
      <c r="AC3" s="652" t="s">
        <v>278</v>
      </c>
      <c r="AD3" s="609"/>
      <c r="AE3" s="646" t="s">
        <v>645</v>
      </c>
      <c r="AF3" s="647" t="s">
        <v>646</v>
      </c>
      <c r="AG3" s="623" t="s">
        <v>652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180" t="s">
        <v>3</v>
      </c>
      <c r="T4" s="180" t="s">
        <v>4</v>
      </c>
      <c r="U4" s="651"/>
      <c r="V4" s="651"/>
      <c r="W4" s="177" t="s">
        <v>653</v>
      </c>
      <c r="X4" s="177" t="s">
        <v>654</v>
      </c>
      <c r="Y4" s="179" t="s">
        <v>655</v>
      </c>
      <c r="Z4" s="179" t="s">
        <v>610</v>
      </c>
      <c r="AA4" s="655"/>
      <c r="AB4" s="654"/>
      <c r="AC4" s="179" t="s">
        <v>656</v>
      </c>
      <c r="AD4" s="179" t="s">
        <v>657</v>
      </c>
      <c r="AE4" s="646"/>
      <c r="AF4" s="647"/>
      <c r="AG4" s="623"/>
    </row>
    <row r="5" spans="1:33">
      <c r="A5" s="648" t="s">
        <v>658</v>
      </c>
      <c r="B5" s="33" t="s">
        <v>6</v>
      </c>
      <c r="C5" s="650" t="s">
        <v>7</v>
      </c>
      <c r="D5" s="650"/>
      <c r="E5" s="33">
        <v>50.92</v>
      </c>
      <c r="F5" s="180">
        <v>2683</v>
      </c>
      <c r="G5" s="177">
        <f t="shared" ref="G5:G8" si="0">E5*F5</f>
        <v>136618.36000000002</v>
      </c>
      <c r="H5" s="29" t="s">
        <v>5</v>
      </c>
      <c r="I5" s="175">
        <v>15</v>
      </c>
      <c r="J5" s="30">
        <v>2000</v>
      </c>
      <c r="K5" s="13">
        <f t="shared" ref="K5:K68" si="1">J5/I5</f>
        <v>133.33333333333334</v>
      </c>
      <c r="L5" s="175">
        <v>15</v>
      </c>
      <c r="M5" s="14">
        <f t="shared" ref="M5:M8" si="2">F5/V5*60</f>
        <v>1916.4285714285706</v>
      </c>
      <c r="N5" s="13">
        <f t="shared" ref="N5:N68" si="3">M5/L5</f>
        <v>127.76190476190472</v>
      </c>
      <c r="O5" s="15">
        <f t="shared" ref="O5:O68" si="4">L5-I5</f>
        <v>0</v>
      </c>
      <c r="P5" s="16">
        <f t="shared" ref="P5:P68" si="5">N5-K5</f>
        <v>-5.5714285714286262</v>
      </c>
      <c r="Q5" s="176">
        <f t="shared" ref="Q5:Q68" si="6">N5/K5</f>
        <v>0.95821428571428535</v>
      </c>
      <c r="R5" s="619">
        <f>Q9</f>
        <v>0.96327556195544839</v>
      </c>
      <c r="S5" s="31">
        <v>0.70833333333333337</v>
      </c>
      <c r="T5" s="31">
        <v>0.76666666666666672</v>
      </c>
      <c r="U5" s="177"/>
      <c r="V5" s="178">
        <f t="shared" ref="V5:V8" si="7">(T5-S5)*24*60</f>
        <v>84.000000000000028</v>
      </c>
      <c r="W5" s="17"/>
      <c r="X5" s="17"/>
      <c r="Y5" s="18"/>
      <c r="Z5" s="18"/>
      <c r="AA5" s="610"/>
      <c r="AB5" s="610"/>
      <c r="AC5" s="19">
        <v>4</v>
      </c>
      <c r="AD5" s="19"/>
      <c r="AE5" s="15">
        <f t="shared" ref="AE5:AE64" si="8">M5-J5</f>
        <v>-83.571428571429351</v>
      </c>
      <c r="AF5" s="176">
        <f t="shared" ref="AF5:AF68" si="9">M5/J5</f>
        <v>0.95821428571428535</v>
      </c>
      <c r="AG5" s="619">
        <f>AF9</f>
        <v>0.96327556195544839</v>
      </c>
    </row>
    <row r="6" spans="1:33">
      <c r="A6" s="649" t="s">
        <v>658</v>
      </c>
      <c r="B6" s="33" t="s">
        <v>6</v>
      </c>
      <c r="C6" s="650" t="s">
        <v>8</v>
      </c>
      <c r="D6" s="650"/>
      <c r="E6" s="33">
        <v>50.98</v>
      </c>
      <c r="F6" s="180">
        <v>1000</v>
      </c>
      <c r="G6" s="177">
        <f t="shared" si="0"/>
        <v>50980</v>
      </c>
      <c r="H6" s="29">
        <v>2</v>
      </c>
      <c r="I6" s="175">
        <v>16</v>
      </c>
      <c r="J6" s="30">
        <v>2000</v>
      </c>
      <c r="K6" s="13">
        <f t="shared" si="1"/>
        <v>125</v>
      </c>
      <c r="L6" s="175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176">
        <f t="shared" si="6"/>
        <v>0.96774193548386944</v>
      </c>
      <c r="R6" s="619"/>
      <c r="S6" s="31">
        <v>0.77013888888888893</v>
      </c>
      <c r="T6" s="31">
        <v>0.79166666666666674</v>
      </c>
      <c r="U6" s="177">
        <f t="shared" ref="U6:U8" si="10">IF(S6=TIME(17,0,0),"",(S6-T5)*24*60)</f>
        <v>4.9999999999999822</v>
      </c>
      <c r="V6" s="178">
        <f t="shared" si="7"/>
        <v>31.00000000000005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-64.516129032261006</v>
      </c>
      <c r="AF6" s="176">
        <f t="shared" si="9"/>
        <v>0.96774193548386944</v>
      </c>
      <c r="AG6" s="619"/>
    </row>
    <row r="7" spans="1:33">
      <c r="A7" s="649" t="s">
        <v>658</v>
      </c>
      <c r="B7" s="33" t="s">
        <v>6</v>
      </c>
      <c r="C7" s="641" t="s">
        <v>9</v>
      </c>
      <c r="D7" s="642"/>
      <c r="E7" s="33">
        <v>50.67</v>
      </c>
      <c r="F7" s="180">
        <v>2379</v>
      </c>
      <c r="G7" s="177">
        <f t="shared" si="0"/>
        <v>120543.93000000001</v>
      </c>
      <c r="H7" s="29" t="s">
        <v>5</v>
      </c>
      <c r="I7" s="175">
        <v>15</v>
      </c>
      <c r="J7" s="30">
        <v>2000</v>
      </c>
      <c r="K7" s="13">
        <f t="shared" si="1"/>
        <v>133.33333333333334</v>
      </c>
      <c r="L7" s="175">
        <v>15</v>
      </c>
      <c r="M7" s="14">
        <f t="shared" si="2"/>
        <v>1928.9189189189174</v>
      </c>
      <c r="N7" s="13">
        <f t="shared" si="3"/>
        <v>128.5945945945945</v>
      </c>
      <c r="O7" s="15">
        <f t="shared" si="4"/>
        <v>0</v>
      </c>
      <c r="P7" s="16">
        <f t="shared" si="5"/>
        <v>-4.7387387387388458</v>
      </c>
      <c r="Q7" s="176">
        <f t="shared" si="6"/>
        <v>0.96445945945945866</v>
      </c>
      <c r="R7" s="619"/>
      <c r="S7" s="31">
        <v>0.79652777777777783</v>
      </c>
      <c r="T7" s="31">
        <v>0.84791666666666676</v>
      </c>
      <c r="U7" s="177">
        <f t="shared" si="10"/>
        <v>6.9999999999999751</v>
      </c>
      <c r="V7" s="178">
        <f t="shared" si="7"/>
        <v>74.000000000000057</v>
      </c>
      <c r="W7" s="17">
        <f>T7</f>
        <v>0.84791666666666676</v>
      </c>
      <c r="X7" s="17">
        <f>S8</f>
        <v>0.88819444444444451</v>
      </c>
      <c r="Y7" s="20"/>
      <c r="Z7" s="20"/>
      <c r="AA7" s="614"/>
      <c r="AB7" s="615"/>
      <c r="AC7" s="21"/>
      <c r="AD7" s="21"/>
      <c r="AE7" s="15">
        <f t="shared" si="8"/>
        <v>-71.08108108108263</v>
      </c>
      <c r="AF7" s="176">
        <f t="shared" si="9"/>
        <v>0.96445945945945866</v>
      </c>
      <c r="AG7" s="619"/>
    </row>
    <row r="8" spans="1:33">
      <c r="A8" s="649" t="s">
        <v>658</v>
      </c>
      <c r="B8" s="33" t="s">
        <v>6</v>
      </c>
      <c r="C8" s="641" t="s">
        <v>8</v>
      </c>
      <c r="D8" s="642"/>
      <c r="E8" s="33">
        <v>50.98</v>
      </c>
      <c r="F8" s="180">
        <v>2150</v>
      </c>
      <c r="G8" s="177">
        <f t="shared" si="0"/>
        <v>109607</v>
      </c>
      <c r="H8" s="29" t="s">
        <v>5</v>
      </c>
      <c r="I8" s="175">
        <v>16</v>
      </c>
      <c r="J8" s="30">
        <v>2000</v>
      </c>
      <c r="K8" s="13">
        <f t="shared" si="1"/>
        <v>125</v>
      </c>
      <c r="L8" s="175">
        <v>16</v>
      </c>
      <c r="M8" s="14">
        <f t="shared" si="2"/>
        <v>1925.3731343283609</v>
      </c>
      <c r="N8" s="13">
        <f t="shared" si="3"/>
        <v>120.33582089552256</v>
      </c>
      <c r="O8" s="15">
        <f t="shared" si="4"/>
        <v>0</v>
      </c>
      <c r="P8" s="16">
        <f t="shared" si="5"/>
        <v>-4.6641791044774408</v>
      </c>
      <c r="Q8" s="176">
        <f t="shared" si="6"/>
        <v>0.96268656716418044</v>
      </c>
      <c r="R8" s="619"/>
      <c r="S8" s="31">
        <v>0.88819444444444451</v>
      </c>
      <c r="T8" s="31">
        <v>0.93472222222222223</v>
      </c>
      <c r="U8" s="177">
        <f t="shared" si="10"/>
        <v>57.999999999999957</v>
      </c>
      <c r="V8" s="178">
        <f t="shared" si="7"/>
        <v>66.999999999999915</v>
      </c>
      <c r="W8" s="22"/>
      <c r="X8" s="22"/>
      <c r="Y8" s="94"/>
      <c r="Z8" s="94"/>
      <c r="AA8" s="614"/>
      <c r="AB8" s="615"/>
      <c r="AC8" s="21"/>
      <c r="AD8" s="21"/>
      <c r="AE8" s="15">
        <f t="shared" si="8"/>
        <v>-74.626865671639052</v>
      </c>
      <c r="AF8" s="176">
        <f t="shared" si="9"/>
        <v>0.96268656716418044</v>
      </c>
      <c r="AG8" s="619"/>
    </row>
    <row r="9" spans="1:33">
      <c r="A9" s="649" t="s">
        <v>658</v>
      </c>
      <c r="B9" s="33" t="s">
        <v>659</v>
      </c>
      <c r="C9" s="620"/>
      <c r="D9" s="620"/>
      <c r="E9" s="183"/>
      <c r="F9" s="34"/>
      <c r="G9" s="13"/>
      <c r="H9" s="180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1926.5511239108969</v>
      </c>
      <c r="N9" s="13">
        <f t="shared" si="3"/>
        <v>124.29362089747721</v>
      </c>
      <c r="O9" s="15">
        <f t="shared" si="4"/>
        <v>0</v>
      </c>
      <c r="P9" s="16">
        <f t="shared" si="5"/>
        <v>-4.7386371670389167</v>
      </c>
      <c r="Q9" s="176">
        <f t="shared" si="6"/>
        <v>0.96327556195544839</v>
      </c>
      <c r="R9" s="619"/>
      <c r="S9" s="31"/>
      <c r="T9" s="31"/>
      <c r="U9" s="177"/>
      <c r="V9" s="178"/>
      <c r="W9" s="13"/>
      <c r="X9" s="13"/>
      <c r="Y9" s="24">
        <f>SUM(Y5:Y8)</f>
        <v>0</v>
      </c>
      <c r="Z9" s="24">
        <f>SUM(Z5:Z8)</f>
        <v>0</v>
      </c>
      <c r="AA9" s="609"/>
      <c r="AB9" s="609"/>
      <c r="AC9" s="24">
        <v>4</v>
      </c>
      <c r="AD9" s="24">
        <f>SUM(AD5:AD8)</f>
        <v>0</v>
      </c>
      <c r="AE9" s="15">
        <f t="shared" si="8"/>
        <v>-73.448876089103123</v>
      </c>
      <c r="AF9" s="176">
        <f t="shared" si="9"/>
        <v>0.96327556195544839</v>
      </c>
      <c r="AG9" s="619"/>
    </row>
    <row r="10" spans="1:33" ht="15.75" customHeight="1">
      <c r="A10" s="645" t="s">
        <v>660</v>
      </c>
      <c r="B10" s="33" t="s">
        <v>10</v>
      </c>
      <c r="C10" s="641" t="s">
        <v>14</v>
      </c>
      <c r="D10" s="642"/>
      <c r="E10" s="33">
        <v>39.619999999999997</v>
      </c>
      <c r="F10" s="180">
        <v>2800</v>
      </c>
      <c r="G10" s="177">
        <f t="shared" ref="G10:G13" si="11">E10*F10</f>
        <v>110936</v>
      </c>
      <c r="H10" s="29">
        <v>2</v>
      </c>
      <c r="I10" s="175">
        <v>19</v>
      </c>
      <c r="J10" s="30">
        <v>1500</v>
      </c>
      <c r="K10" s="13">
        <f t="shared" si="1"/>
        <v>78.94736842105263</v>
      </c>
      <c r="L10" s="175">
        <v>19</v>
      </c>
      <c r="M10" s="14">
        <f t="shared" ref="M10:M13" si="12">F10/V10*60</f>
        <v>1435.8974358974358</v>
      </c>
      <c r="N10" s="13">
        <f t="shared" si="3"/>
        <v>75.57354925775978</v>
      </c>
      <c r="O10" s="15">
        <f t="shared" si="4"/>
        <v>0</v>
      </c>
      <c r="P10" s="16">
        <f t="shared" si="5"/>
        <v>-3.3738191632928505</v>
      </c>
      <c r="Q10" s="176">
        <f t="shared" si="6"/>
        <v>0.95726495726495719</v>
      </c>
      <c r="R10" s="619">
        <f>Q14</f>
        <v>0.95536105432405616</v>
      </c>
      <c r="S10" s="31">
        <v>8.3333333333333329E-2</v>
      </c>
      <c r="T10" s="31">
        <v>0.16458333333333333</v>
      </c>
      <c r="U10" s="177"/>
      <c r="V10" s="178">
        <f t="shared" ref="V10:V13" si="13">(T10-S10)*24*60</f>
        <v>117.00000000000001</v>
      </c>
      <c r="W10" s="17">
        <f>T10</f>
        <v>0.16458333333333333</v>
      </c>
      <c r="X10" s="17">
        <f>S11</f>
        <v>0.18472222222222223</v>
      </c>
      <c r="Y10" s="17"/>
      <c r="Z10" s="17"/>
      <c r="AA10" s="610"/>
      <c r="AB10" s="610"/>
      <c r="AC10" s="19">
        <v>4</v>
      </c>
      <c r="AD10" s="19"/>
      <c r="AE10" s="15">
        <f t="shared" si="8"/>
        <v>-64.102564102564202</v>
      </c>
      <c r="AF10" s="176">
        <f t="shared" si="9"/>
        <v>0.95726495726495719</v>
      </c>
      <c r="AG10" s="619">
        <f>AF14</f>
        <v>0.95536105432405616</v>
      </c>
    </row>
    <row r="11" spans="1:33" ht="15.75" customHeight="1">
      <c r="A11" s="645" t="s">
        <v>660</v>
      </c>
      <c r="B11" s="33" t="s">
        <v>10</v>
      </c>
      <c r="C11" s="641" t="s">
        <v>11</v>
      </c>
      <c r="D11" s="642"/>
      <c r="E11" s="33">
        <v>39.799999999999997</v>
      </c>
      <c r="F11" s="180">
        <v>7701</v>
      </c>
      <c r="G11" s="177">
        <f t="shared" si="11"/>
        <v>306499.8</v>
      </c>
      <c r="H11" s="29" t="s">
        <v>5</v>
      </c>
      <c r="I11" s="175">
        <v>17</v>
      </c>
      <c r="J11" s="30">
        <v>1500</v>
      </c>
      <c r="K11" s="13">
        <f t="shared" si="1"/>
        <v>88.235294117647058</v>
      </c>
      <c r="L11" s="175">
        <v>17</v>
      </c>
      <c r="M11" s="14">
        <f t="shared" si="12"/>
        <v>1430.5263157894735</v>
      </c>
      <c r="N11" s="13">
        <f t="shared" si="3"/>
        <v>84.148606811145498</v>
      </c>
      <c r="O11" s="15">
        <f t="shared" si="4"/>
        <v>0</v>
      </c>
      <c r="P11" s="16">
        <f t="shared" si="5"/>
        <v>-4.0866873065015596</v>
      </c>
      <c r="Q11" s="176">
        <f t="shared" si="6"/>
        <v>0.95368421052631569</v>
      </c>
      <c r="R11" s="619"/>
      <c r="S11" s="31">
        <v>0.18472222222222223</v>
      </c>
      <c r="T11" s="31">
        <v>0.40902777777777777</v>
      </c>
      <c r="U11" s="177">
        <f t="shared" ref="U11:U13" si="14">IF(S11=TIME(17,0,0),"",(S11-T10)*24*60)</f>
        <v>29.000000000000018</v>
      </c>
      <c r="V11" s="178">
        <f t="shared" si="13"/>
        <v>323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-69.473684210526471</v>
      </c>
      <c r="AF11" s="176">
        <f t="shared" si="9"/>
        <v>0.95368421052631569</v>
      </c>
      <c r="AG11" s="619"/>
    </row>
    <row r="12" spans="1:33" ht="15.75" customHeight="1">
      <c r="A12" s="645" t="s">
        <v>660</v>
      </c>
      <c r="B12" s="33" t="s">
        <v>10</v>
      </c>
      <c r="C12" s="641" t="s">
        <v>13</v>
      </c>
      <c r="D12" s="642"/>
      <c r="E12" s="33">
        <v>39.520000000000003</v>
      </c>
      <c r="F12" s="180">
        <v>2421</v>
      </c>
      <c r="G12" s="177">
        <f t="shared" si="11"/>
        <v>95677.920000000013</v>
      </c>
      <c r="H12" s="29" t="s">
        <v>5</v>
      </c>
      <c r="I12" s="175">
        <v>19</v>
      </c>
      <c r="J12" s="30">
        <v>1500</v>
      </c>
      <c r="K12" s="13">
        <f t="shared" si="1"/>
        <v>78.94736842105263</v>
      </c>
      <c r="L12" s="175">
        <v>19</v>
      </c>
      <c r="M12" s="14">
        <f t="shared" si="12"/>
        <v>1438.2178217821788</v>
      </c>
      <c r="N12" s="13">
        <f t="shared" si="3"/>
        <v>75.695674830640996</v>
      </c>
      <c r="O12" s="15">
        <f t="shared" si="4"/>
        <v>0</v>
      </c>
      <c r="P12" s="16">
        <f t="shared" si="5"/>
        <v>-3.2516935904116337</v>
      </c>
      <c r="Q12" s="176">
        <f t="shared" si="6"/>
        <v>0.95881188118811933</v>
      </c>
      <c r="R12" s="619"/>
      <c r="S12" s="31">
        <v>0.4145833333333333</v>
      </c>
      <c r="T12" s="31">
        <v>0.48472222222222217</v>
      </c>
      <c r="U12" s="177">
        <f t="shared" si="14"/>
        <v>7.9999999999999716</v>
      </c>
      <c r="V12" s="178">
        <f t="shared" si="13"/>
        <v>100.99999999999996</v>
      </c>
      <c r="W12" s="17">
        <f>T12</f>
        <v>0.48472222222222217</v>
      </c>
      <c r="X12" s="17">
        <f>S13</f>
        <v>0.56666666666666665</v>
      </c>
      <c r="Y12" s="17"/>
      <c r="Z12" s="17"/>
      <c r="AA12" s="610"/>
      <c r="AB12" s="610"/>
      <c r="AC12" s="19"/>
      <c r="AD12" s="19"/>
      <c r="AE12" s="15">
        <f t="shared" si="8"/>
        <v>-61.782178217821183</v>
      </c>
      <c r="AF12" s="176">
        <f t="shared" si="9"/>
        <v>0.95881188118811922</v>
      </c>
      <c r="AG12" s="619"/>
    </row>
    <row r="13" spans="1:33" ht="15.75" customHeight="1">
      <c r="A13" s="645" t="s">
        <v>660</v>
      </c>
      <c r="B13" s="33" t="s">
        <v>10</v>
      </c>
      <c r="C13" s="641" t="s">
        <v>14</v>
      </c>
      <c r="D13" s="642"/>
      <c r="E13" s="33">
        <v>39.619999999999997</v>
      </c>
      <c r="F13" s="180">
        <v>2403</v>
      </c>
      <c r="G13" s="177">
        <f t="shared" si="11"/>
        <v>95206.86</v>
      </c>
      <c r="H13" s="29" t="s">
        <v>5</v>
      </c>
      <c r="I13" s="175">
        <v>19</v>
      </c>
      <c r="J13" s="30">
        <v>1500</v>
      </c>
      <c r="K13" s="13">
        <f t="shared" si="1"/>
        <v>78.94736842105263</v>
      </c>
      <c r="L13" s="175">
        <v>19</v>
      </c>
      <c r="M13" s="14">
        <f t="shared" si="12"/>
        <v>1427.5247524752483</v>
      </c>
      <c r="N13" s="13">
        <f t="shared" si="3"/>
        <v>75.132881709223597</v>
      </c>
      <c r="O13" s="15">
        <f t="shared" si="4"/>
        <v>0</v>
      </c>
      <c r="P13" s="16">
        <f t="shared" si="5"/>
        <v>-3.8144867118290335</v>
      </c>
      <c r="Q13" s="176">
        <f t="shared" si="6"/>
        <v>0.9516831683168322</v>
      </c>
      <c r="R13" s="619"/>
      <c r="S13" s="31">
        <v>0.56666666666666665</v>
      </c>
      <c r="T13" s="31">
        <v>0.63680555555555551</v>
      </c>
      <c r="U13" s="177">
        <f t="shared" si="14"/>
        <v>118.00000000000006</v>
      </c>
      <c r="V13" s="178">
        <f t="shared" si="13"/>
        <v>100.99999999999996</v>
      </c>
      <c r="W13" s="17"/>
      <c r="X13" s="17"/>
      <c r="Y13" s="17"/>
      <c r="Z13" s="17"/>
      <c r="AA13" s="614"/>
      <c r="AB13" s="615"/>
      <c r="AC13" s="19"/>
      <c r="AD13" s="19"/>
      <c r="AE13" s="15">
        <f t="shared" si="8"/>
        <v>-72.475247524751694</v>
      </c>
      <c r="AF13" s="176">
        <f t="shared" si="9"/>
        <v>0.9516831683168322</v>
      </c>
      <c r="AG13" s="619"/>
    </row>
    <row r="14" spans="1:33" ht="16.5" customHeight="1">
      <c r="A14" s="645" t="s">
        <v>660</v>
      </c>
      <c r="B14" s="33" t="s">
        <v>659</v>
      </c>
      <c r="C14" s="620"/>
      <c r="D14" s="620"/>
      <c r="E14" s="183"/>
      <c r="F14" s="30"/>
      <c r="G14" s="14"/>
      <c r="H14" s="180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1433.0415814860842</v>
      </c>
      <c r="N14" s="13">
        <f t="shared" si="3"/>
        <v>77.461707107355906</v>
      </c>
      <c r="O14" s="15">
        <f t="shared" si="4"/>
        <v>0</v>
      </c>
      <c r="P14" s="16">
        <f t="shared" si="5"/>
        <v>-3.6193739737251747</v>
      </c>
      <c r="Q14" s="176">
        <f t="shared" si="6"/>
        <v>0.95536105432405616</v>
      </c>
      <c r="R14" s="619"/>
      <c r="S14" s="31"/>
      <c r="T14" s="31"/>
      <c r="U14" s="13"/>
      <c r="V14" s="178"/>
      <c r="W14" s="13"/>
      <c r="X14" s="13"/>
      <c r="Y14" s="24">
        <f>SUM(Y10:Y13)</f>
        <v>0</v>
      </c>
      <c r="Z14" s="24">
        <f>SUM(Z10:Z13)</f>
        <v>0</v>
      </c>
      <c r="AA14" s="609"/>
      <c r="AB14" s="609"/>
      <c r="AC14" s="24">
        <v>4</v>
      </c>
      <c r="AD14" s="24">
        <f>SUM(AD10:AD13)</f>
        <v>0</v>
      </c>
      <c r="AE14" s="15">
        <f t="shared" si="8"/>
        <v>-66.958418513915831</v>
      </c>
      <c r="AF14" s="176">
        <f t="shared" si="9"/>
        <v>0.95536105432405616</v>
      </c>
      <c r="AG14" s="619"/>
    </row>
    <row r="15" spans="1:33" ht="16.5" customHeight="1">
      <c r="A15" s="643" t="s">
        <v>661</v>
      </c>
      <c r="B15" s="180" t="s">
        <v>15</v>
      </c>
      <c r="C15" s="635" t="s">
        <v>16</v>
      </c>
      <c r="D15" s="635"/>
      <c r="E15" s="33">
        <v>31.11</v>
      </c>
      <c r="F15" s="180">
        <v>3203</v>
      </c>
      <c r="G15" s="177">
        <f t="shared" ref="G15:G22" si="15">E15*F15</f>
        <v>99645.33</v>
      </c>
      <c r="H15" s="29" t="s">
        <v>5</v>
      </c>
      <c r="I15" s="175">
        <v>14</v>
      </c>
      <c r="J15" s="30">
        <v>2000</v>
      </c>
      <c r="K15" s="13">
        <f t="shared" si="1"/>
        <v>142.85714285714286</v>
      </c>
      <c r="L15" s="175">
        <v>14</v>
      </c>
      <c r="M15" s="14">
        <f t="shared" ref="M15:M22" si="16">F15/V15*60</f>
        <v>1921.8000000000002</v>
      </c>
      <c r="N15" s="13">
        <f t="shared" si="3"/>
        <v>137.27142857142857</v>
      </c>
      <c r="O15" s="15">
        <f t="shared" si="4"/>
        <v>0</v>
      </c>
      <c r="P15" s="16">
        <f t="shared" si="5"/>
        <v>-5.585714285714289</v>
      </c>
      <c r="Q15" s="176">
        <f t="shared" si="6"/>
        <v>0.96089999999999998</v>
      </c>
      <c r="R15" s="619">
        <f>Q23</f>
        <v>0.95671748015387093</v>
      </c>
      <c r="S15" s="31">
        <v>0.20833333333333334</v>
      </c>
      <c r="T15" s="31">
        <v>0.27777777777777779</v>
      </c>
      <c r="U15" s="177"/>
      <c r="V15" s="178">
        <f t="shared" ref="V15:V22" si="17">(T15-S15)*24*60</f>
        <v>100</v>
      </c>
      <c r="W15" s="17"/>
      <c r="X15" s="17"/>
      <c r="Y15" s="22"/>
      <c r="Z15" s="22"/>
      <c r="AA15" s="610"/>
      <c r="AB15" s="610"/>
      <c r="AC15" s="19">
        <v>8</v>
      </c>
      <c r="AD15" s="19"/>
      <c r="AE15" s="15">
        <f t="shared" si="8"/>
        <v>-78.199999999999818</v>
      </c>
      <c r="AF15" s="176">
        <f t="shared" si="9"/>
        <v>0.96090000000000009</v>
      </c>
      <c r="AG15" s="619">
        <f>AF23</f>
        <v>0.95671748015387093</v>
      </c>
    </row>
    <row r="16" spans="1:33" ht="16.5" customHeight="1">
      <c r="A16" s="644" t="s">
        <v>661</v>
      </c>
      <c r="B16" s="180" t="s">
        <v>17</v>
      </c>
      <c r="C16" s="635" t="s">
        <v>18</v>
      </c>
      <c r="D16" s="635"/>
      <c r="E16" s="33">
        <v>41</v>
      </c>
      <c r="F16" s="180">
        <v>1906</v>
      </c>
      <c r="G16" s="177">
        <f t="shared" si="15"/>
        <v>78146</v>
      </c>
      <c r="H16" s="29" t="s">
        <v>5</v>
      </c>
      <c r="I16" s="175">
        <v>26</v>
      </c>
      <c r="J16" s="30">
        <v>1500</v>
      </c>
      <c r="K16" s="13">
        <f t="shared" si="1"/>
        <v>57.692307692307693</v>
      </c>
      <c r="L16" s="175">
        <v>26</v>
      </c>
      <c r="M16" s="14">
        <f t="shared" si="16"/>
        <v>1429.4999999999995</v>
      </c>
      <c r="N16" s="13">
        <f t="shared" si="3"/>
        <v>54.980769230769212</v>
      </c>
      <c r="O16" s="15">
        <f t="shared" si="4"/>
        <v>0</v>
      </c>
      <c r="P16" s="16">
        <f t="shared" si="5"/>
        <v>-2.7115384615384812</v>
      </c>
      <c r="Q16" s="176">
        <f t="shared" si="6"/>
        <v>0.95299999999999963</v>
      </c>
      <c r="R16" s="619"/>
      <c r="S16" s="31">
        <v>0.28125</v>
      </c>
      <c r="T16" s="31">
        <v>0.33680555555555558</v>
      </c>
      <c r="U16" s="177">
        <f t="shared" ref="U16:U22" si="18">IF(S16=TIME(17,0,0),"",(S16-T15)*24*60)</f>
        <v>4.9999999999999822</v>
      </c>
      <c r="V16" s="178">
        <f t="shared" si="17"/>
        <v>80.000000000000028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-70.500000000000455</v>
      </c>
      <c r="AF16" s="176">
        <f t="shared" si="9"/>
        <v>0.95299999999999974</v>
      </c>
      <c r="AG16" s="619"/>
    </row>
    <row r="17" spans="1:33" ht="16.5" customHeight="1">
      <c r="A17" s="644" t="s">
        <v>661</v>
      </c>
      <c r="B17" s="180" t="s">
        <v>15</v>
      </c>
      <c r="C17" s="635" t="s">
        <v>76</v>
      </c>
      <c r="D17" s="635"/>
      <c r="E17" s="33">
        <v>68.88</v>
      </c>
      <c r="F17" s="180">
        <v>2161</v>
      </c>
      <c r="G17" s="177">
        <f t="shared" si="15"/>
        <v>148849.68</v>
      </c>
      <c r="H17" s="29" t="s">
        <v>5</v>
      </c>
      <c r="I17" s="175">
        <v>16</v>
      </c>
      <c r="J17" s="30">
        <v>2000</v>
      </c>
      <c r="K17" s="13">
        <f t="shared" si="1"/>
        <v>125</v>
      </c>
      <c r="L17" s="175">
        <v>16</v>
      </c>
      <c r="M17" s="14">
        <f t="shared" si="16"/>
        <v>1906.7647058823532</v>
      </c>
      <c r="N17" s="13">
        <f t="shared" si="3"/>
        <v>119.17279411764707</v>
      </c>
      <c r="O17" s="15">
        <f t="shared" si="4"/>
        <v>0</v>
      </c>
      <c r="P17" s="16">
        <f t="shared" si="5"/>
        <v>-5.8272058823529278</v>
      </c>
      <c r="Q17" s="176">
        <f t="shared" si="6"/>
        <v>0.95338235294117657</v>
      </c>
      <c r="R17" s="619"/>
      <c r="S17" s="31">
        <v>0.34027777777777779</v>
      </c>
      <c r="T17" s="31">
        <v>0.38750000000000001</v>
      </c>
      <c r="U17" s="177">
        <f t="shared" si="18"/>
        <v>4.9999999999999822</v>
      </c>
      <c r="V17" s="178">
        <f t="shared" si="17"/>
        <v>68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-93.235294117646845</v>
      </c>
      <c r="AF17" s="176">
        <f t="shared" si="9"/>
        <v>0.95338235294117657</v>
      </c>
      <c r="AG17" s="619"/>
    </row>
    <row r="18" spans="1:33" ht="16.5" customHeight="1">
      <c r="A18" s="644" t="s">
        <v>661</v>
      </c>
      <c r="B18" s="180" t="s">
        <v>10</v>
      </c>
      <c r="C18" s="635" t="s">
        <v>12</v>
      </c>
      <c r="D18" s="635"/>
      <c r="E18" s="33">
        <v>39.46</v>
      </c>
      <c r="F18" s="180">
        <v>2557</v>
      </c>
      <c r="G18" s="177">
        <f t="shared" si="15"/>
        <v>100899.22</v>
      </c>
      <c r="H18" s="29" t="s">
        <v>5</v>
      </c>
      <c r="I18" s="175">
        <v>15</v>
      </c>
      <c r="J18" s="30">
        <v>1500</v>
      </c>
      <c r="K18" s="13">
        <f t="shared" si="1"/>
        <v>100</v>
      </c>
      <c r="L18" s="175">
        <v>15</v>
      </c>
      <c r="M18" s="14">
        <f t="shared" si="16"/>
        <v>1433.8317757009345</v>
      </c>
      <c r="N18" s="13">
        <f t="shared" si="3"/>
        <v>95.588785046728972</v>
      </c>
      <c r="O18" s="15">
        <f t="shared" si="4"/>
        <v>0</v>
      </c>
      <c r="P18" s="16">
        <f t="shared" si="5"/>
        <v>-4.4112149532710276</v>
      </c>
      <c r="Q18" s="176">
        <f t="shared" si="6"/>
        <v>0.95588785046728975</v>
      </c>
      <c r="R18" s="619"/>
      <c r="S18" s="31">
        <v>0.39305555555555555</v>
      </c>
      <c r="T18" s="31">
        <v>0.46736111111111112</v>
      </c>
      <c r="U18" s="177">
        <f t="shared" si="18"/>
        <v>7.9999999999999716</v>
      </c>
      <c r="V18" s="178">
        <f t="shared" si="17"/>
        <v>107.00000000000001</v>
      </c>
      <c r="W18" s="17"/>
      <c r="X18" s="17"/>
      <c r="Y18" s="17"/>
      <c r="Z18" s="17"/>
      <c r="AA18" s="610"/>
      <c r="AB18" s="610"/>
      <c r="AC18" s="19"/>
      <c r="AD18" s="19"/>
      <c r="AE18" s="15">
        <f t="shared" si="8"/>
        <v>-66.168224299065514</v>
      </c>
      <c r="AF18" s="176">
        <f t="shared" si="9"/>
        <v>0.95588785046728963</v>
      </c>
      <c r="AG18" s="619"/>
    </row>
    <row r="19" spans="1:33" ht="16.5" customHeight="1">
      <c r="A19" s="644" t="s">
        <v>661</v>
      </c>
      <c r="B19" s="180" t="s">
        <v>6</v>
      </c>
      <c r="C19" s="635" t="s">
        <v>20</v>
      </c>
      <c r="D19" s="635"/>
      <c r="E19" s="33">
        <v>54.5</v>
      </c>
      <c r="F19" s="180">
        <v>1379</v>
      </c>
      <c r="G19" s="177">
        <f t="shared" si="15"/>
        <v>75155.5</v>
      </c>
      <c r="H19" s="29" t="s">
        <v>5</v>
      </c>
      <c r="I19" s="175">
        <v>19</v>
      </c>
      <c r="J19" s="30">
        <v>1500</v>
      </c>
      <c r="K19" s="13">
        <f t="shared" si="1"/>
        <v>78.94736842105263</v>
      </c>
      <c r="L19" s="175">
        <v>19</v>
      </c>
      <c r="M19" s="14">
        <f t="shared" si="16"/>
        <v>1426.5517241379321</v>
      </c>
      <c r="N19" s="13">
        <f t="shared" si="3"/>
        <v>75.081669691470111</v>
      </c>
      <c r="O19" s="15">
        <f t="shared" si="4"/>
        <v>0</v>
      </c>
      <c r="P19" s="16">
        <f t="shared" si="5"/>
        <v>-3.8656987295825189</v>
      </c>
      <c r="Q19" s="176">
        <f t="shared" si="6"/>
        <v>0.95103448275862146</v>
      </c>
      <c r="R19" s="619"/>
      <c r="S19" s="31">
        <v>0.70833333333333337</v>
      </c>
      <c r="T19" s="31">
        <v>0.74861111111111112</v>
      </c>
      <c r="U19" s="177" t="str">
        <f t="shared" si="18"/>
        <v/>
      </c>
      <c r="V19" s="178">
        <f t="shared" si="17"/>
        <v>57.999999999999957</v>
      </c>
      <c r="W19" s="17"/>
      <c r="X19" s="17"/>
      <c r="Y19" s="17"/>
      <c r="Z19" s="17"/>
      <c r="AA19" s="610"/>
      <c r="AB19" s="610"/>
      <c r="AC19" s="19"/>
      <c r="AD19" s="19"/>
      <c r="AE19" s="15">
        <f t="shared" si="8"/>
        <v>-73.448275862067931</v>
      </c>
      <c r="AF19" s="176">
        <f t="shared" si="9"/>
        <v>0.95103448275862135</v>
      </c>
      <c r="AG19" s="619"/>
    </row>
    <row r="20" spans="1:33" ht="16.5" customHeight="1">
      <c r="A20" s="644" t="s">
        <v>661</v>
      </c>
      <c r="B20" s="180" t="s">
        <v>6</v>
      </c>
      <c r="C20" s="187" t="s">
        <v>19</v>
      </c>
      <c r="D20" s="188"/>
      <c r="E20" s="33">
        <v>50.67</v>
      </c>
      <c r="F20" s="180">
        <v>2042</v>
      </c>
      <c r="G20" s="177">
        <f t="shared" si="15"/>
        <v>103468.14</v>
      </c>
      <c r="H20" s="29" t="s">
        <v>5</v>
      </c>
      <c r="I20" s="175">
        <v>17</v>
      </c>
      <c r="J20" s="30">
        <v>2000</v>
      </c>
      <c r="K20" s="13">
        <f t="shared" si="1"/>
        <v>117.64705882352941</v>
      </c>
      <c r="L20" s="175">
        <v>17</v>
      </c>
      <c r="M20" s="14">
        <f t="shared" si="16"/>
        <v>1914.375000000002</v>
      </c>
      <c r="N20" s="13">
        <f t="shared" si="3"/>
        <v>112.61029411764719</v>
      </c>
      <c r="O20" s="15">
        <f t="shared" si="4"/>
        <v>0</v>
      </c>
      <c r="P20" s="16">
        <f t="shared" si="5"/>
        <v>-5.03676470588222</v>
      </c>
      <c r="Q20" s="176">
        <f t="shared" si="6"/>
        <v>0.95718750000000108</v>
      </c>
      <c r="R20" s="619"/>
      <c r="S20" s="31">
        <v>0.75208333333333333</v>
      </c>
      <c r="T20" s="31">
        <v>0.79652777777777772</v>
      </c>
      <c r="U20" s="177">
        <f t="shared" si="18"/>
        <v>4.9999999999999822</v>
      </c>
      <c r="V20" s="178">
        <f t="shared" si="17"/>
        <v>63.999999999999929</v>
      </c>
      <c r="W20" s="17"/>
      <c r="X20" s="17"/>
      <c r="Y20" s="20"/>
      <c r="Z20" s="20"/>
      <c r="AA20" s="181"/>
      <c r="AB20" s="182"/>
      <c r="AC20" s="19"/>
      <c r="AD20" s="19"/>
      <c r="AE20" s="15">
        <f t="shared" si="8"/>
        <v>-85.624999999997954</v>
      </c>
      <c r="AF20" s="176">
        <f t="shared" si="9"/>
        <v>0.95718750000000097</v>
      </c>
      <c r="AG20" s="619"/>
    </row>
    <row r="21" spans="1:33" ht="16.5" customHeight="1">
      <c r="A21" s="644" t="s">
        <v>661</v>
      </c>
      <c r="B21" s="180" t="s">
        <v>6</v>
      </c>
      <c r="C21" s="187" t="s">
        <v>45</v>
      </c>
      <c r="D21" s="188"/>
      <c r="E21" s="33">
        <v>51.06</v>
      </c>
      <c r="F21" s="180">
        <v>1000</v>
      </c>
      <c r="G21" s="177">
        <f t="shared" si="15"/>
        <v>51060</v>
      </c>
      <c r="H21" s="29">
        <v>2</v>
      </c>
      <c r="I21" s="175">
        <v>13</v>
      </c>
      <c r="J21" s="30">
        <v>2000</v>
      </c>
      <c r="K21" s="13">
        <f t="shared" si="1"/>
        <v>153.84615384615384</v>
      </c>
      <c r="L21" s="175">
        <v>13</v>
      </c>
      <c r="M21" s="14">
        <f t="shared" si="16"/>
        <v>1935.483870967739</v>
      </c>
      <c r="N21" s="13">
        <f t="shared" si="3"/>
        <v>148.88337468982607</v>
      </c>
      <c r="O21" s="15">
        <f t="shared" si="4"/>
        <v>0</v>
      </c>
      <c r="P21" s="16">
        <f t="shared" si="5"/>
        <v>-4.9627791563277697</v>
      </c>
      <c r="Q21" s="176">
        <f t="shared" si="6"/>
        <v>0.96774193548386944</v>
      </c>
      <c r="R21" s="619"/>
      <c r="S21" s="31">
        <v>0.80069444444444438</v>
      </c>
      <c r="T21" s="31">
        <v>0.82222222222222219</v>
      </c>
      <c r="U21" s="177">
        <f t="shared" si="18"/>
        <v>5.9999999999999787</v>
      </c>
      <c r="V21" s="178">
        <f t="shared" si="17"/>
        <v>31.00000000000005</v>
      </c>
      <c r="W21" s="17">
        <f>T21</f>
        <v>0.82222222222222219</v>
      </c>
      <c r="X21" s="17">
        <f>S22</f>
        <v>0.86388888888888882</v>
      </c>
      <c r="Y21" s="20"/>
      <c r="Z21" s="20"/>
      <c r="AA21" s="181"/>
      <c r="AB21" s="182"/>
      <c r="AC21" s="19"/>
      <c r="AD21" s="19"/>
      <c r="AE21" s="15">
        <f t="shared" si="8"/>
        <v>-64.516129032261006</v>
      </c>
      <c r="AF21" s="176">
        <f t="shared" si="9"/>
        <v>0.96774193548386944</v>
      </c>
      <c r="AG21" s="619"/>
    </row>
    <row r="22" spans="1:33" ht="16.5" customHeight="1">
      <c r="A22" s="644" t="s">
        <v>661</v>
      </c>
      <c r="B22" s="180" t="s">
        <v>6</v>
      </c>
      <c r="C22" s="187" t="s">
        <v>45</v>
      </c>
      <c r="D22" s="188"/>
      <c r="E22" s="33">
        <v>51.06</v>
      </c>
      <c r="F22" s="180">
        <v>2634</v>
      </c>
      <c r="G22" s="177">
        <f t="shared" si="15"/>
        <v>134492.04</v>
      </c>
      <c r="H22" s="29" t="s">
        <v>5</v>
      </c>
      <c r="I22" s="175">
        <v>13</v>
      </c>
      <c r="J22" s="30">
        <v>2000</v>
      </c>
      <c r="K22" s="13">
        <f t="shared" si="1"/>
        <v>153.84615384615384</v>
      </c>
      <c r="L22" s="175">
        <v>13</v>
      </c>
      <c r="M22" s="14">
        <f t="shared" si="16"/>
        <v>1904.096385542168</v>
      </c>
      <c r="N22" s="13">
        <f t="shared" si="3"/>
        <v>146.46895273401293</v>
      </c>
      <c r="O22" s="15">
        <f t="shared" si="4"/>
        <v>0</v>
      </c>
      <c r="P22" s="16">
        <f t="shared" si="5"/>
        <v>-7.3772011121409093</v>
      </c>
      <c r="Q22" s="176">
        <f t="shared" si="6"/>
        <v>0.9520481927710841</v>
      </c>
      <c r="R22" s="619"/>
      <c r="S22" s="31">
        <v>0.86388888888888882</v>
      </c>
      <c r="T22" s="31">
        <v>0.92152777777777772</v>
      </c>
      <c r="U22" s="177">
        <f t="shared" si="18"/>
        <v>59.999999999999943</v>
      </c>
      <c r="V22" s="178">
        <f t="shared" si="17"/>
        <v>83.000000000000028</v>
      </c>
      <c r="W22" s="17"/>
      <c r="X22" s="17"/>
      <c r="Y22" s="20"/>
      <c r="Z22" s="20"/>
      <c r="AA22" s="181"/>
      <c r="AB22" s="182"/>
      <c r="AC22" s="19"/>
      <c r="AD22" s="19"/>
      <c r="AE22" s="15">
        <f t="shared" si="8"/>
        <v>-95.903614457831964</v>
      </c>
      <c r="AF22" s="176">
        <f t="shared" si="9"/>
        <v>0.95204819277108399</v>
      </c>
      <c r="AG22" s="619"/>
    </row>
    <row r="23" spans="1:33" ht="16.5" customHeight="1">
      <c r="A23" s="644" t="s">
        <v>661</v>
      </c>
      <c r="B23" s="33" t="s">
        <v>659</v>
      </c>
      <c r="C23" s="620"/>
      <c r="D23" s="620"/>
      <c r="E23" s="183"/>
      <c r="F23" s="34"/>
      <c r="G23" s="13"/>
      <c r="H23" s="180"/>
      <c r="I23" s="23">
        <v>16.625</v>
      </c>
      <c r="J23" s="30">
        <v>1812.5</v>
      </c>
      <c r="K23" s="13">
        <f t="shared" si="1"/>
        <v>109.02255639097744</v>
      </c>
      <c r="L23" s="23">
        <v>16.625</v>
      </c>
      <c r="M23" s="14">
        <f>AVERAGE(M15:M22)</f>
        <v>1734.050432778891</v>
      </c>
      <c r="N23" s="13">
        <f t="shared" si="3"/>
        <v>104.30378543030923</v>
      </c>
      <c r="O23" s="15">
        <f t="shared" si="4"/>
        <v>0</v>
      </c>
      <c r="P23" s="16">
        <f t="shared" si="5"/>
        <v>-4.7187709606682091</v>
      </c>
      <c r="Q23" s="176">
        <f t="shared" si="6"/>
        <v>0.95671748015387093</v>
      </c>
      <c r="R23" s="619"/>
      <c r="S23" s="31"/>
      <c r="T23" s="31"/>
      <c r="U23" s="177"/>
      <c r="V23" s="178"/>
      <c r="W23" s="13"/>
      <c r="X23" s="13"/>
      <c r="Y23" s="24">
        <f>SUM(Y15:Y22)</f>
        <v>0</v>
      </c>
      <c r="Z23" s="24">
        <f>SUM(Z15:Z22)</f>
        <v>0</v>
      </c>
      <c r="AA23" s="609"/>
      <c r="AB23" s="609"/>
      <c r="AC23" s="24">
        <v>8</v>
      </c>
      <c r="AD23" s="24">
        <f>SUM(AD15:AD22)</f>
        <v>0</v>
      </c>
      <c r="AE23" s="15">
        <f t="shared" si="8"/>
        <v>-78.449567221108964</v>
      </c>
      <c r="AF23" s="176">
        <f t="shared" si="9"/>
        <v>0.95671748015387093</v>
      </c>
      <c r="AG23" s="619"/>
    </row>
    <row r="24" spans="1:33" ht="15.75" customHeight="1">
      <c r="A24" s="637" t="s">
        <v>662</v>
      </c>
      <c r="B24" s="33" t="s">
        <v>6</v>
      </c>
      <c r="C24" s="635" t="s">
        <v>22</v>
      </c>
      <c r="D24" s="635"/>
      <c r="E24" s="33">
        <v>50.67</v>
      </c>
      <c r="F24" s="180">
        <v>1960</v>
      </c>
      <c r="G24" s="177">
        <f t="shared" ref="G24:G30" si="19">E24*F24</f>
        <v>99313.2</v>
      </c>
      <c r="H24" s="29" t="s">
        <v>5</v>
      </c>
      <c r="I24" s="175">
        <v>17</v>
      </c>
      <c r="J24" s="30">
        <v>2000</v>
      </c>
      <c r="K24" s="13">
        <f t="shared" si="1"/>
        <v>117.64705882352941</v>
      </c>
      <c r="L24" s="175">
        <v>17</v>
      </c>
      <c r="M24" s="14">
        <f t="shared" ref="M24:M30" si="20">F24/V24*60</f>
        <v>1927.8688524590168</v>
      </c>
      <c r="N24" s="13">
        <f t="shared" si="3"/>
        <v>113.40405014464805</v>
      </c>
      <c r="O24" s="15">
        <f t="shared" si="4"/>
        <v>0</v>
      </c>
      <c r="P24" s="16">
        <f t="shared" si="5"/>
        <v>-4.2430086788813526</v>
      </c>
      <c r="Q24" s="176">
        <f t="shared" si="6"/>
        <v>0.96393442622950853</v>
      </c>
      <c r="R24" s="619">
        <f>Q31</f>
        <v>0.96012049726696203</v>
      </c>
      <c r="S24" s="31">
        <v>0.20833333333333334</v>
      </c>
      <c r="T24" s="31">
        <v>0.25069444444444444</v>
      </c>
      <c r="U24" s="177"/>
      <c r="V24" s="178">
        <f t="shared" ref="V24:V30" si="21">(T24-S24)*24*60</f>
        <v>60.999999999999986</v>
      </c>
      <c r="W24" s="17"/>
      <c r="X24" s="17"/>
      <c r="Y24" s="22"/>
      <c r="Z24" s="22"/>
      <c r="AA24" s="610"/>
      <c r="AB24" s="610"/>
      <c r="AC24" s="19">
        <v>7</v>
      </c>
      <c r="AD24" s="19"/>
      <c r="AE24" s="15">
        <f t="shared" si="8"/>
        <v>-72.131147540983193</v>
      </c>
      <c r="AF24" s="176">
        <f t="shared" si="9"/>
        <v>0.96393442622950842</v>
      </c>
      <c r="AG24" s="619">
        <f>AF31</f>
        <v>0.96012049726696203</v>
      </c>
    </row>
    <row r="25" spans="1:33" ht="15.75" customHeight="1">
      <c r="A25" s="638" t="s">
        <v>663</v>
      </c>
      <c r="B25" s="33" t="s">
        <v>6</v>
      </c>
      <c r="C25" s="635" t="s">
        <v>23</v>
      </c>
      <c r="D25" s="635"/>
      <c r="E25" s="33">
        <v>57.73</v>
      </c>
      <c r="F25" s="180">
        <v>3177</v>
      </c>
      <c r="G25" s="177">
        <f t="shared" si="19"/>
        <v>183408.21</v>
      </c>
      <c r="H25" s="29" t="s">
        <v>5</v>
      </c>
      <c r="I25" s="175">
        <v>14</v>
      </c>
      <c r="J25" s="30">
        <v>2000</v>
      </c>
      <c r="K25" s="13">
        <f t="shared" si="1"/>
        <v>142.85714285714286</v>
      </c>
      <c r="L25" s="175">
        <v>14</v>
      </c>
      <c r="M25" s="14">
        <f t="shared" si="20"/>
        <v>1906.2000000000007</v>
      </c>
      <c r="N25" s="13">
        <f t="shared" si="3"/>
        <v>136.1571428571429</v>
      </c>
      <c r="O25" s="15">
        <f t="shared" si="4"/>
        <v>0</v>
      </c>
      <c r="P25" s="16">
        <f t="shared" si="5"/>
        <v>-6.6999999999999602</v>
      </c>
      <c r="Q25" s="176">
        <f t="shared" si="6"/>
        <v>0.95310000000000028</v>
      </c>
      <c r="R25" s="619"/>
      <c r="S25" s="31">
        <v>0.25624999999999998</v>
      </c>
      <c r="T25" s="31">
        <v>0.3256944444444444</v>
      </c>
      <c r="U25" s="177">
        <f t="shared" ref="U25:U30" si="22">IF(S25=TIME(17,0,0),"",(S25-T24)*24*60)</f>
        <v>7.9999999999999716</v>
      </c>
      <c r="V25" s="178">
        <f t="shared" si="21"/>
        <v>99.999999999999972</v>
      </c>
      <c r="W25" s="17"/>
      <c r="X25" s="177"/>
      <c r="Y25" s="177"/>
      <c r="Z25" s="177"/>
      <c r="AA25" s="610"/>
      <c r="AB25" s="610"/>
      <c r="AC25" s="19"/>
      <c r="AD25" s="19"/>
      <c r="AE25" s="15">
        <f t="shared" si="8"/>
        <v>-93.799999999999272</v>
      </c>
      <c r="AF25" s="176">
        <f t="shared" si="9"/>
        <v>0.95310000000000039</v>
      </c>
      <c r="AG25" s="619"/>
    </row>
    <row r="26" spans="1:33" ht="15.75" customHeight="1">
      <c r="A26" s="638" t="s">
        <v>662</v>
      </c>
      <c r="B26" s="33" t="s">
        <v>6</v>
      </c>
      <c r="C26" s="635" t="s">
        <v>24</v>
      </c>
      <c r="D26" s="635"/>
      <c r="E26" s="33">
        <v>53.27</v>
      </c>
      <c r="F26" s="180">
        <v>1665</v>
      </c>
      <c r="G26" s="177">
        <f t="shared" si="19"/>
        <v>88694.55</v>
      </c>
      <c r="H26" s="29" t="s">
        <v>5</v>
      </c>
      <c r="I26" s="175">
        <v>16</v>
      </c>
      <c r="J26" s="30">
        <v>2000</v>
      </c>
      <c r="K26" s="13">
        <f t="shared" si="1"/>
        <v>125</v>
      </c>
      <c r="L26" s="175">
        <v>16</v>
      </c>
      <c r="M26" s="14">
        <f t="shared" si="20"/>
        <v>1921.1538461538473</v>
      </c>
      <c r="N26" s="13">
        <f t="shared" si="3"/>
        <v>120.07211538461546</v>
      </c>
      <c r="O26" s="15">
        <f t="shared" si="4"/>
        <v>0</v>
      </c>
      <c r="P26" s="16">
        <f t="shared" si="5"/>
        <v>-4.9278846153845421</v>
      </c>
      <c r="Q26" s="176">
        <f t="shared" si="6"/>
        <v>0.96057692307692366</v>
      </c>
      <c r="R26" s="619"/>
      <c r="S26" s="31">
        <v>0.33055555555555549</v>
      </c>
      <c r="T26" s="31">
        <v>0.36666666666666659</v>
      </c>
      <c r="U26" s="177">
        <f t="shared" si="22"/>
        <v>6.9999999999999751</v>
      </c>
      <c r="V26" s="178">
        <f t="shared" si="21"/>
        <v>51.999999999999972</v>
      </c>
      <c r="W26" s="17"/>
      <c r="X26" s="177"/>
      <c r="Y26" s="177"/>
      <c r="Z26" s="177"/>
      <c r="AA26" s="610"/>
      <c r="AB26" s="610"/>
      <c r="AC26" s="19"/>
      <c r="AD26" s="19"/>
      <c r="AE26" s="15">
        <f t="shared" si="8"/>
        <v>-78.846153846152674</v>
      </c>
      <c r="AF26" s="176">
        <f t="shared" si="9"/>
        <v>0.96057692307692366</v>
      </c>
      <c r="AG26" s="619"/>
    </row>
    <row r="27" spans="1:33" ht="15.75" customHeight="1">
      <c r="A27" s="638" t="s">
        <v>662</v>
      </c>
      <c r="B27" s="33" t="s">
        <v>6</v>
      </c>
      <c r="C27" s="635" t="s">
        <v>21</v>
      </c>
      <c r="D27" s="635"/>
      <c r="E27" s="33">
        <v>50.49</v>
      </c>
      <c r="F27" s="180">
        <v>1000</v>
      </c>
      <c r="G27" s="177">
        <f t="shared" si="19"/>
        <v>50490</v>
      </c>
      <c r="H27" s="29">
        <v>2</v>
      </c>
      <c r="I27" s="175">
        <v>15</v>
      </c>
      <c r="J27" s="30">
        <v>2000</v>
      </c>
      <c r="K27" s="13">
        <f t="shared" si="1"/>
        <v>133.33333333333334</v>
      </c>
      <c r="L27" s="175">
        <v>15</v>
      </c>
      <c r="M27" s="14">
        <f t="shared" si="20"/>
        <v>1935.483870967739</v>
      </c>
      <c r="N27" s="13">
        <f t="shared" si="3"/>
        <v>129.03225806451593</v>
      </c>
      <c r="O27" s="15">
        <f t="shared" si="4"/>
        <v>0</v>
      </c>
      <c r="P27" s="16">
        <f t="shared" si="5"/>
        <v>-4.3010752688174136</v>
      </c>
      <c r="Q27" s="176">
        <f t="shared" si="6"/>
        <v>0.96774193548386944</v>
      </c>
      <c r="R27" s="619"/>
      <c r="S27" s="31">
        <v>0.70833333333333337</v>
      </c>
      <c r="T27" s="31">
        <v>0.72986111111111118</v>
      </c>
      <c r="U27" s="177" t="str">
        <f t="shared" si="22"/>
        <v/>
      </c>
      <c r="V27" s="178">
        <f t="shared" si="21"/>
        <v>31.00000000000005</v>
      </c>
      <c r="W27" s="17"/>
      <c r="X27" s="177"/>
      <c r="Y27" s="177"/>
      <c r="Z27" s="177"/>
      <c r="AA27" s="610"/>
      <c r="AB27" s="610"/>
      <c r="AC27" s="19"/>
      <c r="AD27" s="19"/>
      <c r="AE27" s="15">
        <f t="shared" si="8"/>
        <v>-64.516129032261006</v>
      </c>
      <c r="AF27" s="176">
        <f t="shared" si="9"/>
        <v>0.96774193548386944</v>
      </c>
      <c r="AG27" s="619"/>
    </row>
    <row r="28" spans="1:33" ht="15.75" customHeight="1">
      <c r="A28" s="638" t="s">
        <v>662</v>
      </c>
      <c r="B28" s="33" t="s">
        <v>6</v>
      </c>
      <c r="C28" s="635" t="s">
        <v>26</v>
      </c>
      <c r="D28" s="635"/>
      <c r="E28" s="33">
        <v>54.09</v>
      </c>
      <c r="F28" s="180">
        <v>2583</v>
      </c>
      <c r="G28" s="177">
        <f t="shared" si="19"/>
        <v>139714.47</v>
      </c>
      <c r="H28" s="29" t="s">
        <v>5</v>
      </c>
      <c r="I28" s="175">
        <v>18</v>
      </c>
      <c r="J28" s="30">
        <v>2000</v>
      </c>
      <c r="K28" s="13">
        <f t="shared" si="1"/>
        <v>111.11111111111111</v>
      </c>
      <c r="L28" s="175">
        <v>18</v>
      </c>
      <c r="M28" s="14">
        <f t="shared" si="20"/>
        <v>1913.3333333333328</v>
      </c>
      <c r="N28" s="13">
        <f t="shared" si="3"/>
        <v>106.29629629629626</v>
      </c>
      <c r="O28" s="15">
        <f t="shared" si="4"/>
        <v>0</v>
      </c>
      <c r="P28" s="16">
        <f t="shared" si="5"/>
        <v>-4.8148148148148522</v>
      </c>
      <c r="Q28" s="176">
        <f t="shared" si="6"/>
        <v>0.95666666666666633</v>
      </c>
      <c r="R28" s="619"/>
      <c r="S28" s="31">
        <v>0.73541666666666672</v>
      </c>
      <c r="T28" s="31">
        <v>0.79166666666666674</v>
      </c>
      <c r="U28" s="177">
        <f t="shared" si="22"/>
        <v>7.9999999999999716</v>
      </c>
      <c r="V28" s="178">
        <f t="shared" si="21"/>
        <v>81.000000000000028</v>
      </c>
      <c r="W28" s="17"/>
      <c r="X28" s="17"/>
      <c r="Y28" s="177"/>
      <c r="Z28" s="177"/>
      <c r="AA28" s="610"/>
      <c r="AB28" s="610"/>
      <c r="AC28" s="19"/>
      <c r="AD28" s="19"/>
      <c r="AE28" s="15">
        <f t="shared" si="8"/>
        <v>-86.666666666667197</v>
      </c>
      <c r="AF28" s="176">
        <f t="shared" si="9"/>
        <v>0.95666666666666644</v>
      </c>
      <c r="AG28" s="619"/>
    </row>
    <row r="29" spans="1:33" ht="15.75" customHeight="1">
      <c r="A29" s="638" t="s">
        <v>662</v>
      </c>
      <c r="B29" s="33" t="s">
        <v>6</v>
      </c>
      <c r="C29" s="635" t="s">
        <v>25</v>
      </c>
      <c r="D29" s="635"/>
      <c r="E29" s="33">
        <v>56.43</v>
      </c>
      <c r="F29" s="180">
        <v>1633</v>
      </c>
      <c r="G29" s="177">
        <f t="shared" si="19"/>
        <v>92150.19</v>
      </c>
      <c r="H29" s="29" t="s">
        <v>5</v>
      </c>
      <c r="I29" s="175">
        <v>13</v>
      </c>
      <c r="J29" s="30">
        <v>2000</v>
      </c>
      <c r="K29" s="13">
        <f t="shared" si="1"/>
        <v>153.84615384615384</v>
      </c>
      <c r="L29" s="175">
        <v>13</v>
      </c>
      <c r="M29" s="14">
        <f t="shared" si="20"/>
        <v>1921.176470588236</v>
      </c>
      <c r="N29" s="13">
        <f t="shared" si="3"/>
        <v>147.78280542986431</v>
      </c>
      <c r="O29" s="15">
        <f t="shared" si="4"/>
        <v>0</v>
      </c>
      <c r="P29" s="16">
        <f t="shared" si="5"/>
        <v>-6.0633484162895286</v>
      </c>
      <c r="Q29" s="176">
        <f t="shared" si="6"/>
        <v>0.96058823529411808</v>
      </c>
      <c r="R29" s="619"/>
      <c r="S29" s="31">
        <v>0.79513888888888895</v>
      </c>
      <c r="T29" s="31">
        <v>0.8305555555555556</v>
      </c>
      <c r="U29" s="177">
        <f t="shared" si="22"/>
        <v>4.9999999999999822</v>
      </c>
      <c r="V29" s="178">
        <f t="shared" si="21"/>
        <v>50.999999999999979</v>
      </c>
      <c r="W29" s="17">
        <f>T29</f>
        <v>0.8305555555555556</v>
      </c>
      <c r="X29" s="17">
        <f>S30</f>
        <v>0.86944444444444446</v>
      </c>
      <c r="Y29" s="22"/>
      <c r="Z29" s="22"/>
      <c r="AA29" s="610"/>
      <c r="AB29" s="610"/>
      <c r="AC29" s="19"/>
      <c r="AD29" s="19"/>
      <c r="AE29" s="15">
        <f t="shared" si="8"/>
        <v>-78.823529411763957</v>
      </c>
      <c r="AF29" s="176">
        <f t="shared" si="9"/>
        <v>0.96058823529411808</v>
      </c>
      <c r="AG29" s="619"/>
    </row>
    <row r="30" spans="1:33" ht="15.75" customHeight="1">
      <c r="A30" s="638" t="s">
        <v>662</v>
      </c>
      <c r="B30" s="33" t="s">
        <v>6</v>
      </c>
      <c r="C30" s="639" t="s">
        <v>21</v>
      </c>
      <c r="D30" s="640"/>
      <c r="E30" s="33">
        <v>50.49</v>
      </c>
      <c r="F30" s="180">
        <v>1629</v>
      </c>
      <c r="G30" s="177">
        <f t="shared" si="19"/>
        <v>82248.210000000006</v>
      </c>
      <c r="H30" s="29" t="s">
        <v>5</v>
      </c>
      <c r="I30" s="175">
        <v>15</v>
      </c>
      <c r="J30" s="30">
        <v>2000</v>
      </c>
      <c r="K30" s="13">
        <f t="shared" si="1"/>
        <v>133.33333333333334</v>
      </c>
      <c r="L30" s="175">
        <v>15</v>
      </c>
      <c r="M30" s="14">
        <f t="shared" si="20"/>
        <v>1916.4705882352951</v>
      </c>
      <c r="N30" s="13">
        <f t="shared" si="3"/>
        <v>127.764705882353</v>
      </c>
      <c r="O30" s="15">
        <f t="shared" si="4"/>
        <v>0</v>
      </c>
      <c r="P30" s="16">
        <f t="shared" si="5"/>
        <v>-5.568627450980344</v>
      </c>
      <c r="Q30" s="176">
        <f t="shared" si="6"/>
        <v>0.95823529411764741</v>
      </c>
      <c r="R30" s="619"/>
      <c r="S30" s="31">
        <v>0.86944444444444446</v>
      </c>
      <c r="T30" s="31">
        <v>0.90486111111111112</v>
      </c>
      <c r="U30" s="177">
        <f t="shared" si="22"/>
        <v>55.999999999999957</v>
      </c>
      <c r="V30" s="178">
        <f t="shared" si="21"/>
        <v>50.999999999999979</v>
      </c>
      <c r="W30" s="17"/>
      <c r="X30" s="22"/>
      <c r="Y30" s="94"/>
      <c r="Z30" s="94"/>
      <c r="AA30" s="614"/>
      <c r="AB30" s="615"/>
      <c r="AC30" s="19"/>
      <c r="AD30" s="19"/>
      <c r="AE30" s="15">
        <f t="shared" si="8"/>
        <v>-83.529411764704946</v>
      </c>
      <c r="AF30" s="176">
        <f t="shared" si="9"/>
        <v>0.95823529411764752</v>
      </c>
      <c r="AG30" s="619"/>
    </row>
    <row r="31" spans="1:33" ht="15.75" customHeight="1">
      <c r="A31" s="638" t="s">
        <v>662</v>
      </c>
      <c r="B31" s="33" t="s">
        <v>664</v>
      </c>
      <c r="C31" s="620"/>
      <c r="D31" s="620"/>
      <c r="E31" s="183"/>
      <c r="F31" s="180"/>
      <c r="G31" s="177"/>
      <c r="H31" s="180"/>
      <c r="I31" s="23">
        <v>15.428571428571429</v>
      </c>
      <c r="J31" s="30">
        <v>2000</v>
      </c>
      <c r="K31" s="13">
        <f t="shared" si="1"/>
        <v>129.62962962962962</v>
      </c>
      <c r="L31" s="23">
        <v>15.428571428571429</v>
      </c>
      <c r="M31" s="14">
        <f>AVERAGE(M24:M30)</f>
        <v>1920.2409945339241</v>
      </c>
      <c r="N31" s="13">
        <f t="shared" si="3"/>
        <v>124.46006446053211</v>
      </c>
      <c r="O31" s="15">
        <f t="shared" si="4"/>
        <v>0</v>
      </c>
      <c r="P31" s="16">
        <f t="shared" si="5"/>
        <v>-5.1695651690975097</v>
      </c>
      <c r="Q31" s="176">
        <f t="shared" si="6"/>
        <v>0.96012049726696203</v>
      </c>
      <c r="R31" s="619"/>
      <c r="S31" s="31"/>
      <c r="T31" s="31"/>
      <c r="U31" s="13"/>
      <c r="V31" s="178"/>
      <c r="W31" s="13"/>
      <c r="X31" s="13"/>
      <c r="Y31" s="24">
        <f>SUM(Y24:Y30)</f>
        <v>0</v>
      </c>
      <c r="Z31" s="24">
        <f>SUM(Z24:Z30)</f>
        <v>0</v>
      </c>
      <c r="AA31" s="609"/>
      <c r="AB31" s="609"/>
      <c r="AC31" s="24">
        <v>7</v>
      </c>
      <c r="AD31" s="24">
        <f>SUM(AD24:AD30)</f>
        <v>0</v>
      </c>
      <c r="AE31" s="15">
        <f t="shared" si="8"/>
        <v>-79.759005466075905</v>
      </c>
      <c r="AF31" s="176">
        <f t="shared" si="9"/>
        <v>0.96012049726696203</v>
      </c>
      <c r="AG31" s="619"/>
    </row>
    <row r="32" spans="1:33" ht="15.75" customHeight="1">
      <c r="A32" s="636" t="s">
        <v>665</v>
      </c>
      <c r="B32" s="33" t="s">
        <v>27</v>
      </c>
      <c r="C32" s="635" t="s">
        <v>28</v>
      </c>
      <c r="D32" s="635"/>
      <c r="E32" s="33">
        <v>31.29</v>
      </c>
      <c r="F32" s="180">
        <v>6200</v>
      </c>
      <c r="G32" s="177">
        <f t="shared" ref="G32:G40" si="23">E32*F32</f>
        <v>193998</v>
      </c>
      <c r="H32" s="29">
        <v>2</v>
      </c>
      <c r="I32" s="175">
        <v>18</v>
      </c>
      <c r="J32" s="30">
        <v>2400</v>
      </c>
      <c r="K32" s="13">
        <f t="shared" si="1"/>
        <v>133.33333333333334</v>
      </c>
      <c r="L32" s="175">
        <v>18</v>
      </c>
      <c r="M32" s="14">
        <f t="shared" ref="M32:M40" si="24">F32/V32*60</f>
        <v>2282.2085889570549</v>
      </c>
      <c r="N32" s="13">
        <f t="shared" si="3"/>
        <v>126.78936605316972</v>
      </c>
      <c r="O32" s="15">
        <f t="shared" si="4"/>
        <v>0</v>
      </c>
      <c r="P32" s="16">
        <f t="shared" si="5"/>
        <v>-6.5439672801636277</v>
      </c>
      <c r="Q32" s="176">
        <f t="shared" si="6"/>
        <v>0.95092024539877285</v>
      </c>
      <c r="R32" s="619">
        <f>Q41</f>
        <v>0.95769466498916422</v>
      </c>
      <c r="S32" s="31">
        <v>8.3333333333333329E-2</v>
      </c>
      <c r="T32" s="31">
        <v>0.19652777777777777</v>
      </c>
      <c r="U32" s="177"/>
      <c r="V32" s="178">
        <f t="shared" ref="V32:V40" si="25">(T32-S32)*24*60</f>
        <v>163</v>
      </c>
      <c r="W32" s="17">
        <f>T32</f>
        <v>0.19652777777777777</v>
      </c>
      <c r="X32" s="17">
        <f>S33</f>
        <v>0.21666666666666667</v>
      </c>
      <c r="Y32" s="17"/>
      <c r="Z32" s="17"/>
      <c r="AA32" s="610"/>
      <c r="AB32" s="610"/>
      <c r="AC32" s="19">
        <v>9</v>
      </c>
      <c r="AD32" s="19"/>
      <c r="AE32" s="15">
        <f t="shared" si="8"/>
        <v>-117.79141104294513</v>
      </c>
      <c r="AF32" s="176">
        <f t="shared" si="9"/>
        <v>0.95092024539877285</v>
      </c>
      <c r="AG32" s="619">
        <f>AF41</f>
        <v>0.95769466498916433</v>
      </c>
    </row>
    <row r="33" spans="1:33" ht="15.75" customHeight="1">
      <c r="A33" s="636" t="s">
        <v>665</v>
      </c>
      <c r="B33" s="33" t="s">
        <v>27</v>
      </c>
      <c r="C33" s="635" t="s">
        <v>29</v>
      </c>
      <c r="D33" s="635"/>
      <c r="E33" s="33">
        <v>26.37</v>
      </c>
      <c r="F33" s="180">
        <v>4500</v>
      </c>
      <c r="G33" s="177">
        <f t="shared" si="23"/>
        <v>118665</v>
      </c>
      <c r="H33" s="29">
        <v>2</v>
      </c>
      <c r="I33" s="175">
        <v>18</v>
      </c>
      <c r="J33" s="30">
        <v>2400</v>
      </c>
      <c r="K33" s="13">
        <f t="shared" si="1"/>
        <v>133.33333333333334</v>
      </c>
      <c r="L33" s="175">
        <v>18</v>
      </c>
      <c r="M33" s="14">
        <f t="shared" si="24"/>
        <v>2288.1355932203396</v>
      </c>
      <c r="N33" s="13">
        <f t="shared" si="3"/>
        <v>127.11864406779665</v>
      </c>
      <c r="O33" s="15">
        <f t="shared" si="4"/>
        <v>0</v>
      </c>
      <c r="P33" s="16">
        <f t="shared" si="5"/>
        <v>-6.2146892655366912</v>
      </c>
      <c r="Q33" s="176">
        <f t="shared" si="6"/>
        <v>0.95338983050847481</v>
      </c>
      <c r="R33" s="619"/>
      <c r="S33" s="31">
        <v>0.21666666666666667</v>
      </c>
      <c r="T33" s="31">
        <v>0.2986111111111111</v>
      </c>
      <c r="U33" s="177">
        <f t="shared" ref="U33:U40" si="26">(S33-T32)*24*60</f>
        <v>29.000000000000018</v>
      </c>
      <c r="V33" s="178">
        <f t="shared" si="25"/>
        <v>117.99999999999999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-111.86440677966038</v>
      </c>
      <c r="AF33" s="176">
        <f t="shared" si="9"/>
        <v>0.95338983050847481</v>
      </c>
      <c r="AG33" s="619"/>
    </row>
    <row r="34" spans="1:33" ht="15.75" customHeight="1">
      <c r="A34" s="636" t="s">
        <v>665</v>
      </c>
      <c r="B34" s="33" t="s">
        <v>27</v>
      </c>
      <c r="C34" s="635" t="s">
        <v>34</v>
      </c>
      <c r="D34" s="635"/>
      <c r="E34" s="33">
        <v>24.43</v>
      </c>
      <c r="F34" s="180">
        <v>4700</v>
      </c>
      <c r="G34" s="177">
        <f t="shared" si="23"/>
        <v>114821</v>
      </c>
      <c r="H34" s="29">
        <v>2</v>
      </c>
      <c r="I34" s="175">
        <v>14</v>
      </c>
      <c r="J34" s="30">
        <v>2400</v>
      </c>
      <c r="K34" s="13">
        <f t="shared" si="1"/>
        <v>171.42857142857142</v>
      </c>
      <c r="L34" s="175">
        <v>14</v>
      </c>
      <c r="M34" s="14">
        <f t="shared" si="24"/>
        <v>2292.682926829269</v>
      </c>
      <c r="N34" s="13">
        <f t="shared" si="3"/>
        <v>163.76306620209064</v>
      </c>
      <c r="O34" s="15">
        <f t="shared" si="4"/>
        <v>0</v>
      </c>
      <c r="P34" s="16">
        <f t="shared" si="5"/>
        <v>-7.665505226480775</v>
      </c>
      <c r="Q34" s="176">
        <f t="shared" si="6"/>
        <v>0.95528455284552882</v>
      </c>
      <c r="R34" s="619"/>
      <c r="S34" s="31">
        <v>0.3034722222222222</v>
      </c>
      <c r="T34" s="31">
        <v>0.38888888888888884</v>
      </c>
      <c r="U34" s="177">
        <f t="shared" si="26"/>
        <v>6.9999999999999751</v>
      </c>
      <c r="V34" s="178">
        <f t="shared" si="25"/>
        <v>122.99999999999996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-107.31707317073096</v>
      </c>
      <c r="AF34" s="176">
        <f t="shared" si="9"/>
        <v>0.95528455284552871</v>
      </c>
      <c r="AG34" s="619"/>
    </row>
    <row r="35" spans="1:33" ht="15.75" customHeight="1">
      <c r="A35" s="636" t="s">
        <v>665</v>
      </c>
      <c r="B35" s="33" t="s">
        <v>27</v>
      </c>
      <c r="C35" s="635" t="s">
        <v>75</v>
      </c>
      <c r="D35" s="635"/>
      <c r="E35" s="33">
        <v>25.98</v>
      </c>
      <c r="F35" s="180">
        <v>5323</v>
      </c>
      <c r="G35" s="177">
        <f t="shared" si="23"/>
        <v>138291.54</v>
      </c>
      <c r="H35" s="29" t="s">
        <v>5</v>
      </c>
      <c r="I35" s="175">
        <v>19</v>
      </c>
      <c r="J35" s="30">
        <v>2400</v>
      </c>
      <c r="K35" s="13">
        <f t="shared" si="1"/>
        <v>126.31578947368421</v>
      </c>
      <c r="L35" s="175">
        <v>19</v>
      </c>
      <c r="M35" s="14">
        <f t="shared" si="24"/>
        <v>2297.6978417266187</v>
      </c>
      <c r="N35" s="13">
        <f t="shared" si="3"/>
        <v>120.93146535403257</v>
      </c>
      <c r="O35" s="15">
        <f t="shared" si="4"/>
        <v>0</v>
      </c>
      <c r="P35" s="16">
        <f t="shared" si="5"/>
        <v>-5.3843241196516374</v>
      </c>
      <c r="Q35" s="176">
        <f t="shared" si="6"/>
        <v>0.95737410071942453</v>
      </c>
      <c r="R35" s="619"/>
      <c r="S35" s="31">
        <v>0.39444444444444438</v>
      </c>
      <c r="T35" s="31">
        <v>0.49097222222222214</v>
      </c>
      <c r="U35" s="177">
        <f t="shared" si="26"/>
        <v>7.9999999999999716</v>
      </c>
      <c r="V35" s="178">
        <f t="shared" si="25"/>
        <v>139</v>
      </c>
      <c r="W35" s="17"/>
      <c r="X35" s="17"/>
      <c r="Y35" s="17"/>
      <c r="Z35" s="17"/>
      <c r="AA35" s="610"/>
      <c r="AB35" s="610"/>
      <c r="AC35" s="19"/>
      <c r="AD35" s="19"/>
      <c r="AE35" s="15">
        <f t="shared" si="8"/>
        <v>-102.30215827338134</v>
      </c>
      <c r="AF35" s="176">
        <f t="shared" si="9"/>
        <v>0.95737410071942441</v>
      </c>
      <c r="AG35" s="619"/>
    </row>
    <row r="36" spans="1:33" ht="15.75" customHeight="1">
      <c r="A36" s="636" t="s">
        <v>665</v>
      </c>
      <c r="B36" s="33" t="s">
        <v>27</v>
      </c>
      <c r="C36" s="635" t="s">
        <v>55</v>
      </c>
      <c r="D36" s="635"/>
      <c r="E36" s="33">
        <v>23.89</v>
      </c>
      <c r="F36" s="180">
        <v>1193</v>
      </c>
      <c r="G36" s="177">
        <f t="shared" si="23"/>
        <v>28500.77</v>
      </c>
      <c r="H36" s="29" t="s">
        <v>5</v>
      </c>
      <c r="I36" s="175">
        <v>13</v>
      </c>
      <c r="J36" s="30">
        <v>2400</v>
      </c>
      <c r="K36" s="13">
        <f t="shared" si="1"/>
        <v>184.61538461538461</v>
      </c>
      <c r="L36" s="175">
        <v>13</v>
      </c>
      <c r="M36" s="14">
        <f t="shared" si="24"/>
        <v>2309.0322580645125</v>
      </c>
      <c r="N36" s="13">
        <f t="shared" si="3"/>
        <v>177.61786600496251</v>
      </c>
      <c r="O36" s="15">
        <f t="shared" si="4"/>
        <v>0</v>
      </c>
      <c r="P36" s="16">
        <f t="shared" si="5"/>
        <v>-6.9975186104221052</v>
      </c>
      <c r="Q36" s="176">
        <f t="shared" si="6"/>
        <v>0.96209677419354689</v>
      </c>
      <c r="R36" s="619"/>
      <c r="S36" s="31">
        <v>0.49652777777777768</v>
      </c>
      <c r="T36" s="31">
        <v>0.51805555555555549</v>
      </c>
      <c r="U36" s="177">
        <f t="shared" si="26"/>
        <v>7.9999999999999716</v>
      </c>
      <c r="V36" s="178">
        <f t="shared" si="25"/>
        <v>31.00000000000005</v>
      </c>
      <c r="W36" s="17"/>
      <c r="X36" s="17"/>
      <c r="Y36" s="17"/>
      <c r="Z36" s="17"/>
      <c r="AA36" s="610"/>
      <c r="AB36" s="610"/>
      <c r="AC36" s="19"/>
      <c r="AD36" s="19"/>
      <c r="AE36" s="15">
        <f t="shared" si="8"/>
        <v>-90.967741935487538</v>
      </c>
      <c r="AF36" s="176">
        <f t="shared" si="9"/>
        <v>0.96209677419354689</v>
      </c>
      <c r="AG36" s="619"/>
    </row>
    <row r="37" spans="1:33" ht="15.75" customHeight="1">
      <c r="A37" s="636" t="s">
        <v>665</v>
      </c>
      <c r="B37" s="33" t="s">
        <v>27</v>
      </c>
      <c r="C37" s="635" t="s">
        <v>28</v>
      </c>
      <c r="D37" s="635"/>
      <c r="E37" s="33">
        <v>31.29</v>
      </c>
      <c r="F37" s="180">
        <v>4709</v>
      </c>
      <c r="G37" s="177">
        <f t="shared" si="23"/>
        <v>147344.60999999999</v>
      </c>
      <c r="H37" s="29" t="s">
        <v>5</v>
      </c>
      <c r="I37" s="175">
        <v>18</v>
      </c>
      <c r="J37" s="30">
        <v>2400</v>
      </c>
      <c r="K37" s="13">
        <f t="shared" si="1"/>
        <v>133.33333333333334</v>
      </c>
      <c r="L37" s="175">
        <v>18</v>
      </c>
      <c r="M37" s="14">
        <f t="shared" si="24"/>
        <v>2297.0731707317068</v>
      </c>
      <c r="N37" s="13">
        <f t="shared" si="3"/>
        <v>127.61517615176149</v>
      </c>
      <c r="O37" s="15">
        <f t="shared" si="4"/>
        <v>0</v>
      </c>
      <c r="P37" s="16">
        <f t="shared" si="5"/>
        <v>-5.7181571815718542</v>
      </c>
      <c r="Q37" s="176">
        <f t="shared" si="6"/>
        <v>0.95711382113821108</v>
      </c>
      <c r="R37" s="619"/>
      <c r="S37" s="31">
        <v>0.5215277777777777</v>
      </c>
      <c r="T37" s="31">
        <v>0.6069444444444444</v>
      </c>
      <c r="U37" s="177">
        <f t="shared" si="26"/>
        <v>4.9999999999999822</v>
      </c>
      <c r="V37" s="178">
        <f t="shared" si="25"/>
        <v>123.00000000000004</v>
      </c>
      <c r="W37" s="17"/>
      <c r="X37" s="17"/>
      <c r="Y37" s="17"/>
      <c r="Z37" s="17"/>
      <c r="AA37" s="610"/>
      <c r="AB37" s="610"/>
      <c r="AC37" s="19"/>
      <c r="AD37" s="19"/>
      <c r="AE37" s="15">
        <f t="shared" si="8"/>
        <v>-102.9268292682932</v>
      </c>
      <c r="AF37" s="176">
        <f t="shared" si="9"/>
        <v>0.9571138211382112</v>
      </c>
      <c r="AG37" s="619"/>
    </row>
    <row r="38" spans="1:33" ht="15.75" customHeight="1">
      <c r="A38" s="636" t="s">
        <v>665</v>
      </c>
      <c r="B38" s="33" t="s">
        <v>27</v>
      </c>
      <c r="C38" s="635" t="s">
        <v>29</v>
      </c>
      <c r="D38" s="635"/>
      <c r="E38" s="33">
        <v>26.37</v>
      </c>
      <c r="F38" s="180">
        <v>3217</v>
      </c>
      <c r="G38" s="177">
        <f t="shared" si="23"/>
        <v>84832.290000000008</v>
      </c>
      <c r="H38" s="29" t="s">
        <v>5</v>
      </c>
      <c r="I38" s="175">
        <v>18</v>
      </c>
      <c r="J38" s="30">
        <v>2400</v>
      </c>
      <c r="K38" s="13">
        <f t="shared" si="1"/>
        <v>133.33333333333334</v>
      </c>
      <c r="L38" s="175">
        <v>18</v>
      </c>
      <c r="M38" s="14">
        <f t="shared" si="24"/>
        <v>2297.8571428571422</v>
      </c>
      <c r="N38" s="13">
        <f t="shared" si="3"/>
        <v>127.65873015873012</v>
      </c>
      <c r="O38" s="15">
        <f t="shared" si="4"/>
        <v>0</v>
      </c>
      <c r="P38" s="16">
        <f t="shared" si="5"/>
        <v>-5.6746031746032202</v>
      </c>
      <c r="Q38" s="176">
        <f t="shared" si="6"/>
        <v>0.9574404761904759</v>
      </c>
      <c r="R38" s="619"/>
      <c r="S38" s="31">
        <v>0.61041666666666661</v>
      </c>
      <c r="T38" s="31">
        <v>0.66874999999999996</v>
      </c>
      <c r="U38" s="177">
        <f t="shared" si="26"/>
        <v>4.9999999999999822</v>
      </c>
      <c r="V38" s="178">
        <f t="shared" si="25"/>
        <v>84.000000000000028</v>
      </c>
      <c r="W38" s="17"/>
      <c r="X38" s="17"/>
      <c r="Y38" s="17"/>
      <c r="Z38" s="17"/>
      <c r="AA38" s="610"/>
      <c r="AB38" s="610"/>
      <c r="AC38" s="19"/>
      <c r="AD38" s="19"/>
      <c r="AE38" s="15">
        <f t="shared" si="8"/>
        <v>-102.14285714285779</v>
      </c>
      <c r="AF38" s="176">
        <f t="shared" si="9"/>
        <v>0.9574404761904759</v>
      </c>
      <c r="AG38" s="619"/>
    </row>
    <row r="39" spans="1:33" ht="15.75" customHeight="1">
      <c r="A39" s="636" t="s">
        <v>665</v>
      </c>
      <c r="B39" s="33" t="s">
        <v>27</v>
      </c>
      <c r="C39" s="187" t="s">
        <v>32</v>
      </c>
      <c r="D39" s="188"/>
      <c r="E39" s="33">
        <v>25.99</v>
      </c>
      <c r="F39" s="180">
        <v>2123</v>
      </c>
      <c r="G39" s="177">
        <f t="shared" si="23"/>
        <v>55176.77</v>
      </c>
      <c r="H39" s="29" t="s">
        <v>5</v>
      </c>
      <c r="I39" s="175">
        <v>14</v>
      </c>
      <c r="J39" s="30">
        <v>2400</v>
      </c>
      <c r="K39" s="13">
        <f t="shared" si="1"/>
        <v>171.42857142857142</v>
      </c>
      <c r="L39" s="175">
        <v>14</v>
      </c>
      <c r="M39" s="14">
        <f t="shared" si="24"/>
        <v>2316.0000000000014</v>
      </c>
      <c r="N39" s="13">
        <f t="shared" si="3"/>
        <v>165.42857142857153</v>
      </c>
      <c r="O39" s="15">
        <f t="shared" si="4"/>
        <v>0</v>
      </c>
      <c r="P39" s="16">
        <f t="shared" si="5"/>
        <v>-5.9999999999998863</v>
      </c>
      <c r="Q39" s="176">
        <f t="shared" si="6"/>
        <v>0.96500000000000064</v>
      </c>
      <c r="R39" s="619"/>
      <c r="S39" s="31">
        <v>0.67361111111111105</v>
      </c>
      <c r="T39" s="31">
        <v>0.71180555555555547</v>
      </c>
      <c r="U39" s="177">
        <f t="shared" si="26"/>
        <v>6.9999999999999751</v>
      </c>
      <c r="V39" s="178">
        <f t="shared" si="25"/>
        <v>54.999999999999964</v>
      </c>
      <c r="W39" s="17"/>
      <c r="X39" s="17"/>
      <c r="Y39" s="17"/>
      <c r="Z39" s="17"/>
      <c r="AA39" s="181"/>
      <c r="AB39" s="182"/>
      <c r="AC39" s="19"/>
      <c r="AD39" s="19"/>
      <c r="AE39" s="15">
        <f t="shared" si="8"/>
        <v>-83.999999999998636</v>
      </c>
      <c r="AF39" s="176">
        <f t="shared" si="9"/>
        <v>0.96500000000000052</v>
      </c>
      <c r="AG39" s="619"/>
    </row>
    <row r="40" spans="1:33" ht="15.75" customHeight="1">
      <c r="A40" s="636" t="s">
        <v>665</v>
      </c>
      <c r="B40" s="33" t="s">
        <v>27</v>
      </c>
      <c r="C40" s="639" t="s">
        <v>197</v>
      </c>
      <c r="D40" s="640"/>
      <c r="E40" s="33">
        <v>23.89</v>
      </c>
      <c r="F40" s="180">
        <v>3343</v>
      </c>
      <c r="G40" s="177">
        <f t="shared" si="23"/>
        <v>79864.27</v>
      </c>
      <c r="H40" s="29" t="s">
        <v>5</v>
      </c>
      <c r="I40" s="175">
        <v>17</v>
      </c>
      <c r="J40" s="30">
        <v>2400</v>
      </c>
      <c r="K40" s="13">
        <f t="shared" si="1"/>
        <v>141.1764705882353</v>
      </c>
      <c r="L40" s="175">
        <v>17</v>
      </c>
      <c r="M40" s="14">
        <f t="shared" si="24"/>
        <v>2305.5172413793098</v>
      </c>
      <c r="N40" s="13">
        <f t="shared" si="3"/>
        <v>135.61866125760645</v>
      </c>
      <c r="O40" s="15">
        <f t="shared" si="4"/>
        <v>0</v>
      </c>
      <c r="P40" s="16">
        <f t="shared" si="5"/>
        <v>-5.5578093306288565</v>
      </c>
      <c r="Q40" s="176">
        <f t="shared" si="6"/>
        <v>0.96063218390804561</v>
      </c>
      <c r="R40" s="619"/>
      <c r="S40" s="31">
        <v>0.71527777777777768</v>
      </c>
      <c r="T40" s="31">
        <v>0.77569444444444435</v>
      </c>
      <c r="U40" s="177">
        <f t="shared" si="26"/>
        <v>4.9999999999999822</v>
      </c>
      <c r="V40" s="178">
        <f t="shared" si="25"/>
        <v>87.000000000000014</v>
      </c>
      <c r="W40" s="17"/>
      <c r="X40" s="17"/>
      <c r="Y40" s="20"/>
      <c r="Z40" s="20"/>
      <c r="AA40" s="181"/>
      <c r="AB40" s="182"/>
      <c r="AC40" s="19"/>
      <c r="AD40" s="19"/>
      <c r="AE40" s="15">
        <f t="shared" si="8"/>
        <v>-94.48275862069022</v>
      </c>
      <c r="AF40" s="176">
        <f t="shared" si="9"/>
        <v>0.96063218390804572</v>
      </c>
      <c r="AG40" s="619"/>
    </row>
    <row r="41" spans="1:33" ht="15.75" customHeight="1">
      <c r="A41" s="636" t="s">
        <v>665</v>
      </c>
      <c r="B41" s="33" t="s">
        <v>659</v>
      </c>
      <c r="C41" s="620"/>
      <c r="D41" s="620"/>
      <c r="E41" s="183"/>
      <c r="F41" s="180"/>
      <c r="G41" s="177"/>
      <c r="H41" s="180"/>
      <c r="I41" s="23">
        <v>16.555555555555557</v>
      </c>
      <c r="J41" s="30">
        <v>2400</v>
      </c>
      <c r="K41" s="13">
        <f t="shared" si="1"/>
        <v>144.96644295302013</v>
      </c>
      <c r="L41" s="23">
        <v>16.555555555555557</v>
      </c>
      <c r="M41" s="14">
        <f>AVERAGE(M32:M40)</f>
        <v>2298.4671959739944</v>
      </c>
      <c r="N41" s="13">
        <f t="shared" si="3"/>
        <v>138.8335890185634</v>
      </c>
      <c r="O41" s="15">
        <f t="shared" si="4"/>
        <v>0</v>
      </c>
      <c r="P41" s="16">
        <f t="shared" si="5"/>
        <v>-6.1328539344567332</v>
      </c>
      <c r="Q41" s="176">
        <f t="shared" si="6"/>
        <v>0.95769466498916422</v>
      </c>
      <c r="R41" s="619"/>
      <c r="S41" s="31"/>
      <c r="T41" s="31"/>
      <c r="U41" s="177"/>
      <c r="V41" s="178"/>
      <c r="W41" s="177"/>
      <c r="X41" s="177"/>
      <c r="Y41" s="24">
        <f>SUM(Y32:Y40)</f>
        <v>0</v>
      </c>
      <c r="Z41" s="24">
        <f>SUM(Z32:Z40)</f>
        <v>0</v>
      </c>
      <c r="AA41" s="609"/>
      <c r="AB41" s="609"/>
      <c r="AC41" s="24">
        <v>9</v>
      </c>
      <c r="AD41" s="24">
        <f>SUM(AD32:AD40)</f>
        <v>0</v>
      </c>
      <c r="AE41" s="15">
        <f t="shared" si="8"/>
        <v>-101.53280402600558</v>
      </c>
      <c r="AF41" s="176">
        <f t="shared" si="9"/>
        <v>0.95769466498916433</v>
      </c>
      <c r="AG41" s="619"/>
    </row>
    <row r="42" spans="1:33" ht="15.75" customHeight="1">
      <c r="A42" s="633" t="s">
        <v>666</v>
      </c>
      <c r="B42" s="33" t="s">
        <v>27</v>
      </c>
      <c r="C42" s="611" t="s">
        <v>33</v>
      </c>
      <c r="D42" s="611"/>
      <c r="E42" s="33">
        <v>26.18</v>
      </c>
      <c r="F42" s="180">
        <v>4100</v>
      </c>
      <c r="G42" s="177">
        <f t="shared" ref="G42:G50" si="27">E42*F42</f>
        <v>107338</v>
      </c>
      <c r="H42" s="29">
        <v>2</v>
      </c>
      <c r="I42" s="175">
        <v>20</v>
      </c>
      <c r="J42" s="30">
        <v>2400</v>
      </c>
      <c r="K42" s="13">
        <f t="shared" si="1"/>
        <v>120</v>
      </c>
      <c r="L42" s="175">
        <v>20</v>
      </c>
      <c r="M42" s="14">
        <f t="shared" ref="M42:M50" si="28">F42/V42*60</f>
        <v>2299.065420560748</v>
      </c>
      <c r="N42" s="13">
        <f t="shared" si="3"/>
        <v>114.95327102803739</v>
      </c>
      <c r="O42" s="15">
        <f t="shared" si="4"/>
        <v>0</v>
      </c>
      <c r="P42" s="16">
        <f t="shared" si="5"/>
        <v>-5.0467289719626081</v>
      </c>
      <c r="Q42" s="176">
        <f t="shared" si="6"/>
        <v>0.95794392523364491</v>
      </c>
      <c r="R42" s="619">
        <f>Q51</f>
        <v>0.95925810392923327</v>
      </c>
      <c r="S42" s="31">
        <v>8.3333333333333329E-2</v>
      </c>
      <c r="T42" s="31">
        <v>0.15763888888888888</v>
      </c>
      <c r="U42" s="177"/>
      <c r="V42" s="178">
        <f t="shared" ref="V42:V50" si="29">(T42-S42)*24*60</f>
        <v>107</v>
      </c>
      <c r="W42" s="22">
        <f>T42</f>
        <v>0.15763888888888888</v>
      </c>
      <c r="X42" s="22">
        <f>S43</f>
        <v>0.17569444444444443</v>
      </c>
      <c r="Y42" s="22"/>
      <c r="Z42" s="22"/>
      <c r="AA42" s="610"/>
      <c r="AB42" s="610"/>
      <c r="AC42" s="19">
        <v>9</v>
      </c>
      <c r="AD42" s="19"/>
      <c r="AE42" s="15">
        <f t="shared" si="8"/>
        <v>-100.93457943925205</v>
      </c>
      <c r="AF42" s="176">
        <f t="shared" si="9"/>
        <v>0.95794392523364502</v>
      </c>
      <c r="AG42" s="619">
        <f>AF51</f>
        <v>0.95925810392923327</v>
      </c>
    </row>
    <row r="43" spans="1:33" ht="15.75" customHeight="1">
      <c r="A43" s="633" t="s">
        <v>667</v>
      </c>
      <c r="B43" s="33" t="s">
        <v>27</v>
      </c>
      <c r="C43" s="611" t="s">
        <v>197</v>
      </c>
      <c r="D43" s="611"/>
      <c r="E43" s="33">
        <v>23.89</v>
      </c>
      <c r="F43" s="180">
        <v>4400</v>
      </c>
      <c r="G43" s="177">
        <f t="shared" si="27"/>
        <v>105116</v>
      </c>
      <c r="H43" s="29">
        <v>2</v>
      </c>
      <c r="I43" s="175">
        <v>17</v>
      </c>
      <c r="J43" s="30">
        <v>2400</v>
      </c>
      <c r="K43" s="13">
        <f t="shared" si="1"/>
        <v>141.1764705882353</v>
      </c>
      <c r="L43" s="175">
        <v>17</v>
      </c>
      <c r="M43" s="14">
        <f t="shared" si="28"/>
        <v>2295.652173913044</v>
      </c>
      <c r="N43" s="13">
        <f t="shared" si="3"/>
        <v>135.03836317135551</v>
      </c>
      <c r="O43" s="15">
        <f t="shared" si="4"/>
        <v>0</v>
      </c>
      <c r="P43" s="16">
        <f t="shared" si="5"/>
        <v>-6.1381074168797909</v>
      </c>
      <c r="Q43" s="176">
        <f t="shared" si="6"/>
        <v>0.95652173913043481</v>
      </c>
      <c r="R43" s="619"/>
      <c r="S43" s="31">
        <v>0.17569444444444443</v>
      </c>
      <c r="T43" s="31">
        <v>0.25555555555555554</v>
      </c>
      <c r="U43" s="177">
        <f t="shared" ref="U43:U50" si="30">(S43-T42)*24*60</f>
        <v>25.999999999999986</v>
      </c>
      <c r="V43" s="178">
        <f t="shared" si="29"/>
        <v>114.99999999999999</v>
      </c>
      <c r="W43" s="177"/>
      <c r="X43" s="177"/>
      <c r="Y43" s="177"/>
      <c r="Z43" s="177"/>
      <c r="AA43" s="610"/>
      <c r="AB43" s="610"/>
      <c r="AC43" s="19"/>
      <c r="AD43" s="19"/>
      <c r="AE43" s="15">
        <f t="shared" si="8"/>
        <v>-104.34782608695605</v>
      </c>
      <c r="AF43" s="176">
        <f t="shared" si="9"/>
        <v>0.95652173913043503</v>
      </c>
      <c r="AG43" s="619"/>
    </row>
    <row r="44" spans="1:33">
      <c r="A44" s="634" t="s">
        <v>667</v>
      </c>
      <c r="B44" s="33" t="s">
        <v>27</v>
      </c>
      <c r="C44" s="611" t="s">
        <v>30</v>
      </c>
      <c r="D44" s="611"/>
      <c r="E44" s="33">
        <v>26.18</v>
      </c>
      <c r="F44" s="180">
        <v>5400</v>
      </c>
      <c r="G44" s="177">
        <f t="shared" si="27"/>
        <v>141372</v>
      </c>
      <c r="H44" s="29">
        <v>2</v>
      </c>
      <c r="I44" s="175">
        <v>18</v>
      </c>
      <c r="J44" s="30">
        <v>2400</v>
      </c>
      <c r="K44" s="13">
        <f t="shared" si="1"/>
        <v>133.33333333333334</v>
      </c>
      <c r="L44" s="175">
        <v>18</v>
      </c>
      <c r="M44" s="14">
        <f t="shared" si="28"/>
        <v>2297.8723404255325</v>
      </c>
      <c r="N44" s="13">
        <f t="shared" si="3"/>
        <v>127.65957446808514</v>
      </c>
      <c r="O44" s="15">
        <f t="shared" si="4"/>
        <v>0</v>
      </c>
      <c r="P44" s="16">
        <f t="shared" si="5"/>
        <v>-5.6737588652482032</v>
      </c>
      <c r="Q44" s="176">
        <f t="shared" si="6"/>
        <v>0.95744680851063846</v>
      </c>
      <c r="R44" s="619"/>
      <c r="S44" s="31">
        <v>0.25902777777777775</v>
      </c>
      <c r="T44" s="31">
        <v>0.3569444444444444</v>
      </c>
      <c r="U44" s="177">
        <f t="shared" si="30"/>
        <v>4.9999999999999822</v>
      </c>
      <c r="V44" s="178">
        <f t="shared" si="29"/>
        <v>140.99999999999997</v>
      </c>
      <c r="W44" s="177"/>
      <c r="X44" s="177"/>
      <c r="Y44" s="177"/>
      <c r="Z44" s="177"/>
      <c r="AA44" s="610"/>
      <c r="AB44" s="610"/>
      <c r="AC44" s="19"/>
      <c r="AD44" s="19"/>
      <c r="AE44" s="15">
        <f t="shared" si="8"/>
        <v>-102.12765957446754</v>
      </c>
      <c r="AF44" s="176">
        <f t="shared" si="9"/>
        <v>0.95744680851063857</v>
      </c>
      <c r="AG44" s="619"/>
    </row>
    <row r="45" spans="1:33">
      <c r="A45" s="634" t="s">
        <v>667</v>
      </c>
      <c r="B45" s="33" t="s">
        <v>27</v>
      </c>
      <c r="C45" s="611" t="s">
        <v>32</v>
      </c>
      <c r="D45" s="611"/>
      <c r="E45" s="33">
        <v>25.99</v>
      </c>
      <c r="F45" s="180">
        <v>2500</v>
      </c>
      <c r="G45" s="177">
        <f t="shared" si="27"/>
        <v>64974.999999999993</v>
      </c>
      <c r="H45" s="29">
        <v>2</v>
      </c>
      <c r="I45" s="175">
        <v>14</v>
      </c>
      <c r="J45" s="30">
        <v>2400</v>
      </c>
      <c r="K45" s="13">
        <f t="shared" si="1"/>
        <v>171.42857142857142</v>
      </c>
      <c r="L45" s="175">
        <v>14</v>
      </c>
      <c r="M45" s="14">
        <f t="shared" si="28"/>
        <v>2307.6923076923072</v>
      </c>
      <c r="N45" s="13">
        <f t="shared" si="3"/>
        <v>164.83516483516479</v>
      </c>
      <c r="O45" s="15">
        <f t="shared" si="4"/>
        <v>0</v>
      </c>
      <c r="P45" s="16">
        <f t="shared" si="5"/>
        <v>-6.5934065934066268</v>
      </c>
      <c r="Q45" s="176">
        <f t="shared" si="6"/>
        <v>0.96153846153846134</v>
      </c>
      <c r="R45" s="619"/>
      <c r="S45" s="31">
        <v>0.36180555555555549</v>
      </c>
      <c r="T45" s="31">
        <v>0.40694444444444439</v>
      </c>
      <c r="U45" s="177">
        <f t="shared" si="30"/>
        <v>6.9999999999999751</v>
      </c>
      <c r="V45" s="178">
        <f t="shared" si="29"/>
        <v>65.000000000000014</v>
      </c>
      <c r="W45" s="17"/>
      <c r="X45" s="17"/>
      <c r="Y45" s="17"/>
      <c r="Z45" s="17"/>
      <c r="AA45" s="610"/>
      <c r="AB45" s="610"/>
      <c r="AC45" s="19"/>
      <c r="AD45" s="19"/>
      <c r="AE45" s="15">
        <f t="shared" si="8"/>
        <v>-92.307692307692832</v>
      </c>
      <c r="AF45" s="176">
        <f t="shared" si="9"/>
        <v>0.96153846153846134</v>
      </c>
      <c r="AG45" s="619"/>
    </row>
    <row r="46" spans="1:33">
      <c r="A46" s="634" t="s">
        <v>667</v>
      </c>
      <c r="B46" s="33" t="s">
        <v>27</v>
      </c>
      <c r="C46" s="611" t="s">
        <v>52</v>
      </c>
      <c r="D46" s="611"/>
      <c r="E46" s="33">
        <v>25.98</v>
      </c>
      <c r="F46" s="180">
        <v>2499</v>
      </c>
      <c r="G46" s="177">
        <f t="shared" si="27"/>
        <v>64924.020000000004</v>
      </c>
      <c r="H46" s="29" t="s">
        <v>5</v>
      </c>
      <c r="I46" s="175">
        <v>17</v>
      </c>
      <c r="J46" s="30">
        <v>2400</v>
      </c>
      <c r="K46" s="13">
        <f t="shared" si="1"/>
        <v>141.1764705882353</v>
      </c>
      <c r="L46" s="175">
        <v>17</v>
      </c>
      <c r="M46" s="14">
        <f t="shared" si="28"/>
        <v>2306.7692307692305</v>
      </c>
      <c r="N46" s="13">
        <f t="shared" si="3"/>
        <v>135.69230769230768</v>
      </c>
      <c r="O46" s="15">
        <f t="shared" si="4"/>
        <v>0</v>
      </c>
      <c r="P46" s="16">
        <f t="shared" si="5"/>
        <v>-5.484162895927625</v>
      </c>
      <c r="Q46" s="176">
        <f t="shared" si="6"/>
        <v>0.96115384615384603</v>
      </c>
      <c r="R46" s="619"/>
      <c r="S46" s="31">
        <v>0.41111111111111104</v>
      </c>
      <c r="T46" s="31">
        <v>0.45624999999999993</v>
      </c>
      <c r="U46" s="177">
        <f t="shared" si="30"/>
        <v>5.9999999999999787</v>
      </c>
      <c r="V46" s="178">
        <f t="shared" si="29"/>
        <v>65.000000000000014</v>
      </c>
      <c r="W46" s="17"/>
      <c r="X46" s="17"/>
      <c r="Y46" s="17"/>
      <c r="Z46" s="17"/>
      <c r="AA46" s="610"/>
      <c r="AB46" s="610"/>
      <c r="AC46" s="19"/>
      <c r="AD46" s="19"/>
      <c r="AE46" s="15">
        <f t="shared" si="8"/>
        <v>-93.230769230769511</v>
      </c>
      <c r="AF46" s="176">
        <f t="shared" si="9"/>
        <v>0.96115384615384603</v>
      </c>
      <c r="AG46" s="619"/>
    </row>
    <row r="47" spans="1:33">
      <c r="A47" s="634" t="s">
        <v>667</v>
      </c>
      <c r="B47" s="33" t="s">
        <v>27</v>
      </c>
      <c r="C47" s="611" t="s">
        <v>54</v>
      </c>
      <c r="D47" s="611"/>
      <c r="E47" s="33">
        <v>24.25</v>
      </c>
      <c r="F47" s="180">
        <v>2621</v>
      </c>
      <c r="G47" s="177">
        <f t="shared" si="27"/>
        <v>63559.25</v>
      </c>
      <c r="H47" s="29" t="s">
        <v>5</v>
      </c>
      <c r="I47" s="175">
        <v>16</v>
      </c>
      <c r="J47" s="30">
        <v>2400</v>
      </c>
      <c r="K47" s="13">
        <f t="shared" si="1"/>
        <v>150</v>
      </c>
      <c r="L47" s="175">
        <v>16</v>
      </c>
      <c r="M47" s="14">
        <f t="shared" si="28"/>
        <v>2312.6470588235265</v>
      </c>
      <c r="N47" s="13">
        <f t="shared" si="3"/>
        <v>144.54044117647041</v>
      </c>
      <c r="O47" s="15">
        <f t="shared" si="4"/>
        <v>0</v>
      </c>
      <c r="P47" s="16">
        <f t="shared" si="5"/>
        <v>-5.4595588235295907</v>
      </c>
      <c r="Q47" s="176">
        <f t="shared" si="6"/>
        <v>0.96360294117646939</v>
      </c>
      <c r="R47" s="619"/>
      <c r="S47" s="31">
        <v>0.46111111111111103</v>
      </c>
      <c r="T47" s="31">
        <v>0.5083333333333333</v>
      </c>
      <c r="U47" s="177">
        <f t="shared" si="30"/>
        <v>6.9999999999999751</v>
      </c>
      <c r="V47" s="178">
        <f t="shared" si="29"/>
        <v>68.000000000000085</v>
      </c>
      <c r="W47" s="17">
        <f>T47</f>
        <v>0.5083333333333333</v>
      </c>
      <c r="X47" s="17">
        <f>S48</f>
        <v>0.54791666666666661</v>
      </c>
      <c r="Y47" s="17"/>
      <c r="Z47" s="17"/>
      <c r="AA47" s="610"/>
      <c r="AB47" s="610"/>
      <c r="AC47" s="19"/>
      <c r="AD47" s="19"/>
      <c r="AE47" s="15">
        <f t="shared" si="8"/>
        <v>-87.35294117647345</v>
      </c>
      <c r="AF47" s="176">
        <f t="shared" si="9"/>
        <v>0.96360294117646939</v>
      </c>
      <c r="AG47" s="619"/>
    </row>
    <row r="48" spans="1:33">
      <c r="A48" s="634" t="s">
        <v>667</v>
      </c>
      <c r="B48" s="33" t="s">
        <v>27</v>
      </c>
      <c r="C48" s="611" t="s">
        <v>33</v>
      </c>
      <c r="D48" s="611"/>
      <c r="E48" s="33">
        <v>26.18</v>
      </c>
      <c r="F48" s="180">
        <v>3220</v>
      </c>
      <c r="G48" s="177">
        <f t="shared" si="27"/>
        <v>84299.6</v>
      </c>
      <c r="H48" s="29" t="s">
        <v>5</v>
      </c>
      <c r="I48" s="175">
        <v>20</v>
      </c>
      <c r="J48" s="30">
        <v>2400</v>
      </c>
      <c r="K48" s="13">
        <f t="shared" si="1"/>
        <v>120</v>
      </c>
      <c r="L48" s="175">
        <v>20</v>
      </c>
      <c r="M48" s="14">
        <f t="shared" si="28"/>
        <v>2299.9999999999991</v>
      </c>
      <c r="N48" s="13">
        <f t="shared" si="3"/>
        <v>114.99999999999996</v>
      </c>
      <c r="O48" s="15">
        <f t="shared" si="4"/>
        <v>0</v>
      </c>
      <c r="P48" s="16">
        <f t="shared" si="5"/>
        <v>-5.0000000000000426</v>
      </c>
      <c r="Q48" s="176">
        <f t="shared" si="6"/>
        <v>0.95833333333333293</v>
      </c>
      <c r="R48" s="619"/>
      <c r="S48" s="31">
        <v>0.54791666666666661</v>
      </c>
      <c r="T48" s="31">
        <v>0.60624999999999996</v>
      </c>
      <c r="U48" s="177">
        <f t="shared" si="30"/>
        <v>56.999999999999957</v>
      </c>
      <c r="V48" s="178">
        <f t="shared" si="29"/>
        <v>84.000000000000028</v>
      </c>
      <c r="W48" s="17"/>
      <c r="X48" s="17"/>
      <c r="Y48" s="20"/>
      <c r="Z48" s="20"/>
      <c r="AA48" s="614"/>
      <c r="AB48" s="615"/>
      <c r="AC48" s="19"/>
      <c r="AD48" s="19"/>
      <c r="AE48" s="15">
        <f t="shared" si="8"/>
        <v>-100.00000000000091</v>
      </c>
      <c r="AF48" s="176">
        <f t="shared" si="9"/>
        <v>0.95833333333333293</v>
      </c>
      <c r="AG48" s="619"/>
    </row>
    <row r="49" spans="1:33">
      <c r="A49" s="634" t="s">
        <v>667</v>
      </c>
      <c r="B49" s="33" t="s">
        <v>27</v>
      </c>
      <c r="C49" s="611" t="s">
        <v>30</v>
      </c>
      <c r="D49" s="611"/>
      <c r="E49" s="33">
        <v>26.18</v>
      </c>
      <c r="F49" s="180">
        <v>4441</v>
      </c>
      <c r="G49" s="177">
        <f t="shared" si="27"/>
        <v>116265.38</v>
      </c>
      <c r="H49" s="29" t="s">
        <v>5</v>
      </c>
      <c r="I49" s="175">
        <v>18</v>
      </c>
      <c r="J49" s="30">
        <v>2400</v>
      </c>
      <c r="K49" s="13">
        <f t="shared" si="1"/>
        <v>133.33333333333334</v>
      </c>
      <c r="L49" s="175">
        <v>18</v>
      </c>
      <c r="M49" s="14">
        <f t="shared" si="28"/>
        <v>2297.06896551724</v>
      </c>
      <c r="N49" s="13">
        <f t="shared" si="3"/>
        <v>127.61494252873555</v>
      </c>
      <c r="O49" s="15">
        <f t="shared" si="4"/>
        <v>0</v>
      </c>
      <c r="P49" s="16">
        <f t="shared" si="5"/>
        <v>-5.7183908045977887</v>
      </c>
      <c r="Q49" s="176">
        <f t="shared" si="6"/>
        <v>0.95711206896551659</v>
      </c>
      <c r="R49" s="619"/>
      <c r="S49" s="31">
        <v>0.61111111111111105</v>
      </c>
      <c r="T49" s="31">
        <v>0.69166666666666665</v>
      </c>
      <c r="U49" s="177">
        <f t="shared" si="30"/>
        <v>6.9999999999999751</v>
      </c>
      <c r="V49" s="178">
        <f t="shared" si="29"/>
        <v>116.00000000000007</v>
      </c>
      <c r="W49" s="17"/>
      <c r="X49" s="17"/>
      <c r="Y49" s="20"/>
      <c r="Z49" s="20"/>
      <c r="AA49" s="614"/>
      <c r="AB49" s="615"/>
      <c r="AC49" s="19"/>
      <c r="AD49" s="19"/>
      <c r="AE49" s="15">
        <f t="shared" si="8"/>
        <v>-102.93103448275997</v>
      </c>
      <c r="AF49" s="176">
        <f t="shared" si="9"/>
        <v>0.9571120689655167</v>
      </c>
      <c r="AG49" s="619"/>
    </row>
    <row r="50" spans="1:33">
      <c r="A50" s="634" t="s">
        <v>667</v>
      </c>
      <c r="B50" s="33" t="s">
        <v>27</v>
      </c>
      <c r="C50" s="612" t="s">
        <v>34</v>
      </c>
      <c r="D50" s="613"/>
      <c r="E50" s="33">
        <v>24.43</v>
      </c>
      <c r="F50" s="180">
        <v>4069</v>
      </c>
      <c r="G50" s="177">
        <f t="shared" si="27"/>
        <v>99405.67</v>
      </c>
      <c r="H50" s="29" t="s">
        <v>5</v>
      </c>
      <c r="I50" s="175">
        <v>14</v>
      </c>
      <c r="J50" s="30">
        <v>2400</v>
      </c>
      <c r="K50" s="13">
        <f t="shared" si="1"/>
        <v>171.42857142857142</v>
      </c>
      <c r="L50" s="175">
        <v>14</v>
      </c>
      <c r="M50" s="14">
        <f t="shared" si="28"/>
        <v>2303.2075471698126</v>
      </c>
      <c r="N50" s="13">
        <f t="shared" si="3"/>
        <v>164.51482479784377</v>
      </c>
      <c r="O50" s="15">
        <f t="shared" si="4"/>
        <v>0</v>
      </c>
      <c r="P50" s="16">
        <f t="shared" si="5"/>
        <v>-6.9137466307276441</v>
      </c>
      <c r="Q50" s="176">
        <f t="shared" si="6"/>
        <v>0.95966981132075546</v>
      </c>
      <c r="R50" s="619"/>
      <c r="S50" s="31">
        <v>0.69652777777777775</v>
      </c>
      <c r="T50" s="31">
        <v>0.77013888888888882</v>
      </c>
      <c r="U50" s="177">
        <f t="shared" si="30"/>
        <v>6.9999999999999751</v>
      </c>
      <c r="V50" s="178">
        <f t="shared" si="29"/>
        <v>105.99999999999994</v>
      </c>
      <c r="W50" s="17"/>
      <c r="X50" s="17"/>
      <c r="Y50" s="20"/>
      <c r="Z50" s="20"/>
      <c r="AA50" s="181"/>
      <c r="AB50" s="182"/>
      <c r="AC50" s="19"/>
      <c r="AD50" s="19"/>
      <c r="AE50" s="15">
        <f t="shared" si="8"/>
        <v>-96.792452830187358</v>
      </c>
      <c r="AF50" s="176">
        <f t="shared" si="9"/>
        <v>0.95966981132075524</v>
      </c>
      <c r="AG50" s="619"/>
    </row>
    <row r="51" spans="1:33">
      <c r="A51" s="634" t="s">
        <v>667</v>
      </c>
      <c r="B51" s="34" t="s">
        <v>659</v>
      </c>
      <c r="C51" s="620"/>
      <c r="D51" s="620"/>
      <c r="E51" s="183"/>
      <c r="F51" s="34"/>
      <c r="G51" s="13"/>
      <c r="H51" s="180"/>
      <c r="I51" s="23">
        <v>17.111111111111111</v>
      </c>
      <c r="J51" s="30">
        <v>2400</v>
      </c>
      <c r="K51" s="13">
        <f t="shared" si="1"/>
        <v>140.25974025974025</v>
      </c>
      <c r="L51" s="23">
        <v>17.111111111111111</v>
      </c>
      <c r="M51" s="14">
        <f>AVERAGE(M42:M50)</f>
        <v>2302.2194494301598</v>
      </c>
      <c r="N51" s="13">
        <f t="shared" si="3"/>
        <v>134.54529249916519</v>
      </c>
      <c r="O51" s="15">
        <f t="shared" si="4"/>
        <v>0</v>
      </c>
      <c r="P51" s="16">
        <f t="shared" si="5"/>
        <v>-5.7144477605750694</v>
      </c>
      <c r="Q51" s="176">
        <f t="shared" si="6"/>
        <v>0.95925810392923327</v>
      </c>
      <c r="R51" s="619"/>
      <c r="S51" s="31"/>
      <c r="T51" s="31"/>
      <c r="U51" s="13"/>
      <c r="V51" s="178"/>
      <c r="W51" s="13"/>
      <c r="X51" s="13"/>
      <c r="Y51" s="24">
        <f>SUM(Y42:Y50)</f>
        <v>0</v>
      </c>
      <c r="Z51" s="24">
        <f>SUM(Z42:Z50)</f>
        <v>0</v>
      </c>
      <c r="AA51" s="609"/>
      <c r="AB51" s="609"/>
      <c r="AC51" s="24">
        <v>9</v>
      </c>
      <c r="AD51" s="24">
        <f>SUM(AD42:AD50)</f>
        <v>0</v>
      </c>
      <c r="AE51" s="15">
        <f t="shared" si="8"/>
        <v>-97.780550569840216</v>
      </c>
      <c r="AF51" s="176">
        <f t="shared" si="9"/>
        <v>0.95925810392923327</v>
      </c>
      <c r="AG51" s="619"/>
    </row>
    <row r="52" spans="1:33" ht="15.75" customHeight="1">
      <c r="A52" s="630" t="s">
        <v>668</v>
      </c>
      <c r="B52" s="33" t="s">
        <v>36</v>
      </c>
      <c r="C52" s="612" t="s">
        <v>37</v>
      </c>
      <c r="D52" s="613"/>
      <c r="E52" s="33">
        <v>21.13</v>
      </c>
      <c r="F52" s="180">
        <v>6502</v>
      </c>
      <c r="G52" s="177">
        <f t="shared" ref="G52:G54" si="31">E52*F52</f>
        <v>137387.25999999998</v>
      </c>
      <c r="H52" s="29" t="s">
        <v>5</v>
      </c>
      <c r="I52" s="175">
        <v>10</v>
      </c>
      <c r="J52" s="30">
        <v>3000</v>
      </c>
      <c r="K52" s="13">
        <f t="shared" si="1"/>
        <v>300</v>
      </c>
      <c r="L52" s="175">
        <v>10</v>
      </c>
      <c r="M52" s="14">
        <f t="shared" ref="M52:M54" si="32">F52/V52*60</f>
        <v>2868.5294117647049</v>
      </c>
      <c r="N52" s="14">
        <f t="shared" si="3"/>
        <v>286.85294117647049</v>
      </c>
      <c r="O52" s="15">
        <f t="shared" si="4"/>
        <v>0</v>
      </c>
      <c r="P52" s="16">
        <f t="shared" si="5"/>
        <v>-13.147058823529505</v>
      </c>
      <c r="Q52" s="176">
        <f t="shared" si="6"/>
        <v>0.95617647058823496</v>
      </c>
      <c r="R52" s="625">
        <f>Q55</f>
        <v>0.95717834304893112</v>
      </c>
      <c r="S52" s="31">
        <v>0.20833333333333334</v>
      </c>
      <c r="T52" s="31">
        <v>0.30277777777777781</v>
      </c>
      <c r="U52" s="22"/>
      <c r="V52" s="178">
        <f t="shared" ref="V52:V54" si="33">(T52-S52)*24*60</f>
        <v>136.00000000000006</v>
      </c>
      <c r="W52" s="17"/>
      <c r="X52" s="17"/>
      <c r="Y52" s="20"/>
      <c r="Z52" s="20"/>
      <c r="AA52" s="614"/>
      <c r="AB52" s="615"/>
      <c r="AC52" s="19">
        <v>3</v>
      </c>
      <c r="AD52" s="19"/>
      <c r="AE52" s="15">
        <f t="shared" si="8"/>
        <v>-131.47058823529505</v>
      </c>
      <c r="AF52" s="176">
        <f t="shared" si="9"/>
        <v>0.95617647058823496</v>
      </c>
      <c r="AG52" s="625">
        <f>AF55</f>
        <v>0.95717834304893112</v>
      </c>
    </row>
    <row r="53" spans="1:33" ht="15.75" customHeight="1">
      <c r="A53" s="631" t="s">
        <v>668</v>
      </c>
      <c r="B53" s="33" t="s">
        <v>36</v>
      </c>
      <c r="C53" s="612" t="s">
        <v>38</v>
      </c>
      <c r="D53" s="613"/>
      <c r="E53" s="33">
        <v>27.17</v>
      </c>
      <c r="F53" s="180">
        <v>7151</v>
      </c>
      <c r="G53" s="177">
        <f t="shared" si="31"/>
        <v>194292.67</v>
      </c>
      <c r="H53" s="29" t="s">
        <v>5</v>
      </c>
      <c r="I53" s="175">
        <v>10</v>
      </c>
      <c r="J53" s="30">
        <v>3000</v>
      </c>
      <c r="K53" s="13">
        <f t="shared" si="1"/>
        <v>300</v>
      </c>
      <c r="L53" s="175">
        <v>10</v>
      </c>
      <c r="M53" s="14">
        <f t="shared" si="32"/>
        <v>2860.3999999999996</v>
      </c>
      <c r="N53" s="14">
        <f t="shared" si="3"/>
        <v>286.03999999999996</v>
      </c>
      <c r="O53" s="15">
        <f t="shared" si="4"/>
        <v>0</v>
      </c>
      <c r="P53" s="16">
        <f t="shared" si="5"/>
        <v>-13.960000000000036</v>
      </c>
      <c r="Q53" s="176">
        <f t="shared" si="6"/>
        <v>0.95346666666666657</v>
      </c>
      <c r="R53" s="626"/>
      <c r="S53" s="31">
        <v>0.30763888888888891</v>
      </c>
      <c r="T53" s="31">
        <v>0.41180555555555559</v>
      </c>
      <c r="U53" s="177">
        <f t="shared" ref="U53:U54" si="34">(S53-T52)*24*60</f>
        <v>6.9999999999999751</v>
      </c>
      <c r="V53" s="178">
        <f t="shared" si="33"/>
        <v>150.00000000000003</v>
      </c>
      <c r="W53" s="17"/>
      <c r="X53" s="17"/>
      <c r="Y53" s="20"/>
      <c r="Z53" s="20"/>
      <c r="AA53" s="614"/>
      <c r="AB53" s="615"/>
      <c r="AC53" s="19"/>
      <c r="AD53" s="19"/>
      <c r="AE53" s="15">
        <f t="shared" si="8"/>
        <v>-139.60000000000036</v>
      </c>
      <c r="AF53" s="176">
        <f t="shared" si="9"/>
        <v>0.95346666666666657</v>
      </c>
      <c r="AG53" s="626"/>
    </row>
    <row r="54" spans="1:33" ht="15.75" customHeight="1">
      <c r="A54" s="631" t="s">
        <v>668</v>
      </c>
      <c r="B54" s="33" t="s">
        <v>36</v>
      </c>
      <c r="C54" s="612" t="s">
        <v>49</v>
      </c>
      <c r="D54" s="613"/>
      <c r="E54" s="33">
        <v>35.869999999999997</v>
      </c>
      <c r="F54" s="180">
        <v>3559</v>
      </c>
      <c r="G54" s="177">
        <f t="shared" si="31"/>
        <v>127661.32999999999</v>
      </c>
      <c r="H54" s="29" t="s">
        <v>5</v>
      </c>
      <c r="I54" s="175">
        <v>10</v>
      </c>
      <c r="J54" s="30">
        <v>3000</v>
      </c>
      <c r="K54" s="13">
        <f t="shared" si="1"/>
        <v>300</v>
      </c>
      <c r="L54" s="175">
        <v>10</v>
      </c>
      <c r="M54" s="14">
        <f t="shared" si="32"/>
        <v>2885.6756756756768</v>
      </c>
      <c r="N54" s="14">
        <f t="shared" si="3"/>
        <v>288.56756756756766</v>
      </c>
      <c r="O54" s="15">
        <f t="shared" si="4"/>
        <v>0</v>
      </c>
      <c r="P54" s="16">
        <f t="shared" si="5"/>
        <v>-11.432432432432336</v>
      </c>
      <c r="Q54" s="176">
        <f t="shared" si="6"/>
        <v>0.96189189189189217</v>
      </c>
      <c r="R54" s="626"/>
      <c r="S54" s="31">
        <v>0.4152777777777778</v>
      </c>
      <c r="T54" s="31">
        <v>0.46666666666666667</v>
      </c>
      <c r="U54" s="177">
        <f t="shared" si="34"/>
        <v>4.9999999999999822</v>
      </c>
      <c r="V54" s="178">
        <f t="shared" si="33"/>
        <v>73.999999999999972</v>
      </c>
      <c r="W54" s="17"/>
      <c r="X54" s="17"/>
      <c r="Y54" s="20"/>
      <c r="Z54" s="20"/>
      <c r="AA54" s="614"/>
      <c r="AB54" s="615"/>
      <c r="AC54" s="19"/>
      <c r="AD54" s="19"/>
      <c r="AE54" s="15">
        <f t="shared" si="8"/>
        <v>-114.32432432432324</v>
      </c>
      <c r="AF54" s="176">
        <f t="shared" si="9"/>
        <v>0.96189189189189228</v>
      </c>
      <c r="AG54" s="626"/>
    </row>
    <row r="55" spans="1:33" ht="15.75" customHeight="1">
      <c r="A55" s="632" t="s">
        <v>668</v>
      </c>
      <c r="B55" s="33" t="s">
        <v>659</v>
      </c>
      <c r="C55" s="607"/>
      <c r="D55" s="608"/>
      <c r="E55" s="186"/>
      <c r="F55" s="180"/>
      <c r="G55" s="177"/>
      <c r="H55" s="180"/>
      <c r="I55" s="23">
        <v>10</v>
      </c>
      <c r="J55" s="30">
        <v>3000</v>
      </c>
      <c r="K55" s="13">
        <f t="shared" si="1"/>
        <v>300</v>
      </c>
      <c r="L55" s="23">
        <v>10</v>
      </c>
      <c r="M55" s="14">
        <f>AVERAGE(M52:M54)</f>
        <v>2871.5350291467935</v>
      </c>
      <c r="N55" s="13">
        <f t="shared" si="3"/>
        <v>287.15350291467934</v>
      </c>
      <c r="O55" s="15">
        <f t="shared" si="4"/>
        <v>0</v>
      </c>
      <c r="P55" s="16">
        <f t="shared" si="5"/>
        <v>-12.846497085320664</v>
      </c>
      <c r="Q55" s="176">
        <f t="shared" si="6"/>
        <v>0.95717834304893112</v>
      </c>
      <c r="R55" s="627"/>
      <c r="S55" s="31"/>
      <c r="T55" s="31"/>
      <c r="U55" s="177"/>
      <c r="V55" s="178"/>
      <c r="W55" s="17"/>
      <c r="X55" s="17"/>
      <c r="Y55" s="24">
        <f>SUM(Y52:Y54)</f>
        <v>0</v>
      </c>
      <c r="Z55" s="24">
        <f>SUM(Z52:Z54)</f>
        <v>0</v>
      </c>
      <c r="AA55" s="628"/>
      <c r="AB55" s="629"/>
      <c r="AC55" s="24">
        <v>3</v>
      </c>
      <c r="AD55" s="24">
        <f>SUM(AD52:AD54)</f>
        <v>0</v>
      </c>
      <c r="AE55" s="15">
        <f t="shared" si="8"/>
        <v>-128.46497085320652</v>
      </c>
      <c r="AF55" s="176">
        <f t="shared" si="9"/>
        <v>0.95717834304893112</v>
      </c>
      <c r="AG55" s="627"/>
    </row>
    <row r="56" spans="1:33" ht="15.75" customHeight="1">
      <c r="A56" s="623" t="s">
        <v>669</v>
      </c>
      <c r="B56" s="33" t="s">
        <v>6</v>
      </c>
      <c r="C56" s="611" t="s">
        <v>41</v>
      </c>
      <c r="D56" s="611"/>
      <c r="E56" s="33">
        <v>51.44</v>
      </c>
      <c r="F56" s="35">
        <v>1654</v>
      </c>
      <c r="G56" s="177">
        <f t="shared" ref="G56:G64" si="35">E56*F56</f>
        <v>85081.76</v>
      </c>
      <c r="H56" s="29" t="s">
        <v>5</v>
      </c>
      <c r="I56" s="175">
        <v>25</v>
      </c>
      <c r="J56" s="30">
        <v>2000</v>
      </c>
      <c r="K56" s="13">
        <f t="shared" si="1"/>
        <v>80</v>
      </c>
      <c r="L56" s="175">
        <v>25</v>
      </c>
      <c r="M56" s="14">
        <f t="shared" ref="M56" si="36">F56/V56*60</f>
        <v>1908.4615384615379</v>
      </c>
      <c r="N56" s="14">
        <f t="shared" si="3"/>
        <v>76.338461538461516</v>
      </c>
      <c r="O56" s="15">
        <f t="shared" si="4"/>
        <v>0</v>
      </c>
      <c r="P56" s="16">
        <f t="shared" si="5"/>
        <v>-3.6615384615384841</v>
      </c>
      <c r="Q56" s="176">
        <f t="shared" si="6"/>
        <v>0.95423076923076899</v>
      </c>
      <c r="R56" s="619">
        <f>Q65</f>
        <v>0.96082342712559654</v>
      </c>
      <c r="S56" s="31">
        <v>0.20833333333333334</v>
      </c>
      <c r="T56" s="31">
        <v>0.24444444444444446</v>
      </c>
      <c r="U56" s="22"/>
      <c r="V56" s="178">
        <f t="shared" ref="V56:V64" si="37">(T56-S56)*24*60</f>
        <v>52.000000000000014</v>
      </c>
      <c r="W56" s="17"/>
      <c r="X56" s="17"/>
      <c r="Y56" s="22"/>
      <c r="Z56" s="22"/>
      <c r="AA56" s="610"/>
      <c r="AB56" s="610"/>
      <c r="AC56" s="19">
        <v>9</v>
      </c>
      <c r="AD56" s="19"/>
      <c r="AE56" s="15">
        <f t="shared" si="8"/>
        <v>-91.538461538462116</v>
      </c>
      <c r="AF56" s="176">
        <f t="shared" si="9"/>
        <v>0.95423076923076899</v>
      </c>
      <c r="AG56" s="619">
        <f>AF65</f>
        <v>0.96082342712559643</v>
      </c>
    </row>
    <row r="57" spans="1:33" ht="15.75" customHeight="1">
      <c r="A57" s="623" t="s">
        <v>669</v>
      </c>
      <c r="B57" s="33" t="s">
        <v>6</v>
      </c>
      <c r="C57" s="611" t="s">
        <v>77</v>
      </c>
      <c r="D57" s="611"/>
      <c r="E57" s="33">
        <v>56.43</v>
      </c>
      <c r="F57" s="35">
        <v>2341</v>
      </c>
      <c r="G57" s="177">
        <f t="shared" si="35"/>
        <v>132102.63</v>
      </c>
      <c r="H57" s="29" t="s">
        <v>5</v>
      </c>
      <c r="I57" s="175">
        <v>23</v>
      </c>
      <c r="J57" s="30">
        <v>2000</v>
      </c>
      <c r="K57" s="13">
        <f t="shared" si="1"/>
        <v>86.956521739130437</v>
      </c>
      <c r="L57" s="175">
        <v>23</v>
      </c>
      <c r="M57" s="14">
        <f>F57/V57*60</f>
        <v>1924.1095890410961</v>
      </c>
      <c r="N57" s="14">
        <f t="shared" si="3"/>
        <v>83.656938653960694</v>
      </c>
      <c r="O57" s="15">
        <f t="shared" si="4"/>
        <v>0</v>
      </c>
      <c r="P57" s="16">
        <f t="shared" si="5"/>
        <v>-3.2995830851697434</v>
      </c>
      <c r="Q57" s="176">
        <f t="shared" si="6"/>
        <v>0.96205479452054798</v>
      </c>
      <c r="R57" s="619"/>
      <c r="S57" s="31">
        <v>0.24791666666666667</v>
      </c>
      <c r="T57" s="31">
        <v>0.2986111111111111</v>
      </c>
      <c r="U57" s="177">
        <f t="shared" ref="U57:U64" si="38">IF(S57=TIME(17,0,0),"",(S57-T56)*24*60)</f>
        <v>4.9999999999999822</v>
      </c>
      <c r="V57" s="178">
        <f t="shared" si="37"/>
        <v>72.999999999999986</v>
      </c>
      <c r="W57" s="17"/>
      <c r="X57" s="17"/>
      <c r="Y57" s="17"/>
      <c r="Z57" s="17"/>
      <c r="AA57" s="610"/>
      <c r="AB57" s="610"/>
      <c r="AC57" s="19"/>
      <c r="AD57" s="19"/>
      <c r="AE57" s="15">
        <f t="shared" si="8"/>
        <v>-75.890410958903885</v>
      </c>
      <c r="AF57" s="176">
        <f t="shared" si="9"/>
        <v>0.9620547945205481</v>
      </c>
      <c r="AG57" s="619"/>
    </row>
    <row r="58" spans="1:33" ht="15.75" customHeight="1">
      <c r="A58" s="623" t="s">
        <v>669</v>
      </c>
      <c r="B58" s="33" t="s">
        <v>6</v>
      </c>
      <c r="C58" s="612" t="s">
        <v>73</v>
      </c>
      <c r="D58" s="613"/>
      <c r="E58" s="33">
        <v>56.43</v>
      </c>
      <c r="F58" s="35">
        <v>1795</v>
      </c>
      <c r="G58" s="177">
        <f t="shared" si="35"/>
        <v>101291.85</v>
      </c>
      <c r="H58" s="29" t="s">
        <v>5</v>
      </c>
      <c r="I58" s="175">
        <v>25</v>
      </c>
      <c r="J58" s="30">
        <v>2000</v>
      </c>
      <c r="K58" s="13">
        <f t="shared" si="1"/>
        <v>80</v>
      </c>
      <c r="L58" s="175">
        <v>25</v>
      </c>
      <c r="M58" s="14">
        <f t="shared" ref="M58:M64" si="39">F58/V58*60</f>
        <v>1923.2142857142842</v>
      </c>
      <c r="N58" s="14">
        <f t="shared" si="3"/>
        <v>76.928571428571374</v>
      </c>
      <c r="O58" s="15">
        <f t="shared" si="4"/>
        <v>0</v>
      </c>
      <c r="P58" s="16">
        <f t="shared" si="5"/>
        <v>-3.0714285714286262</v>
      </c>
      <c r="Q58" s="176">
        <f t="shared" si="6"/>
        <v>0.96160714285714222</v>
      </c>
      <c r="R58" s="619"/>
      <c r="S58" s="31">
        <v>0.30416666666666664</v>
      </c>
      <c r="T58" s="31">
        <v>0.34305555555555556</v>
      </c>
      <c r="U58" s="177">
        <f t="shared" si="38"/>
        <v>7.9999999999999716</v>
      </c>
      <c r="V58" s="178">
        <f t="shared" si="37"/>
        <v>56.000000000000043</v>
      </c>
      <c r="W58" s="17"/>
      <c r="X58" s="17"/>
      <c r="Y58" s="20"/>
      <c r="Z58" s="20"/>
      <c r="AA58" s="610"/>
      <c r="AB58" s="610"/>
      <c r="AC58" s="19"/>
      <c r="AD58" s="19"/>
      <c r="AE58" s="15">
        <f t="shared" si="8"/>
        <v>-76.785714285715812</v>
      </c>
      <c r="AF58" s="176">
        <f t="shared" si="9"/>
        <v>0.96160714285714211</v>
      </c>
      <c r="AG58" s="619"/>
    </row>
    <row r="59" spans="1:33" ht="15.75" customHeight="1">
      <c r="A59" s="623" t="s">
        <v>669</v>
      </c>
      <c r="B59" s="33" t="s">
        <v>10</v>
      </c>
      <c r="C59" s="184" t="s">
        <v>42</v>
      </c>
      <c r="D59" s="185"/>
      <c r="E59" s="33">
        <v>46</v>
      </c>
      <c r="F59" s="35">
        <v>1628</v>
      </c>
      <c r="G59" s="177">
        <f t="shared" si="35"/>
        <v>74888</v>
      </c>
      <c r="H59" s="29" t="s">
        <v>5</v>
      </c>
      <c r="I59" s="175">
        <v>16</v>
      </c>
      <c r="J59" s="30">
        <v>2000</v>
      </c>
      <c r="K59" s="13">
        <f t="shared" si="1"/>
        <v>125</v>
      </c>
      <c r="L59" s="175">
        <v>16</v>
      </c>
      <c r="M59" s="14">
        <f t="shared" si="39"/>
        <v>1915.2941176470597</v>
      </c>
      <c r="N59" s="14">
        <f t="shared" si="3"/>
        <v>119.70588235294123</v>
      </c>
      <c r="O59" s="15">
        <f t="shared" si="4"/>
        <v>0</v>
      </c>
      <c r="P59" s="16">
        <f t="shared" si="5"/>
        <v>-5.2941176470587692</v>
      </c>
      <c r="Q59" s="176">
        <f t="shared" si="6"/>
        <v>0.95764705882352985</v>
      </c>
      <c r="R59" s="619"/>
      <c r="S59" s="31">
        <v>0.34652777777777777</v>
      </c>
      <c r="T59" s="31">
        <v>0.38194444444444442</v>
      </c>
      <c r="U59" s="177">
        <f t="shared" si="38"/>
        <v>4.9999999999999822</v>
      </c>
      <c r="V59" s="178">
        <f t="shared" si="37"/>
        <v>50.999999999999979</v>
      </c>
      <c r="W59" s="17"/>
      <c r="X59" s="17"/>
      <c r="Y59" s="20"/>
      <c r="Z59" s="20"/>
      <c r="AA59" s="610"/>
      <c r="AB59" s="610"/>
      <c r="AC59" s="19"/>
      <c r="AD59" s="19"/>
      <c r="AE59" s="15">
        <f t="shared" si="8"/>
        <v>-84.705882352940307</v>
      </c>
      <c r="AF59" s="176">
        <f t="shared" si="9"/>
        <v>0.95764705882352985</v>
      </c>
      <c r="AG59" s="619"/>
    </row>
    <row r="60" spans="1:33" ht="15.75" customHeight="1">
      <c r="A60" s="623" t="s">
        <v>669</v>
      </c>
      <c r="B60" s="33" t="s">
        <v>10</v>
      </c>
      <c r="C60" s="184" t="s">
        <v>43</v>
      </c>
      <c r="D60" s="185"/>
      <c r="E60" s="33">
        <v>46</v>
      </c>
      <c r="F60" s="35">
        <v>1657</v>
      </c>
      <c r="G60" s="177">
        <f t="shared" si="35"/>
        <v>76222</v>
      </c>
      <c r="H60" s="29" t="s">
        <v>5</v>
      </c>
      <c r="I60" s="175">
        <v>17</v>
      </c>
      <c r="J60" s="30">
        <v>2000</v>
      </c>
      <c r="K60" s="13">
        <f t="shared" si="1"/>
        <v>117.64705882352941</v>
      </c>
      <c r="L60" s="175">
        <v>17</v>
      </c>
      <c r="M60" s="14">
        <f t="shared" si="39"/>
        <v>1911.923076923078</v>
      </c>
      <c r="N60" s="14">
        <f t="shared" si="3"/>
        <v>112.46606334841636</v>
      </c>
      <c r="O60" s="15">
        <f t="shared" si="4"/>
        <v>0</v>
      </c>
      <c r="P60" s="16">
        <f t="shared" si="5"/>
        <v>-5.1809954751130505</v>
      </c>
      <c r="Q60" s="176">
        <f t="shared" si="6"/>
        <v>0.95596153846153908</v>
      </c>
      <c r="R60" s="619"/>
      <c r="S60" s="31">
        <v>0.38680555555555551</v>
      </c>
      <c r="T60" s="31">
        <v>0.42291666666666661</v>
      </c>
      <c r="U60" s="177">
        <f t="shared" si="38"/>
        <v>6.9999999999999751</v>
      </c>
      <c r="V60" s="178">
        <f t="shared" si="37"/>
        <v>51.999999999999972</v>
      </c>
      <c r="W60" s="17"/>
      <c r="X60" s="17"/>
      <c r="Y60" s="20"/>
      <c r="Z60" s="20"/>
      <c r="AA60" s="610"/>
      <c r="AB60" s="610"/>
      <c r="AC60" s="19"/>
      <c r="AD60" s="19"/>
      <c r="AE60" s="15">
        <f t="shared" si="8"/>
        <v>-88.076923076921958</v>
      </c>
      <c r="AF60" s="176">
        <f t="shared" si="9"/>
        <v>0.95596153846153897</v>
      </c>
      <c r="AG60" s="619"/>
    </row>
    <row r="61" spans="1:33" ht="15.75" customHeight="1">
      <c r="A61" s="623" t="s">
        <v>669</v>
      </c>
      <c r="B61" s="33" t="s">
        <v>6</v>
      </c>
      <c r="C61" s="612" t="s">
        <v>44</v>
      </c>
      <c r="D61" s="613"/>
      <c r="E61" s="33">
        <v>55.56</v>
      </c>
      <c r="F61" s="35">
        <v>1000</v>
      </c>
      <c r="G61" s="177">
        <f t="shared" si="35"/>
        <v>55560</v>
      </c>
      <c r="H61" s="29">
        <v>2</v>
      </c>
      <c r="I61" s="175">
        <v>17</v>
      </c>
      <c r="J61" s="30">
        <v>2000</v>
      </c>
      <c r="K61" s="13">
        <f t="shared" si="1"/>
        <v>117.64705882352941</v>
      </c>
      <c r="L61" s="175">
        <v>17</v>
      </c>
      <c r="M61" s="14">
        <f t="shared" si="39"/>
        <v>1935.483870967739</v>
      </c>
      <c r="N61" s="14">
        <f t="shared" si="3"/>
        <v>113.85199240986699</v>
      </c>
      <c r="O61" s="15">
        <f t="shared" si="4"/>
        <v>0</v>
      </c>
      <c r="P61" s="16">
        <f t="shared" si="5"/>
        <v>-3.7950664136624113</v>
      </c>
      <c r="Q61" s="176">
        <f t="shared" si="6"/>
        <v>0.96774193548386955</v>
      </c>
      <c r="R61" s="619"/>
      <c r="S61" s="31">
        <v>0.70833333333333337</v>
      </c>
      <c r="T61" s="31">
        <v>0.72986111111111118</v>
      </c>
      <c r="U61" s="177" t="str">
        <f t="shared" si="38"/>
        <v/>
      </c>
      <c r="V61" s="178">
        <f t="shared" si="37"/>
        <v>31.00000000000005</v>
      </c>
      <c r="W61" s="17"/>
      <c r="X61" s="17"/>
      <c r="Y61" s="20"/>
      <c r="Z61" s="20"/>
      <c r="AA61" s="614"/>
      <c r="AB61" s="615"/>
      <c r="AC61" s="19"/>
      <c r="AD61" s="19"/>
      <c r="AE61" s="15">
        <f t="shared" si="8"/>
        <v>-64.516129032261006</v>
      </c>
      <c r="AF61" s="176">
        <f t="shared" si="9"/>
        <v>0.96774193548386944</v>
      </c>
      <c r="AG61" s="619"/>
    </row>
    <row r="62" spans="1:33" ht="15.75" customHeight="1">
      <c r="A62" s="623" t="s">
        <v>669</v>
      </c>
      <c r="B62" s="33" t="s">
        <v>6</v>
      </c>
      <c r="C62" s="612" t="s">
        <v>72</v>
      </c>
      <c r="D62" s="613"/>
      <c r="E62" s="33">
        <v>58.17</v>
      </c>
      <c r="F62" s="35">
        <v>2498</v>
      </c>
      <c r="G62" s="177">
        <f t="shared" si="35"/>
        <v>145308.66</v>
      </c>
      <c r="H62" s="29" t="s">
        <v>5</v>
      </c>
      <c r="I62" s="175">
        <v>13</v>
      </c>
      <c r="J62" s="30">
        <v>2000</v>
      </c>
      <c r="K62" s="13">
        <f t="shared" si="1"/>
        <v>153.84615384615384</v>
      </c>
      <c r="L62" s="175">
        <v>13</v>
      </c>
      <c r="M62" s="14">
        <f t="shared" si="39"/>
        <v>1921.5384615384605</v>
      </c>
      <c r="N62" s="14">
        <f t="shared" si="3"/>
        <v>147.8106508875739</v>
      </c>
      <c r="O62" s="15">
        <f t="shared" si="4"/>
        <v>0</v>
      </c>
      <c r="P62" s="16">
        <f t="shared" si="5"/>
        <v>-6.03550295857994</v>
      </c>
      <c r="Q62" s="176">
        <f t="shared" si="6"/>
        <v>0.96076923076923038</v>
      </c>
      <c r="R62" s="619"/>
      <c r="S62" s="31">
        <v>0.73402777777777783</v>
      </c>
      <c r="T62" s="31">
        <v>0.78819444444444453</v>
      </c>
      <c r="U62" s="177">
        <f t="shared" si="38"/>
        <v>5.9999999999999787</v>
      </c>
      <c r="V62" s="178">
        <f t="shared" si="37"/>
        <v>78.000000000000043</v>
      </c>
      <c r="W62" s="17"/>
      <c r="X62" s="17"/>
      <c r="Y62" s="20"/>
      <c r="Z62" s="20"/>
      <c r="AA62" s="614"/>
      <c r="AB62" s="615"/>
      <c r="AC62" s="19"/>
      <c r="AD62" s="19"/>
      <c r="AE62" s="15">
        <f t="shared" si="8"/>
        <v>-78.461538461539476</v>
      </c>
      <c r="AF62" s="176">
        <f t="shared" si="9"/>
        <v>0.96076923076923026</v>
      </c>
      <c r="AG62" s="619"/>
    </row>
    <row r="63" spans="1:33" ht="15.75" customHeight="1">
      <c r="A63" s="623" t="s">
        <v>669</v>
      </c>
      <c r="B63" s="33" t="s">
        <v>6</v>
      </c>
      <c r="C63" s="612" t="s">
        <v>82</v>
      </c>
      <c r="D63" s="613"/>
      <c r="E63" s="33">
        <v>54.09</v>
      </c>
      <c r="F63" s="35">
        <v>2626</v>
      </c>
      <c r="G63" s="177">
        <f t="shared" si="35"/>
        <v>142040.34</v>
      </c>
      <c r="H63" s="29" t="s">
        <v>5</v>
      </c>
      <c r="I63" s="175">
        <v>14</v>
      </c>
      <c r="J63" s="30">
        <v>2000</v>
      </c>
      <c r="K63" s="13">
        <f t="shared" si="1"/>
        <v>142.85714285714286</v>
      </c>
      <c r="L63" s="175">
        <v>14</v>
      </c>
      <c r="M63" s="14">
        <f t="shared" si="39"/>
        <v>1921.4634146341459</v>
      </c>
      <c r="N63" s="14">
        <f t="shared" si="3"/>
        <v>137.24738675958184</v>
      </c>
      <c r="O63" s="15">
        <f t="shared" si="4"/>
        <v>0</v>
      </c>
      <c r="P63" s="16">
        <f t="shared" si="5"/>
        <v>-5.6097560975610179</v>
      </c>
      <c r="Q63" s="176">
        <f t="shared" si="6"/>
        <v>0.96073170731707291</v>
      </c>
      <c r="R63" s="619"/>
      <c r="S63" s="31">
        <v>0.79236111111111118</v>
      </c>
      <c r="T63" s="31">
        <v>0.84930555555555565</v>
      </c>
      <c r="U63" s="177">
        <f t="shared" si="38"/>
        <v>5.9999999999999787</v>
      </c>
      <c r="V63" s="178">
        <f t="shared" si="37"/>
        <v>82.000000000000028</v>
      </c>
      <c r="W63" s="17">
        <f>T63</f>
        <v>0.84930555555555565</v>
      </c>
      <c r="X63" s="17">
        <f>S64</f>
        <v>0.88888888888888895</v>
      </c>
      <c r="Y63" s="20"/>
      <c r="Z63" s="20"/>
      <c r="AA63" s="614"/>
      <c r="AB63" s="615"/>
      <c r="AC63" s="19"/>
      <c r="AD63" s="19"/>
      <c r="AE63" s="15">
        <f t="shared" si="8"/>
        <v>-78.53658536585408</v>
      </c>
      <c r="AF63" s="176">
        <f t="shared" si="9"/>
        <v>0.96073170731707291</v>
      </c>
      <c r="AG63" s="619"/>
    </row>
    <row r="64" spans="1:33">
      <c r="A64" s="623" t="s">
        <v>669</v>
      </c>
      <c r="B64" s="33" t="s">
        <v>6</v>
      </c>
      <c r="C64" s="184" t="s">
        <v>44</v>
      </c>
      <c r="D64" s="185"/>
      <c r="E64" s="33">
        <v>55.56</v>
      </c>
      <c r="F64" s="35">
        <v>2030</v>
      </c>
      <c r="G64" s="177">
        <f t="shared" si="35"/>
        <v>112786.8</v>
      </c>
      <c r="H64" s="29" t="s">
        <v>5</v>
      </c>
      <c r="I64" s="175">
        <v>17</v>
      </c>
      <c r="J64" s="30">
        <v>2000</v>
      </c>
      <c r="K64" s="13">
        <f t="shared" si="1"/>
        <v>117.64705882352941</v>
      </c>
      <c r="L64" s="175">
        <v>17</v>
      </c>
      <c r="M64" s="14">
        <f t="shared" si="39"/>
        <v>1933.3333333333353</v>
      </c>
      <c r="N64" s="14">
        <f t="shared" si="3"/>
        <v>113.72549019607855</v>
      </c>
      <c r="O64" s="15">
        <f t="shared" si="4"/>
        <v>0</v>
      </c>
      <c r="P64" s="16">
        <f t="shared" si="5"/>
        <v>-3.9215686274508528</v>
      </c>
      <c r="Q64" s="176">
        <f t="shared" si="6"/>
        <v>0.96666666666666778</v>
      </c>
      <c r="R64" s="619"/>
      <c r="S64" s="31">
        <v>0.88888888888888895</v>
      </c>
      <c r="T64" s="31">
        <v>0.93263888888888891</v>
      </c>
      <c r="U64" s="177">
        <f t="shared" si="38"/>
        <v>56.999999999999957</v>
      </c>
      <c r="V64" s="178">
        <f t="shared" si="37"/>
        <v>62.999999999999936</v>
      </c>
      <c r="W64" s="17"/>
      <c r="X64" s="17"/>
      <c r="Y64" s="20"/>
      <c r="Z64" s="20"/>
      <c r="AA64" s="181"/>
      <c r="AB64" s="182"/>
      <c r="AC64" s="19"/>
      <c r="AD64" s="19"/>
      <c r="AE64" s="15">
        <f t="shared" si="8"/>
        <v>-66.666666666664696</v>
      </c>
      <c r="AF64" s="176">
        <f t="shared" si="9"/>
        <v>0.96666666666666767</v>
      </c>
      <c r="AG64" s="619"/>
    </row>
    <row r="65" spans="1:33">
      <c r="A65" s="624" t="s">
        <v>669</v>
      </c>
      <c r="B65" s="33" t="s">
        <v>659</v>
      </c>
      <c r="C65" s="620"/>
      <c r="D65" s="620"/>
      <c r="E65" s="183"/>
      <c r="F65" s="34"/>
      <c r="G65" s="13"/>
      <c r="H65" s="180"/>
      <c r="I65" s="23">
        <v>18.555555555555557</v>
      </c>
      <c r="J65" s="30">
        <v>2000</v>
      </c>
      <c r="K65" s="13">
        <f t="shared" si="1"/>
        <v>107.78443113772454</v>
      </c>
      <c r="L65" s="23">
        <v>18.555555555555557</v>
      </c>
      <c r="M65" s="14">
        <f>AVERAGE(M56:M64)</f>
        <v>1921.646854251193</v>
      </c>
      <c r="N65" s="13">
        <f t="shared" si="3"/>
        <v>103.56180651653135</v>
      </c>
      <c r="O65" s="15">
        <f t="shared" si="4"/>
        <v>0</v>
      </c>
      <c r="P65" s="16">
        <f t="shared" si="5"/>
        <v>-4.2226246211931908</v>
      </c>
      <c r="Q65" s="176">
        <f t="shared" si="6"/>
        <v>0.96082342712559654</v>
      </c>
      <c r="R65" s="619"/>
      <c r="S65" s="31"/>
      <c r="T65" s="31"/>
      <c r="U65" s="177"/>
      <c r="V65" s="178"/>
      <c r="W65" s="13"/>
      <c r="X65" s="13"/>
      <c r="Y65" s="24">
        <f>SUM(Y56:Y64)</f>
        <v>0</v>
      </c>
      <c r="Z65" s="24">
        <f>SUM(Z56:Z64)</f>
        <v>0</v>
      </c>
      <c r="AA65" s="609"/>
      <c r="AB65" s="609"/>
      <c r="AC65" s="24">
        <v>9</v>
      </c>
      <c r="AD65" s="24">
        <f>SUM(AD56:AD64)</f>
        <v>0</v>
      </c>
      <c r="AE65" s="15">
        <f>M65-J65</f>
        <v>-78.353145748807037</v>
      </c>
      <c r="AF65" s="176">
        <f t="shared" si="9"/>
        <v>0.96082342712559643</v>
      </c>
      <c r="AG65" s="619"/>
    </row>
    <row r="66" spans="1:33" ht="15.75" customHeight="1">
      <c r="A66" s="621" t="s">
        <v>670</v>
      </c>
      <c r="B66" s="180" t="s">
        <v>36</v>
      </c>
      <c r="C66" s="611" t="s">
        <v>46</v>
      </c>
      <c r="D66" s="611"/>
      <c r="E66" s="33">
        <v>35.119999999999997</v>
      </c>
      <c r="F66" s="35">
        <v>5757</v>
      </c>
      <c r="G66" s="177">
        <f t="shared" ref="G66:G70" si="40">E66*F66</f>
        <v>202185.84</v>
      </c>
      <c r="H66" s="29" t="s">
        <v>5</v>
      </c>
      <c r="I66" s="175">
        <v>10</v>
      </c>
      <c r="J66" s="30">
        <v>3000</v>
      </c>
      <c r="K66" s="13">
        <f t="shared" si="1"/>
        <v>300</v>
      </c>
      <c r="L66" s="175">
        <v>10</v>
      </c>
      <c r="M66" s="14">
        <f t="shared" ref="M66:M70" si="41">F66/V66*60</f>
        <v>2878.5</v>
      </c>
      <c r="N66" s="13">
        <f t="shared" si="3"/>
        <v>287.85000000000002</v>
      </c>
      <c r="O66" s="15">
        <f t="shared" si="4"/>
        <v>0</v>
      </c>
      <c r="P66" s="16">
        <f t="shared" si="5"/>
        <v>-12.149999999999977</v>
      </c>
      <c r="Q66" s="176">
        <f t="shared" si="6"/>
        <v>0.95950000000000013</v>
      </c>
      <c r="R66" s="619">
        <f>Q71</f>
        <v>0.96050993696700027</v>
      </c>
      <c r="S66" s="31">
        <v>0.20833333333333334</v>
      </c>
      <c r="T66" s="31">
        <v>0.29166666666666669</v>
      </c>
      <c r="U66" s="177"/>
      <c r="V66" s="178">
        <f t="shared" ref="V66:V70" si="42">(T66-S66)*24*60</f>
        <v>120</v>
      </c>
      <c r="W66" s="17"/>
      <c r="X66" s="17"/>
      <c r="Y66" s="22"/>
      <c r="Z66" s="22"/>
      <c r="AA66" s="610"/>
      <c r="AB66" s="610"/>
      <c r="AC66" s="19">
        <v>5</v>
      </c>
      <c r="AD66" s="19"/>
      <c r="AE66" s="15">
        <f t="shared" ref="AE66:AE80" si="43">M66-J66</f>
        <v>-121.5</v>
      </c>
      <c r="AF66" s="176">
        <f t="shared" si="9"/>
        <v>0.95950000000000002</v>
      </c>
      <c r="AG66" s="619">
        <f>AF71</f>
        <v>0.96050993696700027</v>
      </c>
    </row>
    <row r="67" spans="1:33" ht="15.75" customHeight="1">
      <c r="A67" s="621" t="s">
        <v>199</v>
      </c>
      <c r="B67" s="180" t="s">
        <v>36</v>
      </c>
      <c r="C67" s="611" t="s">
        <v>47</v>
      </c>
      <c r="D67" s="611"/>
      <c r="E67" s="33">
        <v>26.78</v>
      </c>
      <c r="F67" s="35">
        <v>2855</v>
      </c>
      <c r="G67" s="177">
        <f t="shared" si="40"/>
        <v>76456.900000000009</v>
      </c>
      <c r="H67" s="29" t="s">
        <v>5</v>
      </c>
      <c r="I67" s="175">
        <v>10</v>
      </c>
      <c r="J67" s="30">
        <v>3000</v>
      </c>
      <c r="K67" s="13">
        <f t="shared" si="1"/>
        <v>300</v>
      </c>
      <c r="L67" s="175">
        <v>10</v>
      </c>
      <c r="M67" s="14">
        <f t="shared" si="41"/>
        <v>2854.9999999999986</v>
      </c>
      <c r="N67" s="13">
        <f t="shared" si="3"/>
        <v>285.49999999999989</v>
      </c>
      <c r="O67" s="15">
        <f t="shared" si="4"/>
        <v>0</v>
      </c>
      <c r="P67" s="16">
        <f t="shared" si="5"/>
        <v>-14.500000000000114</v>
      </c>
      <c r="Q67" s="176">
        <f t="shared" si="6"/>
        <v>0.95166666666666633</v>
      </c>
      <c r="R67" s="619"/>
      <c r="S67" s="31">
        <v>0.29652777777777778</v>
      </c>
      <c r="T67" s="31">
        <v>0.33819444444444446</v>
      </c>
      <c r="U67" s="177">
        <f t="shared" ref="U67:U70" si="44">(S67-T66)*24*60</f>
        <v>6.9999999999999751</v>
      </c>
      <c r="V67" s="178">
        <f t="shared" si="42"/>
        <v>60.000000000000028</v>
      </c>
      <c r="W67" s="177"/>
      <c r="X67" s="177"/>
      <c r="Y67" s="177"/>
      <c r="Z67" s="177"/>
      <c r="AA67" s="610"/>
      <c r="AB67" s="610"/>
      <c r="AC67" s="19"/>
      <c r="AD67" s="19"/>
      <c r="AE67" s="15">
        <f t="shared" si="43"/>
        <v>-145.00000000000136</v>
      </c>
      <c r="AF67" s="176">
        <f t="shared" si="9"/>
        <v>0.95166666666666622</v>
      </c>
      <c r="AG67" s="619"/>
    </row>
    <row r="68" spans="1:33" ht="15.75" customHeight="1">
      <c r="A68" s="621" t="s">
        <v>671</v>
      </c>
      <c r="B68" s="180" t="s">
        <v>36</v>
      </c>
      <c r="C68" s="611" t="s">
        <v>48</v>
      </c>
      <c r="D68" s="611"/>
      <c r="E68" s="33">
        <v>36.14</v>
      </c>
      <c r="F68" s="35">
        <v>1015</v>
      </c>
      <c r="G68" s="177">
        <f t="shared" si="40"/>
        <v>36682.1</v>
      </c>
      <c r="H68" s="29" t="s">
        <v>5</v>
      </c>
      <c r="I68" s="175">
        <v>11</v>
      </c>
      <c r="J68" s="30">
        <v>3000</v>
      </c>
      <c r="K68" s="13">
        <f t="shared" si="1"/>
        <v>272.72727272727275</v>
      </c>
      <c r="L68" s="175">
        <v>11</v>
      </c>
      <c r="M68" s="14">
        <f t="shared" si="41"/>
        <v>2899.9999999999991</v>
      </c>
      <c r="N68" s="13">
        <f t="shared" si="3"/>
        <v>263.63636363636357</v>
      </c>
      <c r="O68" s="15">
        <f t="shared" si="4"/>
        <v>0</v>
      </c>
      <c r="P68" s="16">
        <f t="shared" si="5"/>
        <v>-9.0909090909091788</v>
      </c>
      <c r="Q68" s="176">
        <f t="shared" si="6"/>
        <v>0.96666666666666634</v>
      </c>
      <c r="R68" s="619"/>
      <c r="S68" s="31">
        <v>0.34375</v>
      </c>
      <c r="T68" s="31">
        <v>0.35833333333333334</v>
      </c>
      <c r="U68" s="177">
        <f t="shared" si="44"/>
        <v>7.9999999999999716</v>
      </c>
      <c r="V68" s="178">
        <f t="shared" si="42"/>
        <v>21.000000000000007</v>
      </c>
      <c r="W68" s="177"/>
      <c r="X68" s="177"/>
      <c r="Y68" s="177"/>
      <c r="Z68" s="177"/>
      <c r="AA68" s="610"/>
      <c r="AB68" s="610"/>
      <c r="AC68" s="19"/>
      <c r="AD68" s="19"/>
      <c r="AE68" s="15">
        <f t="shared" si="43"/>
        <v>-100.00000000000091</v>
      </c>
      <c r="AF68" s="176">
        <f t="shared" si="9"/>
        <v>0.96666666666666634</v>
      </c>
      <c r="AG68" s="619"/>
    </row>
    <row r="69" spans="1:33" ht="15.75" customHeight="1">
      <c r="A69" s="621" t="s">
        <v>670</v>
      </c>
      <c r="B69" s="180" t="s">
        <v>36</v>
      </c>
      <c r="C69" s="611" t="s">
        <v>39</v>
      </c>
      <c r="D69" s="611"/>
      <c r="E69" s="33">
        <v>35.869999999999997</v>
      </c>
      <c r="F69" s="35">
        <v>1506</v>
      </c>
      <c r="G69" s="177">
        <f t="shared" si="40"/>
        <v>54020.219999999994</v>
      </c>
      <c r="H69" s="29" t="s">
        <v>5</v>
      </c>
      <c r="I69" s="175">
        <v>9</v>
      </c>
      <c r="J69" s="30">
        <v>3000</v>
      </c>
      <c r="K69" s="13">
        <f t="shared" ref="K69:K80" si="45">J69/I69</f>
        <v>333.33333333333331</v>
      </c>
      <c r="L69" s="175">
        <v>9</v>
      </c>
      <c r="M69" s="14">
        <f t="shared" si="41"/>
        <v>2914.8387096774222</v>
      </c>
      <c r="N69" s="13">
        <f t="shared" ref="N69:N80" si="46">M69/L69</f>
        <v>323.87096774193583</v>
      </c>
      <c r="O69" s="15">
        <f t="shared" ref="O69:O80" si="47">L69-I69</f>
        <v>0</v>
      </c>
      <c r="P69" s="16">
        <f t="shared" ref="P69:P80" si="48">N69-K69</f>
        <v>-9.4623655913974858</v>
      </c>
      <c r="Q69" s="176">
        <f t="shared" ref="Q69:Q80" si="49">N69/K69</f>
        <v>0.97161290322580751</v>
      </c>
      <c r="R69" s="619"/>
      <c r="S69" s="31">
        <v>0.36319444444444443</v>
      </c>
      <c r="T69" s="31">
        <v>0.38472222222222219</v>
      </c>
      <c r="U69" s="177">
        <f t="shared" si="44"/>
        <v>6.9999999999999751</v>
      </c>
      <c r="V69" s="178">
        <f t="shared" si="42"/>
        <v>30.999999999999972</v>
      </c>
      <c r="W69" s="177"/>
      <c r="X69" s="177"/>
      <c r="Y69" s="177"/>
      <c r="Z69" s="177"/>
      <c r="AA69" s="610"/>
      <c r="AB69" s="610"/>
      <c r="AC69" s="19"/>
      <c r="AD69" s="19"/>
      <c r="AE69" s="15">
        <f t="shared" si="43"/>
        <v>-85.16129032257777</v>
      </c>
      <c r="AF69" s="176">
        <f t="shared" ref="AF69:AF80" si="50">M69/J69</f>
        <v>0.9716129032258074</v>
      </c>
      <c r="AG69" s="619"/>
    </row>
    <row r="70" spans="1:33">
      <c r="A70" s="622" t="s">
        <v>670</v>
      </c>
      <c r="B70" s="180" t="s">
        <v>36</v>
      </c>
      <c r="C70" s="611" t="s">
        <v>74</v>
      </c>
      <c r="D70" s="611"/>
      <c r="E70" s="33">
        <v>33.770000000000003</v>
      </c>
      <c r="F70" s="35">
        <v>4146</v>
      </c>
      <c r="G70" s="177">
        <f t="shared" si="40"/>
        <v>140010.42000000001</v>
      </c>
      <c r="H70" s="29" t="s">
        <v>5</v>
      </c>
      <c r="I70" s="175">
        <v>12</v>
      </c>
      <c r="J70" s="30">
        <v>3000</v>
      </c>
      <c r="K70" s="13">
        <f t="shared" si="45"/>
        <v>250</v>
      </c>
      <c r="L70" s="175">
        <v>12</v>
      </c>
      <c r="M70" s="14">
        <f t="shared" si="41"/>
        <v>2859.3103448275856</v>
      </c>
      <c r="N70" s="13">
        <f t="shared" si="46"/>
        <v>238.27586206896547</v>
      </c>
      <c r="O70" s="15">
        <f t="shared" si="47"/>
        <v>0</v>
      </c>
      <c r="P70" s="16">
        <f t="shared" si="48"/>
        <v>-11.724137931034534</v>
      </c>
      <c r="Q70" s="176">
        <f t="shared" si="49"/>
        <v>0.95310344827586191</v>
      </c>
      <c r="R70" s="619"/>
      <c r="S70" s="31">
        <v>0.3881944444444444</v>
      </c>
      <c r="T70" s="31">
        <v>0.44861111111111107</v>
      </c>
      <c r="U70" s="177">
        <f t="shared" si="44"/>
        <v>4.9999999999999822</v>
      </c>
      <c r="V70" s="178">
        <f t="shared" si="42"/>
        <v>87.000000000000014</v>
      </c>
      <c r="W70" s="17"/>
      <c r="X70" s="17"/>
      <c r="Y70" s="17"/>
      <c r="Z70" s="17"/>
      <c r="AA70" s="610"/>
      <c r="AB70" s="610"/>
      <c r="AC70" s="19"/>
      <c r="AD70" s="19"/>
      <c r="AE70" s="15">
        <f t="shared" si="43"/>
        <v>-140.6896551724144</v>
      </c>
      <c r="AF70" s="176">
        <f t="shared" si="50"/>
        <v>0.95310344827586191</v>
      </c>
      <c r="AG70" s="619"/>
    </row>
    <row r="71" spans="1:33">
      <c r="A71" s="622" t="s">
        <v>671</v>
      </c>
      <c r="B71" s="33" t="s">
        <v>672</v>
      </c>
      <c r="C71" s="620"/>
      <c r="D71" s="620"/>
      <c r="E71" s="183"/>
      <c r="F71" s="34"/>
      <c r="G71" s="13"/>
      <c r="H71" s="180"/>
      <c r="I71" s="23">
        <v>10.4</v>
      </c>
      <c r="J71" s="30">
        <v>3000</v>
      </c>
      <c r="K71" s="13">
        <f t="shared" si="45"/>
        <v>288.46153846153845</v>
      </c>
      <c r="L71" s="23">
        <v>10.4</v>
      </c>
      <c r="M71" s="14">
        <f>AVERAGE(M66:M70)</f>
        <v>2881.5298109010009</v>
      </c>
      <c r="N71" s="13">
        <f t="shared" si="46"/>
        <v>277.07017412509623</v>
      </c>
      <c r="O71" s="15">
        <f t="shared" si="47"/>
        <v>0</v>
      </c>
      <c r="P71" s="16">
        <f t="shared" si="48"/>
        <v>-11.391364336442223</v>
      </c>
      <c r="Q71" s="176">
        <f t="shared" si="49"/>
        <v>0.96050993696700027</v>
      </c>
      <c r="R71" s="619"/>
      <c r="S71" s="31"/>
      <c r="T71" s="31"/>
      <c r="U71" s="13"/>
      <c r="V71" s="178"/>
      <c r="W71" s="13"/>
      <c r="X71" s="13"/>
      <c r="Y71" s="24">
        <f>SUM(Y66:Y70)</f>
        <v>0</v>
      </c>
      <c r="Z71" s="24">
        <f>SUM(Z66:Z70)</f>
        <v>0</v>
      </c>
      <c r="AA71" s="609"/>
      <c r="AB71" s="609"/>
      <c r="AC71" s="24">
        <v>5</v>
      </c>
      <c r="AD71" s="24">
        <f>SUM(AD66:AD70)</f>
        <v>0</v>
      </c>
      <c r="AE71" s="15">
        <f t="shared" si="43"/>
        <v>-118.47018909899907</v>
      </c>
      <c r="AF71" s="176">
        <f t="shared" si="50"/>
        <v>0.96050993696700027</v>
      </c>
      <c r="AG71" s="619"/>
    </row>
    <row r="72" spans="1:33" ht="15.75" customHeight="1">
      <c r="A72" s="616" t="s">
        <v>673</v>
      </c>
      <c r="B72" s="180" t="s">
        <v>27</v>
      </c>
      <c r="C72" s="611" t="s">
        <v>50</v>
      </c>
      <c r="D72" s="611"/>
      <c r="E72" s="33">
        <v>19.02</v>
      </c>
      <c r="F72" s="180">
        <v>6800</v>
      </c>
      <c r="G72" s="177">
        <f t="shared" ref="G72:G79" si="51">E72*F72</f>
        <v>129336</v>
      </c>
      <c r="H72" s="29">
        <v>2</v>
      </c>
      <c r="I72" s="175">
        <v>14</v>
      </c>
      <c r="J72" s="30">
        <v>2400</v>
      </c>
      <c r="K72" s="13">
        <f t="shared" si="45"/>
        <v>171.42857142857142</v>
      </c>
      <c r="L72" s="175">
        <v>14</v>
      </c>
      <c r="M72" s="14">
        <f t="shared" ref="M72:M79" si="52">F72/V72*60</f>
        <v>2292.1348314606744</v>
      </c>
      <c r="N72" s="13">
        <f t="shared" si="46"/>
        <v>163.72391653290532</v>
      </c>
      <c r="O72" s="15">
        <f t="shared" si="47"/>
        <v>0</v>
      </c>
      <c r="P72" s="16">
        <f t="shared" si="48"/>
        <v>-7.7046548956660956</v>
      </c>
      <c r="Q72" s="176">
        <f t="shared" si="49"/>
        <v>0.95505617977528112</v>
      </c>
      <c r="R72" s="619">
        <f>Q80</f>
        <v>0.95764801046131143</v>
      </c>
      <c r="S72" s="31">
        <v>8.3333333333333329E-2</v>
      </c>
      <c r="T72" s="31">
        <v>0.20694444444444443</v>
      </c>
      <c r="U72" s="22"/>
      <c r="V72" s="178">
        <f t="shared" ref="V72:V79" si="53">(T72-S72)*24*60</f>
        <v>177.99999999999997</v>
      </c>
      <c r="W72" s="17">
        <f>T72</f>
        <v>0.20694444444444443</v>
      </c>
      <c r="X72" s="17">
        <f>S73</f>
        <v>0.22499999999999998</v>
      </c>
      <c r="Y72" s="17"/>
      <c r="Z72" s="17"/>
      <c r="AA72" s="610"/>
      <c r="AB72" s="610"/>
      <c r="AC72" s="19">
        <v>8</v>
      </c>
      <c r="AD72" s="19"/>
      <c r="AE72" s="15">
        <f t="shared" si="43"/>
        <v>-107.86516853932562</v>
      </c>
      <c r="AF72" s="176">
        <f t="shared" si="50"/>
        <v>0.95505617977528101</v>
      </c>
      <c r="AG72" s="619">
        <f>AF80</f>
        <v>0.95764801046131132</v>
      </c>
    </row>
    <row r="73" spans="1:33" ht="15.75" customHeight="1">
      <c r="A73" s="617" t="s">
        <v>673</v>
      </c>
      <c r="B73" s="180" t="s">
        <v>27</v>
      </c>
      <c r="C73" s="611" t="s">
        <v>51</v>
      </c>
      <c r="D73" s="611"/>
      <c r="E73" s="33">
        <v>20.36</v>
      </c>
      <c r="F73" s="180">
        <v>3000</v>
      </c>
      <c r="G73" s="177">
        <f t="shared" si="51"/>
        <v>61080</v>
      </c>
      <c r="H73" s="29">
        <v>2</v>
      </c>
      <c r="I73" s="175">
        <v>17</v>
      </c>
      <c r="J73" s="30">
        <v>2400</v>
      </c>
      <c r="K73" s="13">
        <f t="shared" si="45"/>
        <v>141.1764705882353</v>
      </c>
      <c r="L73" s="175">
        <v>17</v>
      </c>
      <c r="M73" s="14">
        <f t="shared" si="52"/>
        <v>2307.6923076923063</v>
      </c>
      <c r="N73" s="13">
        <f t="shared" si="46"/>
        <v>135.74660633484154</v>
      </c>
      <c r="O73" s="15">
        <f t="shared" si="47"/>
        <v>0</v>
      </c>
      <c r="P73" s="16">
        <f t="shared" si="48"/>
        <v>-5.4298642533937596</v>
      </c>
      <c r="Q73" s="176">
        <f t="shared" si="49"/>
        <v>0.9615384615384609</v>
      </c>
      <c r="R73" s="619"/>
      <c r="S73" s="31">
        <v>0.22499999999999998</v>
      </c>
      <c r="T73" s="31">
        <v>0.27916666666666667</v>
      </c>
      <c r="U73" s="177">
        <f t="shared" ref="U73:U79" si="54">(S73-T72)*24*60</f>
        <v>25.999999999999986</v>
      </c>
      <c r="V73" s="178">
        <f t="shared" si="53"/>
        <v>78.000000000000043</v>
      </c>
      <c r="W73" s="17"/>
      <c r="X73" s="17"/>
      <c r="Y73" s="17"/>
      <c r="Z73" s="17"/>
      <c r="AA73" s="610"/>
      <c r="AB73" s="610"/>
      <c r="AC73" s="19"/>
      <c r="AD73" s="19"/>
      <c r="AE73" s="15">
        <f t="shared" si="43"/>
        <v>-92.307692307693742</v>
      </c>
      <c r="AF73" s="176">
        <f t="shared" si="50"/>
        <v>0.9615384615384609</v>
      </c>
      <c r="AG73" s="619"/>
    </row>
    <row r="74" spans="1:33" ht="15.75" customHeight="1">
      <c r="A74" s="617" t="s">
        <v>673</v>
      </c>
      <c r="B74" s="180" t="s">
        <v>27</v>
      </c>
      <c r="C74" s="611" t="s">
        <v>35</v>
      </c>
      <c r="D74" s="611"/>
      <c r="E74" s="33">
        <v>34.1</v>
      </c>
      <c r="F74" s="180">
        <v>4100</v>
      </c>
      <c r="G74" s="177">
        <f t="shared" si="51"/>
        <v>139810</v>
      </c>
      <c r="H74" s="29">
        <v>2</v>
      </c>
      <c r="I74" s="175">
        <v>17</v>
      </c>
      <c r="J74" s="30">
        <v>1600</v>
      </c>
      <c r="K74" s="13">
        <f t="shared" si="45"/>
        <v>94.117647058823536</v>
      </c>
      <c r="L74" s="175">
        <v>17</v>
      </c>
      <c r="M74" s="14">
        <f t="shared" si="52"/>
        <v>1527.9503105590063</v>
      </c>
      <c r="N74" s="13">
        <f t="shared" si="46"/>
        <v>89.879430032882723</v>
      </c>
      <c r="O74" s="15">
        <f t="shared" si="47"/>
        <v>0</v>
      </c>
      <c r="P74" s="16">
        <f t="shared" si="48"/>
        <v>-4.2382170259408127</v>
      </c>
      <c r="Q74" s="176">
        <f t="shared" si="49"/>
        <v>0.95496894409937882</v>
      </c>
      <c r="R74" s="619"/>
      <c r="S74" s="31">
        <v>0.28263888888888888</v>
      </c>
      <c r="T74" s="31">
        <v>0.39444444444444443</v>
      </c>
      <c r="U74" s="177">
        <f t="shared" si="54"/>
        <v>4.9999999999999822</v>
      </c>
      <c r="V74" s="178">
        <f t="shared" si="53"/>
        <v>161</v>
      </c>
      <c r="W74" s="17"/>
      <c r="X74" s="17"/>
      <c r="Y74" s="17"/>
      <c r="Z74" s="17"/>
      <c r="AA74" s="610"/>
      <c r="AB74" s="610"/>
      <c r="AC74" s="19"/>
      <c r="AD74" s="19"/>
      <c r="AE74" s="15">
        <f t="shared" si="43"/>
        <v>-72.049689440993689</v>
      </c>
      <c r="AF74" s="176">
        <f t="shared" si="50"/>
        <v>0.95496894409937894</v>
      </c>
      <c r="AG74" s="619"/>
    </row>
    <row r="75" spans="1:33" ht="15.75" customHeight="1">
      <c r="A75" s="617" t="s">
        <v>673</v>
      </c>
      <c r="B75" s="180" t="s">
        <v>27</v>
      </c>
      <c r="C75" s="611" t="s">
        <v>31</v>
      </c>
      <c r="D75" s="611"/>
      <c r="E75" s="33">
        <v>25.99</v>
      </c>
      <c r="F75" s="180">
        <v>1602</v>
      </c>
      <c r="G75" s="177">
        <f t="shared" si="51"/>
        <v>41635.979999999996</v>
      </c>
      <c r="H75" s="29" t="s">
        <v>5</v>
      </c>
      <c r="I75" s="175">
        <v>18</v>
      </c>
      <c r="J75" s="30">
        <v>2400</v>
      </c>
      <c r="K75" s="13">
        <f t="shared" si="45"/>
        <v>133.33333333333334</v>
      </c>
      <c r="L75" s="175">
        <v>18</v>
      </c>
      <c r="M75" s="14">
        <f t="shared" si="52"/>
        <v>2288.571428571428</v>
      </c>
      <c r="N75" s="13">
        <f t="shared" si="46"/>
        <v>127.14285714285711</v>
      </c>
      <c r="O75" s="15">
        <f t="shared" si="47"/>
        <v>0</v>
      </c>
      <c r="P75" s="16">
        <f t="shared" si="48"/>
        <v>-6.1904761904762324</v>
      </c>
      <c r="Q75" s="176">
        <f t="shared" si="49"/>
        <v>0.95357142857142829</v>
      </c>
      <c r="R75" s="619"/>
      <c r="S75" s="31">
        <v>0.39861111111111108</v>
      </c>
      <c r="T75" s="31">
        <v>0.42777777777777776</v>
      </c>
      <c r="U75" s="177">
        <f t="shared" si="54"/>
        <v>5.9999999999999787</v>
      </c>
      <c r="V75" s="178">
        <f t="shared" si="53"/>
        <v>42.000000000000014</v>
      </c>
      <c r="W75" s="17"/>
      <c r="X75" s="17"/>
      <c r="Y75" s="17"/>
      <c r="Z75" s="17"/>
      <c r="AA75" s="610"/>
      <c r="AB75" s="610"/>
      <c r="AC75" s="19"/>
      <c r="AD75" s="19"/>
      <c r="AE75" s="15">
        <f t="shared" si="43"/>
        <v>-111.42857142857201</v>
      </c>
      <c r="AF75" s="176">
        <f t="shared" si="50"/>
        <v>0.95357142857142829</v>
      </c>
      <c r="AG75" s="619"/>
    </row>
    <row r="76" spans="1:33" ht="15.75" customHeight="1">
      <c r="A76" s="617" t="s">
        <v>673</v>
      </c>
      <c r="B76" s="180" t="s">
        <v>27</v>
      </c>
      <c r="C76" s="611" t="s">
        <v>53</v>
      </c>
      <c r="D76" s="611"/>
      <c r="E76" s="33">
        <v>28.29</v>
      </c>
      <c r="F76" s="180">
        <v>3489</v>
      </c>
      <c r="G76" s="177">
        <f t="shared" si="51"/>
        <v>98703.81</v>
      </c>
      <c r="H76" s="29" t="s">
        <v>5</v>
      </c>
      <c r="I76" s="175">
        <v>19</v>
      </c>
      <c r="J76" s="30">
        <v>2400</v>
      </c>
      <c r="K76" s="13">
        <f t="shared" si="45"/>
        <v>126.31578947368421</v>
      </c>
      <c r="L76" s="175">
        <v>19</v>
      </c>
      <c r="M76" s="14">
        <f t="shared" si="52"/>
        <v>2300.4395604395604</v>
      </c>
      <c r="N76" s="13">
        <f t="shared" si="46"/>
        <v>121.07576633892423</v>
      </c>
      <c r="O76" s="15">
        <f t="shared" si="47"/>
        <v>0</v>
      </c>
      <c r="P76" s="16">
        <f t="shared" si="48"/>
        <v>-5.2400231347599799</v>
      </c>
      <c r="Q76" s="176">
        <f t="shared" si="49"/>
        <v>0.95851648351648344</v>
      </c>
      <c r="R76" s="619"/>
      <c r="S76" s="31">
        <v>0.43124999999999997</v>
      </c>
      <c r="T76" s="31">
        <v>0.49444444444444441</v>
      </c>
      <c r="U76" s="177">
        <f t="shared" si="54"/>
        <v>4.9999999999999822</v>
      </c>
      <c r="V76" s="178">
        <f t="shared" si="53"/>
        <v>91</v>
      </c>
      <c r="W76" s="17">
        <f>T76</f>
        <v>0.49444444444444441</v>
      </c>
      <c r="X76" s="17">
        <f>S77</f>
        <v>0.53611111111111109</v>
      </c>
      <c r="Y76" s="17"/>
      <c r="Z76" s="17"/>
      <c r="AA76" s="610"/>
      <c r="AB76" s="610"/>
      <c r="AC76" s="19"/>
      <c r="AD76" s="19"/>
      <c r="AE76" s="15">
        <f t="shared" si="43"/>
        <v>-99.56043956043959</v>
      </c>
      <c r="AF76" s="176">
        <f t="shared" si="50"/>
        <v>0.95851648351648355</v>
      </c>
      <c r="AG76" s="619"/>
    </row>
    <row r="77" spans="1:33" ht="15.75" customHeight="1">
      <c r="A77" s="617" t="s">
        <v>673</v>
      </c>
      <c r="B77" s="180" t="s">
        <v>27</v>
      </c>
      <c r="C77" s="611" t="s">
        <v>50</v>
      </c>
      <c r="D77" s="611"/>
      <c r="E77" s="33">
        <v>19.02</v>
      </c>
      <c r="F77" s="180">
        <v>5857</v>
      </c>
      <c r="G77" s="177">
        <f t="shared" si="51"/>
        <v>111400.14</v>
      </c>
      <c r="H77" s="29" t="s">
        <v>5</v>
      </c>
      <c r="I77" s="175">
        <v>14</v>
      </c>
      <c r="J77" s="30">
        <v>2400</v>
      </c>
      <c r="K77" s="13">
        <f t="shared" si="45"/>
        <v>171.42857142857142</v>
      </c>
      <c r="L77" s="175">
        <v>14</v>
      </c>
      <c r="M77" s="14">
        <f t="shared" si="52"/>
        <v>2296.8627450980403</v>
      </c>
      <c r="N77" s="13">
        <f t="shared" si="46"/>
        <v>164.06162464986002</v>
      </c>
      <c r="O77" s="15">
        <f t="shared" si="47"/>
        <v>0</v>
      </c>
      <c r="P77" s="16">
        <f t="shared" si="48"/>
        <v>-7.3669467787113945</v>
      </c>
      <c r="Q77" s="176">
        <f t="shared" si="49"/>
        <v>0.95702614379085016</v>
      </c>
      <c r="R77" s="619"/>
      <c r="S77" s="31">
        <v>0.53611111111111109</v>
      </c>
      <c r="T77" s="31">
        <v>0.64236111111111105</v>
      </c>
      <c r="U77" s="177">
        <f t="shared" si="54"/>
        <v>60.000000000000028</v>
      </c>
      <c r="V77" s="178">
        <f t="shared" si="53"/>
        <v>152.99999999999994</v>
      </c>
      <c r="W77" s="17"/>
      <c r="X77" s="17"/>
      <c r="Y77" s="17"/>
      <c r="Z77" s="17"/>
      <c r="AA77" s="610"/>
      <c r="AB77" s="610"/>
      <c r="AC77" s="19"/>
      <c r="AD77" s="19"/>
      <c r="AE77" s="15">
        <f t="shared" si="43"/>
        <v>-103.13725490195975</v>
      </c>
      <c r="AF77" s="176">
        <f t="shared" si="50"/>
        <v>0.95702614379085016</v>
      </c>
      <c r="AG77" s="619"/>
    </row>
    <row r="78" spans="1:33" ht="15.75" customHeight="1">
      <c r="A78" s="617" t="s">
        <v>673</v>
      </c>
      <c r="B78" s="180" t="s">
        <v>27</v>
      </c>
      <c r="C78" s="612" t="s">
        <v>51</v>
      </c>
      <c r="D78" s="613"/>
      <c r="E78" s="33">
        <v>20.36</v>
      </c>
      <c r="F78" s="180">
        <v>2343</v>
      </c>
      <c r="G78" s="177">
        <f t="shared" si="51"/>
        <v>47703.479999999996</v>
      </c>
      <c r="H78" s="29" t="s">
        <v>5</v>
      </c>
      <c r="I78" s="175">
        <v>17</v>
      </c>
      <c r="J78" s="30">
        <v>2400</v>
      </c>
      <c r="K78" s="13">
        <f t="shared" si="45"/>
        <v>141.1764705882353</v>
      </c>
      <c r="L78" s="175">
        <v>17</v>
      </c>
      <c r="M78" s="14">
        <f t="shared" si="52"/>
        <v>2304.5901639344283</v>
      </c>
      <c r="N78" s="13">
        <f t="shared" si="46"/>
        <v>135.5641272902605</v>
      </c>
      <c r="O78" s="15">
        <f t="shared" si="47"/>
        <v>0</v>
      </c>
      <c r="P78" s="16">
        <f t="shared" si="48"/>
        <v>-5.6123432979748031</v>
      </c>
      <c r="Q78" s="176">
        <f t="shared" si="49"/>
        <v>0.9602459016393452</v>
      </c>
      <c r="R78" s="619"/>
      <c r="S78" s="31">
        <v>0.64791666666666659</v>
      </c>
      <c r="T78" s="31">
        <v>0.69027777777777766</v>
      </c>
      <c r="U78" s="177">
        <f t="shared" si="54"/>
        <v>7.9999999999999716</v>
      </c>
      <c r="V78" s="178">
        <f t="shared" si="53"/>
        <v>60.999999999999943</v>
      </c>
      <c r="W78" s="17"/>
      <c r="X78" s="17"/>
      <c r="Y78" s="20"/>
      <c r="Z78" s="20"/>
      <c r="AA78" s="614"/>
      <c r="AB78" s="615"/>
      <c r="AC78" s="19"/>
      <c r="AD78" s="19"/>
      <c r="AE78" s="15">
        <f t="shared" si="43"/>
        <v>-95.409836065571653</v>
      </c>
      <c r="AF78" s="176">
        <f t="shared" si="50"/>
        <v>0.96024590163934509</v>
      </c>
      <c r="AG78" s="619"/>
    </row>
    <row r="79" spans="1:33" ht="15.75" customHeight="1">
      <c r="A79" s="617" t="s">
        <v>674</v>
      </c>
      <c r="B79" s="180" t="s">
        <v>27</v>
      </c>
      <c r="C79" s="612" t="s">
        <v>35</v>
      </c>
      <c r="D79" s="613"/>
      <c r="E79" s="33">
        <v>34.1</v>
      </c>
      <c r="F79" s="180">
        <v>3380</v>
      </c>
      <c r="G79" s="177">
        <f t="shared" si="51"/>
        <v>115258</v>
      </c>
      <c r="H79" s="29" t="s">
        <v>5</v>
      </c>
      <c r="I79" s="175">
        <v>17</v>
      </c>
      <c r="J79" s="30">
        <v>1600</v>
      </c>
      <c r="K79" s="13">
        <f t="shared" si="45"/>
        <v>94.117647058823536</v>
      </c>
      <c r="L79" s="175">
        <v>17</v>
      </c>
      <c r="M79" s="14">
        <f t="shared" si="52"/>
        <v>1536.3636363636363</v>
      </c>
      <c r="N79" s="13">
        <f t="shared" si="46"/>
        <v>90.37433155080214</v>
      </c>
      <c r="O79" s="15">
        <f t="shared" si="47"/>
        <v>0</v>
      </c>
      <c r="P79" s="16">
        <f t="shared" si="48"/>
        <v>-3.7433155080213965</v>
      </c>
      <c r="Q79" s="176">
        <f t="shared" si="49"/>
        <v>0.96022727272727271</v>
      </c>
      <c r="R79" s="619"/>
      <c r="S79" s="31">
        <v>0.69513888888888875</v>
      </c>
      <c r="T79" s="31">
        <v>0.78680555555555542</v>
      </c>
      <c r="U79" s="177">
        <f t="shared" si="54"/>
        <v>6.9999999999999751</v>
      </c>
      <c r="V79" s="178">
        <f t="shared" si="53"/>
        <v>132</v>
      </c>
      <c r="W79" s="17"/>
      <c r="X79" s="17"/>
      <c r="Y79" s="20"/>
      <c r="Z79" s="20"/>
      <c r="AA79" s="614"/>
      <c r="AB79" s="615"/>
      <c r="AC79" s="19"/>
      <c r="AD79" s="19"/>
      <c r="AE79" s="15">
        <f t="shared" si="43"/>
        <v>-63.63636363636374</v>
      </c>
      <c r="AF79" s="176">
        <f t="shared" si="50"/>
        <v>0.96022727272727271</v>
      </c>
      <c r="AG79" s="619"/>
    </row>
    <row r="80" spans="1:33" ht="16.5" customHeight="1">
      <c r="A80" s="618" t="s">
        <v>673</v>
      </c>
      <c r="B80" s="33" t="s">
        <v>659</v>
      </c>
      <c r="C80" s="607"/>
      <c r="D80" s="608"/>
      <c r="E80" s="183"/>
      <c r="F80" s="34"/>
      <c r="G80" s="13"/>
      <c r="H80" s="180"/>
      <c r="I80" s="23">
        <v>16.625</v>
      </c>
      <c r="J80" s="30">
        <v>2200</v>
      </c>
      <c r="K80" s="13">
        <f t="shared" si="45"/>
        <v>132.33082706766916</v>
      </c>
      <c r="L80" s="23">
        <v>16.625</v>
      </c>
      <c r="M80" s="14">
        <f>AVERAGE(M72:M79)</f>
        <v>2106.825623014885</v>
      </c>
      <c r="N80" s="13">
        <f t="shared" si="46"/>
        <v>126.72635326405323</v>
      </c>
      <c r="O80" s="15">
        <f t="shared" si="47"/>
        <v>0</v>
      </c>
      <c r="P80" s="16">
        <f t="shared" si="48"/>
        <v>-5.6044738036159316</v>
      </c>
      <c r="Q80" s="176">
        <f t="shared" si="49"/>
        <v>0.95764801046131143</v>
      </c>
      <c r="R80" s="619"/>
      <c r="S80" s="31"/>
      <c r="T80" s="31"/>
      <c r="U80" s="13"/>
      <c r="V80" s="178"/>
      <c r="W80" s="13"/>
      <c r="X80" s="13"/>
      <c r="Y80" s="24">
        <f>SUM(Y72:Y79)</f>
        <v>0</v>
      </c>
      <c r="Z80" s="24">
        <f>SUM(Z72:Z79)</f>
        <v>0</v>
      </c>
      <c r="AA80" s="609"/>
      <c r="AB80" s="609"/>
      <c r="AC80" s="24">
        <v>8</v>
      </c>
      <c r="AD80" s="24">
        <f>SUM(AD72:AD79)</f>
        <v>0</v>
      </c>
      <c r="AE80" s="15">
        <f t="shared" si="43"/>
        <v>-93.174376985115032</v>
      </c>
      <c r="AF80" s="176">
        <f t="shared" si="50"/>
        <v>0.95764801046131132</v>
      </c>
      <c r="AG80" s="619"/>
    </row>
    <row r="81" spans="4:5">
      <c r="D81" s="25"/>
      <c r="E81" s="25"/>
    </row>
  </sheetData>
  <mergeCells count="201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24:AG31"/>
    <mergeCell ref="C25:D25"/>
    <mergeCell ref="AA25:AB25"/>
    <mergeCell ref="C26:D26"/>
    <mergeCell ref="AA26:AB26"/>
    <mergeCell ref="C27:D27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24:A31"/>
    <mergeCell ref="C24:D24"/>
    <mergeCell ref="R24:R31"/>
    <mergeCell ref="AA24:AB24"/>
    <mergeCell ref="C31:D31"/>
    <mergeCell ref="AA31:AB31"/>
    <mergeCell ref="A32:A41"/>
    <mergeCell ref="C32:D32"/>
    <mergeCell ref="R32:R41"/>
    <mergeCell ref="AA32:AB32"/>
    <mergeCell ref="AA37:AB37"/>
    <mergeCell ref="C38:D38"/>
    <mergeCell ref="AA38:AB38"/>
    <mergeCell ref="C40:D40"/>
    <mergeCell ref="C51:D51"/>
    <mergeCell ref="AA51:AB51"/>
    <mergeCell ref="AG32:AG41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C41:D41"/>
    <mergeCell ref="AA41:AB41"/>
    <mergeCell ref="A52:A55"/>
    <mergeCell ref="C52:D52"/>
    <mergeCell ref="R52:R55"/>
    <mergeCell ref="AA52:AB52"/>
    <mergeCell ref="AG42:AG51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42:A51"/>
    <mergeCell ref="C42:D42"/>
    <mergeCell ref="R42:R51"/>
    <mergeCell ref="AA42:AB42"/>
    <mergeCell ref="AA47:AB47"/>
    <mergeCell ref="C48:D48"/>
    <mergeCell ref="AA48:AB48"/>
    <mergeCell ref="C49:D49"/>
    <mergeCell ref="AA49:AB49"/>
    <mergeCell ref="C50:D50"/>
    <mergeCell ref="AG56:AG65"/>
    <mergeCell ref="C57:D57"/>
    <mergeCell ref="AA57:AB57"/>
    <mergeCell ref="C58:D58"/>
    <mergeCell ref="AA58:AB58"/>
    <mergeCell ref="AA59:AB59"/>
    <mergeCell ref="AG52:AG55"/>
    <mergeCell ref="C53:D53"/>
    <mergeCell ref="AA53:AB53"/>
    <mergeCell ref="C54:D54"/>
    <mergeCell ref="AA54:AB54"/>
    <mergeCell ref="C55:D55"/>
    <mergeCell ref="AA55:AB55"/>
    <mergeCell ref="C65:D65"/>
    <mergeCell ref="AA65:AB65"/>
    <mergeCell ref="A66:A71"/>
    <mergeCell ref="C66:D66"/>
    <mergeCell ref="R66:R71"/>
    <mergeCell ref="AA66:AB66"/>
    <mergeCell ref="AA71:AB71"/>
    <mergeCell ref="AA60:AB60"/>
    <mergeCell ref="C61:D61"/>
    <mergeCell ref="AA61:AB61"/>
    <mergeCell ref="C62:D62"/>
    <mergeCell ref="AA62:AB62"/>
    <mergeCell ref="C63:D63"/>
    <mergeCell ref="AA63:AB63"/>
    <mergeCell ref="A56:A65"/>
    <mergeCell ref="C56:D56"/>
    <mergeCell ref="R56:R65"/>
    <mergeCell ref="AA56:AB56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72:A80"/>
    <mergeCell ref="C72:D72"/>
    <mergeCell ref="R72:R80"/>
    <mergeCell ref="AA72:AB72"/>
    <mergeCell ref="AG72:AG80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AA75:AB75"/>
    <mergeCell ref="C76:D76"/>
    <mergeCell ref="AA76:AB76"/>
    <mergeCell ref="C77:D77"/>
    <mergeCell ref="AA77:AB77"/>
    <mergeCell ref="C78:D78"/>
    <mergeCell ref="AA78:AB78"/>
  </mergeCells>
  <phoneticPr fontId="3" type="noConversion"/>
  <conditionalFormatting sqref="O69:O77 O65:O66 O80 O5:O10 O14:O16 O23:O39 O41:O61">
    <cfRule type="cellIs" dxfId="536" priority="80" operator="greaterThan">
      <formula>0</formula>
    </cfRule>
  </conditionalFormatting>
  <conditionalFormatting sqref="P5:P8 P69:P70 AE69:AE70 P72:P77 P32:P39 P66 P10 P14:P16 P24:P30 P56:P61 P42:P54 AE5:AE66 AE72:AE80">
    <cfRule type="cellIs" dxfId="535" priority="84" operator="lessThan">
      <formula>0</formula>
    </cfRule>
  </conditionalFormatting>
  <conditionalFormatting sqref="AF69:AF70 Q69:Q77 Q65:Q66 Q80 Q5:Q10 Q14:Q16 Q23:Q39 Q41:Q61 AF5:AF66 AF72:AF80">
    <cfRule type="cellIs" dxfId="534" priority="81" operator="greaterThan">
      <formula>1</formula>
    </cfRule>
    <cfRule type="cellIs" dxfId="533" priority="82" operator="lessThan">
      <formula>0.8</formula>
    </cfRule>
  </conditionalFormatting>
  <conditionalFormatting sqref="AG15:AG16 R15:R16 AG69 R69:R77 R23:R29 AG23:AG29 AG31:AG39 R31:R39 R41:R49 AG41:AG49 AG65:AG66 R65:R66 R80 AG5:AG10 R5:R10 AG51:AG61 R51:R61">
    <cfRule type="cellIs" dxfId="532" priority="86" operator="lessThan">
      <formula>0.8</formula>
    </cfRule>
  </conditionalFormatting>
  <conditionalFormatting sqref="AG52">
    <cfRule type="cellIs" dxfId="531" priority="88" operator="lessThan">
      <formula>0.8</formula>
    </cfRule>
  </conditionalFormatting>
  <conditionalFormatting sqref="AG24:AG29">
    <cfRule type="cellIs" dxfId="530" priority="85" operator="lessThan">
      <formula>0.8</formula>
    </cfRule>
  </conditionalFormatting>
  <conditionalFormatting sqref="AG32">
    <cfRule type="cellIs" dxfId="529" priority="87" operator="lessThan">
      <formula>0.8</formula>
    </cfRule>
  </conditionalFormatting>
  <conditionalFormatting sqref="AG42:AG49">
    <cfRule type="cellIs" dxfId="528" priority="83" operator="lessThan">
      <formula>0.8</formula>
    </cfRule>
  </conditionalFormatting>
  <conditionalFormatting sqref="AE71">
    <cfRule type="cellIs" dxfId="527" priority="79" operator="lessThan">
      <formula>0</formula>
    </cfRule>
  </conditionalFormatting>
  <conditionalFormatting sqref="AF71">
    <cfRule type="cellIs" dxfId="526" priority="77" operator="greaterThan">
      <formula>1</formula>
    </cfRule>
    <cfRule type="cellIs" dxfId="525" priority="78" operator="lessThan">
      <formula>0.8</formula>
    </cfRule>
  </conditionalFormatting>
  <conditionalFormatting sqref="O17:O18">
    <cfRule type="cellIs" dxfId="524" priority="72" operator="greaterThan">
      <formula>0</formula>
    </cfRule>
  </conditionalFormatting>
  <conditionalFormatting sqref="P17:P18">
    <cfRule type="cellIs" dxfId="523" priority="75" operator="lessThan">
      <formula>0</formula>
    </cfRule>
  </conditionalFormatting>
  <conditionalFormatting sqref="Q17:Q18">
    <cfRule type="cellIs" dxfId="522" priority="73" operator="greaterThan">
      <formula>1</formula>
    </cfRule>
    <cfRule type="cellIs" dxfId="521" priority="74" operator="lessThan">
      <formula>0.8</formula>
    </cfRule>
  </conditionalFormatting>
  <conditionalFormatting sqref="R17:R18 AG17:AG18">
    <cfRule type="cellIs" dxfId="520" priority="76" operator="lessThan">
      <formula>0.8</formula>
    </cfRule>
  </conditionalFormatting>
  <conditionalFormatting sqref="O11:O13">
    <cfRule type="cellIs" dxfId="519" priority="68" operator="greaterThan">
      <formula>0</formula>
    </cfRule>
  </conditionalFormatting>
  <conditionalFormatting sqref="P11:P13">
    <cfRule type="cellIs" dxfId="518" priority="71" operator="lessThan">
      <formula>0</formula>
    </cfRule>
  </conditionalFormatting>
  <conditionalFormatting sqref="Q11:Q13">
    <cfRule type="cellIs" dxfId="517" priority="69" operator="greaterThan">
      <formula>1</formula>
    </cfRule>
    <cfRule type="cellIs" dxfId="516" priority="70" operator="lessThan">
      <formula>0.8</formula>
    </cfRule>
  </conditionalFormatting>
  <conditionalFormatting sqref="O62">
    <cfRule type="cellIs" dxfId="515" priority="63" operator="greaterThan">
      <formula>0</formula>
    </cfRule>
  </conditionalFormatting>
  <conditionalFormatting sqref="P62">
    <cfRule type="cellIs" dxfId="514" priority="66" operator="lessThan">
      <formula>0</formula>
    </cfRule>
  </conditionalFormatting>
  <conditionalFormatting sqref="Q62">
    <cfRule type="cellIs" dxfId="513" priority="64" operator="greaterThan">
      <formula>1</formula>
    </cfRule>
    <cfRule type="cellIs" dxfId="512" priority="65" operator="lessThan">
      <formula>0.8</formula>
    </cfRule>
  </conditionalFormatting>
  <conditionalFormatting sqref="R62 AG62">
    <cfRule type="cellIs" dxfId="511" priority="67" operator="lessThan">
      <formula>0.8</formula>
    </cfRule>
  </conditionalFormatting>
  <conditionalFormatting sqref="R50 AG50">
    <cfRule type="cellIs" dxfId="510" priority="62" operator="lessThan">
      <formula>0.8</formula>
    </cfRule>
  </conditionalFormatting>
  <conditionalFormatting sqref="AG50">
    <cfRule type="cellIs" dxfId="509" priority="61" operator="lessThan">
      <formula>0.8</formula>
    </cfRule>
  </conditionalFormatting>
  <conditionalFormatting sqref="O68">
    <cfRule type="cellIs" dxfId="508" priority="56" operator="greaterThan">
      <formula>0</formula>
    </cfRule>
  </conditionalFormatting>
  <conditionalFormatting sqref="P68 AE68">
    <cfRule type="cellIs" dxfId="507" priority="59" operator="lessThan">
      <formula>0</formula>
    </cfRule>
  </conditionalFormatting>
  <conditionalFormatting sqref="Q68 AF68">
    <cfRule type="cellIs" dxfId="506" priority="57" operator="greaterThan">
      <formula>1</formula>
    </cfRule>
    <cfRule type="cellIs" dxfId="505" priority="58" operator="lessThan">
      <formula>0.8</formula>
    </cfRule>
  </conditionalFormatting>
  <conditionalFormatting sqref="R68 AG68">
    <cfRule type="cellIs" dxfId="504" priority="60" operator="lessThan">
      <formula>0.8</formula>
    </cfRule>
  </conditionalFormatting>
  <conditionalFormatting sqref="O40">
    <cfRule type="cellIs" dxfId="503" priority="51" operator="greaterThan">
      <formula>0</formula>
    </cfRule>
  </conditionalFormatting>
  <conditionalFormatting sqref="P40">
    <cfRule type="cellIs" dxfId="502" priority="54" operator="lessThan">
      <formula>0</formula>
    </cfRule>
  </conditionalFormatting>
  <conditionalFormatting sqref="Q40">
    <cfRule type="cellIs" dxfId="501" priority="52" operator="greaterThan">
      <formula>1</formula>
    </cfRule>
    <cfRule type="cellIs" dxfId="500" priority="53" operator="lessThan">
      <formula>0.8</formula>
    </cfRule>
  </conditionalFormatting>
  <conditionalFormatting sqref="R40 AG40">
    <cfRule type="cellIs" dxfId="499" priority="55" operator="lessThan">
      <formula>0.8</formula>
    </cfRule>
  </conditionalFormatting>
  <conditionalFormatting sqref="O78">
    <cfRule type="cellIs" dxfId="498" priority="46" operator="greaterThan">
      <formula>0</formula>
    </cfRule>
  </conditionalFormatting>
  <conditionalFormatting sqref="P78">
    <cfRule type="cellIs" dxfId="497" priority="49" operator="lessThan">
      <formula>0</formula>
    </cfRule>
  </conditionalFormatting>
  <conditionalFormatting sqref="Q78">
    <cfRule type="cellIs" dxfId="496" priority="47" operator="greaterThan">
      <formula>1</formula>
    </cfRule>
    <cfRule type="cellIs" dxfId="495" priority="48" operator="lessThan">
      <formula>0.8</formula>
    </cfRule>
  </conditionalFormatting>
  <conditionalFormatting sqref="R78">
    <cfRule type="cellIs" dxfId="494" priority="50" operator="lessThan">
      <formula>0.8</formula>
    </cfRule>
  </conditionalFormatting>
  <conditionalFormatting sqref="O19:O20">
    <cfRule type="cellIs" dxfId="493" priority="41" operator="greaterThan">
      <formula>0</formula>
    </cfRule>
  </conditionalFormatting>
  <conditionalFormatting sqref="P19:P20">
    <cfRule type="cellIs" dxfId="492" priority="44" operator="lessThan">
      <formula>0</formula>
    </cfRule>
  </conditionalFormatting>
  <conditionalFormatting sqref="Q19:Q20">
    <cfRule type="cellIs" dxfId="491" priority="42" operator="greaterThan">
      <formula>1</formula>
    </cfRule>
    <cfRule type="cellIs" dxfId="490" priority="43" operator="lessThan">
      <formula>0.8</formula>
    </cfRule>
  </conditionalFormatting>
  <conditionalFormatting sqref="R19:R20 AG19:AG20">
    <cfRule type="cellIs" dxfId="489" priority="45" operator="lessThan">
      <formula>0.8</formula>
    </cfRule>
  </conditionalFormatting>
  <conditionalFormatting sqref="O63">
    <cfRule type="cellIs" dxfId="488" priority="36" operator="greaterThan">
      <formula>0</formula>
    </cfRule>
  </conditionalFormatting>
  <conditionalFormatting sqref="P63">
    <cfRule type="cellIs" dxfId="487" priority="39" operator="lessThan">
      <formula>0</formula>
    </cfRule>
  </conditionalFormatting>
  <conditionalFormatting sqref="Q63">
    <cfRule type="cellIs" dxfId="486" priority="37" operator="greaterThan">
      <formula>1</formula>
    </cfRule>
    <cfRule type="cellIs" dxfId="485" priority="38" operator="lessThan">
      <formula>0.8</formula>
    </cfRule>
  </conditionalFormatting>
  <conditionalFormatting sqref="AG63 R63">
    <cfRule type="cellIs" dxfId="484" priority="40" operator="lessThan">
      <formula>0.8</formula>
    </cfRule>
  </conditionalFormatting>
  <conditionalFormatting sqref="R30 AG30">
    <cfRule type="cellIs" dxfId="483" priority="35" operator="lessThan">
      <formula>0.8</formula>
    </cfRule>
  </conditionalFormatting>
  <conditionalFormatting sqref="AG30">
    <cfRule type="cellIs" dxfId="482" priority="34" operator="lessThan">
      <formula>0.8</formula>
    </cfRule>
  </conditionalFormatting>
  <conditionalFormatting sqref="O67">
    <cfRule type="cellIs" dxfId="481" priority="29" operator="greaterThan">
      <formula>0</formula>
    </cfRule>
  </conditionalFormatting>
  <conditionalFormatting sqref="P67 AE67">
    <cfRule type="cellIs" dxfId="480" priority="32" operator="lessThan">
      <formula>0</formula>
    </cfRule>
  </conditionalFormatting>
  <conditionalFormatting sqref="Q67 AF67">
    <cfRule type="cellIs" dxfId="479" priority="30" operator="greaterThan">
      <formula>1</formula>
    </cfRule>
    <cfRule type="cellIs" dxfId="478" priority="31" operator="lessThan">
      <formula>0.8</formula>
    </cfRule>
  </conditionalFormatting>
  <conditionalFormatting sqref="R67 AG67">
    <cfRule type="cellIs" dxfId="477" priority="33" operator="lessThan">
      <formula>0.8</formula>
    </cfRule>
  </conditionalFormatting>
  <conditionalFormatting sqref="O21">
    <cfRule type="cellIs" dxfId="476" priority="24" operator="greaterThan">
      <formula>0</formula>
    </cfRule>
  </conditionalFormatting>
  <conditionalFormatting sqref="P21">
    <cfRule type="cellIs" dxfId="475" priority="27" operator="lessThan">
      <formula>0</formula>
    </cfRule>
  </conditionalFormatting>
  <conditionalFormatting sqref="Q21">
    <cfRule type="cellIs" dxfId="474" priority="25" operator="greaterThan">
      <formula>1</formula>
    </cfRule>
    <cfRule type="cellIs" dxfId="473" priority="26" operator="lessThan">
      <formula>0.8</formula>
    </cfRule>
  </conditionalFormatting>
  <conditionalFormatting sqref="AG21 R21">
    <cfRule type="cellIs" dxfId="472" priority="28" operator="lessThan">
      <formula>0.8</formula>
    </cfRule>
  </conditionalFormatting>
  <conditionalFormatting sqref="O22">
    <cfRule type="cellIs" dxfId="471" priority="19" operator="greaterThan">
      <formula>0</formula>
    </cfRule>
  </conditionalFormatting>
  <conditionalFormatting sqref="P22">
    <cfRule type="cellIs" dxfId="470" priority="22" operator="lessThan">
      <formula>0</formula>
    </cfRule>
  </conditionalFormatting>
  <conditionalFormatting sqref="Q22">
    <cfRule type="cellIs" dxfId="469" priority="20" operator="greaterThan">
      <formula>1</formula>
    </cfRule>
    <cfRule type="cellIs" dxfId="468" priority="21" operator="lessThan">
      <formula>0.8</formula>
    </cfRule>
  </conditionalFormatting>
  <conditionalFormatting sqref="AG22 R22">
    <cfRule type="cellIs" dxfId="467" priority="23" operator="lessThan">
      <formula>0.8</formula>
    </cfRule>
  </conditionalFormatting>
  <conditionalFormatting sqref="P9">
    <cfRule type="cellIs" dxfId="466" priority="18" operator="lessThan">
      <formula>0</formula>
    </cfRule>
  </conditionalFormatting>
  <conditionalFormatting sqref="P23">
    <cfRule type="cellIs" dxfId="465" priority="17" operator="lessThan">
      <formula>0</formula>
    </cfRule>
  </conditionalFormatting>
  <conditionalFormatting sqref="P31">
    <cfRule type="cellIs" dxfId="464" priority="16" operator="lessThan">
      <formula>0</formula>
    </cfRule>
  </conditionalFormatting>
  <conditionalFormatting sqref="P41">
    <cfRule type="cellIs" dxfId="463" priority="15" operator="lessThan">
      <formula>0</formula>
    </cfRule>
  </conditionalFormatting>
  <conditionalFormatting sqref="P55">
    <cfRule type="cellIs" dxfId="462" priority="14" operator="lessThan">
      <formula>0</formula>
    </cfRule>
  </conditionalFormatting>
  <conditionalFormatting sqref="P65">
    <cfRule type="cellIs" dxfId="461" priority="13" operator="lessThan">
      <formula>0</formula>
    </cfRule>
  </conditionalFormatting>
  <conditionalFormatting sqref="P71">
    <cfRule type="cellIs" dxfId="460" priority="12" operator="lessThan">
      <formula>0</formula>
    </cfRule>
  </conditionalFormatting>
  <conditionalFormatting sqref="P80">
    <cfRule type="cellIs" dxfId="459" priority="11" operator="lessThan">
      <formula>0</formula>
    </cfRule>
  </conditionalFormatting>
  <conditionalFormatting sqref="O79">
    <cfRule type="cellIs" dxfId="458" priority="6" operator="greaterThan">
      <formula>0</formula>
    </cfRule>
  </conditionalFormatting>
  <conditionalFormatting sqref="P79">
    <cfRule type="cellIs" dxfId="457" priority="9" operator="lessThan">
      <formula>0</formula>
    </cfRule>
  </conditionalFormatting>
  <conditionalFormatting sqref="Q79">
    <cfRule type="cellIs" dxfId="456" priority="7" operator="greaterThan">
      <formula>1</formula>
    </cfRule>
    <cfRule type="cellIs" dxfId="455" priority="8" operator="lessThan">
      <formula>0.8</formula>
    </cfRule>
  </conditionalFormatting>
  <conditionalFormatting sqref="R79">
    <cfRule type="cellIs" dxfId="454" priority="10" operator="lessThan">
      <formula>0.8</formula>
    </cfRule>
  </conditionalFormatting>
  <conditionalFormatting sqref="O64">
    <cfRule type="cellIs" dxfId="453" priority="1" operator="greaterThan">
      <formula>0</formula>
    </cfRule>
  </conditionalFormatting>
  <conditionalFormatting sqref="P64">
    <cfRule type="cellIs" dxfId="452" priority="4" operator="lessThan">
      <formula>0</formula>
    </cfRule>
  </conditionalFormatting>
  <conditionalFormatting sqref="Q64">
    <cfRule type="cellIs" dxfId="451" priority="2" operator="greaterThan">
      <formula>1</formula>
    </cfRule>
    <cfRule type="cellIs" dxfId="450" priority="3" operator="lessThan">
      <formula>0.8</formula>
    </cfRule>
  </conditionalFormatting>
  <conditionalFormatting sqref="AG64 R64">
    <cfRule type="cellIs" dxfId="449" priority="5" operator="lessThan">
      <formula>0.8</formula>
    </cfRule>
  </conditionalFormatting>
  <dataValidations count="1">
    <dataValidation type="list" allowBlank="1" showInputMessage="1" showErrorMessage="1" sqref="AB9 AA5:AB8 AB70 AA9:AA70 AB11:AB66 AA71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M12" sqref="M12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497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498</v>
      </c>
      <c r="C3" s="596" t="str">
        <f>TEXT('0905 4度C'!A2,"yyyy.mm.ddaaaa")</f>
        <v>2026.09.05星期六</v>
      </c>
      <c r="D3" s="597"/>
      <c r="E3" s="39" t="s">
        <v>88</v>
      </c>
      <c r="F3" s="598">
        <f>'0905 4度C'!D1</f>
        <v>146456</v>
      </c>
      <c r="G3" s="599"/>
      <c r="H3" s="39" t="s">
        <v>499</v>
      </c>
      <c r="I3" s="600">
        <f>'0905 4度C'!F1</f>
        <v>5101374.43</v>
      </c>
      <c r="J3" s="601"/>
      <c r="K3" s="40"/>
      <c r="L3" s="41"/>
      <c r="M3" s="42"/>
      <c r="N3" s="42"/>
    </row>
    <row r="4" spans="2:17" ht="28.5" customHeight="1">
      <c r="B4" s="602" t="s">
        <v>500</v>
      </c>
      <c r="C4" s="588" t="s">
        <v>501</v>
      </c>
      <c r="D4" s="589"/>
      <c r="E4" s="605" t="s">
        <v>502</v>
      </c>
      <c r="F4" s="606"/>
      <c r="G4" s="605" t="s">
        <v>503</v>
      </c>
      <c r="H4" s="606"/>
      <c r="I4" s="605" t="s">
        <v>504</v>
      </c>
      <c r="J4" s="606"/>
      <c r="K4" s="586" t="s">
        <v>505</v>
      </c>
      <c r="L4" s="587"/>
      <c r="M4" s="587" t="s">
        <v>506</v>
      </c>
      <c r="N4" s="587"/>
    </row>
    <row r="5" spans="2:17" ht="28.5" customHeight="1">
      <c r="B5" s="603"/>
      <c r="C5" s="588" t="s">
        <v>507</v>
      </c>
      <c r="D5" s="589"/>
      <c r="E5" s="588" t="s">
        <v>508</v>
      </c>
      <c r="F5" s="589"/>
      <c r="G5" s="590" t="s">
        <v>509</v>
      </c>
      <c r="H5" s="591"/>
      <c r="I5" s="592" t="s">
        <v>100</v>
      </c>
      <c r="J5" s="593"/>
      <c r="K5" s="43" t="s">
        <v>510</v>
      </c>
      <c r="L5" s="44" t="s">
        <v>511</v>
      </c>
      <c r="M5" s="43" t="s">
        <v>101</v>
      </c>
      <c r="N5" s="44" t="s">
        <v>512</v>
      </c>
    </row>
    <row r="6" spans="2:17" ht="28.5" customHeight="1">
      <c r="B6" s="603"/>
      <c r="C6" s="588" t="s">
        <v>56</v>
      </c>
      <c r="D6" s="589"/>
      <c r="E6" s="580">
        <f>AVERAGE(D13:M13)</f>
        <v>155.56939695983542</v>
      </c>
      <c r="F6" s="581">
        <f>AVERAGE(D31:O31,D13:J13)</f>
        <v>163.09969410818908</v>
      </c>
      <c r="G6" s="582">
        <f>AVERAGE(D13:J13)</f>
        <v>163.09969410818908</v>
      </c>
      <c r="H6" s="583"/>
      <c r="I6" s="582">
        <f>AVERAGE(K13:M13)</f>
        <v>137.99870361367687</v>
      </c>
      <c r="J6" s="583"/>
      <c r="K6" s="584">
        <f>'0905 4度C'!Y2</f>
        <v>0</v>
      </c>
      <c r="L6" s="569">
        <f>'0905 4度C'!Z2</f>
        <v>0</v>
      </c>
      <c r="M6" s="585">
        <f>'0905 4度C'!AC2</f>
        <v>55</v>
      </c>
      <c r="N6" s="569">
        <f>'0905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149.07739265719221</v>
      </c>
      <c r="F7" s="573">
        <f>AVERAGE(D32:O32,D14:J14)</f>
        <v>156.394478249949</v>
      </c>
      <c r="G7" s="574">
        <f>AVERAGE(D14:J14)</f>
        <v>156.394478249949</v>
      </c>
      <c r="H7" s="575"/>
      <c r="I7" s="574">
        <f>AVERAGE(K14:M14)</f>
        <v>132.00419294075965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0.95836511440364158</v>
      </c>
      <c r="F8" s="577">
        <f>AVERAGE(D15:J15,D33:O33)</f>
        <v>0.95917601128674934</v>
      </c>
      <c r="G8" s="578">
        <f>AVERAGE(D15:J15)</f>
        <v>0.95917601128674934</v>
      </c>
      <c r="H8" s="579"/>
      <c r="I8" s="578">
        <f>AVERAGE(K15:M15)</f>
        <v>0.9564730216763907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513</v>
      </c>
      <c r="N9" s="42"/>
      <c r="O9" s="42"/>
      <c r="P9" s="42"/>
      <c r="Q9" s="42"/>
    </row>
    <row r="10" spans="2:17" ht="30" customHeight="1">
      <c r="B10" s="552" t="s">
        <v>514</v>
      </c>
      <c r="C10" s="553"/>
      <c r="D10" s="554" t="s">
        <v>515</v>
      </c>
      <c r="E10" s="555"/>
      <c r="F10" s="555"/>
      <c r="G10" s="555"/>
      <c r="H10" s="555"/>
      <c r="I10" s="555"/>
      <c r="J10" s="556"/>
      <c r="K10" s="557" t="s">
        <v>516</v>
      </c>
      <c r="L10" s="558"/>
      <c r="M10" s="559"/>
      <c r="P10" s="48"/>
      <c r="Q10" s="48"/>
    </row>
    <row r="11" spans="2:17" ht="17.25" customHeight="1">
      <c r="B11" s="560" t="s">
        <v>517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518</v>
      </c>
      <c r="C13" s="55" t="s">
        <v>519</v>
      </c>
      <c r="D13" s="56">
        <f>SUMIFS('0905 4度C'!$K:$K,'0905 4度C'!$A:$A,"新豐6線",'0905 4度C'!$B:$B,"平均")</f>
        <v>130.43478260869566</v>
      </c>
      <c r="E13" s="57">
        <f>SUMIFS('0905 4度C'!$K:$K,'0905 4度C'!$A:$A,"新豐2線",'0905 4度C'!$B:$B,"平均")</f>
        <v>81.818181818181827</v>
      </c>
      <c r="F13" s="58">
        <f>SUMIFS('0905 4度C'!$K:$K,'0905 4度C'!$A:$A,"新豐5線",'0905 4度C'!$B:$B,"平均")</f>
        <v>104.16666666666667</v>
      </c>
      <c r="G13" s="58">
        <f>SUMIFS('0905 4度C'!$K:$K,'0905 4度C'!$A:$A,"新豐7線",'0905 4度C'!$B:$B,"平均")</f>
        <v>129.03225806451613</v>
      </c>
      <c r="H13" s="58">
        <f>SUMIFS('0905 4度C'!$K:$K,'0905 4度C'!$A:$A,"新豐3線",'0905 4度C'!$B:$B,"平均")</f>
        <v>300</v>
      </c>
      <c r="I13" s="58">
        <f>SUMIFS('0905 4度C'!$K:$K,'0905 4度C'!$A:$A,"新豐1線",'0905 4度C'!$B:$B,"平均")</f>
        <v>107.78443113772454</v>
      </c>
      <c r="J13" s="59">
        <f>SUMIFS('0905 4度C'!$K:$K,'0905 4度C'!$A:$A,"新豐10線",'0905 4度C'!$B:$B,"平均")</f>
        <v>288.46153846153845</v>
      </c>
      <c r="K13" s="60">
        <f>SUMIFS('0905 4度C'!$K:$K,'0905 4度C'!$A:$A,"新豐8線",'0905 4度C'!$B:$B,"平均")</f>
        <v>131.76470588235293</v>
      </c>
      <c r="L13" s="61">
        <f>SUMIFS('0905 4度C'!$K:$K,'0905 4度C'!$A:$A,"新豐9線",'0905 4度C'!$B:$B,"平均")</f>
        <v>132.2314049586777</v>
      </c>
      <c r="M13" s="59">
        <f>SUMIFS('0905 4度C'!$K:$K,'0905 4度C'!$A:$A,"新豐4線",'0905 4度C'!$B:$B,"平均")</f>
        <v>150</v>
      </c>
    </row>
    <row r="14" spans="2:17" ht="39.6" customHeight="1">
      <c r="B14" s="565"/>
      <c r="C14" s="62" t="s">
        <v>520</v>
      </c>
      <c r="D14" s="63">
        <f>SUMIFS('0905 4度C'!$N:$N,'0905 4度C'!$A:$A,"新豐6線",'0905 4度C'!$B:$B,"平均")</f>
        <v>125.3605225556235</v>
      </c>
      <c r="E14" s="64">
        <f>SUMIFS('0905 4度C'!$N:$N,'0905 4度C'!$A:$A,"新豐2線",'0905 4度C'!$B:$B,"平均")</f>
        <v>78.008964469972312</v>
      </c>
      <c r="F14" s="64">
        <f>SUMIFS('0905 4度C'!$N:$N,'0905 4度C'!$A:$A,"新豐5線",'0905 4度C'!$B:$B,"平均")</f>
        <v>100.04782444491809</v>
      </c>
      <c r="G14" s="64">
        <f>SUMIFS('0905 4度C'!$N:$N,'0905 4度C'!$A:$A,"新豐7線",'0905 4度C'!$B:$B,"平均")</f>
        <v>124.02167832716751</v>
      </c>
      <c r="H14" s="64">
        <f>SUMIFS('0905 4度C'!$N:$N,'0905 4度C'!$A:$A,"新豐3線",'0905 4度C'!$B:$B,"平均")</f>
        <v>286.58497354497365</v>
      </c>
      <c r="I14" s="64">
        <f>SUMIFS('0905 4度C'!$N:$N,'0905 4度C'!$A:$A,"新豐1線",'0905 4度C'!$B:$B,"平均")</f>
        <v>103.74812366772737</v>
      </c>
      <c r="J14" s="65">
        <f>SUMIFS('0905 4度C'!$N:$N,'0905 4度C'!$A:$A,"新豐10線",'0905 4度C'!$B:$B,"平均")</f>
        <v>276.98926073926054</v>
      </c>
      <c r="K14" s="66">
        <f>SUMIFS('0905 4度C'!$N:$N,'0905 4度C'!$A:$A,"新豐8線",'0905 4度C'!$B:$B,"平均")</f>
        <v>125.82008149447314</v>
      </c>
      <c r="L14" s="67">
        <f>SUMIFS('0905 4度C'!$N:$N,'0905 4度C'!$A:$A,"新豐9線",'0905 4度C'!$B:$B,"平均")</f>
        <v>126.41994692561535</v>
      </c>
      <c r="M14" s="65">
        <f>SUMIFS('0905 4度C'!$N:$N,'0905 4度C'!$A:$A,"新豐4線",'0905 4度C'!$B:$B,"平均")</f>
        <v>143.77255040219046</v>
      </c>
    </row>
    <row r="15" spans="2:17" ht="40.15" customHeight="1">
      <c r="B15" s="566"/>
      <c r="C15" s="68" t="s">
        <v>521</v>
      </c>
      <c r="D15" s="69">
        <f t="shared" ref="D15:M15" si="0">D14/D13</f>
        <v>0.9610973395931135</v>
      </c>
      <c r="E15" s="70">
        <f t="shared" si="0"/>
        <v>0.95344289907743929</v>
      </c>
      <c r="F15" s="70">
        <f t="shared" si="0"/>
        <v>0.96045911467121359</v>
      </c>
      <c r="G15" s="70">
        <f t="shared" si="0"/>
        <v>0.96116800703554817</v>
      </c>
      <c r="H15" s="70">
        <f t="shared" si="0"/>
        <v>0.95528324514991214</v>
      </c>
      <c r="I15" s="70">
        <f t="shared" si="0"/>
        <v>0.96255203625058183</v>
      </c>
      <c r="J15" s="71">
        <f t="shared" si="0"/>
        <v>0.96022943722943654</v>
      </c>
      <c r="K15" s="69">
        <f t="shared" si="0"/>
        <v>0.95488454705626946</v>
      </c>
      <c r="L15" s="70">
        <f t="shared" si="0"/>
        <v>0.95605084862496592</v>
      </c>
      <c r="M15" s="71">
        <f t="shared" si="0"/>
        <v>0.95848366934793638</v>
      </c>
    </row>
    <row r="16" spans="2:17" ht="17.25" customHeight="1">
      <c r="B16" s="567" t="s">
        <v>522</v>
      </c>
      <c r="C16" s="72" t="s">
        <v>523</v>
      </c>
      <c r="D16" s="73">
        <f>VLOOKUP("新豐6線",'0905 4度C'!$A:$T,19,0)</f>
        <v>0.70833333333333337</v>
      </c>
      <c r="E16" s="74">
        <f>VLOOKUP("新豐2線",'0905 4度C'!$A:$T,19,0)</f>
        <v>8.3333333333333329E-2</v>
      </c>
      <c r="F16" s="74">
        <f>VLOOKUP("新豐5線",'0905 4度C'!$A:$T,19,0)</f>
        <v>0.20833333333333334</v>
      </c>
      <c r="G16" s="74">
        <f>VLOOKUP("新豐7線",'0905 4度C'!$A:$T,19,0)</f>
        <v>0.20833333333333334</v>
      </c>
      <c r="H16" s="74">
        <f>VLOOKUP("新豐3線",'0905 4度C'!$A:$T,19,0)</f>
        <v>0.20833333333333334</v>
      </c>
      <c r="I16" s="74">
        <f>VLOOKUP("新豐1線",'0905 4度C'!$A:$T,19,0)</f>
        <v>0.20833333333333334</v>
      </c>
      <c r="J16" s="75">
        <f>VLOOKUP("新豐10線",'0905 4度C'!$A:$T,19,0)</f>
        <v>0.20833333333333334</v>
      </c>
      <c r="K16" s="76">
        <f>VLOOKUP("新豐8線",'0905 4度C'!$A:$T,19,0)</f>
        <v>8.3333333333333329E-2</v>
      </c>
      <c r="L16" s="77">
        <f>VLOOKUP("新豐9線",'0905 4度C'!$A:$T,19,0)</f>
        <v>8.3333333333333329E-2</v>
      </c>
      <c r="M16" s="78">
        <f>VLOOKUP("新豐4線",'0905 4度C'!$A:$T,19,0)</f>
        <v>8.3333333333333329E-2</v>
      </c>
    </row>
    <row r="17" spans="2:13" ht="17.25" customHeight="1">
      <c r="B17" s="568"/>
      <c r="C17" s="72" t="s">
        <v>524</v>
      </c>
      <c r="D17" s="76">
        <f>LOOKUP(2,1/(('0905 4度C'!$A:$A="新豐6線")*('0905 4度C'!$T:$T&lt;&gt;"")),'0905 4度C'!$T:$T)</f>
        <v>0.8486111111111112</v>
      </c>
      <c r="E17" s="74">
        <f>LOOKUP(2,1/(('0905 4度C'!$A:$A="新豐2線")*('0905 4度C'!$T:$T&lt;&gt;"")),'0905 4度C'!$T:$T)</f>
        <v>0.43958333333333327</v>
      </c>
      <c r="F17" s="74">
        <f>LOOKUP(2,1/(('0905 4度C'!$A:$A="新豐5線")*('0905 4度C'!$T:$T&lt;&gt;"")),'0905 4度C'!$T:$T)</f>
        <v>0.84861111111111109</v>
      </c>
      <c r="G17" s="74">
        <f>LOOKUP(2,1/(('0905 4度C'!$A:$A="新豐7線")*('0905 4度C'!$T:$T&lt;&gt;"")),'0905 4度C'!$T:$T)</f>
        <v>0.83194444444444449</v>
      </c>
      <c r="H17" s="74">
        <f>LOOKUP(2,1/(('0905 4度C'!$A:$A="新豐3線")*('0905 4度C'!$T:$T&lt;&gt;"")),'0905 4度C'!$T:$T)</f>
        <v>0.40208333333333329</v>
      </c>
      <c r="I17" s="74">
        <f>LOOKUP(2,1/(('0905 4度C'!$A:$A="新豐1線")*('0905 4度C'!$T:$T&lt;&gt;"")),'0905 4度C'!$T:$T)</f>
        <v>0.90277777777777768</v>
      </c>
      <c r="J17" s="75">
        <f>LOOKUP(2,1/(('0905 4度C'!$A:$A="新豐10線")*('0905 4度C'!$T:$T&lt;&gt;"")),'0905 4度C'!$T:$T)</f>
        <v>0.38472222222222219</v>
      </c>
      <c r="K17" s="73">
        <f>LOOKUP(2,1/(('0905 4度C'!$A:$A="新豐8線")*('0905 4度C'!$T:$T&lt;&gt;"")),'0905 4度C'!$T:$T)</f>
        <v>0.57986111111111105</v>
      </c>
      <c r="L17" s="74">
        <f>LOOKUP(2,1/(('0905 4度C'!$A:$A="新豐9線")*('0905 4度C'!$T:$T&lt;&gt;"")),'0905 4度C'!$T:$T)</f>
        <v>0.60486111111111096</v>
      </c>
      <c r="M17" s="75">
        <f>LOOKUP(2,1/(('0905 4度C'!$A:$A="新豐4線")*('0905 4度C'!$T:$T&lt;&gt;"")),'0905 4度C'!$T:$T)</f>
        <v>0.59861111111111087</v>
      </c>
    </row>
    <row r="18" spans="2:13" ht="17.25" customHeight="1">
      <c r="B18" s="546" t="s">
        <v>525</v>
      </c>
      <c r="C18" s="79" t="s">
        <v>526</v>
      </c>
      <c r="D18" s="80">
        <f>SUMIFS('0905 4度C'!$Y:$Y,'0905 4度C'!$A:$A,"新豐6線",'0905 4度C'!$B:$B,"平均")</f>
        <v>0</v>
      </c>
      <c r="E18" s="81">
        <f>SUMIFS('0905 4度C'!$Y:$Y,'0905 4度C'!$A:$A,"新豐2線",'0905 4度C'!$B:$B,"平均")</f>
        <v>0</v>
      </c>
      <c r="F18" s="81">
        <f>SUMIFS('0905 4度C'!$Y:$Y,'0905 4度C'!$A:$A,"新豐5線",'0905 4度C'!$B:$B,"平均")</f>
        <v>0</v>
      </c>
      <c r="G18" s="81">
        <f>SUMIFS('0905 4度C'!$Y:$Y,'0905 4度C'!$A:$A,"新豐7線",'0905 4度C'!$B:$B,"平均")</f>
        <v>0</v>
      </c>
      <c r="H18" s="81">
        <f>SUMIFS('0905 4度C'!$Y:$Y,'0905 4度C'!$A:$A,"新豐3線",'0905 4度C'!$B:$B,"平均")</f>
        <v>0</v>
      </c>
      <c r="I18" s="81">
        <f>SUMIFS('0905 4度C'!$Y:$Y,'0905 4度C'!$A:$A,"新豐1線",'0905 4度C'!$B:$B,"平均")</f>
        <v>0</v>
      </c>
      <c r="J18" s="82">
        <f>SUMIFS('0905 4度C'!$Y:$Y,'0905 4度C'!$A:$A,"新豐10線",'0905 4度C'!$B:$B,"平均")</f>
        <v>0</v>
      </c>
      <c r="K18" s="83">
        <f>SUMIFS('0905 4度C'!$Y:$Y,'0905 4度C'!$A:$A,"新豐8線",'0905 4度C'!$B:$B,"平均")</f>
        <v>0</v>
      </c>
      <c r="L18" s="81">
        <f>SUMIFS('0905 4度C'!$Y:$Y,'0905 4度C'!$A:$A,"新豐9線",'0905 4度C'!$B:$B,"平均")</f>
        <v>0</v>
      </c>
      <c r="M18" s="82">
        <f>SUMIFS('0905 4度C'!$Y:$Y,'0905 4度C'!$A:$A,"新豐4線",'0905 4度C'!$B:$B,"平均")</f>
        <v>0</v>
      </c>
    </row>
    <row r="19" spans="2:13" ht="17.25" customHeight="1">
      <c r="B19" s="547"/>
      <c r="C19" s="79" t="s">
        <v>527</v>
      </c>
      <c r="D19" s="80">
        <f>SUMIFS('0905 4度C'!$Z:$Z,'0905 4度C'!$A:$A,"新豐6線",'0905 4度C'!$B:$B,"平均")</f>
        <v>0</v>
      </c>
      <c r="E19" s="81">
        <f>SUMIFS('0905 4度C'!$Z:$Z,'0905 4度C'!$A:$A,"新豐2線",'0905 4度C'!$B:$B,"平均")</f>
        <v>0</v>
      </c>
      <c r="F19" s="81">
        <f>SUMIFS('0905 4度C'!$Z:$Z,'0905 4度C'!$A:$A,"新豐5線",'0905 4度C'!$B:$B,"平均")</f>
        <v>0</v>
      </c>
      <c r="G19" s="81">
        <f>SUMIFS('0905 4度C'!$Z:$Z,'0905 4度C'!$A:$A,"新豐7線",'0905 4度C'!$B:$B,"平均")</f>
        <v>0</v>
      </c>
      <c r="H19" s="81">
        <f>SUMIFS('0905 4度C'!$Z:$Z,'0905 4度C'!$A:$A,"新豐3線",'0905 4度C'!$B:$B,"平均")</f>
        <v>0</v>
      </c>
      <c r="I19" s="81">
        <f>SUMIFS('0905 4度C'!$Z:$Z,'0905 4度C'!$A:$A,"新豐1線",'0905 4度C'!$B:$B,"平均")</f>
        <v>0</v>
      </c>
      <c r="J19" s="82">
        <f>SUMIFS('0905 4度C'!$Z:$Z,'0905 4度C'!$A:$A,"新豐10線",'0905 4度C'!$B:$B,"平均")</f>
        <v>0</v>
      </c>
      <c r="K19" s="83">
        <f>SUMIFS('0905 4度C'!$Z:$Z,'0905 4度C'!$A:$A,"新豐8線",'0905 4度C'!$B:$B,"平均")</f>
        <v>0</v>
      </c>
      <c r="L19" s="81">
        <f>SUMIFS('0905 4度C'!$Z:$Z,'0905 4度C'!$A:$A,"新豐9線",'0905 4度C'!$B:$B,"平均")</f>
        <v>0</v>
      </c>
      <c r="M19" s="82">
        <f>SUMIFS('0905 4度C'!$Z:$Z,'0905 4度C'!$A:$A,"新豐4線",'0905 4度C'!$B:$B,"平均")</f>
        <v>0</v>
      </c>
    </row>
    <row r="20" spans="2:13" ht="17.25" customHeight="1">
      <c r="B20" s="546" t="s">
        <v>528</v>
      </c>
      <c r="C20" s="79" t="s">
        <v>526</v>
      </c>
      <c r="D20" s="80">
        <f>SUMIFS('0905 4度C'!$AC:$AC,'0905 4度C'!$A:$A,"新豐6線",'0905 4度C'!$B:$B,"平均")</f>
        <v>3</v>
      </c>
      <c r="E20" s="81">
        <f>SUMIFS('0905 4度C'!$AC:$AC,'0905 4度C'!$A:$A,"新豐2線",'0905 4度C'!$B:$B,"平均")</f>
        <v>3</v>
      </c>
      <c r="F20" s="81">
        <f>SUMIFS('0905 4度C'!$AC:$AC,'0905 4度C'!$A:$A,"新豐5線",'0905 4度C'!$B:$B,"平均")</f>
        <v>7</v>
      </c>
      <c r="G20" s="81">
        <f>SUMIFS('0905 4度C'!$AC:$AC,'0905 4度C'!$A:$A,"新豐7線",'0905 4度C'!$B:$B,"平均")</f>
        <v>6</v>
      </c>
      <c r="H20" s="81">
        <f>SUMIFS('0905 4度C'!$AC:$AC,'0905 4度C'!$A:$A,"新豐3線",'0905 4度C'!$B:$B,"平均")</f>
        <v>3</v>
      </c>
      <c r="I20" s="81">
        <f>SUMIFS('0905 4度C'!$AC:$AC,'0905 4度C'!$A:$A,"新豐1線",'0905 4度C'!$B:$B,"平均")</f>
        <v>9</v>
      </c>
      <c r="J20" s="82">
        <f>SUMIFS('0905 4度C'!$AC:$AC,'0905 4度C'!$A:$A,"新豐10線",'0905 4度C'!$B:$B,"平均")</f>
        <v>5</v>
      </c>
      <c r="K20" s="83">
        <f>SUMIFS('0905 4度C'!$AC:$AC,'0905 4度C'!$A:$A,"新豐8線",'0905 4度C'!$B:$B,"平均")</f>
        <v>5</v>
      </c>
      <c r="L20" s="81">
        <f>SUMIFS('0905 4度C'!$AC:$AC,'0905 4度C'!$A:$A,"新豐9線",'0905 4度C'!$B:$B,"平均")</f>
        <v>7</v>
      </c>
      <c r="M20" s="82">
        <f>SUMIFS('0905 4度C'!$AC:$AC,'0905 4度C'!$A:$A,"新豐4線",'0905 4度C'!$B:$B,"平均")</f>
        <v>7</v>
      </c>
    </row>
    <row r="21" spans="2:13" ht="17.25" customHeight="1">
      <c r="B21" s="547"/>
      <c r="C21" s="79" t="s">
        <v>529</v>
      </c>
      <c r="D21" s="80">
        <f>SUMIFS('0905 4度C'!$AD:$AD,'0905 4度C'!$A:$A,"新豐6線",'0905 4度C'!$B:$B,"平均")</f>
        <v>0</v>
      </c>
      <c r="E21" s="81">
        <f>SUMIFS('0905 4度C'!$AD:$AD,'0905 4度C'!$A:$A,"新豐2線",'0905 4度C'!$B:$B,"平均")</f>
        <v>0</v>
      </c>
      <c r="F21" s="81">
        <f>SUMIFS('0905 4度C'!$AD:$AD,'0905 4度C'!$A:$A,"新豐5線",'0905 4度C'!$B:$B,"平均")</f>
        <v>0</v>
      </c>
      <c r="G21" s="81">
        <f>SUMIFS('0905 4度C'!$AD:$AD,'0905 4度C'!$A:$A,"新豐7線",'0905 4度C'!$B:$B,"平均")</f>
        <v>0</v>
      </c>
      <c r="H21" s="81">
        <f>SUMIFS('0905 4度C'!$AD:$AD,'0905 4度C'!$A:$A,"新豐3線",'0905 4度C'!$B:$B,"平均")</f>
        <v>0</v>
      </c>
      <c r="I21" s="81">
        <f>SUMIFS('0905 4度C'!$AD:$AD,'0905 4度C'!$A:$A,"新豐1線",'0905 4度C'!$B:$B,"平均")</f>
        <v>0</v>
      </c>
      <c r="J21" s="82">
        <f>SUMIFS('0905 4度C'!$AD:$AD,'0905 4度C'!$A:$A,"新豐10線",'0905 4度C'!$B:$B,"平均")</f>
        <v>0</v>
      </c>
      <c r="K21" s="83">
        <f>SUMIFS('0905 4度C'!$AD:$AD,'0905 4度C'!$A:$A,"新豐8線",'0905 4度C'!$B:$B,"平均")</f>
        <v>0</v>
      </c>
      <c r="L21" s="81">
        <f>SUMIFS('0905 4度C'!$AD:$AD,'0905 4度C'!$A:$A,"新豐9線",'0905 4度C'!$B:$B,"平均")</f>
        <v>0</v>
      </c>
      <c r="M21" s="82">
        <f>SUMIFS('0905 4度C'!$AD:$AD,'0905 4度C'!$A:$A,"新豐4線",'0905 4度C'!$B:$B,"平均")</f>
        <v>0</v>
      </c>
    </row>
    <row r="22" spans="2:13" ht="17.25" customHeight="1">
      <c r="B22" s="548" t="s">
        <v>530</v>
      </c>
      <c r="C22" s="549"/>
      <c r="D22" s="84">
        <f>SUMIFS('0905 4度C'!$I:$I,'0905 4度C'!$A:$A,"新豐6線",'0905 4度C'!$B:$B,"平均")</f>
        <v>15.333333333333334</v>
      </c>
      <c r="E22" s="85">
        <f>SUMIFS('0905 4度C'!$I:$I,'0905 4度C'!$A:$A,"新豐2線",'0905 4度C'!$B:$B,"平均")</f>
        <v>18.333333333333332</v>
      </c>
      <c r="F22" s="85">
        <f>SUMIFS('0905 4度C'!$I:$I,'0905 4度C'!$A:$A,"新豐5線",'0905 4度C'!$B:$B,"平均")</f>
        <v>17.142857142857142</v>
      </c>
      <c r="G22" s="85">
        <f>SUMIFS('0905 4度C'!$I:$I,'0905 4度C'!$A:$A,"新豐7線",'0905 4度C'!$B:$B,"平均")</f>
        <v>15.5</v>
      </c>
      <c r="H22" s="85">
        <f>SUMIFS('0905 4度C'!$I:$I,'0905 4度C'!$A:$A,"新豐3線",'0905 4度C'!$B:$B,"平均")</f>
        <v>10</v>
      </c>
      <c r="I22" s="85">
        <f>SUMIFS('0905 4度C'!$I:$I,'0905 4度C'!$A:$A,"新豐1線",'0905 4度C'!$B:$B,"平均")</f>
        <v>18.555555555555557</v>
      </c>
      <c r="J22" s="86">
        <f>SUMIFS('0905 4度C'!$I:$I,'0905 4度C'!$A:$A,"新豐10線",'0905 4度C'!$B:$B,"平均")</f>
        <v>10.4</v>
      </c>
      <c r="K22" s="84">
        <f>SUMIFS('0905 4度C'!$I:$I,'0905 4度C'!$A:$A,"新豐8線",'0905 4度C'!$B:$B,"平均")</f>
        <v>17</v>
      </c>
      <c r="L22" s="85">
        <f>SUMIFS('0905 4度C'!$I:$I,'0905 4度C'!$A:$A,"新豐9線",'0905 4度C'!$B:$B,"平均")</f>
        <v>17.285714285714285</v>
      </c>
      <c r="M22" s="86">
        <f>SUMIFS('0905 4度C'!$I:$I,'0905 4度C'!$A:$A,"新豐4線",'0905 4度C'!$B:$B,"平均")</f>
        <v>16</v>
      </c>
    </row>
    <row r="23" spans="2:13" ht="17.25" customHeight="1">
      <c r="B23" s="548" t="s">
        <v>531</v>
      </c>
      <c r="C23" s="549"/>
      <c r="D23" s="87" t="s">
        <v>69</v>
      </c>
      <c r="E23" s="88" t="s">
        <v>70</v>
      </c>
      <c r="F23" s="88" t="s">
        <v>532</v>
      </c>
      <c r="G23" s="88" t="s">
        <v>532</v>
      </c>
      <c r="H23" s="88" t="s">
        <v>71</v>
      </c>
      <c r="I23" s="88" t="s">
        <v>69</v>
      </c>
      <c r="J23" s="89" t="s">
        <v>71</v>
      </c>
      <c r="K23" s="87" t="s">
        <v>533</v>
      </c>
      <c r="L23" s="88" t="s">
        <v>124</v>
      </c>
      <c r="M23" s="89" t="s">
        <v>533</v>
      </c>
    </row>
    <row r="24" spans="2:13" ht="17.25" customHeight="1">
      <c r="B24" s="548" t="s">
        <v>534</v>
      </c>
      <c r="C24" s="549"/>
      <c r="D24" s="87"/>
      <c r="E24" s="88"/>
      <c r="F24" s="88" t="s">
        <v>535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536</v>
      </c>
      <c r="C25" s="551"/>
      <c r="D25" s="90"/>
      <c r="E25" s="91" t="s">
        <v>537</v>
      </c>
      <c r="F25" s="544" t="s">
        <v>538</v>
      </c>
      <c r="G25" s="545"/>
      <c r="H25" s="91" t="s">
        <v>539</v>
      </c>
      <c r="I25" s="91" t="s">
        <v>540</v>
      </c>
      <c r="J25" s="92" t="s">
        <v>539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44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zoomScale="80" zoomScaleNormal="80" workbookViewId="0">
      <pane ySplit="4" topLeftCell="A5" activePane="bottomLeft" state="frozen"/>
      <selection activeCell="A9" sqref="A9"/>
      <selection pane="bottomLeft" activeCell="AF7" sqref="AF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SUM(F5:F69)</f>
        <v>146456</v>
      </c>
      <c r="E1" s="162" t="s">
        <v>541</v>
      </c>
      <c r="F1" s="1">
        <f>SUM(G5:G69)</f>
        <v>5101374.43</v>
      </c>
      <c r="G1" s="1" t="s">
        <v>542</v>
      </c>
      <c r="H1" s="4">
        <f>L8+L12+L45+L55+L20+L61+L33+L41+L27+L69</f>
        <v>155.55079365079365</v>
      </c>
      <c r="I1" s="660" t="s">
        <v>136</v>
      </c>
      <c r="J1" s="660"/>
      <c r="K1" s="660"/>
      <c r="L1" s="660" t="s">
        <v>543</v>
      </c>
      <c r="M1" s="660"/>
      <c r="N1" s="660"/>
      <c r="O1" s="660" t="s">
        <v>544</v>
      </c>
      <c r="P1" s="660"/>
      <c r="Q1" s="660"/>
      <c r="R1" s="660"/>
      <c r="S1" s="660" t="s">
        <v>545</v>
      </c>
      <c r="T1" s="660"/>
      <c r="U1" s="660"/>
      <c r="V1" s="660"/>
      <c r="W1" s="660"/>
      <c r="X1" s="660"/>
      <c r="Y1" s="5" t="s">
        <v>140</v>
      </c>
      <c r="Z1" s="6" t="s">
        <v>546</v>
      </c>
      <c r="AA1" s="661" t="s">
        <v>142</v>
      </c>
      <c r="AB1" s="661"/>
      <c r="AC1" s="7" t="s">
        <v>547</v>
      </c>
      <c r="AD1" s="6" t="s">
        <v>144</v>
      </c>
      <c r="AE1" s="660" t="s">
        <v>355</v>
      </c>
      <c r="AF1" s="662"/>
      <c r="AG1" s="662"/>
    </row>
    <row r="2" spans="1:33" ht="26.25" customHeight="1">
      <c r="A2" s="27">
        <v>46270</v>
      </c>
      <c r="B2" s="28" t="s">
        <v>548</v>
      </c>
      <c r="C2" s="2" t="s">
        <v>147</v>
      </c>
      <c r="D2" s="9">
        <f>AVERAGE(N8,N12,N45,N55,N20,N61,N27,N33,N41,N69)</f>
        <v>149.07739265719221</v>
      </c>
      <c r="E2" s="10" t="s">
        <v>0</v>
      </c>
      <c r="F2" s="11">
        <f>F1/D1</f>
        <v>34.832129991260175</v>
      </c>
      <c r="G2" s="1" t="s">
        <v>549</v>
      </c>
      <c r="H2" s="169">
        <f>COUNT(H5:H69)</f>
        <v>4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SUM(Y8+Y12+Y20+Y27+Y33+Y41+Y45+Y55+Y61+Y69)</f>
        <v>0</v>
      </c>
      <c r="Z2" s="12">
        <f>SUM(Z8+Z12+Z20+Z27+Z33+Z41+Z45+Z55+Z61+Z69)</f>
        <v>0</v>
      </c>
      <c r="AA2" s="661"/>
      <c r="AB2" s="661"/>
      <c r="AC2" s="12">
        <v>55</v>
      </c>
      <c r="AD2" s="12">
        <f>SUM(AD8+AD12+AD20+AD27+AD33+AD41+AD45+AD55+AD61+AD69)</f>
        <v>0</v>
      </c>
      <c r="AE2" s="662"/>
      <c r="AF2" s="662"/>
      <c r="AG2" s="662"/>
    </row>
    <row r="3" spans="1:33" ht="40.5" customHeight="1">
      <c r="A3" s="610" t="s">
        <v>550</v>
      </c>
      <c r="B3" s="610" t="s">
        <v>551</v>
      </c>
      <c r="C3" s="610" t="s">
        <v>552</v>
      </c>
      <c r="D3" s="610"/>
      <c r="E3" s="658" t="s">
        <v>553</v>
      </c>
      <c r="F3" s="610" t="s">
        <v>153</v>
      </c>
      <c r="G3" s="658" t="s">
        <v>154</v>
      </c>
      <c r="H3" s="651" t="s">
        <v>554</v>
      </c>
      <c r="I3" s="649" t="s">
        <v>555</v>
      </c>
      <c r="J3" s="646" t="s">
        <v>157</v>
      </c>
      <c r="K3" s="656" t="s">
        <v>147</v>
      </c>
      <c r="L3" s="649" t="s">
        <v>156</v>
      </c>
      <c r="M3" s="646" t="s">
        <v>556</v>
      </c>
      <c r="N3" s="656" t="s">
        <v>518</v>
      </c>
      <c r="O3" s="649" t="s">
        <v>555</v>
      </c>
      <c r="P3" s="656" t="s">
        <v>147</v>
      </c>
      <c r="Q3" s="647" t="s">
        <v>161</v>
      </c>
      <c r="R3" s="623" t="s">
        <v>557</v>
      </c>
      <c r="S3" s="657" t="s">
        <v>1</v>
      </c>
      <c r="T3" s="657"/>
      <c r="U3" s="651" t="s">
        <v>2</v>
      </c>
      <c r="V3" s="651" t="s">
        <v>163</v>
      </c>
      <c r="W3" s="610" t="s">
        <v>558</v>
      </c>
      <c r="X3" s="610"/>
      <c r="Y3" s="652" t="s">
        <v>165</v>
      </c>
      <c r="Z3" s="609"/>
      <c r="AA3" s="653" t="s">
        <v>166</v>
      </c>
      <c r="AB3" s="654"/>
      <c r="AC3" s="652" t="s">
        <v>167</v>
      </c>
      <c r="AD3" s="609"/>
      <c r="AE3" s="646" t="s">
        <v>157</v>
      </c>
      <c r="AF3" s="647" t="s">
        <v>161</v>
      </c>
      <c r="AG3" s="623" t="s">
        <v>557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170" t="s">
        <v>3</v>
      </c>
      <c r="T4" s="170" t="s">
        <v>4</v>
      </c>
      <c r="U4" s="651"/>
      <c r="V4" s="651"/>
      <c r="W4" s="162" t="s">
        <v>171</v>
      </c>
      <c r="X4" s="162" t="s">
        <v>559</v>
      </c>
      <c r="Y4" s="161" t="s">
        <v>118</v>
      </c>
      <c r="Z4" s="161" t="s">
        <v>78</v>
      </c>
      <c r="AA4" s="655"/>
      <c r="AB4" s="654"/>
      <c r="AC4" s="161" t="s">
        <v>560</v>
      </c>
      <c r="AD4" s="161" t="s">
        <v>561</v>
      </c>
      <c r="AE4" s="646"/>
      <c r="AF4" s="647"/>
      <c r="AG4" s="623"/>
    </row>
    <row r="5" spans="1:33">
      <c r="A5" s="648" t="s">
        <v>177</v>
      </c>
      <c r="B5" s="33" t="s">
        <v>6</v>
      </c>
      <c r="C5" s="650" t="s">
        <v>7</v>
      </c>
      <c r="D5" s="650"/>
      <c r="E5" s="33">
        <v>50.92</v>
      </c>
      <c r="F5" s="170">
        <v>2282</v>
      </c>
      <c r="G5" s="173">
        <f t="shared" ref="G5:G68" si="0">E5*F5</f>
        <v>116199.44</v>
      </c>
      <c r="H5" s="29" t="s">
        <v>5</v>
      </c>
      <c r="I5" s="167">
        <v>15</v>
      </c>
      <c r="J5" s="30">
        <v>2000</v>
      </c>
      <c r="K5" s="13">
        <f t="shared" ref="K5:K68" si="1">J5/I5</f>
        <v>133.33333333333334</v>
      </c>
      <c r="L5" s="167">
        <v>15</v>
      </c>
      <c r="M5" s="14">
        <f t="shared" ref="M5:M7" si="2">F5/V5*60</f>
        <v>1928.4507042253499</v>
      </c>
      <c r="N5" s="13">
        <f t="shared" ref="N5:N68" si="3">M5/L5</f>
        <v>128.56338028169</v>
      </c>
      <c r="O5" s="15">
        <f t="shared" ref="O5:O68" si="4">L5-I5</f>
        <v>0</v>
      </c>
      <c r="P5" s="16">
        <f t="shared" ref="P5:P68" si="5">N5-K5</f>
        <v>-4.7699530516433413</v>
      </c>
      <c r="Q5" s="163">
        <f t="shared" ref="Q5:Q68" si="6">N5/K5</f>
        <v>0.9642253521126749</v>
      </c>
      <c r="R5" s="619">
        <f>Q8</f>
        <v>0.9610973395931135</v>
      </c>
      <c r="S5" s="31">
        <v>0.70833333333333337</v>
      </c>
      <c r="T5" s="31">
        <v>0.75763888888888897</v>
      </c>
      <c r="U5" s="162"/>
      <c r="V5" s="168">
        <f t="shared" ref="V5:V7" si="7">(T5-S5)*24*60</f>
        <v>71.000000000000071</v>
      </c>
      <c r="W5" s="17"/>
      <c r="X5" s="17"/>
      <c r="Y5" s="18"/>
      <c r="Z5" s="18"/>
      <c r="AA5" s="610"/>
      <c r="AB5" s="610"/>
      <c r="AC5" s="19">
        <v>3</v>
      </c>
      <c r="AD5" s="19"/>
      <c r="AE5" s="15">
        <f t="shared" ref="AE5:AE54" si="8">M5-J5</f>
        <v>-71.549295774650091</v>
      </c>
      <c r="AF5" s="163">
        <f t="shared" ref="AF5:AF68" si="9">M5/J5</f>
        <v>0.9642253521126749</v>
      </c>
      <c r="AG5" s="619">
        <f>AF8</f>
        <v>0.96109733959311361</v>
      </c>
    </row>
    <row r="6" spans="1:33">
      <c r="A6" s="649" t="s">
        <v>562</v>
      </c>
      <c r="B6" s="33" t="s">
        <v>6</v>
      </c>
      <c r="C6" s="650" t="s">
        <v>8</v>
      </c>
      <c r="D6" s="650"/>
      <c r="E6" s="33">
        <v>50.98</v>
      </c>
      <c r="F6" s="170">
        <v>2386</v>
      </c>
      <c r="G6" s="173">
        <f t="shared" si="0"/>
        <v>121638.28</v>
      </c>
      <c r="H6" s="29" t="s">
        <v>5</v>
      </c>
      <c r="I6" s="167">
        <v>16</v>
      </c>
      <c r="J6" s="30">
        <v>2000</v>
      </c>
      <c r="K6" s="13">
        <f t="shared" si="1"/>
        <v>125</v>
      </c>
      <c r="L6" s="167">
        <v>16</v>
      </c>
      <c r="M6" s="14">
        <f t="shared" si="2"/>
        <v>1908.7999999999984</v>
      </c>
      <c r="N6" s="13">
        <f t="shared" si="3"/>
        <v>119.2999999999999</v>
      </c>
      <c r="O6" s="15">
        <f t="shared" si="4"/>
        <v>0</v>
      </c>
      <c r="P6" s="16">
        <f t="shared" si="5"/>
        <v>-5.7000000000001023</v>
      </c>
      <c r="Q6" s="163">
        <f t="shared" si="6"/>
        <v>0.95439999999999914</v>
      </c>
      <c r="R6" s="619"/>
      <c r="S6" s="31">
        <v>0.76111111111111118</v>
      </c>
      <c r="T6" s="31">
        <v>0.81319444444444455</v>
      </c>
      <c r="U6" s="162">
        <f t="shared" ref="U6:U7" si="10">IF(S6=TIME(17,0,0),"",(S6-T5)*24*60)</f>
        <v>4.9999999999999822</v>
      </c>
      <c r="V6" s="168">
        <f t="shared" si="7"/>
        <v>75.000000000000057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-91.200000000001637</v>
      </c>
      <c r="AF6" s="163">
        <f t="shared" si="9"/>
        <v>0.95439999999999914</v>
      </c>
      <c r="AG6" s="619"/>
    </row>
    <row r="7" spans="1:33">
      <c r="A7" s="649" t="s">
        <v>562</v>
      </c>
      <c r="B7" s="33" t="s">
        <v>6</v>
      </c>
      <c r="C7" s="641" t="s">
        <v>9</v>
      </c>
      <c r="D7" s="642"/>
      <c r="E7" s="33">
        <v>50.67</v>
      </c>
      <c r="F7" s="170">
        <v>1447</v>
      </c>
      <c r="G7" s="173">
        <f t="shared" si="0"/>
        <v>73319.490000000005</v>
      </c>
      <c r="H7" s="29" t="s">
        <v>5</v>
      </c>
      <c r="I7" s="167">
        <v>15</v>
      </c>
      <c r="J7" s="30">
        <v>2000</v>
      </c>
      <c r="K7" s="13">
        <f t="shared" si="1"/>
        <v>133.33333333333334</v>
      </c>
      <c r="L7" s="167">
        <v>15</v>
      </c>
      <c r="M7" s="14">
        <f t="shared" si="2"/>
        <v>1929.3333333333335</v>
      </c>
      <c r="N7" s="13">
        <f t="shared" si="3"/>
        <v>128.62222222222223</v>
      </c>
      <c r="O7" s="15">
        <f t="shared" si="4"/>
        <v>0</v>
      </c>
      <c r="P7" s="16">
        <f t="shared" si="5"/>
        <v>-4.7111111111111086</v>
      </c>
      <c r="Q7" s="163">
        <f t="shared" si="6"/>
        <v>0.96466666666666667</v>
      </c>
      <c r="R7" s="619"/>
      <c r="S7" s="31">
        <v>0.8173611111111112</v>
      </c>
      <c r="T7" s="31">
        <v>0.8486111111111112</v>
      </c>
      <c r="U7" s="162">
        <f t="shared" si="10"/>
        <v>5.9999999999999787</v>
      </c>
      <c r="V7" s="168">
        <f t="shared" si="7"/>
        <v>45</v>
      </c>
      <c r="W7" s="17"/>
      <c r="X7" s="17"/>
      <c r="Y7" s="20"/>
      <c r="Z7" s="20"/>
      <c r="AA7" s="614"/>
      <c r="AB7" s="615"/>
      <c r="AC7" s="21"/>
      <c r="AD7" s="21"/>
      <c r="AE7" s="15">
        <f t="shared" si="8"/>
        <v>-70.666666666666515</v>
      </c>
      <c r="AF7" s="163">
        <f t="shared" si="9"/>
        <v>0.96466666666666678</v>
      </c>
      <c r="AG7" s="619"/>
    </row>
    <row r="8" spans="1:33">
      <c r="A8" s="649" t="s">
        <v>177</v>
      </c>
      <c r="B8" s="33" t="s">
        <v>80</v>
      </c>
      <c r="C8" s="620"/>
      <c r="D8" s="620"/>
      <c r="E8" s="164"/>
      <c r="F8" s="34"/>
      <c r="G8" s="34"/>
      <c r="H8" s="170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1922.1946791862272</v>
      </c>
      <c r="N8" s="13">
        <f t="shared" si="3"/>
        <v>125.3605225556235</v>
      </c>
      <c r="O8" s="15">
        <f t="shared" si="4"/>
        <v>0</v>
      </c>
      <c r="P8" s="16">
        <f t="shared" si="5"/>
        <v>-5.0742600530721518</v>
      </c>
      <c r="Q8" s="163">
        <f t="shared" si="6"/>
        <v>0.9610973395931135</v>
      </c>
      <c r="R8" s="619"/>
      <c r="S8" s="31"/>
      <c r="T8" s="31"/>
      <c r="U8" s="162"/>
      <c r="V8" s="168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-77.805320813772823</v>
      </c>
      <c r="AF8" s="163">
        <f t="shared" si="9"/>
        <v>0.96109733959311361</v>
      </c>
      <c r="AG8" s="619"/>
    </row>
    <row r="9" spans="1:33" ht="15.75" customHeight="1">
      <c r="A9" s="645" t="s">
        <v>563</v>
      </c>
      <c r="B9" s="33" t="s">
        <v>10</v>
      </c>
      <c r="C9" s="641" t="s">
        <v>14</v>
      </c>
      <c r="D9" s="642"/>
      <c r="E9" s="33">
        <v>39.619999999999997</v>
      </c>
      <c r="F9" s="170">
        <v>3815</v>
      </c>
      <c r="G9" s="173">
        <f t="shared" si="0"/>
        <v>151150.29999999999</v>
      </c>
      <c r="H9" s="29" t="s">
        <v>5</v>
      </c>
      <c r="I9" s="167">
        <v>19</v>
      </c>
      <c r="J9" s="30">
        <v>1500</v>
      </c>
      <c r="K9" s="13">
        <f t="shared" si="1"/>
        <v>78.94736842105263</v>
      </c>
      <c r="L9" s="167">
        <v>19</v>
      </c>
      <c r="M9" s="14">
        <f t="shared" ref="M9:M11" si="11">F9/V9*60</f>
        <v>1430.6250000000002</v>
      </c>
      <c r="N9" s="13">
        <f t="shared" si="3"/>
        <v>75.296052631578959</v>
      </c>
      <c r="O9" s="15">
        <f t="shared" si="4"/>
        <v>0</v>
      </c>
      <c r="P9" s="16">
        <f t="shared" si="5"/>
        <v>-3.6513157894736707</v>
      </c>
      <c r="Q9" s="163">
        <f t="shared" si="6"/>
        <v>0.95375000000000021</v>
      </c>
      <c r="R9" s="619">
        <f>Q12</f>
        <v>0.95344289907743929</v>
      </c>
      <c r="S9" s="31">
        <v>8.3333333333333329E-2</v>
      </c>
      <c r="T9" s="31">
        <v>0.19444444444444442</v>
      </c>
      <c r="U9" s="162"/>
      <c r="V9" s="168">
        <f t="shared" ref="V9:V11" si="12">(T9-S9)*24*60</f>
        <v>159.99999999999997</v>
      </c>
      <c r="W9" s="17">
        <f>T9</f>
        <v>0.19444444444444442</v>
      </c>
      <c r="X9" s="17">
        <f>S10</f>
        <v>0.21458333333333332</v>
      </c>
      <c r="Y9" s="17"/>
      <c r="Z9" s="17"/>
      <c r="AA9" s="610"/>
      <c r="AB9" s="610"/>
      <c r="AC9" s="19">
        <v>3</v>
      </c>
      <c r="AD9" s="19"/>
      <c r="AE9" s="15">
        <f t="shared" si="8"/>
        <v>-69.374999999999773</v>
      </c>
      <c r="AF9" s="163">
        <f t="shared" si="9"/>
        <v>0.9537500000000001</v>
      </c>
      <c r="AG9" s="619">
        <f>AF12</f>
        <v>0.9534428990774394</v>
      </c>
    </row>
    <row r="10" spans="1:33" ht="15.75" customHeight="1">
      <c r="A10" s="645" t="s">
        <v>81</v>
      </c>
      <c r="B10" s="33" t="s">
        <v>10</v>
      </c>
      <c r="C10" s="641" t="s">
        <v>11</v>
      </c>
      <c r="D10" s="642"/>
      <c r="E10" s="33">
        <v>39.799999999999997</v>
      </c>
      <c r="F10" s="170">
        <v>5828</v>
      </c>
      <c r="G10" s="173">
        <f t="shared" si="0"/>
        <v>231954.4</v>
      </c>
      <c r="H10" s="29" t="s">
        <v>5</v>
      </c>
      <c r="I10" s="167">
        <v>17</v>
      </c>
      <c r="J10" s="30">
        <v>1500</v>
      </c>
      <c r="K10" s="13">
        <f t="shared" si="1"/>
        <v>88.235294117647058</v>
      </c>
      <c r="L10" s="167">
        <v>17</v>
      </c>
      <c r="M10" s="14">
        <f t="shared" si="11"/>
        <v>1427.2653061224491</v>
      </c>
      <c r="N10" s="13">
        <f t="shared" si="3"/>
        <v>83.956782713085246</v>
      </c>
      <c r="O10" s="15">
        <f t="shared" si="4"/>
        <v>0</v>
      </c>
      <c r="P10" s="16">
        <f t="shared" si="5"/>
        <v>-4.2785114045618116</v>
      </c>
      <c r="Q10" s="163">
        <f t="shared" si="6"/>
        <v>0.95151020408163278</v>
      </c>
      <c r="R10" s="619"/>
      <c r="S10" s="31">
        <v>0.21458333333333332</v>
      </c>
      <c r="T10" s="31">
        <v>0.38472222222222219</v>
      </c>
      <c r="U10" s="162">
        <f t="shared" ref="U10:U11" si="13">IF(S10=TIME(17,0,0),"",(S10-T9)*24*60)</f>
        <v>29.000000000000018</v>
      </c>
      <c r="V10" s="168">
        <f t="shared" si="12"/>
        <v>244.99999999999997</v>
      </c>
      <c r="W10" s="17"/>
      <c r="X10" s="17"/>
      <c r="Y10" s="17"/>
      <c r="Z10" s="17"/>
      <c r="AA10" s="610"/>
      <c r="AB10" s="610"/>
      <c r="AC10" s="19"/>
      <c r="AD10" s="19"/>
      <c r="AE10" s="15">
        <f t="shared" si="8"/>
        <v>-72.734693877550853</v>
      </c>
      <c r="AF10" s="163">
        <f t="shared" si="9"/>
        <v>0.95151020408163278</v>
      </c>
      <c r="AG10" s="619"/>
    </row>
    <row r="11" spans="1:33" ht="15.75" customHeight="1">
      <c r="A11" s="645" t="s">
        <v>81</v>
      </c>
      <c r="B11" s="33" t="s">
        <v>10</v>
      </c>
      <c r="C11" s="641" t="s">
        <v>13</v>
      </c>
      <c r="D11" s="642"/>
      <c r="E11" s="33">
        <v>39.520000000000003</v>
      </c>
      <c r="F11" s="170">
        <v>1743</v>
      </c>
      <c r="G11" s="173">
        <f t="shared" si="0"/>
        <v>68883.360000000001</v>
      </c>
      <c r="H11" s="29" t="s">
        <v>5</v>
      </c>
      <c r="I11" s="167">
        <v>19</v>
      </c>
      <c r="J11" s="30">
        <v>1500</v>
      </c>
      <c r="K11" s="13">
        <f t="shared" si="1"/>
        <v>78.94736842105263</v>
      </c>
      <c r="L11" s="167">
        <v>19</v>
      </c>
      <c r="M11" s="14">
        <f t="shared" si="11"/>
        <v>1432.6027397260277</v>
      </c>
      <c r="N11" s="13">
        <f t="shared" si="3"/>
        <v>75.400144196106723</v>
      </c>
      <c r="O11" s="15">
        <f t="shared" si="4"/>
        <v>0</v>
      </c>
      <c r="P11" s="16">
        <f t="shared" si="5"/>
        <v>-3.5472242249459072</v>
      </c>
      <c r="Q11" s="163">
        <f t="shared" si="6"/>
        <v>0.9550684931506852</v>
      </c>
      <c r="R11" s="619"/>
      <c r="S11" s="31">
        <v>0.38888888888888884</v>
      </c>
      <c r="T11" s="31">
        <v>0.43958333333333327</v>
      </c>
      <c r="U11" s="162">
        <f t="shared" si="13"/>
        <v>5.9999999999999787</v>
      </c>
      <c r="V11" s="168">
        <f t="shared" si="12"/>
        <v>72.999999999999986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-67.397260273972279</v>
      </c>
      <c r="AF11" s="163">
        <f t="shared" si="9"/>
        <v>0.95506849315068509</v>
      </c>
      <c r="AG11" s="619"/>
    </row>
    <row r="12" spans="1:33" ht="16.5" customHeight="1">
      <c r="A12" s="645" t="s">
        <v>81</v>
      </c>
      <c r="B12" s="33" t="s">
        <v>564</v>
      </c>
      <c r="C12" s="620"/>
      <c r="D12" s="620"/>
      <c r="E12" s="164"/>
      <c r="F12" s="30"/>
      <c r="G12" s="30"/>
      <c r="H12" s="170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1430.164348616159</v>
      </c>
      <c r="N12" s="13">
        <f t="shared" si="3"/>
        <v>78.008964469972312</v>
      </c>
      <c r="O12" s="15">
        <f t="shared" si="4"/>
        <v>0</v>
      </c>
      <c r="P12" s="16">
        <f t="shared" si="5"/>
        <v>-3.8092173482095149</v>
      </c>
      <c r="Q12" s="163">
        <f t="shared" si="6"/>
        <v>0.95344289907743929</v>
      </c>
      <c r="R12" s="619"/>
      <c r="S12" s="31"/>
      <c r="T12" s="31"/>
      <c r="U12" s="13"/>
      <c r="V12" s="168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-69.835651383840968</v>
      </c>
      <c r="AF12" s="163">
        <f t="shared" si="9"/>
        <v>0.9534428990774394</v>
      </c>
      <c r="AG12" s="619"/>
    </row>
    <row r="13" spans="1:33" ht="16.5" customHeight="1">
      <c r="A13" s="643" t="s">
        <v>185</v>
      </c>
      <c r="B13" s="170" t="s">
        <v>15</v>
      </c>
      <c r="C13" s="635" t="s">
        <v>16</v>
      </c>
      <c r="D13" s="635"/>
      <c r="E13" s="33">
        <v>31.11</v>
      </c>
      <c r="F13" s="170">
        <v>2464</v>
      </c>
      <c r="G13" s="173">
        <f t="shared" si="0"/>
        <v>76655.039999999994</v>
      </c>
      <c r="H13" s="29" t="s">
        <v>5</v>
      </c>
      <c r="I13" s="167">
        <v>14</v>
      </c>
      <c r="J13" s="30">
        <v>2000</v>
      </c>
      <c r="K13" s="13">
        <f t="shared" si="1"/>
        <v>142.85714285714286</v>
      </c>
      <c r="L13" s="167">
        <v>14</v>
      </c>
      <c r="M13" s="14">
        <f t="shared" ref="M13:M19" si="14">F13/V13*60</f>
        <v>1920</v>
      </c>
      <c r="N13" s="13">
        <f t="shared" si="3"/>
        <v>137.14285714285714</v>
      </c>
      <c r="O13" s="15">
        <f t="shared" si="4"/>
        <v>0</v>
      </c>
      <c r="P13" s="16">
        <f t="shared" si="5"/>
        <v>-5.7142857142857224</v>
      </c>
      <c r="Q13" s="163">
        <f t="shared" si="6"/>
        <v>0.96</v>
      </c>
      <c r="R13" s="619">
        <f>Q20</f>
        <v>0.96045911467121359</v>
      </c>
      <c r="S13" s="31">
        <v>0.20833333333333334</v>
      </c>
      <c r="T13" s="31">
        <v>0.26180555555555557</v>
      </c>
      <c r="U13" s="162"/>
      <c r="V13" s="168">
        <f t="shared" ref="V13:V19" si="15">(T13-S13)*24*60</f>
        <v>77</v>
      </c>
      <c r="W13" s="17"/>
      <c r="X13" s="17"/>
      <c r="Y13" s="22"/>
      <c r="Z13" s="22"/>
      <c r="AA13" s="610"/>
      <c r="AB13" s="610"/>
      <c r="AC13" s="19">
        <v>7</v>
      </c>
      <c r="AD13" s="19"/>
      <c r="AE13" s="15">
        <f t="shared" si="8"/>
        <v>-80</v>
      </c>
      <c r="AF13" s="163">
        <f t="shared" si="9"/>
        <v>0.96</v>
      </c>
      <c r="AG13" s="619">
        <f>AF20</f>
        <v>0.96045911467121359</v>
      </c>
    </row>
    <row r="14" spans="1:33" ht="16.5" customHeight="1">
      <c r="A14" s="644" t="s">
        <v>565</v>
      </c>
      <c r="B14" s="170" t="s">
        <v>17</v>
      </c>
      <c r="C14" s="635" t="s">
        <v>18</v>
      </c>
      <c r="D14" s="635"/>
      <c r="E14" s="33">
        <v>41</v>
      </c>
      <c r="F14" s="170">
        <v>1465</v>
      </c>
      <c r="G14" s="173">
        <f t="shared" si="0"/>
        <v>60065</v>
      </c>
      <c r="H14" s="29" t="s">
        <v>5</v>
      </c>
      <c r="I14" s="167">
        <v>26</v>
      </c>
      <c r="J14" s="30">
        <v>1500</v>
      </c>
      <c r="K14" s="13">
        <f t="shared" si="1"/>
        <v>57.692307692307693</v>
      </c>
      <c r="L14" s="167">
        <v>26</v>
      </c>
      <c r="M14" s="14">
        <f t="shared" si="14"/>
        <v>1440.9836065573766</v>
      </c>
      <c r="N14" s="13">
        <f t="shared" si="3"/>
        <v>55.422446406052941</v>
      </c>
      <c r="O14" s="15">
        <f t="shared" si="4"/>
        <v>0</v>
      </c>
      <c r="P14" s="16">
        <f t="shared" si="5"/>
        <v>-2.269861286254752</v>
      </c>
      <c r="Q14" s="163">
        <f t="shared" si="6"/>
        <v>0.96065573770491763</v>
      </c>
      <c r="R14" s="619"/>
      <c r="S14" s="31">
        <v>0.26597222222222222</v>
      </c>
      <c r="T14" s="31">
        <v>0.30833333333333335</v>
      </c>
      <c r="U14" s="162">
        <f t="shared" ref="U14:U19" si="16">IF(S14=TIME(17,0,0),"",(S14-T13)*24*60)</f>
        <v>5.9999999999999787</v>
      </c>
      <c r="V14" s="168">
        <f t="shared" si="15"/>
        <v>61.000000000000021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-59.016393442623439</v>
      </c>
      <c r="AF14" s="163">
        <f t="shared" si="9"/>
        <v>0.96065573770491774</v>
      </c>
      <c r="AG14" s="619"/>
    </row>
    <row r="15" spans="1:33" ht="16.5" customHeight="1">
      <c r="A15" s="644" t="s">
        <v>185</v>
      </c>
      <c r="B15" s="170" t="s">
        <v>15</v>
      </c>
      <c r="C15" s="635" t="s">
        <v>76</v>
      </c>
      <c r="D15" s="635"/>
      <c r="E15" s="33">
        <v>68.88</v>
      </c>
      <c r="F15" s="170">
        <v>1550</v>
      </c>
      <c r="G15" s="173">
        <f t="shared" si="0"/>
        <v>106764</v>
      </c>
      <c r="H15" s="29" t="s">
        <v>5</v>
      </c>
      <c r="I15" s="167">
        <v>16</v>
      </c>
      <c r="J15" s="30">
        <v>2000</v>
      </c>
      <c r="K15" s="13">
        <f t="shared" si="1"/>
        <v>125</v>
      </c>
      <c r="L15" s="167">
        <v>16</v>
      </c>
      <c r="M15" s="14">
        <f t="shared" si="14"/>
        <v>1937.5000000000007</v>
      </c>
      <c r="N15" s="13">
        <f t="shared" si="3"/>
        <v>121.09375000000004</v>
      </c>
      <c r="O15" s="15">
        <f t="shared" si="4"/>
        <v>0</v>
      </c>
      <c r="P15" s="16">
        <f t="shared" si="5"/>
        <v>-3.9062499999999574</v>
      </c>
      <c r="Q15" s="163">
        <f t="shared" si="6"/>
        <v>0.96875000000000033</v>
      </c>
      <c r="R15" s="619"/>
      <c r="S15" s="31">
        <v>0.31319444444444444</v>
      </c>
      <c r="T15" s="31">
        <v>0.34652777777777777</v>
      </c>
      <c r="U15" s="162">
        <f t="shared" si="16"/>
        <v>6.9999999999999751</v>
      </c>
      <c r="V15" s="168">
        <f t="shared" si="15"/>
        <v>47.999999999999986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-62.499999999999318</v>
      </c>
      <c r="AF15" s="163">
        <f t="shared" si="9"/>
        <v>0.96875000000000033</v>
      </c>
      <c r="AG15" s="619"/>
    </row>
    <row r="16" spans="1:33" ht="16.5" customHeight="1">
      <c r="A16" s="644" t="s">
        <v>185</v>
      </c>
      <c r="B16" s="170" t="s">
        <v>10</v>
      </c>
      <c r="C16" s="635" t="s">
        <v>12</v>
      </c>
      <c r="D16" s="635"/>
      <c r="E16" s="33">
        <v>39.46</v>
      </c>
      <c r="F16" s="170">
        <v>1705</v>
      </c>
      <c r="G16" s="173">
        <f t="shared" si="0"/>
        <v>67279.3</v>
      </c>
      <c r="H16" s="29" t="s">
        <v>5</v>
      </c>
      <c r="I16" s="167">
        <v>15</v>
      </c>
      <c r="J16" s="30">
        <v>1500</v>
      </c>
      <c r="K16" s="13">
        <f t="shared" si="1"/>
        <v>100</v>
      </c>
      <c r="L16" s="167">
        <v>15</v>
      </c>
      <c r="M16" s="14">
        <f t="shared" si="14"/>
        <v>1440.8450704225356</v>
      </c>
      <c r="N16" s="13">
        <f t="shared" si="3"/>
        <v>96.056338028169037</v>
      </c>
      <c r="O16" s="15">
        <f t="shared" si="4"/>
        <v>0</v>
      </c>
      <c r="P16" s="16">
        <f t="shared" si="5"/>
        <v>-3.9436619718309629</v>
      </c>
      <c r="Q16" s="163">
        <f t="shared" si="6"/>
        <v>0.96056338028169042</v>
      </c>
      <c r="R16" s="619"/>
      <c r="S16" s="31">
        <v>0.35138888888888886</v>
      </c>
      <c r="T16" s="31">
        <v>0.40069444444444441</v>
      </c>
      <c r="U16" s="162">
        <f t="shared" si="16"/>
        <v>6.9999999999999751</v>
      </c>
      <c r="V16" s="168">
        <f t="shared" si="15"/>
        <v>70.999999999999986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-59.154929577464372</v>
      </c>
      <c r="AF16" s="163">
        <f t="shared" si="9"/>
        <v>0.96056338028169042</v>
      </c>
      <c r="AG16" s="619"/>
    </row>
    <row r="17" spans="1:33" ht="16.5" customHeight="1">
      <c r="A17" s="644" t="s">
        <v>185</v>
      </c>
      <c r="B17" s="170" t="s">
        <v>6</v>
      </c>
      <c r="C17" s="635" t="s">
        <v>20</v>
      </c>
      <c r="D17" s="635"/>
      <c r="E17" s="33">
        <v>54.5</v>
      </c>
      <c r="F17" s="170">
        <v>1084</v>
      </c>
      <c r="G17" s="173">
        <f t="shared" si="0"/>
        <v>59078</v>
      </c>
      <c r="H17" s="29" t="s">
        <v>5</v>
      </c>
      <c r="I17" s="167">
        <v>19</v>
      </c>
      <c r="J17" s="30">
        <v>1500</v>
      </c>
      <c r="K17" s="13">
        <f t="shared" si="1"/>
        <v>78.94736842105263</v>
      </c>
      <c r="L17" s="167">
        <v>19</v>
      </c>
      <c r="M17" s="14">
        <f t="shared" si="14"/>
        <v>1445.3333333333333</v>
      </c>
      <c r="N17" s="13">
        <f t="shared" si="3"/>
        <v>76.070175438596493</v>
      </c>
      <c r="O17" s="15">
        <f t="shared" si="4"/>
        <v>0</v>
      </c>
      <c r="P17" s="16">
        <f t="shared" si="5"/>
        <v>-2.8771929824561369</v>
      </c>
      <c r="Q17" s="163">
        <f t="shared" si="6"/>
        <v>0.96355555555555561</v>
      </c>
      <c r="R17" s="619"/>
      <c r="S17" s="31">
        <v>0.70833333333333337</v>
      </c>
      <c r="T17" s="31">
        <v>0.73958333333333337</v>
      </c>
      <c r="U17" s="162" t="str">
        <f t="shared" si="16"/>
        <v/>
      </c>
      <c r="V17" s="168">
        <f t="shared" si="15"/>
        <v>45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-54.666666666666742</v>
      </c>
      <c r="AF17" s="163">
        <f t="shared" si="9"/>
        <v>0.9635555555555555</v>
      </c>
      <c r="AG17" s="619"/>
    </row>
    <row r="18" spans="1:33" ht="16.5" customHeight="1">
      <c r="A18" s="644" t="s">
        <v>566</v>
      </c>
      <c r="B18" s="170" t="s">
        <v>6</v>
      </c>
      <c r="C18" s="165" t="s">
        <v>19</v>
      </c>
      <c r="D18" s="166"/>
      <c r="E18" s="33">
        <v>50.67</v>
      </c>
      <c r="F18" s="170">
        <v>1658</v>
      </c>
      <c r="G18" s="173">
        <f t="shared" si="0"/>
        <v>84010.86</v>
      </c>
      <c r="H18" s="29" t="s">
        <v>5</v>
      </c>
      <c r="I18" s="167">
        <v>17</v>
      </c>
      <c r="J18" s="30">
        <v>2000</v>
      </c>
      <c r="K18" s="13">
        <f t="shared" si="1"/>
        <v>117.64705882352941</v>
      </c>
      <c r="L18" s="167">
        <v>17</v>
      </c>
      <c r="M18" s="14">
        <f t="shared" si="14"/>
        <v>1913.076923076924</v>
      </c>
      <c r="N18" s="13">
        <f t="shared" si="3"/>
        <v>112.53393665158376</v>
      </c>
      <c r="O18" s="15">
        <f t="shared" si="4"/>
        <v>0</v>
      </c>
      <c r="P18" s="16">
        <f t="shared" si="5"/>
        <v>-5.1131221719456477</v>
      </c>
      <c r="Q18" s="163">
        <f t="shared" si="6"/>
        <v>0.956538461538462</v>
      </c>
      <c r="R18" s="619"/>
      <c r="S18" s="31">
        <v>0.74305555555555558</v>
      </c>
      <c r="T18" s="31">
        <v>0.77916666666666667</v>
      </c>
      <c r="U18" s="162">
        <f t="shared" si="16"/>
        <v>4.9999999999999822</v>
      </c>
      <c r="V18" s="168">
        <f t="shared" si="15"/>
        <v>51.999999999999972</v>
      </c>
      <c r="W18" s="17"/>
      <c r="X18" s="17"/>
      <c r="Y18" s="20"/>
      <c r="Z18" s="20"/>
      <c r="AA18" s="158"/>
      <c r="AB18" s="159"/>
      <c r="AC18" s="19"/>
      <c r="AD18" s="19"/>
      <c r="AE18" s="15">
        <f t="shared" si="8"/>
        <v>-86.923076923075996</v>
      </c>
      <c r="AF18" s="163">
        <f t="shared" si="9"/>
        <v>0.956538461538462</v>
      </c>
      <c r="AG18" s="619"/>
    </row>
    <row r="19" spans="1:33" ht="16.5" customHeight="1">
      <c r="A19" s="644" t="s">
        <v>567</v>
      </c>
      <c r="B19" s="170" t="s">
        <v>6</v>
      </c>
      <c r="C19" s="165" t="s">
        <v>45</v>
      </c>
      <c r="D19" s="166"/>
      <c r="E19" s="33">
        <v>51.06</v>
      </c>
      <c r="F19" s="170">
        <v>3021</v>
      </c>
      <c r="G19" s="173">
        <f t="shared" si="0"/>
        <v>154252.26</v>
      </c>
      <c r="H19" s="29" t="s">
        <v>5</v>
      </c>
      <c r="I19" s="167">
        <v>13</v>
      </c>
      <c r="J19" s="30">
        <v>2000</v>
      </c>
      <c r="K19" s="13">
        <f t="shared" si="1"/>
        <v>153.84615384615384</v>
      </c>
      <c r="L19" s="167">
        <v>13</v>
      </c>
      <c r="M19" s="14">
        <f t="shared" si="14"/>
        <v>1908.0000000000002</v>
      </c>
      <c r="N19" s="13">
        <f t="shared" si="3"/>
        <v>146.76923076923077</v>
      </c>
      <c r="O19" s="15">
        <f t="shared" si="4"/>
        <v>0</v>
      </c>
      <c r="P19" s="16">
        <f t="shared" si="5"/>
        <v>-7.076923076923066</v>
      </c>
      <c r="Q19" s="163">
        <f t="shared" si="6"/>
        <v>0.95400000000000007</v>
      </c>
      <c r="R19" s="619"/>
      <c r="S19" s="31">
        <v>0.78263888888888888</v>
      </c>
      <c r="T19" s="31">
        <v>0.84861111111111109</v>
      </c>
      <c r="U19" s="162">
        <f t="shared" si="16"/>
        <v>4.9999999999999822</v>
      </c>
      <c r="V19" s="168">
        <f t="shared" si="15"/>
        <v>94.999999999999986</v>
      </c>
      <c r="W19" s="17"/>
      <c r="X19" s="17"/>
      <c r="Y19" s="20"/>
      <c r="Z19" s="20"/>
      <c r="AA19" s="158"/>
      <c r="AB19" s="159"/>
      <c r="AC19" s="19"/>
      <c r="AD19" s="19"/>
      <c r="AE19" s="15">
        <f t="shared" si="8"/>
        <v>-91.999999999999773</v>
      </c>
      <c r="AF19" s="163">
        <f t="shared" si="9"/>
        <v>0.95400000000000007</v>
      </c>
      <c r="AG19" s="619"/>
    </row>
    <row r="20" spans="1:33" ht="16.5" customHeight="1">
      <c r="A20" s="644" t="s">
        <v>565</v>
      </c>
      <c r="B20" s="33" t="s">
        <v>564</v>
      </c>
      <c r="C20" s="620"/>
      <c r="D20" s="620"/>
      <c r="E20" s="164"/>
      <c r="F20" s="34"/>
      <c r="G20" s="34"/>
      <c r="H20" s="170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1715.1055619128815</v>
      </c>
      <c r="N20" s="13">
        <f t="shared" si="3"/>
        <v>100.04782444491809</v>
      </c>
      <c r="O20" s="15">
        <f t="shared" si="4"/>
        <v>0</v>
      </c>
      <c r="P20" s="16">
        <f t="shared" si="5"/>
        <v>-4.1188422217485794</v>
      </c>
      <c r="Q20" s="163">
        <f t="shared" si="6"/>
        <v>0.96045911467121359</v>
      </c>
      <c r="R20" s="619"/>
      <c r="S20" s="31"/>
      <c r="T20" s="31"/>
      <c r="U20" s="162"/>
      <c r="V20" s="168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-70.608723801404267</v>
      </c>
      <c r="AF20" s="163">
        <f t="shared" si="9"/>
        <v>0.96045911467121359</v>
      </c>
      <c r="AG20" s="619"/>
    </row>
    <row r="21" spans="1:33" ht="15.75" customHeight="1">
      <c r="A21" s="637" t="s">
        <v>189</v>
      </c>
      <c r="B21" s="33" t="s">
        <v>6</v>
      </c>
      <c r="C21" s="635" t="s">
        <v>22</v>
      </c>
      <c r="D21" s="635"/>
      <c r="E21" s="33">
        <v>50.67</v>
      </c>
      <c r="F21" s="170">
        <v>1282</v>
      </c>
      <c r="G21" s="173">
        <f t="shared" si="0"/>
        <v>64958.94</v>
      </c>
      <c r="H21" s="29" t="s">
        <v>5</v>
      </c>
      <c r="I21" s="167">
        <v>17</v>
      </c>
      <c r="J21" s="30">
        <v>2000</v>
      </c>
      <c r="K21" s="13">
        <f t="shared" si="1"/>
        <v>117.64705882352941</v>
      </c>
      <c r="L21" s="167">
        <v>17</v>
      </c>
      <c r="M21" s="14">
        <f t="shared" ref="M21:M26" si="17">F21/V21*60</f>
        <v>1923.0000000000011</v>
      </c>
      <c r="N21" s="13">
        <f t="shared" si="3"/>
        <v>113.11764705882359</v>
      </c>
      <c r="O21" s="15">
        <f t="shared" si="4"/>
        <v>0</v>
      </c>
      <c r="P21" s="16">
        <f t="shared" si="5"/>
        <v>-4.529411764705813</v>
      </c>
      <c r="Q21" s="163">
        <f t="shared" si="6"/>
        <v>0.96150000000000058</v>
      </c>
      <c r="R21" s="619">
        <f>Q27</f>
        <v>0.96116800703554817</v>
      </c>
      <c r="S21" s="31">
        <v>0.20833333333333334</v>
      </c>
      <c r="T21" s="31">
        <v>0.2361111111111111</v>
      </c>
      <c r="U21" s="162"/>
      <c r="V21" s="168">
        <f t="shared" ref="V21:V26" si="18">(T21-S21)*24*60</f>
        <v>39.999999999999979</v>
      </c>
      <c r="W21" s="17"/>
      <c r="X21" s="17"/>
      <c r="Y21" s="22"/>
      <c r="Z21" s="22"/>
      <c r="AA21" s="610"/>
      <c r="AB21" s="610"/>
      <c r="AC21" s="19">
        <v>6</v>
      </c>
      <c r="AD21" s="19"/>
      <c r="AE21" s="15">
        <f t="shared" si="8"/>
        <v>-76.999999999998863</v>
      </c>
      <c r="AF21" s="163">
        <f t="shared" si="9"/>
        <v>0.96150000000000058</v>
      </c>
      <c r="AG21" s="619">
        <f>AF27</f>
        <v>0.96116800703554817</v>
      </c>
    </row>
    <row r="22" spans="1:33" ht="15.75" customHeight="1">
      <c r="A22" s="638" t="s">
        <v>568</v>
      </c>
      <c r="B22" s="33" t="s">
        <v>6</v>
      </c>
      <c r="C22" s="635" t="s">
        <v>23</v>
      </c>
      <c r="D22" s="635"/>
      <c r="E22" s="33">
        <v>57.73</v>
      </c>
      <c r="F22" s="170">
        <v>2344</v>
      </c>
      <c r="G22" s="173">
        <f t="shared" si="0"/>
        <v>135319.12</v>
      </c>
      <c r="H22" s="29" t="s">
        <v>5</v>
      </c>
      <c r="I22" s="167">
        <v>14</v>
      </c>
      <c r="J22" s="30">
        <v>2000</v>
      </c>
      <c r="K22" s="13">
        <f t="shared" si="1"/>
        <v>142.85714285714286</v>
      </c>
      <c r="L22" s="167">
        <v>14</v>
      </c>
      <c r="M22" s="14">
        <f t="shared" si="17"/>
        <v>1926.5753424657532</v>
      </c>
      <c r="N22" s="13">
        <f t="shared" si="3"/>
        <v>137.61252446183951</v>
      </c>
      <c r="O22" s="15">
        <f t="shared" si="4"/>
        <v>0</v>
      </c>
      <c r="P22" s="16">
        <f t="shared" si="5"/>
        <v>-5.2446183953033483</v>
      </c>
      <c r="Q22" s="163">
        <f t="shared" si="6"/>
        <v>0.96328767123287651</v>
      </c>
      <c r="R22" s="619"/>
      <c r="S22" s="31">
        <v>0.24166666666666667</v>
      </c>
      <c r="T22" s="31">
        <v>0.29236111111111113</v>
      </c>
      <c r="U22" s="162">
        <f t="shared" ref="U22:U26" si="19">IF(S22=TIME(17,0,0),"",(S22-T21)*24*60)</f>
        <v>8.0000000000000107</v>
      </c>
      <c r="V22" s="168">
        <f t="shared" si="18"/>
        <v>73.000000000000014</v>
      </c>
      <c r="W22" s="17"/>
      <c r="X22" s="162"/>
      <c r="Y22" s="162"/>
      <c r="Z22" s="162"/>
      <c r="AA22" s="610"/>
      <c r="AB22" s="610"/>
      <c r="AC22" s="19"/>
      <c r="AD22" s="19"/>
      <c r="AE22" s="15">
        <f t="shared" si="8"/>
        <v>-73.424657534246762</v>
      </c>
      <c r="AF22" s="163">
        <f t="shared" si="9"/>
        <v>0.96328767123287662</v>
      </c>
      <c r="AG22" s="619"/>
    </row>
    <row r="23" spans="1:33" ht="15.75" customHeight="1">
      <c r="A23" s="638" t="s">
        <v>568</v>
      </c>
      <c r="B23" s="33" t="s">
        <v>6</v>
      </c>
      <c r="C23" s="635" t="s">
        <v>24</v>
      </c>
      <c r="D23" s="635"/>
      <c r="E23" s="33">
        <v>53.27</v>
      </c>
      <c r="F23" s="170">
        <v>1032</v>
      </c>
      <c r="G23" s="173">
        <f t="shared" si="0"/>
        <v>54974.640000000007</v>
      </c>
      <c r="H23" s="29" t="s">
        <v>5</v>
      </c>
      <c r="I23" s="167">
        <v>16</v>
      </c>
      <c r="J23" s="30">
        <v>2000</v>
      </c>
      <c r="K23" s="13">
        <f t="shared" si="1"/>
        <v>125</v>
      </c>
      <c r="L23" s="167">
        <v>16</v>
      </c>
      <c r="M23" s="14">
        <f t="shared" si="17"/>
        <v>1935.000000000002</v>
      </c>
      <c r="N23" s="13">
        <f t="shared" si="3"/>
        <v>120.93750000000013</v>
      </c>
      <c r="O23" s="15">
        <f t="shared" si="4"/>
        <v>0</v>
      </c>
      <c r="P23" s="16">
        <f t="shared" si="5"/>
        <v>-4.0624999999998721</v>
      </c>
      <c r="Q23" s="163">
        <f t="shared" si="6"/>
        <v>0.96750000000000103</v>
      </c>
      <c r="R23" s="619"/>
      <c r="S23" s="31">
        <v>0.29722222222222222</v>
      </c>
      <c r="T23" s="31">
        <v>0.31944444444444442</v>
      </c>
      <c r="U23" s="162">
        <f t="shared" si="19"/>
        <v>6.9999999999999751</v>
      </c>
      <c r="V23" s="168">
        <f t="shared" si="18"/>
        <v>31.999999999999964</v>
      </c>
      <c r="W23" s="17"/>
      <c r="X23" s="162"/>
      <c r="Y23" s="162"/>
      <c r="Z23" s="162"/>
      <c r="AA23" s="610"/>
      <c r="AB23" s="610"/>
      <c r="AC23" s="19"/>
      <c r="AD23" s="19"/>
      <c r="AE23" s="15">
        <f t="shared" si="8"/>
        <v>-64.999999999997954</v>
      </c>
      <c r="AF23" s="163">
        <f t="shared" si="9"/>
        <v>0.96750000000000103</v>
      </c>
      <c r="AG23" s="619"/>
    </row>
    <row r="24" spans="1:33" ht="15.75" customHeight="1">
      <c r="A24" s="638" t="s">
        <v>569</v>
      </c>
      <c r="B24" s="33" t="s">
        <v>6</v>
      </c>
      <c r="C24" s="635" t="s">
        <v>21</v>
      </c>
      <c r="D24" s="635"/>
      <c r="E24" s="33">
        <v>50.49</v>
      </c>
      <c r="F24" s="170">
        <v>1983</v>
      </c>
      <c r="G24" s="173">
        <f t="shared" si="0"/>
        <v>100121.67</v>
      </c>
      <c r="H24" s="29" t="s">
        <v>5</v>
      </c>
      <c r="I24" s="167">
        <v>15</v>
      </c>
      <c r="J24" s="30">
        <v>2000</v>
      </c>
      <c r="K24" s="13">
        <f t="shared" si="1"/>
        <v>133.33333333333334</v>
      </c>
      <c r="L24" s="167">
        <v>15</v>
      </c>
      <c r="M24" s="14">
        <f t="shared" si="17"/>
        <v>1919.0322580645179</v>
      </c>
      <c r="N24" s="13">
        <f t="shared" si="3"/>
        <v>127.93548387096786</v>
      </c>
      <c r="O24" s="15">
        <f t="shared" si="4"/>
        <v>0</v>
      </c>
      <c r="P24" s="16">
        <f t="shared" si="5"/>
        <v>-5.3978494623654854</v>
      </c>
      <c r="Q24" s="163">
        <f t="shared" si="6"/>
        <v>0.95951612903225891</v>
      </c>
      <c r="R24" s="619"/>
      <c r="S24" s="31">
        <v>0.70833333333333337</v>
      </c>
      <c r="T24" s="31">
        <v>0.75138888888888888</v>
      </c>
      <c r="U24" s="162" t="str">
        <f t="shared" si="19"/>
        <v/>
      </c>
      <c r="V24" s="168">
        <f t="shared" si="18"/>
        <v>61.999999999999943</v>
      </c>
      <c r="W24" s="17"/>
      <c r="X24" s="162"/>
      <c r="Y24" s="162"/>
      <c r="Z24" s="162"/>
      <c r="AA24" s="610"/>
      <c r="AB24" s="610"/>
      <c r="AC24" s="19"/>
      <c r="AD24" s="19"/>
      <c r="AE24" s="15">
        <f t="shared" si="8"/>
        <v>-80.967741935482081</v>
      </c>
      <c r="AF24" s="163">
        <f t="shared" si="9"/>
        <v>0.95951612903225891</v>
      </c>
      <c r="AG24" s="619"/>
    </row>
    <row r="25" spans="1:33" ht="15.75" customHeight="1">
      <c r="A25" s="638" t="s">
        <v>569</v>
      </c>
      <c r="B25" s="33" t="s">
        <v>6</v>
      </c>
      <c r="C25" s="635" t="s">
        <v>26</v>
      </c>
      <c r="D25" s="635"/>
      <c r="E25" s="33">
        <v>54.09</v>
      </c>
      <c r="F25" s="170">
        <v>2128</v>
      </c>
      <c r="G25" s="173">
        <f t="shared" si="0"/>
        <v>115103.52</v>
      </c>
      <c r="H25" s="29" t="s">
        <v>5</v>
      </c>
      <c r="I25" s="167">
        <v>18</v>
      </c>
      <c r="J25" s="30">
        <v>2000</v>
      </c>
      <c r="K25" s="13">
        <f t="shared" si="1"/>
        <v>111.11111111111111</v>
      </c>
      <c r="L25" s="167">
        <v>18</v>
      </c>
      <c r="M25" s="14">
        <f t="shared" si="17"/>
        <v>1905.6716417910425</v>
      </c>
      <c r="N25" s="13">
        <f t="shared" si="3"/>
        <v>105.87064676616903</v>
      </c>
      <c r="O25" s="15">
        <f t="shared" si="4"/>
        <v>0</v>
      </c>
      <c r="P25" s="16">
        <f t="shared" si="5"/>
        <v>-5.2404643449420831</v>
      </c>
      <c r="Q25" s="163">
        <f t="shared" si="6"/>
        <v>0.95283582089552121</v>
      </c>
      <c r="R25" s="619"/>
      <c r="S25" s="31">
        <v>0.75486111111111109</v>
      </c>
      <c r="T25" s="31">
        <v>0.80138888888888893</v>
      </c>
      <c r="U25" s="162">
        <f t="shared" si="19"/>
        <v>4.9999999999999822</v>
      </c>
      <c r="V25" s="168">
        <f t="shared" si="18"/>
        <v>67.000000000000085</v>
      </c>
      <c r="W25" s="17"/>
      <c r="X25" s="17"/>
      <c r="Y25" s="162"/>
      <c r="Z25" s="162"/>
      <c r="AA25" s="610"/>
      <c r="AB25" s="610"/>
      <c r="AC25" s="19"/>
      <c r="AD25" s="19"/>
      <c r="AE25" s="15">
        <f t="shared" si="8"/>
        <v>-94.328358208957525</v>
      </c>
      <c r="AF25" s="163">
        <f t="shared" si="9"/>
        <v>0.95283582089552121</v>
      </c>
      <c r="AG25" s="619"/>
    </row>
    <row r="26" spans="1:33" ht="15.75" customHeight="1">
      <c r="A26" s="638" t="s">
        <v>189</v>
      </c>
      <c r="B26" s="33" t="s">
        <v>6</v>
      </c>
      <c r="C26" s="635" t="s">
        <v>25</v>
      </c>
      <c r="D26" s="635"/>
      <c r="E26" s="33">
        <v>56.43</v>
      </c>
      <c r="F26" s="170">
        <v>1219</v>
      </c>
      <c r="G26" s="173">
        <f t="shared" si="0"/>
        <v>68788.17</v>
      </c>
      <c r="H26" s="29" t="s">
        <v>5</v>
      </c>
      <c r="I26" s="167">
        <v>13</v>
      </c>
      <c r="J26" s="30">
        <v>2000</v>
      </c>
      <c r="K26" s="13">
        <f t="shared" si="1"/>
        <v>153.84615384615384</v>
      </c>
      <c r="L26" s="167">
        <v>13</v>
      </c>
      <c r="M26" s="14">
        <f t="shared" si="17"/>
        <v>1924.7368421052615</v>
      </c>
      <c r="N26" s="13">
        <f t="shared" si="3"/>
        <v>148.05668016194321</v>
      </c>
      <c r="O26" s="15">
        <f t="shared" si="4"/>
        <v>0</v>
      </c>
      <c r="P26" s="16">
        <f t="shared" si="5"/>
        <v>-5.789473684210634</v>
      </c>
      <c r="Q26" s="163">
        <f t="shared" si="6"/>
        <v>0.96236842105263087</v>
      </c>
      <c r="R26" s="619"/>
      <c r="S26" s="31">
        <v>0.80555555555555558</v>
      </c>
      <c r="T26" s="31">
        <v>0.83194444444444449</v>
      </c>
      <c r="U26" s="162">
        <f t="shared" si="19"/>
        <v>5.9999999999999787</v>
      </c>
      <c r="V26" s="168">
        <f t="shared" si="18"/>
        <v>38.000000000000028</v>
      </c>
      <c r="W26" s="17"/>
      <c r="X26" s="22"/>
      <c r="Y26" s="22"/>
      <c r="Z26" s="22"/>
      <c r="AA26" s="610"/>
      <c r="AB26" s="610"/>
      <c r="AC26" s="19"/>
      <c r="AD26" s="19"/>
      <c r="AE26" s="15">
        <f t="shared" si="8"/>
        <v>-75.26315789473847</v>
      </c>
      <c r="AF26" s="163">
        <f t="shared" si="9"/>
        <v>0.96236842105263076</v>
      </c>
      <c r="AG26" s="619"/>
    </row>
    <row r="27" spans="1:33" ht="15.75" customHeight="1">
      <c r="A27" s="638" t="s">
        <v>189</v>
      </c>
      <c r="B27" s="33" t="s">
        <v>564</v>
      </c>
      <c r="C27" s="620"/>
      <c r="D27" s="620"/>
      <c r="E27" s="164"/>
      <c r="F27" s="170"/>
      <c r="G27" s="170"/>
      <c r="H27" s="170"/>
      <c r="I27" s="23">
        <v>15.5</v>
      </c>
      <c r="J27" s="30">
        <v>2000</v>
      </c>
      <c r="K27" s="13">
        <f t="shared" si="1"/>
        <v>129.03225806451613</v>
      </c>
      <c r="L27" s="23">
        <v>15.5</v>
      </c>
      <c r="M27" s="14">
        <f>AVERAGE(M21:M26)</f>
        <v>1922.3360140710963</v>
      </c>
      <c r="N27" s="13">
        <f t="shared" si="3"/>
        <v>124.02167832716751</v>
      </c>
      <c r="O27" s="15">
        <f t="shared" si="4"/>
        <v>0</v>
      </c>
      <c r="P27" s="16">
        <f t="shared" si="5"/>
        <v>-5.0105797373486212</v>
      </c>
      <c r="Q27" s="163">
        <f t="shared" si="6"/>
        <v>0.96116800703554817</v>
      </c>
      <c r="R27" s="619"/>
      <c r="S27" s="31"/>
      <c r="T27" s="31"/>
      <c r="U27" s="13"/>
      <c r="V27" s="168"/>
      <c r="W27" s="13"/>
      <c r="X27" s="13"/>
      <c r="Y27" s="24">
        <f>SUM(Y21:Y26)</f>
        <v>0</v>
      </c>
      <c r="Z27" s="24">
        <f>SUM(Z21:Z26)</f>
        <v>0</v>
      </c>
      <c r="AA27" s="609"/>
      <c r="AB27" s="609"/>
      <c r="AC27" s="24">
        <v>6</v>
      </c>
      <c r="AD27" s="24">
        <f>SUM(AD21:AD26)</f>
        <v>0</v>
      </c>
      <c r="AE27" s="15">
        <f t="shared" si="8"/>
        <v>-77.663985928903685</v>
      </c>
      <c r="AF27" s="163">
        <f t="shared" si="9"/>
        <v>0.96116800703554817</v>
      </c>
      <c r="AG27" s="619"/>
    </row>
    <row r="28" spans="1:33" ht="15.75" customHeight="1">
      <c r="A28" s="636" t="s">
        <v>192</v>
      </c>
      <c r="B28" s="33" t="s">
        <v>27</v>
      </c>
      <c r="C28" s="635" t="s">
        <v>28</v>
      </c>
      <c r="D28" s="635"/>
      <c r="E28" s="33">
        <v>31.29</v>
      </c>
      <c r="F28" s="170">
        <v>4400</v>
      </c>
      <c r="G28" s="173">
        <f t="shared" si="0"/>
        <v>137676</v>
      </c>
      <c r="H28" s="29">
        <v>2</v>
      </c>
      <c r="I28" s="167">
        <v>18</v>
      </c>
      <c r="J28" s="30">
        <v>2400</v>
      </c>
      <c r="K28" s="13">
        <f t="shared" si="1"/>
        <v>133.33333333333334</v>
      </c>
      <c r="L28" s="167">
        <v>18</v>
      </c>
      <c r="M28" s="14">
        <f t="shared" ref="M28:M32" si="20">F28/V28*60</f>
        <v>2295.652173913043</v>
      </c>
      <c r="N28" s="13">
        <f t="shared" si="3"/>
        <v>127.53623188405794</v>
      </c>
      <c r="O28" s="15">
        <f t="shared" si="4"/>
        <v>0</v>
      </c>
      <c r="P28" s="16">
        <f t="shared" si="5"/>
        <v>-5.7971014492754023</v>
      </c>
      <c r="Q28" s="163">
        <f t="shared" si="6"/>
        <v>0.95652173913043448</v>
      </c>
      <c r="R28" s="619">
        <f>Q33</f>
        <v>0.95488454705626946</v>
      </c>
      <c r="S28" s="31">
        <v>8.3333333333333329E-2</v>
      </c>
      <c r="T28" s="31">
        <v>0.16319444444444445</v>
      </c>
      <c r="U28" s="162"/>
      <c r="V28" s="168">
        <f t="shared" ref="V28:V32" si="21">(T28-S28)*24*60</f>
        <v>115.00000000000001</v>
      </c>
      <c r="W28" s="17">
        <f>T28</f>
        <v>0.16319444444444445</v>
      </c>
      <c r="X28" s="17">
        <f>S29</f>
        <v>0.18124999999999999</v>
      </c>
      <c r="Y28" s="17"/>
      <c r="Z28" s="17"/>
      <c r="AA28" s="610"/>
      <c r="AB28" s="610"/>
      <c r="AC28" s="19">
        <v>5</v>
      </c>
      <c r="AD28" s="19"/>
      <c r="AE28" s="15">
        <f t="shared" si="8"/>
        <v>-104.34782608695696</v>
      </c>
      <c r="AF28" s="163">
        <f t="shared" si="9"/>
        <v>0.95652173913043459</v>
      </c>
      <c r="AG28" s="619">
        <f>AF33</f>
        <v>0.95488454705626946</v>
      </c>
    </row>
    <row r="29" spans="1:33" ht="15.75" customHeight="1">
      <c r="A29" s="636" t="s">
        <v>192</v>
      </c>
      <c r="B29" s="33" t="s">
        <v>27</v>
      </c>
      <c r="C29" s="635" t="s">
        <v>29</v>
      </c>
      <c r="D29" s="635"/>
      <c r="E29" s="33">
        <v>26.37</v>
      </c>
      <c r="F29" s="170">
        <v>5313</v>
      </c>
      <c r="G29" s="173">
        <f t="shared" si="0"/>
        <v>140103.81</v>
      </c>
      <c r="H29" s="29" t="s">
        <v>5</v>
      </c>
      <c r="I29" s="167">
        <v>18</v>
      </c>
      <c r="J29" s="30">
        <v>2400</v>
      </c>
      <c r="K29" s="13">
        <f t="shared" si="1"/>
        <v>133.33333333333334</v>
      </c>
      <c r="L29" s="167">
        <v>18</v>
      </c>
      <c r="M29" s="14">
        <f t="shared" si="20"/>
        <v>2293.3812949640283</v>
      </c>
      <c r="N29" s="13">
        <f t="shared" si="3"/>
        <v>127.41007194244601</v>
      </c>
      <c r="O29" s="15">
        <f t="shared" si="4"/>
        <v>0</v>
      </c>
      <c r="P29" s="16">
        <f t="shared" si="5"/>
        <v>-5.9232613908873333</v>
      </c>
      <c r="Q29" s="163">
        <f t="shared" si="6"/>
        <v>0.95557553956834496</v>
      </c>
      <c r="R29" s="619"/>
      <c r="S29" s="31">
        <v>0.18124999999999999</v>
      </c>
      <c r="T29" s="31">
        <v>0.27777777777777779</v>
      </c>
      <c r="U29" s="162">
        <f t="shared" ref="U29:U32" si="22">(S29-T28)*24*60</f>
        <v>25.999999999999986</v>
      </c>
      <c r="V29" s="168">
        <f t="shared" si="21"/>
        <v>139.00000000000003</v>
      </c>
      <c r="W29" s="17"/>
      <c r="X29" s="17"/>
      <c r="Y29" s="17"/>
      <c r="Z29" s="17"/>
      <c r="AA29" s="610"/>
      <c r="AB29" s="610"/>
      <c r="AC29" s="19"/>
      <c r="AD29" s="19"/>
      <c r="AE29" s="15">
        <f t="shared" si="8"/>
        <v>-106.61870503597174</v>
      </c>
      <c r="AF29" s="163">
        <f t="shared" si="9"/>
        <v>0.95557553956834507</v>
      </c>
      <c r="AG29" s="619"/>
    </row>
    <row r="30" spans="1:33" ht="15.75" customHeight="1">
      <c r="A30" s="636" t="s">
        <v>570</v>
      </c>
      <c r="B30" s="33" t="s">
        <v>27</v>
      </c>
      <c r="C30" s="635" t="s">
        <v>34</v>
      </c>
      <c r="D30" s="635"/>
      <c r="E30" s="33">
        <v>24.43</v>
      </c>
      <c r="F30" s="170">
        <v>6226</v>
      </c>
      <c r="G30" s="173">
        <f t="shared" si="0"/>
        <v>152101.18</v>
      </c>
      <c r="H30" s="29" t="s">
        <v>5</v>
      </c>
      <c r="I30" s="167">
        <v>14</v>
      </c>
      <c r="J30" s="30">
        <v>2400</v>
      </c>
      <c r="K30" s="13">
        <f t="shared" si="1"/>
        <v>171.42857142857142</v>
      </c>
      <c r="L30" s="167">
        <v>14</v>
      </c>
      <c r="M30" s="14">
        <f t="shared" si="20"/>
        <v>2291.7791411042949</v>
      </c>
      <c r="N30" s="13">
        <f t="shared" si="3"/>
        <v>163.6985100788782</v>
      </c>
      <c r="O30" s="15">
        <f t="shared" si="4"/>
        <v>0</v>
      </c>
      <c r="P30" s="16">
        <f t="shared" si="5"/>
        <v>-7.7300613496932158</v>
      </c>
      <c r="Q30" s="163">
        <f t="shared" si="6"/>
        <v>0.95490797546012296</v>
      </c>
      <c r="R30" s="619"/>
      <c r="S30" s="31">
        <v>0.28194444444444444</v>
      </c>
      <c r="T30" s="31">
        <v>0.39513888888888887</v>
      </c>
      <c r="U30" s="162">
        <f t="shared" si="22"/>
        <v>5.9999999999999787</v>
      </c>
      <c r="V30" s="168">
        <f t="shared" si="21"/>
        <v>162.99999999999997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-108.22085889570508</v>
      </c>
      <c r="AF30" s="163">
        <f t="shared" si="9"/>
        <v>0.95490797546012285</v>
      </c>
      <c r="AG30" s="619"/>
    </row>
    <row r="31" spans="1:33" ht="15.75" customHeight="1">
      <c r="A31" s="636" t="s">
        <v>192</v>
      </c>
      <c r="B31" s="33" t="s">
        <v>27</v>
      </c>
      <c r="C31" s="635" t="s">
        <v>35</v>
      </c>
      <c r="D31" s="635"/>
      <c r="E31" s="33">
        <v>34.1</v>
      </c>
      <c r="F31" s="170">
        <v>3000</v>
      </c>
      <c r="G31" s="173">
        <f t="shared" si="0"/>
        <v>102300</v>
      </c>
      <c r="H31" s="29">
        <v>2</v>
      </c>
      <c r="I31" s="167">
        <v>17</v>
      </c>
      <c r="J31" s="30">
        <v>1600</v>
      </c>
      <c r="K31" s="13">
        <f t="shared" si="1"/>
        <v>94.117647058823536</v>
      </c>
      <c r="L31" s="167">
        <v>17</v>
      </c>
      <c r="M31" s="14">
        <f t="shared" si="20"/>
        <v>1525.4237288135596</v>
      </c>
      <c r="N31" s="13">
        <f t="shared" si="3"/>
        <v>89.730807577268209</v>
      </c>
      <c r="O31" s="15">
        <f t="shared" si="4"/>
        <v>0</v>
      </c>
      <c r="P31" s="16">
        <f t="shared" si="5"/>
        <v>-4.3868394815553273</v>
      </c>
      <c r="Q31" s="163">
        <f t="shared" si="6"/>
        <v>0.9533898305084747</v>
      </c>
      <c r="R31" s="619"/>
      <c r="S31" s="31">
        <v>0.39930555555555552</v>
      </c>
      <c r="T31" s="31">
        <v>0.48124999999999996</v>
      </c>
      <c r="U31" s="162">
        <f t="shared" si="22"/>
        <v>5.9999999999999787</v>
      </c>
      <c r="V31" s="168">
        <f t="shared" si="21"/>
        <v>117.99999999999999</v>
      </c>
      <c r="W31" s="17">
        <f>T31</f>
        <v>0.48124999999999996</v>
      </c>
      <c r="X31" s="17">
        <f>S32</f>
        <v>0.52083333333333326</v>
      </c>
      <c r="Y31" s="17"/>
      <c r="Z31" s="17"/>
      <c r="AA31" s="610"/>
      <c r="AB31" s="610"/>
      <c r="AC31" s="19"/>
      <c r="AD31" s="19"/>
      <c r="AE31" s="15">
        <f t="shared" si="8"/>
        <v>-74.576271186440408</v>
      </c>
      <c r="AF31" s="163">
        <f t="shared" si="9"/>
        <v>0.9533898305084747</v>
      </c>
      <c r="AG31" s="619"/>
    </row>
    <row r="32" spans="1:33" ht="15.75" customHeight="1">
      <c r="A32" s="636" t="s">
        <v>570</v>
      </c>
      <c r="B32" s="33" t="s">
        <v>27</v>
      </c>
      <c r="C32" s="635" t="s">
        <v>28</v>
      </c>
      <c r="D32" s="635"/>
      <c r="E32" s="33">
        <v>31.29</v>
      </c>
      <c r="F32" s="170">
        <v>3242</v>
      </c>
      <c r="G32" s="173">
        <f t="shared" si="0"/>
        <v>101442.18</v>
      </c>
      <c r="H32" s="29" t="s">
        <v>5</v>
      </c>
      <c r="I32" s="167">
        <v>18</v>
      </c>
      <c r="J32" s="30">
        <v>2400</v>
      </c>
      <c r="K32" s="13">
        <f t="shared" si="1"/>
        <v>133.33333333333334</v>
      </c>
      <c r="L32" s="167">
        <v>18</v>
      </c>
      <c r="M32" s="14">
        <f t="shared" si="20"/>
        <v>2288.4705882352937</v>
      </c>
      <c r="N32" s="13">
        <f t="shared" si="3"/>
        <v>127.13725490196076</v>
      </c>
      <c r="O32" s="15">
        <f t="shared" si="4"/>
        <v>0</v>
      </c>
      <c r="P32" s="16">
        <f t="shared" si="5"/>
        <v>-6.1960784313725839</v>
      </c>
      <c r="Q32" s="163">
        <f t="shared" si="6"/>
        <v>0.95352941176470563</v>
      </c>
      <c r="R32" s="619"/>
      <c r="S32" s="31">
        <v>0.52083333333333326</v>
      </c>
      <c r="T32" s="31">
        <v>0.57986111111111105</v>
      </c>
      <c r="U32" s="162">
        <f t="shared" si="22"/>
        <v>56.999999999999957</v>
      </c>
      <c r="V32" s="168">
        <f t="shared" si="21"/>
        <v>85.000000000000014</v>
      </c>
      <c r="W32" s="17"/>
      <c r="X32" s="17"/>
      <c r="Y32" s="17"/>
      <c r="Z32" s="17"/>
      <c r="AA32" s="610"/>
      <c r="AB32" s="610"/>
      <c r="AC32" s="19"/>
      <c r="AD32" s="19"/>
      <c r="AE32" s="15">
        <f t="shared" si="8"/>
        <v>-111.52941176470631</v>
      </c>
      <c r="AF32" s="163">
        <f t="shared" si="9"/>
        <v>0.95352941176470574</v>
      </c>
      <c r="AG32" s="619"/>
    </row>
    <row r="33" spans="1:33" ht="15.75" customHeight="1">
      <c r="A33" s="636" t="s">
        <v>571</v>
      </c>
      <c r="B33" s="33" t="s">
        <v>572</v>
      </c>
      <c r="C33" s="620"/>
      <c r="D33" s="620"/>
      <c r="E33" s="164"/>
      <c r="F33" s="170"/>
      <c r="G33" s="170"/>
      <c r="H33" s="170"/>
      <c r="I33" s="23">
        <v>17</v>
      </c>
      <c r="J33" s="30">
        <v>2240</v>
      </c>
      <c r="K33" s="13">
        <f t="shared" si="1"/>
        <v>131.76470588235293</v>
      </c>
      <c r="L33" s="23">
        <v>17</v>
      </c>
      <c r="M33" s="14">
        <f>AVERAGE(M28:M32)</f>
        <v>2138.9413854060435</v>
      </c>
      <c r="N33" s="13">
        <f t="shared" si="3"/>
        <v>125.82008149447314</v>
      </c>
      <c r="O33" s="15">
        <f t="shared" si="4"/>
        <v>0</v>
      </c>
      <c r="P33" s="16">
        <f t="shared" si="5"/>
        <v>-5.9446243878797844</v>
      </c>
      <c r="Q33" s="163">
        <f t="shared" si="6"/>
        <v>0.95488454705626946</v>
      </c>
      <c r="R33" s="619"/>
      <c r="S33" s="31"/>
      <c r="T33" s="31"/>
      <c r="U33" s="162"/>
      <c r="V33" s="168"/>
      <c r="W33" s="162"/>
      <c r="X33" s="162"/>
      <c r="Y33" s="24">
        <f>SUM(Y28:Y32)</f>
        <v>0</v>
      </c>
      <c r="Z33" s="24">
        <f>SUM(Z28:Z32)</f>
        <v>0</v>
      </c>
      <c r="AA33" s="609"/>
      <c r="AB33" s="609"/>
      <c r="AC33" s="24">
        <v>5</v>
      </c>
      <c r="AD33" s="24">
        <f>SUM(AD28:AD32)</f>
        <v>0</v>
      </c>
      <c r="AE33" s="15">
        <f t="shared" si="8"/>
        <v>-101.05861459395646</v>
      </c>
      <c r="AF33" s="163">
        <f t="shared" si="9"/>
        <v>0.95488454705626946</v>
      </c>
      <c r="AG33" s="619"/>
    </row>
    <row r="34" spans="1:33" ht="15.75" customHeight="1">
      <c r="A34" s="633" t="s">
        <v>573</v>
      </c>
      <c r="B34" s="33" t="s">
        <v>27</v>
      </c>
      <c r="C34" s="611" t="s">
        <v>33</v>
      </c>
      <c r="D34" s="611"/>
      <c r="E34" s="33">
        <v>26.18</v>
      </c>
      <c r="F34" s="170">
        <v>4949</v>
      </c>
      <c r="G34" s="173">
        <f t="shared" si="0"/>
        <v>129564.81999999999</v>
      </c>
      <c r="H34" s="29" t="s">
        <v>5</v>
      </c>
      <c r="I34" s="167">
        <v>20</v>
      </c>
      <c r="J34" s="30">
        <v>2400</v>
      </c>
      <c r="K34" s="13">
        <f t="shared" si="1"/>
        <v>120</v>
      </c>
      <c r="L34" s="167">
        <v>20</v>
      </c>
      <c r="M34" s="14">
        <f t="shared" ref="M34:M40" si="23">F34/V34*60</f>
        <v>2301.8604651162791</v>
      </c>
      <c r="N34" s="13">
        <f t="shared" si="3"/>
        <v>115.09302325581396</v>
      </c>
      <c r="O34" s="15">
        <f t="shared" si="4"/>
        <v>0</v>
      </c>
      <c r="P34" s="16">
        <f t="shared" si="5"/>
        <v>-4.9069767441860392</v>
      </c>
      <c r="Q34" s="163">
        <f t="shared" si="6"/>
        <v>0.95910852713178296</v>
      </c>
      <c r="R34" s="619">
        <f>Q41</f>
        <v>0.95605084862496592</v>
      </c>
      <c r="S34" s="31">
        <v>8.3333333333333329E-2</v>
      </c>
      <c r="T34" s="31">
        <v>0.17291666666666666</v>
      </c>
      <c r="U34" s="162"/>
      <c r="V34" s="168">
        <f t="shared" ref="V34:V40" si="24">(T34-S34)*24*60</f>
        <v>129</v>
      </c>
      <c r="W34" s="22">
        <f>T34</f>
        <v>0.17291666666666666</v>
      </c>
      <c r="X34" s="22">
        <f>S35</f>
        <v>0.19166666666666665</v>
      </c>
      <c r="Y34" s="22"/>
      <c r="Z34" s="22"/>
      <c r="AA34" s="610"/>
      <c r="AB34" s="610"/>
      <c r="AC34" s="19">
        <v>7</v>
      </c>
      <c r="AD34" s="19"/>
      <c r="AE34" s="15">
        <f t="shared" si="8"/>
        <v>-98.139534883720899</v>
      </c>
      <c r="AF34" s="163">
        <f t="shared" si="9"/>
        <v>0.95910852713178296</v>
      </c>
      <c r="AG34" s="619">
        <f>AF41</f>
        <v>0.95605084862496603</v>
      </c>
    </row>
    <row r="35" spans="1:33" ht="15.75" customHeight="1">
      <c r="A35" s="633" t="s">
        <v>83</v>
      </c>
      <c r="B35" s="33" t="s">
        <v>27</v>
      </c>
      <c r="C35" s="611" t="s">
        <v>53</v>
      </c>
      <c r="D35" s="611"/>
      <c r="E35" s="33">
        <v>28.29</v>
      </c>
      <c r="F35" s="170">
        <v>2324</v>
      </c>
      <c r="G35" s="173">
        <f t="shared" si="0"/>
        <v>65745.959999999992</v>
      </c>
      <c r="H35" s="29" t="s">
        <v>5</v>
      </c>
      <c r="I35" s="167">
        <v>19</v>
      </c>
      <c r="J35" s="30">
        <v>2400</v>
      </c>
      <c r="K35" s="13">
        <f t="shared" si="1"/>
        <v>126.31578947368421</v>
      </c>
      <c r="L35" s="167">
        <v>19</v>
      </c>
      <c r="M35" s="14">
        <f t="shared" si="23"/>
        <v>2285.901639344263</v>
      </c>
      <c r="N35" s="13">
        <f t="shared" si="3"/>
        <v>120.31061259706648</v>
      </c>
      <c r="O35" s="15">
        <f t="shared" si="4"/>
        <v>0</v>
      </c>
      <c r="P35" s="16">
        <f t="shared" si="5"/>
        <v>-6.0051768766177247</v>
      </c>
      <c r="Q35" s="163">
        <f t="shared" si="6"/>
        <v>0.95245901639344299</v>
      </c>
      <c r="R35" s="619"/>
      <c r="S35" s="31">
        <v>0.19166666666666665</v>
      </c>
      <c r="T35" s="31">
        <v>0.23402777777777775</v>
      </c>
      <c r="U35" s="162">
        <f t="shared" ref="U35:U40" si="25">(S35-T34)*24*60</f>
        <v>26.999999999999986</v>
      </c>
      <c r="V35" s="168">
        <f t="shared" si="24"/>
        <v>60.999999999999986</v>
      </c>
      <c r="W35" s="162"/>
      <c r="X35" s="162"/>
      <c r="Y35" s="162"/>
      <c r="Z35" s="162"/>
      <c r="AA35" s="610"/>
      <c r="AB35" s="610"/>
      <c r="AC35" s="19"/>
      <c r="AD35" s="19"/>
      <c r="AE35" s="15">
        <f t="shared" si="8"/>
        <v>-114.098360655737</v>
      </c>
      <c r="AF35" s="163">
        <f t="shared" si="9"/>
        <v>0.95245901639344288</v>
      </c>
      <c r="AG35" s="619"/>
    </row>
    <row r="36" spans="1:33">
      <c r="A36" s="634" t="s">
        <v>83</v>
      </c>
      <c r="B36" s="33" t="s">
        <v>27</v>
      </c>
      <c r="C36" s="611" t="s">
        <v>30</v>
      </c>
      <c r="D36" s="611"/>
      <c r="E36" s="33">
        <v>26.18</v>
      </c>
      <c r="F36" s="170">
        <v>6831</v>
      </c>
      <c r="G36" s="173">
        <f t="shared" si="0"/>
        <v>178835.58</v>
      </c>
      <c r="H36" s="29" t="s">
        <v>5</v>
      </c>
      <c r="I36" s="167">
        <v>18</v>
      </c>
      <c r="J36" s="30">
        <v>2400</v>
      </c>
      <c r="K36" s="13">
        <f t="shared" si="1"/>
        <v>133.33333333333334</v>
      </c>
      <c r="L36" s="167">
        <v>18</v>
      </c>
      <c r="M36" s="14">
        <f t="shared" si="23"/>
        <v>2289.7206703910615</v>
      </c>
      <c r="N36" s="13">
        <f t="shared" si="3"/>
        <v>127.20670391061452</v>
      </c>
      <c r="O36" s="15">
        <f t="shared" si="4"/>
        <v>0</v>
      </c>
      <c r="P36" s="16">
        <f t="shared" si="5"/>
        <v>-6.1266294227188212</v>
      </c>
      <c r="Q36" s="163">
        <f t="shared" si="6"/>
        <v>0.95405027932960884</v>
      </c>
      <c r="R36" s="619"/>
      <c r="S36" s="31">
        <v>0.23888888888888887</v>
      </c>
      <c r="T36" s="31">
        <v>0.36319444444444443</v>
      </c>
      <c r="U36" s="162">
        <f t="shared" si="25"/>
        <v>7.0000000000000151</v>
      </c>
      <c r="V36" s="168">
        <f t="shared" si="24"/>
        <v>179</v>
      </c>
      <c r="W36" s="162"/>
      <c r="X36" s="162"/>
      <c r="Y36" s="162"/>
      <c r="Z36" s="162"/>
      <c r="AA36" s="610"/>
      <c r="AB36" s="610"/>
      <c r="AC36" s="19"/>
      <c r="AD36" s="19"/>
      <c r="AE36" s="15">
        <f t="shared" si="8"/>
        <v>-110.2793296089385</v>
      </c>
      <c r="AF36" s="163">
        <f t="shared" si="9"/>
        <v>0.95405027932960895</v>
      </c>
      <c r="AG36" s="619"/>
    </row>
    <row r="37" spans="1:33">
      <c r="A37" s="634" t="s">
        <v>83</v>
      </c>
      <c r="B37" s="33" t="s">
        <v>27</v>
      </c>
      <c r="C37" s="611" t="s">
        <v>32</v>
      </c>
      <c r="D37" s="611"/>
      <c r="E37" s="33">
        <v>25.99</v>
      </c>
      <c r="F37" s="170">
        <v>3060</v>
      </c>
      <c r="G37" s="173">
        <f t="shared" si="0"/>
        <v>79529.399999999994</v>
      </c>
      <c r="H37" s="29" t="s">
        <v>5</v>
      </c>
      <c r="I37" s="167">
        <v>14</v>
      </c>
      <c r="J37" s="30">
        <v>2400</v>
      </c>
      <c r="K37" s="13">
        <f t="shared" si="1"/>
        <v>171.42857142857142</v>
      </c>
      <c r="L37" s="167">
        <v>14</v>
      </c>
      <c r="M37" s="14">
        <f t="shared" si="23"/>
        <v>2295.0000000000014</v>
      </c>
      <c r="N37" s="13">
        <f t="shared" si="3"/>
        <v>163.92857142857153</v>
      </c>
      <c r="O37" s="15">
        <f t="shared" si="4"/>
        <v>0</v>
      </c>
      <c r="P37" s="16">
        <f t="shared" si="5"/>
        <v>-7.4999999999998863</v>
      </c>
      <c r="Q37" s="163">
        <f t="shared" si="6"/>
        <v>0.95625000000000071</v>
      </c>
      <c r="R37" s="619"/>
      <c r="S37" s="31">
        <v>0.36805555555555552</v>
      </c>
      <c r="T37" s="31">
        <v>0.42361111111111105</v>
      </c>
      <c r="U37" s="162">
        <f t="shared" si="25"/>
        <v>6.9999999999999751</v>
      </c>
      <c r="V37" s="168">
        <f t="shared" si="24"/>
        <v>79.999999999999957</v>
      </c>
      <c r="W37" s="17"/>
      <c r="X37" s="17"/>
      <c r="Y37" s="17"/>
      <c r="Z37" s="17"/>
      <c r="AA37" s="610"/>
      <c r="AB37" s="610"/>
      <c r="AC37" s="19"/>
      <c r="AD37" s="19"/>
      <c r="AE37" s="15">
        <f t="shared" si="8"/>
        <v>-104.99999999999864</v>
      </c>
      <c r="AF37" s="163">
        <f t="shared" si="9"/>
        <v>0.9562500000000006</v>
      </c>
      <c r="AG37" s="619"/>
    </row>
    <row r="38" spans="1:33">
      <c r="A38" s="634" t="s">
        <v>83</v>
      </c>
      <c r="B38" s="33" t="s">
        <v>27</v>
      </c>
      <c r="C38" s="611" t="s">
        <v>52</v>
      </c>
      <c r="D38" s="611"/>
      <c r="E38" s="33">
        <v>25.98</v>
      </c>
      <c r="F38" s="170">
        <v>1563</v>
      </c>
      <c r="G38" s="173">
        <f t="shared" si="0"/>
        <v>40606.74</v>
      </c>
      <c r="H38" s="29" t="s">
        <v>5</v>
      </c>
      <c r="I38" s="167">
        <v>17</v>
      </c>
      <c r="J38" s="30">
        <v>2400</v>
      </c>
      <c r="K38" s="13">
        <f t="shared" si="1"/>
        <v>141.1764705882353</v>
      </c>
      <c r="L38" s="167">
        <v>17</v>
      </c>
      <c r="M38" s="14">
        <f t="shared" si="23"/>
        <v>2287.317073170731</v>
      </c>
      <c r="N38" s="13">
        <f t="shared" si="3"/>
        <v>134.54806312769006</v>
      </c>
      <c r="O38" s="15">
        <f t="shared" si="4"/>
        <v>0</v>
      </c>
      <c r="P38" s="16">
        <f t="shared" si="5"/>
        <v>-6.6284074605452474</v>
      </c>
      <c r="Q38" s="163">
        <f t="shared" si="6"/>
        <v>0.9530487804878045</v>
      </c>
      <c r="R38" s="619"/>
      <c r="S38" s="31">
        <v>0.4277777777777777</v>
      </c>
      <c r="T38" s="31">
        <v>0.45624999999999993</v>
      </c>
      <c r="U38" s="162">
        <f t="shared" si="25"/>
        <v>5.9999999999999787</v>
      </c>
      <c r="V38" s="168">
        <f t="shared" si="24"/>
        <v>41.000000000000014</v>
      </c>
      <c r="W38" s="17"/>
      <c r="X38" s="17"/>
      <c r="Y38" s="17"/>
      <c r="Z38" s="17"/>
      <c r="AA38" s="610"/>
      <c r="AB38" s="610"/>
      <c r="AC38" s="19"/>
      <c r="AD38" s="19"/>
      <c r="AE38" s="15">
        <f t="shared" si="8"/>
        <v>-112.68292682926904</v>
      </c>
      <c r="AF38" s="163">
        <f t="shared" si="9"/>
        <v>0.95304878048780461</v>
      </c>
      <c r="AG38" s="619"/>
    </row>
    <row r="39" spans="1:33">
      <c r="A39" s="634" t="s">
        <v>83</v>
      </c>
      <c r="B39" s="33" t="s">
        <v>27</v>
      </c>
      <c r="C39" s="611" t="s">
        <v>54</v>
      </c>
      <c r="D39" s="611"/>
      <c r="E39" s="33">
        <v>24.25</v>
      </c>
      <c r="F39" s="170">
        <v>2196</v>
      </c>
      <c r="G39" s="173">
        <f t="shared" si="0"/>
        <v>53253</v>
      </c>
      <c r="H39" s="29" t="s">
        <v>5</v>
      </c>
      <c r="I39" s="167">
        <v>16</v>
      </c>
      <c r="J39" s="30">
        <v>2400</v>
      </c>
      <c r="K39" s="13">
        <f t="shared" si="1"/>
        <v>150</v>
      </c>
      <c r="L39" s="167">
        <v>16</v>
      </c>
      <c r="M39" s="14">
        <f t="shared" si="23"/>
        <v>2311.5789473684226</v>
      </c>
      <c r="N39" s="13">
        <f t="shared" si="3"/>
        <v>144.47368421052641</v>
      </c>
      <c r="O39" s="15">
        <f t="shared" si="4"/>
        <v>0</v>
      </c>
      <c r="P39" s="16">
        <f t="shared" si="5"/>
        <v>-5.5263157894735855</v>
      </c>
      <c r="Q39" s="163">
        <f t="shared" si="6"/>
        <v>0.96315789473684277</v>
      </c>
      <c r="R39" s="619"/>
      <c r="S39" s="31">
        <v>0.46041666666666659</v>
      </c>
      <c r="T39" s="31">
        <v>0.49999999999999989</v>
      </c>
      <c r="U39" s="162">
        <f t="shared" si="25"/>
        <v>5.9999999999999787</v>
      </c>
      <c r="V39" s="168">
        <f t="shared" si="24"/>
        <v>56.999999999999957</v>
      </c>
      <c r="W39" s="17">
        <f>T39</f>
        <v>0.49999999999999989</v>
      </c>
      <c r="X39" s="17">
        <f>S40</f>
        <v>0.54097222222222208</v>
      </c>
      <c r="Y39" s="17"/>
      <c r="Z39" s="17"/>
      <c r="AA39" s="610"/>
      <c r="AB39" s="610"/>
      <c r="AC39" s="19"/>
      <c r="AD39" s="19"/>
      <c r="AE39" s="15">
        <f t="shared" si="8"/>
        <v>-88.421052631577368</v>
      </c>
      <c r="AF39" s="163">
        <f t="shared" si="9"/>
        <v>0.96315789473684277</v>
      </c>
      <c r="AG39" s="619"/>
    </row>
    <row r="40" spans="1:33">
      <c r="A40" s="634" t="s">
        <v>83</v>
      </c>
      <c r="B40" s="33" t="s">
        <v>27</v>
      </c>
      <c r="C40" s="611" t="s">
        <v>35</v>
      </c>
      <c r="D40" s="611"/>
      <c r="E40" s="33">
        <v>34.1</v>
      </c>
      <c r="F40" s="170">
        <v>2339</v>
      </c>
      <c r="G40" s="173">
        <f t="shared" si="0"/>
        <v>79759.900000000009</v>
      </c>
      <c r="H40" s="29" t="s">
        <v>5</v>
      </c>
      <c r="I40" s="167">
        <v>17</v>
      </c>
      <c r="J40" s="30">
        <v>1600</v>
      </c>
      <c r="K40" s="13">
        <f t="shared" si="1"/>
        <v>94.117647058823536</v>
      </c>
      <c r="L40" s="167">
        <v>17</v>
      </c>
      <c r="M40" s="14">
        <f t="shared" si="23"/>
        <v>1525.4347826086957</v>
      </c>
      <c r="N40" s="13">
        <f t="shared" si="3"/>
        <v>89.731457800511521</v>
      </c>
      <c r="O40" s="15">
        <f t="shared" si="4"/>
        <v>0</v>
      </c>
      <c r="P40" s="16">
        <f t="shared" si="5"/>
        <v>-4.3861892583120152</v>
      </c>
      <c r="Q40" s="163">
        <f t="shared" si="6"/>
        <v>0.95339673913043488</v>
      </c>
      <c r="R40" s="619"/>
      <c r="S40" s="31">
        <v>0.54097222222222208</v>
      </c>
      <c r="T40" s="31">
        <v>0.60486111111111096</v>
      </c>
      <c r="U40" s="162">
        <f t="shared" si="25"/>
        <v>58.99999999999995</v>
      </c>
      <c r="V40" s="168">
        <f t="shared" si="24"/>
        <v>92</v>
      </c>
      <c r="W40" s="17"/>
      <c r="X40" s="17"/>
      <c r="Y40" s="20"/>
      <c r="Z40" s="20"/>
      <c r="AA40" s="614"/>
      <c r="AB40" s="615"/>
      <c r="AC40" s="19"/>
      <c r="AD40" s="19"/>
      <c r="AE40" s="15">
        <f t="shared" si="8"/>
        <v>-74.565217391304259</v>
      </c>
      <c r="AF40" s="163">
        <f t="shared" si="9"/>
        <v>0.95339673913043488</v>
      </c>
      <c r="AG40" s="619"/>
    </row>
    <row r="41" spans="1:33">
      <c r="A41" s="634" t="s">
        <v>83</v>
      </c>
      <c r="B41" s="34" t="s">
        <v>574</v>
      </c>
      <c r="C41" s="620"/>
      <c r="D41" s="620"/>
      <c r="E41" s="164"/>
      <c r="F41" s="34"/>
      <c r="G41" s="34"/>
      <c r="H41" s="170"/>
      <c r="I41" s="23">
        <v>17.285714285714285</v>
      </c>
      <c r="J41" s="30">
        <v>2285.7142857142858</v>
      </c>
      <c r="K41" s="13">
        <f t="shared" si="1"/>
        <v>132.2314049586777</v>
      </c>
      <c r="L41" s="23">
        <v>17.285714285714285</v>
      </c>
      <c r="M41" s="14">
        <f>AVERAGE(M34:M40)</f>
        <v>2185.259082571351</v>
      </c>
      <c r="N41" s="13">
        <f t="shared" si="3"/>
        <v>126.41994692561535</v>
      </c>
      <c r="O41" s="15">
        <f t="shared" si="4"/>
        <v>0</v>
      </c>
      <c r="P41" s="16">
        <f t="shared" si="5"/>
        <v>-5.8114580330623511</v>
      </c>
      <c r="Q41" s="163">
        <f t="shared" si="6"/>
        <v>0.95605084862496592</v>
      </c>
      <c r="R41" s="619"/>
      <c r="S41" s="31"/>
      <c r="T41" s="31"/>
      <c r="U41" s="13"/>
      <c r="V41" s="168"/>
      <c r="W41" s="13"/>
      <c r="X41" s="13"/>
      <c r="Y41" s="24">
        <f>SUM(Y34:Y40)</f>
        <v>0</v>
      </c>
      <c r="Z41" s="24">
        <f>SUM(Z34:Z40)</f>
        <v>0</v>
      </c>
      <c r="AA41" s="609"/>
      <c r="AB41" s="609"/>
      <c r="AC41" s="24">
        <v>7</v>
      </c>
      <c r="AD41" s="24">
        <f>SUM(AD34:AD40)</f>
        <v>0</v>
      </c>
      <c r="AE41" s="15">
        <f t="shared" si="8"/>
        <v>-100.45520314293481</v>
      </c>
      <c r="AF41" s="163">
        <f t="shared" si="9"/>
        <v>0.95605084862496603</v>
      </c>
      <c r="AG41" s="619"/>
    </row>
    <row r="42" spans="1:33" ht="15.75" customHeight="1">
      <c r="A42" s="630" t="s">
        <v>198</v>
      </c>
      <c r="B42" s="33" t="s">
        <v>36</v>
      </c>
      <c r="C42" s="612" t="s">
        <v>37</v>
      </c>
      <c r="D42" s="613"/>
      <c r="E42" s="33">
        <v>21.13</v>
      </c>
      <c r="F42" s="170">
        <v>4777</v>
      </c>
      <c r="G42" s="173">
        <f t="shared" si="0"/>
        <v>100938.01</v>
      </c>
      <c r="H42" s="29" t="s">
        <v>5</v>
      </c>
      <c r="I42" s="167">
        <v>10</v>
      </c>
      <c r="J42" s="30">
        <v>3000</v>
      </c>
      <c r="K42" s="13">
        <f t="shared" si="1"/>
        <v>300</v>
      </c>
      <c r="L42" s="167">
        <v>10</v>
      </c>
      <c r="M42" s="14">
        <f t="shared" ref="M42:M44" si="26">F42/V42*60</f>
        <v>2866.2000000000003</v>
      </c>
      <c r="N42" s="14">
        <f t="shared" si="3"/>
        <v>286.62</v>
      </c>
      <c r="O42" s="15">
        <f t="shared" si="4"/>
        <v>0</v>
      </c>
      <c r="P42" s="16">
        <f t="shared" si="5"/>
        <v>-13.379999999999995</v>
      </c>
      <c r="Q42" s="163">
        <f t="shared" si="6"/>
        <v>0.95540000000000003</v>
      </c>
      <c r="R42" s="625">
        <f>Q45</f>
        <v>0.95528324514991214</v>
      </c>
      <c r="S42" s="31">
        <v>0.20833333333333334</v>
      </c>
      <c r="T42" s="31">
        <v>0.27777777777777779</v>
      </c>
      <c r="U42" s="22"/>
      <c r="V42" s="168">
        <f t="shared" ref="V42:V44" si="27">(T42-S42)*24*60</f>
        <v>100</v>
      </c>
      <c r="W42" s="17"/>
      <c r="X42" s="17"/>
      <c r="Y42" s="20"/>
      <c r="Z42" s="20"/>
      <c r="AA42" s="614"/>
      <c r="AB42" s="615"/>
      <c r="AC42" s="19">
        <v>3</v>
      </c>
      <c r="AD42" s="19"/>
      <c r="AE42" s="15">
        <f t="shared" si="8"/>
        <v>-133.79999999999973</v>
      </c>
      <c r="AF42" s="163">
        <f t="shared" si="9"/>
        <v>0.95540000000000014</v>
      </c>
      <c r="AG42" s="625">
        <f>AF45</f>
        <v>0.95528324514991214</v>
      </c>
    </row>
    <row r="43" spans="1:33" ht="15.75" customHeight="1">
      <c r="A43" s="631" t="s">
        <v>575</v>
      </c>
      <c r="B43" s="33" t="s">
        <v>36</v>
      </c>
      <c r="C43" s="612" t="s">
        <v>38</v>
      </c>
      <c r="D43" s="613"/>
      <c r="E43" s="33">
        <v>27.17</v>
      </c>
      <c r="F43" s="170">
        <v>5364</v>
      </c>
      <c r="G43" s="173">
        <f t="shared" si="0"/>
        <v>145739.88</v>
      </c>
      <c r="H43" s="29" t="s">
        <v>5</v>
      </c>
      <c r="I43" s="167">
        <v>10</v>
      </c>
      <c r="J43" s="30">
        <v>3000</v>
      </c>
      <c r="K43" s="13">
        <f t="shared" si="1"/>
        <v>300</v>
      </c>
      <c r="L43" s="167">
        <v>10</v>
      </c>
      <c r="M43" s="14">
        <f t="shared" si="26"/>
        <v>2873.5714285714289</v>
      </c>
      <c r="N43" s="14">
        <f t="shared" si="3"/>
        <v>287.35714285714289</v>
      </c>
      <c r="O43" s="15">
        <f t="shared" si="4"/>
        <v>0</v>
      </c>
      <c r="P43" s="16">
        <f t="shared" si="5"/>
        <v>-12.64285714285711</v>
      </c>
      <c r="Q43" s="163">
        <f t="shared" si="6"/>
        <v>0.95785714285714296</v>
      </c>
      <c r="R43" s="626"/>
      <c r="S43" s="31">
        <v>0.28194444444444444</v>
      </c>
      <c r="T43" s="31">
        <v>0.35972222222222222</v>
      </c>
      <c r="U43" s="162">
        <f t="shared" ref="U43:U44" si="28">(S43-T42)*24*60</f>
        <v>5.9999999999999787</v>
      </c>
      <c r="V43" s="168">
        <f t="shared" si="27"/>
        <v>112</v>
      </c>
      <c r="W43" s="17"/>
      <c r="X43" s="17"/>
      <c r="Y43" s="20"/>
      <c r="Z43" s="20"/>
      <c r="AA43" s="614"/>
      <c r="AB43" s="615"/>
      <c r="AC43" s="19"/>
      <c r="AD43" s="19"/>
      <c r="AE43" s="15">
        <f t="shared" si="8"/>
        <v>-126.4285714285711</v>
      </c>
      <c r="AF43" s="163">
        <f t="shared" si="9"/>
        <v>0.95785714285714296</v>
      </c>
      <c r="AG43" s="626"/>
    </row>
    <row r="44" spans="1:33" ht="15.75" customHeight="1">
      <c r="A44" s="631" t="s">
        <v>575</v>
      </c>
      <c r="B44" s="33" t="s">
        <v>36</v>
      </c>
      <c r="C44" s="612" t="s">
        <v>49</v>
      </c>
      <c r="D44" s="613"/>
      <c r="E44" s="33">
        <v>35.869999999999997</v>
      </c>
      <c r="F44" s="170">
        <v>2572</v>
      </c>
      <c r="G44" s="173">
        <f t="shared" si="0"/>
        <v>92257.64</v>
      </c>
      <c r="H44" s="29" t="s">
        <v>5</v>
      </c>
      <c r="I44" s="167">
        <v>10</v>
      </c>
      <c r="J44" s="30">
        <v>3000</v>
      </c>
      <c r="K44" s="13">
        <f t="shared" si="1"/>
        <v>300</v>
      </c>
      <c r="L44" s="167">
        <v>10</v>
      </c>
      <c r="M44" s="14">
        <f t="shared" si="26"/>
        <v>2857.7777777777792</v>
      </c>
      <c r="N44" s="14">
        <f t="shared" si="3"/>
        <v>285.77777777777794</v>
      </c>
      <c r="O44" s="15">
        <f t="shared" si="4"/>
        <v>0</v>
      </c>
      <c r="P44" s="16">
        <f t="shared" si="5"/>
        <v>-14.222222222222058</v>
      </c>
      <c r="Q44" s="163">
        <f t="shared" si="6"/>
        <v>0.9525925925925931</v>
      </c>
      <c r="R44" s="626"/>
      <c r="S44" s="31">
        <v>0.36458333333333331</v>
      </c>
      <c r="T44" s="31">
        <v>0.40208333333333329</v>
      </c>
      <c r="U44" s="162">
        <f t="shared" si="28"/>
        <v>6.9999999999999751</v>
      </c>
      <c r="V44" s="168">
        <f t="shared" si="27"/>
        <v>53.999999999999972</v>
      </c>
      <c r="W44" s="17"/>
      <c r="X44" s="17"/>
      <c r="Y44" s="20"/>
      <c r="Z44" s="20"/>
      <c r="AA44" s="614"/>
      <c r="AB44" s="615"/>
      <c r="AC44" s="19"/>
      <c r="AD44" s="19"/>
      <c r="AE44" s="15">
        <f t="shared" si="8"/>
        <v>-142.22222222222081</v>
      </c>
      <c r="AF44" s="163">
        <f t="shared" si="9"/>
        <v>0.9525925925925931</v>
      </c>
      <c r="AG44" s="626"/>
    </row>
    <row r="45" spans="1:33" ht="15.75" customHeight="1">
      <c r="A45" s="632" t="s">
        <v>575</v>
      </c>
      <c r="B45" s="33" t="s">
        <v>564</v>
      </c>
      <c r="C45" s="607"/>
      <c r="D45" s="608"/>
      <c r="E45" s="160"/>
      <c r="F45" s="170"/>
      <c r="G45" s="170"/>
      <c r="H45" s="170"/>
      <c r="I45" s="23">
        <v>10</v>
      </c>
      <c r="J45" s="30">
        <v>3000</v>
      </c>
      <c r="K45" s="13">
        <f t="shared" si="1"/>
        <v>300</v>
      </c>
      <c r="L45" s="23">
        <v>10</v>
      </c>
      <c r="M45" s="14">
        <f>AVERAGE(M42:M44)</f>
        <v>2865.8497354497363</v>
      </c>
      <c r="N45" s="13">
        <f t="shared" si="3"/>
        <v>286.58497354497365</v>
      </c>
      <c r="O45" s="15">
        <f t="shared" si="4"/>
        <v>0</v>
      </c>
      <c r="P45" s="16">
        <f t="shared" si="5"/>
        <v>-13.41502645502635</v>
      </c>
      <c r="Q45" s="163">
        <f t="shared" si="6"/>
        <v>0.95528324514991214</v>
      </c>
      <c r="R45" s="627"/>
      <c r="S45" s="31"/>
      <c r="T45" s="31"/>
      <c r="U45" s="162"/>
      <c r="V45" s="168"/>
      <c r="W45" s="17"/>
      <c r="X45" s="17"/>
      <c r="Y45" s="24">
        <f>SUM(Y42:Y44)</f>
        <v>0</v>
      </c>
      <c r="Z45" s="24">
        <f>SUM(Z42:Z44)</f>
        <v>0</v>
      </c>
      <c r="AA45" s="628"/>
      <c r="AB45" s="629"/>
      <c r="AC45" s="24">
        <v>3</v>
      </c>
      <c r="AD45" s="24">
        <f>SUM(AD42:AD44)</f>
        <v>0</v>
      </c>
      <c r="AE45" s="15">
        <f t="shared" si="8"/>
        <v>-134.15026455026373</v>
      </c>
      <c r="AF45" s="163">
        <f t="shared" si="9"/>
        <v>0.95528324514991214</v>
      </c>
      <c r="AG45" s="627"/>
    </row>
    <row r="46" spans="1:33" ht="15.75" customHeight="1">
      <c r="A46" s="623" t="s">
        <v>576</v>
      </c>
      <c r="B46" s="33" t="s">
        <v>6</v>
      </c>
      <c r="C46" s="611" t="s">
        <v>41</v>
      </c>
      <c r="D46" s="611"/>
      <c r="E46" s="33">
        <v>51.44</v>
      </c>
      <c r="F46" s="35">
        <v>1092</v>
      </c>
      <c r="G46" s="173">
        <f t="shared" si="0"/>
        <v>56172.479999999996</v>
      </c>
      <c r="H46" s="29" t="s">
        <v>5</v>
      </c>
      <c r="I46" s="167">
        <v>25</v>
      </c>
      <c r="J46" s="30">
        <v>2000</v>
      </c>
      <c r="K46" s="13">
        <f t="shared" si="1"/>
        <v>80</v>
      </c>
      <c r="L46" s="167">
        <v>25</v>
      </c>
      <c r="M46" s="14">
        <f t="shared" ref="M46" si="29">F46/V46*60</f>
        <v>1927.0588235294117</v>
      </c>
      <c r="N46" s="14">
        <f t="shared" si="3"/>
        <v>77.082352941176467</v>
      </c>
      <c r="O46" s="15">
        <f t="shared" si="4"/>
        <v>0</v>
      </c>
      <c r="P46" s="16">
        <f t="shared" si="5"/>
        <v>-2.9176470588235333</v>
      </c>
      <c r="Q46" s="163">
        <f t="shared" si="6"/>
        <v>0.96352941176470586</v>
      </c>
      <c r="R46" s="619">
        <f>Q55</f>
        <v>0.96255203625058183</v>
      </c>
      <c r="S46" s="31">
        <v>0.20833333333333334</v>
      </c>
      <c r="T46" s="31">
        <v>0.23194444444444445</v>
      </c>
      <c r="U46" s="22"/>
      <c r="V46" s="168">
        <f t="shared" ref="V46:V54" si="30">(T46-S46)*24*60</f>
        <v>34</v>
      </c>
      <c r="W46" s="17"/>
      <c r="X46" s="17"/>
      <c r="Y46" s="22"/>
      <c r="Z46" s="22"/>
      <c r="AA46" s="610"/>
      <c r="AB46" s="610"/>
      <c r="AC46" s="19">
        <v>9</v>
      </c>
      <c r="AD46" s="19"/>
      <c r="AE46" s="15">
        <f t="shared" si="8"/>
        <v>-72.941176470588289</v>
      </c>
      <c r="AF46" s="163">
        <f t="shared" si="9"/>
        <v>0.96352941176470586</v>
      </c>
      <c r="AG46" s="619">
        <f>AF55</f>
        <v>0.96255203625058172</v>
      </c>
    </row>
    <row r="47" spans="1:33" ht="15.75" customHeight="1">
      <c r="A47" s="623" t="s">
        <v>576</v>
      </c>
      <c r="B47" s="33" t="s">
        <v>6</v>
      </c>
      <c r="C47" s="611" t="s">
        <v>77</v>
      </c>
      <c r="D47" s="611"/>
      <c r="E47" s="33">
        <v>56.43</v>
      </c>
      <c r="F47" s="35">
        <v>1971</v>
      </c>
      <c r="G47" s="173">
        <f t="shared" si="0"/>
        <v>111223.53</v>
      </c>
      <c r="H47" s="29" t="s">
        <v>5</v>
      </c>
      <c r="I47" s="167">
        <v>23</v>
      </c>
      <c r="J47" s="30">
        <v>2000</v>
      </c>
      <c r="K47" s="13">
        <f t="shared" si="1"/>
        <v>86.956521739130437</v>
      </c>
      <c r="L47" s="167">
        <v>23</v>
      </c>
      <c r="M47" s="14">
        <f>F47/V47*60</f>
        <v>1907.4193548387102</v>
      </c>
      <c r="N47" s="14">
        <f t="shared" si="3"/>
        <v>82.931276297335231</v>
      </c>
      <c r="O47" s="15">
        <f t="shared" si="4"/>
        <v>0</v>
      </c>
      <c r="P47" s="16">
        <f t="shared" si="5"/>
        <v>-4.0252454417952066</v>
      </c>
      <c r="Q47" s="163">
        <f t="shared" si="6"/>
        <v>0.95370967741935508</v>
      </c>
      <c r="R47" s="619"/>
      <c r="S47" s="31">
        <v>0.23750000000000002</v>
      </c>
      <c r="T47" s="31">
        <v>0.28055555555555556</v>
      </c>
      <c r="U47" s="162">
        <f t="shared" ref="U47:U54" si="31">IF(S47=TIME(17,0,0),"",(S47-T46)*24*60)</f>
        <v>8.0000000000000107</v>
      </c>
      <c r="V47" s="168">
        <f t="shared" si="30"/>
        <v>61.999999999999979</v>
      </c>
      <c r="W47" s="17"/>
      <c r="X47" s="17"/>
      <c r="Y47" s="17"/>
      <c r="Z47" s="17"/>
      <c r="AA47" s="610"/>
      <c r="AB47" s="610"/>
      <c r="AC47" s="19"/>
      <c r="AD47" s="19"/>
      <c r="AE47" s="15">
        <f t="shared" si="8"/>
        <v>-92.580645161289794</v>
      </c>
      <c r="AF47" s="163">
        <f t="shared" si="9"/>
        <v>0.95370967741935508</v>
      </c>
      <c r="AG47" s="619"/>
    </row>
    <row r="48" spans="1:33" ht="15.75" customHeight="1">
      <c r="A48" s="623" t="s">
        <v>576</v>
      </c>
      <c r="B48" s="33" t="s">
        <v>6</v>
      </c>
      <c r="C48" s="612" t="s">
        <v>73</v>
      </c>
      <c r="D48" s="613"/>
      <c r="E48" s="33">
        <v>56.43</v>
      </c>
      <c r="F48" s="35">
        <v>1296</v>
      </c>
      <c r="G48" s="173">
        <f t="shared" si="0"/>
        <v>73133.279999999999</v>
      </c>
      <c r="H48" s="29" t="s">
        <v>5</v>
      </c>
      <c r="I48" s="167">
        <v>25</v>
      </c>
      <c r="J48" s="30">
        <v>2000</v>
      </c>
      <c r="K48" s="13">
        <f t="shared" si="1"/>
        <v>80</v>
      </c>
      <c r="L48" s="167">
        <v>25</v>
      </c>
      <c r="M48" s="14">
        <f t="shared" ref="M48:M54" si="32">F48/V48*60</f>
        <v>1943.9999999999995</v>
      </c>
      <c r="N48" s="14">
        <f t="shared" si="3"/>
        <v>77.759999999999977</v>
      </c>
      <c r="O48" s="15">
        <f t="shared" si="4"/>
        <v>0</v>
      </c>
      <c r="P48" s="16">
        <f t="shared" si="5"/>
        <v>-2.2400000000000233</v>
      </c>
      <c r="Q48" s="163">
        <f t="shared" si="6"/>
        <v>0.97199999999999975</v>
      </c>
      <c r="R48" s="619"/>
      <c r="S48" s="31">
        <v>0.28472222222222221</v>
      </c>
      <c r="T48" s="31">
        <v>0.3125</v>
      </c>
      <c r="U48" s="162">
        <f t="shared" si="31"/>
        <v>5.9999999999999787</v>
      </c>
      <c r="V48" s="168">
        <f t="shared" si="30"/>
        <v>40.000000000000014</v>
      </c>
      <c r="W48" s="17"/>
      <c r="X48" s="17"/>
      <c r="Y48" s="20"/>
      <c r="Z48" s="20"/>
      <c r="AA48" s="610"/>
      <c r="AB48" s="610"/>
      <c r="AC48" s="19"/>
      <c r="AD48" s="19"/>
      <c r="AE48" s="15">
        <f t="shared" si="8"/>
        <v>-56.000000000000455</v>
      </c>
      <c r="AF48" s="163">
        <f t="shared" si="9"/>
        <v>0.97199999999999975</v>
      </c>
      <c r="AG48" s="619"/>
    </row>
    <row r="49" spans="1:33" ht="15.75" customHeight="1">
      <c r="A49" s="623" t="s">
        <v>576</v>
      </c>
      <c r="B49" s="33" t="s">
        <v>10</v>
      </c>
      <c r="C49" s="156" t="s">
        <v>42</v>
      </c>
      <c r="D49" s="157"/>
      <c r="E49" s="33">
        <v>46</v>
      </c>
      <c r="F49" s="35">
        <v>871</v>
      </c>
      <c r="G49" s="173">
        <f t="shared" si="0"/>
        <v>40066</v>
      </c>
      <c r="H49" s="29" t="s">
        <v>5</v>
      </c>
      <c r="I49" s="167">
        <v>16</v>
      </c>
      <c r="J49" s="30">
        <v>2000</v>
      </c>
      <c r="K49" s="13">
        <f t="shared" si="1"/>
        <v>125</v>
      </c>
      <c r="L49" s="167">
        <v>16</v>
      </c>
      <c r="M49" s="14">
        <f t="shared" si="32"/>
        <v>1935.5555555555563</v>
      </c>
      <c r="N49" s="14">
        <f t="shared" si="3"/>
        <v>120.97222222222227</v>
      </c>
      <c r="O49" s="15">
        <f t="shared" si="4"/>
        <v>0</v>
      </c>
      <c r="P49" s="16">
        <f t="shared" si="5"/>
        <v>-4.0277777777777288</v>
      </c>
      <c r="Q49" s="163">
        <f t="shared" si="6"/>
        <v>0.96777777777777818</v>
      </c>
      <c r="R49" s="619"/>
      <c r="S49" s="31">
        <v>0.31805555555555554</v>
      </c>
      <c r="T49" s="31">
        <v>0.33680555555555552</v>
      </c>
      <c r="U49" s="162">
        <f t="shared" si="31"/>
        <v>7.9999999999999716</v>
      </c>
      <c r="V49" s="168">
        <f t="shared" si="30"/>
        <v>26.999999999999986</v>
      </c>
      <c r="W49" s="17"/>
      <c r="X49" s="17"/>
      <c r="Y49" s="20"/>
      <c r="Z49" s="20"/>
      <c r="AA49" s="610"/>
      <c r="AB49" s="610"/>
      <c r="AC49" s="19"/>
      <c r="AD49" s="19"/>
      <c r="AE49" s="15">
        <f t="shared" si="8"/>
        <v>-64.444444444443661</v>
      </c>
      <c r="AF49" s="163">
        <f t="shared" si="9"/>
        <v>0.96777777777777818</v>
      </c>
      <c r="AG49" s="619"/>
    </row>
    <row r="50" spans="1:33" ht="15.75" customHeight="1">
      <c r="A50" s="623" t="s">
        <v>576</v>
      </c>
      <c r="B50" s="33" t="s">
        <v>10</v>
      </c>
      <c r="C50" s="156" t="s">
        <v>43</v>
      </c>
      <c r="D50" s="157"/>
      <c r="E50" s="33">
        <v>46</v>
      </c>
      <c r="F50" s="35">
        <v>968</v>
      </c>
      <c r="G50" s="173">
        <f t="shared" si="0"/>
        <v>44528</v>
      </c>
      <c r="H50" s="29" t="s">
        <v>5</v>
      </c>
      <c r="I50" s="167">
        <v>17</v>
      </c>
      <c r="J50" s="30">
        <v>2000</v>
      </c>
      <c r="K50" s="13">
        <f t="shared" si="1"/>
        <v>117.64705882352941</v>
      </c>
      <c r="L50" s="167">
        <v>17</v>
      </c>
      <c r="M50" s="14">
        <f t="shared" si="32"/>
        <v>1936.0000000000016</v>
      </c>
      <c r="N50" s="14">
        <f t="shared" si="3"/>
        <v>113.88235294117656</v>
      </c>
      <c r="O50" s="15">
        <f t="shared" si="4"/>
        <v>0</v>
      </c>
      <c r="P50" s="16">
        <f t="shared" si="5"/>
        <v>-3.7647058823528425</v>
      </c>
      <c r="Q50" s="163">
        <f t="shared" si="6"/>
        <v>0.96800000000000086</v>
      </c>
      <c r="R50" s="619"/>
      <c r="S50" s="31">
        <v>0.34097222222222218</v>
      </c>
      <c r="T50" s="31">
        <v>0.36180555555555549</v>
      </c>
      <c r="U50" s="162">
        <f t="shared" si="31"/>
        <v>5.9999999999999787</v>
      </c>
      <c r="V50" s="168">
        <f t="shared" si="30"/>
        <v>29.999999999999972</v>
      </c>
      <c r="W50" s="17"/>
      <c r="X50" s="17"/>
      <c r="Y50" s="20"/>
      <c r="Z50" s="20"/>
      <c r="AA50" s="610"/>
      <c r="AB50" s="610"/>
      <c r="AC50" s="19"/>
      <c r="AD50" s="19"/>
      <c r="AE50" s="15">
        <f t="shared" si="8"/>
        <v>-63.999999999998408</v>
      </c>
      <c r="AF50" s="163">
        <f t="shared" si="9"/>
        <v>0.96800000000000075</v>
      </c>
      <c r="AG50" s="619"/>
    </row>
    <row r="51" spans="1:33" ht="15.75" customHeight="1">
      <c r="A51" s="623" t="s">
        <v>84</v>
      </c>
      <c r="B51" s="33" t="s">
        <v>6</v>
      </c>
      <c r="C51" s="612" t="s">
        <v>44</v>
      </c>
      <c r="D51" s="613"/>
      <c r="E51" s="33">
        <v>55.56</v>
      </c>
      <c r="F51" s="35">
        <v>1000</v>
      </c>
      <c r="G51" s="173">
        <f t="shared" si="0"/>
        <v>55560</v>
      </c>
      <c r="H51" s="29">
        <v>2</v>
      </c>
      <c r="I51" s="167">
        <v>17</v>
      </c>
      <c r="J51" s="30">
        <v>2000</v>
      </c>
      <c r="K51" s="13">
        <f t="shared" si="1"/>
        <v>117.64705882352941</v>
      </c>
      <c r="L51" s="167">
        <v>17</v>
      </c>
      <c r="M51" s="14">
        <f t="shared" si="32"/>
        <v>1935.483870967739</v>
      </c>
      <c r="N51" s="14">
        <f t="shared" si="3"/>
        <v>113.85199240986699</v>
      </c>
      <c r="O51" s="15">
        <f t="shared" si="4"/>
        <v>0</v>
      </c>
      <c r="P51" s="16">
        <f t="shared" si="5"/>
        <v>-3.7950664136624113</v>
      </c>
      <c r="Q51" s="163">
        <f t="shared" si="6"/>
        <v>0.96774193548386955</v>
      </c>
      <c r="R51" s="619"/>
      <c r="S51" s="31">
        <v>0.70833333333333337</v>
      </c>
      <c r="T51" s="31">
        <v>0.72986111111111118</v>
      </c>
      <c r="U51" s="162" t="str">
        <f t="shared" si="31"/>
        <v/>
      </c>
      <c r="V51" s="168">
        <f t="shared" si="30"/>
        <v>31.00000000000005</v>
      </c>
      <c r="W51" s="17"/>
      <c r="X51" s="17"/>
      <c r="Y51" s="20"/>
      <c r="Z51" s="20"/>
      <c r="AA51" s="614"/>
      <c r="AB51" s="615"/>
      <c r="AC51" s="19"/>
      <c r="AD51" s="19"/>
      <c r="AE51" s="15">
        <f t="shared" si="8"/>
        <v>-64.516129032261006</v>
      </c>
      <c r="AF51" s="163">
        <f t="shared" si="9"/>
        <v>0.96774193548386944</v>
      </c>
      <c r="AG51" s="619"/>
    </row>
    <row r="52" spans="1:33" ht="15.75" customHeight="1">
      <c r="A52" s="623" t="s">
        <v>576</v>
      </c>
      <c r="B52" s="33" t="s">
        <v>6</v>
      </c>
      <c r="C52" s="612" t="s">
        <v>72</v>
      </c>
      <c r="D52" s="613"/>
      <c r="E52" s="33">
        <v>58.17</v>
      </c>
      <c r="F52" s="35">
        <v>2016</v>
      </c>
      <c r="G52" s="173">
        <f t="shared" si="0"/>
        <v>117270.72</v>
      </c>
      <c r="H52" s="29" t="s">
        <v>5</v>
      </c>
      <c r="I52" s="167">
        <v>13</v>
      </c>
      <c r="J52" s="30">
        <v>2000</v>
      </c>
      <c r="K52" s="13">
        <f t="shared" si="1"/>
        <v>153.84615384615384</v>
      </c>
      <c r="L52" s="167">
        <v>13</v>
      </c>
      <c r="M52" s="14">
        <f t="shared" si="32"/>
        <v>1920.000000000002</v>
      </c>
      <c r="N52" s="14">
        <f t="shared" si="3"/>
        <v>147.69230769230785</v>
      </c>
      <c r="O52" s="15">
        <f t="shared" si="4"/>
        <v>0</v>
      </c>
      <c r="P52" s="16">
        <f t="shared" si="5"/>
        <v>-6.1538461538459899</v>
      </c>
      <c r="Q52" s="163">
        <f t="shared" si="6"/>
        <v>0.96000000000000107</v>
      </c>
      <c r="R52" s="619"/>
      <c r="S52" s="31">
        <v>0.73472222222222228</v>
      </c>
      <c r="T52" s="31">
        <v>0.77847222222222223</v>
      </c>
      <c r="U52" s="162">
        <f t="shared" si="31"/>
        <v>6.9999999999999751</v>
      </c>
      <c r="V52" s="168">
        <f t="shared" si="30"/>
        <v>62.999999999999936</v>
      </c>
      <c r="W52" s="17"/>
      <c r="X52" s="17"/>
      <c r="Y52" s="20"/>
      <c r="Z52" s="20"/>
      <c r="AA52" s="614"/>
      <c r="AB52" s="615"/>
      <c r="AC52" s="19"/>
      <c r="AD52" s="19"/>
      <c r="AE52" s="15">
        <f t="shared" si="8"/>
        <v>-79.999999999997954</v>
      </c>
      <c r="AF52" s="163">
        <f t="shared" si="9"/>
        <v>0.96000000000000107</v>
      </c>
      <c r="AG52" s="619"/>
    </row>
    <row r="53" spans="1:33" ht="15.75" customHeight="1">
      <c r="A53" s="623" t="s">
        <v>576</v>
      </c>
      <c r="B53" s="33" t="s">
        <v>6</v>
      </c>
      <c r="C53" s="612" t="s">
        <v>82</v>
      </c>
      <c r="D53" s="613"/>
      <c r="E53" s="33">
        <v>54.09</v>
      </c>
      <c r="F53" s="35">
        <v>2003</v>
      </c>
      <c r="G53" s="173">
        <f t="shared" si="0"/>
        <v>108342.27</v>
      </c>
      <c r="H53" s="29" t="s">
        <v>5</v>
      </c>
      <c r="I53" s="167">
        <v>14</v>
      </c>
      <c r="J53" s="30">
        <v>2000</v>
      </c>
      <c r="K53" s="13">
        <f t="shared" si="1"/>
        <v>142.85714285714286</v>
      </c>
      <c r="L53" s="167">
        <v>14</v>
      </c>
      <c r="M53" s="14">
        <f t="shared" si="32"/>
        <v>1907.6190476190495</v>
      </c>
      <c r="N53" s="14">
        <f t="shared" si="3"/>
        <v>136.25850340136068</v>
      </c>
      <c r="O53" s="15">
        <f t="shared" si="4"/>
        <v>0</v>
      </c>
      <c r="P53" s="16">
        <f t="shared" si="5"/>
        <v>-6.5986394557821768</v>
      </c>
      <c r="Q53" s="163">
        <f t="shared" si="6"/>
        <v>0.95380952380952477</v>
      </c>
      <c r="R53" s="619"/>
      <c r="S53" s="31">
        <v>0.78333333333333333</v>
      </c>
      <c r="T53" s="31">
        <v>0.82708333333333328</v>
      </c>
      <c r="U53" s="162">
        <f t="shared" si="31"/>
        <v>6.9999999999999751</v>
      </c>
      <c r="V53" s="168">
        <f t="shared" si="30"/>
        <v>62.999999999999936</v>
      </c>
      <c r="W53" s="17">
        <f>T53</f>
        <v>0.82708333333333328</v>
      </c>
      <c r="X53" s="17">
        <f>S54</f>
        <v>0.86805555555555547</v>
      </c>
      <c r="Y53" s="20"/>
      <c r="Z53" s="20"/>
      <c r="AA53" s="614"/>
      <c r="AB53" s="615"/>
      <c r="AC53" s="19"/>
      <c r="AD53" s="19"/>
      <c r="AE53" s="15">
        <f t="shared" si="8"/>
        <v>-92.380952380950475</v>
      </c>
      <c r="AF53" s="163">
        <f t="shared" si="9"/>
        <v>0.95380952380952477</v>
      </c>
      <c r="AG53" s="619"/>
    </row>
    <row r="54" spans="1:33">
      <c r="A54" s="623" t="s">
        <v>576</v>
      </c>
      <c r="B54" s="33" t="s">
        <v>6</v>
      </c>
      <c r="C54" s="156" t="s">
        <v>44</v>
      </c>
      <c r="D54" s="157"/>
      <c r="E54" s="33">
        <v>55.56</v>
      </c>
      <c r="F54" s="35">
        <v>1594</v>
      </c>
      <c r="G54" s="173">
        <f t="shared" si="0"/>
        <v>88562.64</v>
      </c>
      <c r="H54" s="29" t="s">
        <v>5</v>
      </c>
      <c r="I54" s="167">
        <v>17</v>
      </c>
      <c r="J54" s="30">
        <v>2000</v>
      </c>
      <c r="K54" s="13">
        <f t="shared" si="1"/>
        <v>117.64705882352941</v>
      </c>
      <c r="L54" s="167">
        <v>17</v>
      </c>
      <c r="M54" s="14">
        <f t="shared" si="32"/>
        <v>1912.8000000000006</v>
      </c>
      <c r="N54" s="14">
        <f t="shared" si="3"/>
        <v>112.51764705882357</v>
      </c>
      <c r="O54" s="15">
        <f t="shared" si="4"/>
        <v>0</v>
      </c>
      <c r="P54" s="16">
        <f t="shared" si="5"/>
        <v>-5.1294117647058357</v>
      </c>
      <c r="Q54" s="163">
        <f t="shared" si="6"/>
        <v>0.95640000000000036</v>
      </c>
      <c r="R54" s="619"/>
      <c r="S54" s="31">
        <v>0.86805555555555547</v>
      </c>
      <c r="T54" s="31">
        <v>0.90277777777777768</v>
      </c>
      <c r="U54" s="162">
        <f t="shared" si="31"/>
        <v>58.99999999999995</v>
      </c>
      <c r="V54" s="168">
        <f t="shared" si="30"/>
        <v>49.999999999999986</v>
      </c>
      <c r="W54" s="17"/>
      <c r="X54" s="17"/>
      <c r="Y54" s="20"/>
      <c r="Z54" s="20"/>
      <c r="AA54" s="158"/>
      <c r="AB54" s="159"/>
      <c r="AC54" s="19"/>
      <c r="AD54" s="19"/>
      <c r="AE54" s="15">
        <f t="shared" si="8"/>
        <v>-87.199999999999363</v>
      </c>
      <c r="AF54" s="163">
        <f t="shared" si="9"/>
        <v>0.95640000000000036</v>
      </c>
      <c r="AG54" s="619"/>
    </row>
    <row r="55" spans="1:33">
      <c r="A55" s="624" t="s">
        <v>576</v>
      </c>
      <c r="B55" s="33" t="s">
        <v>80</v>
      </c>
      <c r="C55" s="620"/>
      <c r="D55" s="620"/>
      <c r="E55" s="164"/>
      <c r="F55" s="34"/>
      <c r="G55" s="34"/>
      <c r="H55" s="170"/>
      <c r="I55" s="23">
        <v>18.555555555555557</v>
      </c>
      <c r="J55" s="30">
        <v>2000</v>
      </c>
      <c r="K55" s="13">
        <f t="shared" si="1"/>
        <v>107.78443113772454</v>
      </c>
      <c r="L55" s="23">
        <v>18.555555555555557</v>
      </c>
      <c r="M55" s="14">
        <f>AVERAGE(M46:M54)</f>
        <v>1925.1040725011635</v>
      </c>
      <c r="N55" s="13">
        <f t="shared" si="3"/>
        <v>103.74812366772737</v>
      </c>
      <c r="O55" s="15">
        <f t="shared" si="4"/>
        <v>0</v>
      </c>
      <c r="P55" s="16">
        <f t="shared" si="5"/>
        <v>-4.0363074699971691</v>
      </c>
      <c r="Q55" s="163">
        <f t="shared" si="6"/>
        <v>0.96255203625058183</v>
      </c>
      <c r="R55" s="619"/>
      <c r="S55" s="31"/>
      <c r="T55" s="31"/>
      <c r="U55" s="162"/>
      <c r="V55" s="168"/>
      <c r="W55" s="13"/>
      <c r="X55" s="13"/>
      <c r="Y55" s="24">
        <f>SUM(Y46:Y54)</f>
        <v>0</v>
      </c>
      <c r="Z55" s="24">
        <f>SUM(Z46:Z54)</f>
        <v>0</v>
      </c>
      <c r="AA55" s="609"/>
      <c r="AB55" s="609"/>
      <c r="AC55" s="24">
        <v>9</v>
      </c>
      <c r="AD55" s="24">
        <f>SUM(AD46:AD54)</f>
        <v>0</v>
      </c>
      <c r="AE55" s="15">
        <f>M55-J55</f>
        <v>-74.8959274988365</v>
      </c>
      <c r="AF55" s="163">
        <f t="shared" si="9"/>
        <v>0.96255203625058172</v>
      </c>
      <c r="AG55" s="619"/>
    </row>
    <row r="56" spans="1:33" ht="15.75" customHeight="1">
      <c r="A56" s="621" t="s">
        <v>85</v>
      </c>
      <c r="B56" s="170" t="s">
        <v>36</v>
      </c>
      <c r="C56" s="611" t="s">
        <v>46</v>
      </c>
      <c r="D56" s="611"/>
      <c r="E56" s="33">
        <v>35.119999999999997</v>
      </c>
      <c r="F56" s="35">
        <v>4206</v>
      </c>
      <c r="G56" s="173">
        <f t="shared" si="0"/>
        <v>147714.72</v>
      </c>
      <c r="H56" s="29" t="s">
        <v>5</v>
      </c>
      <c r="I56" s="167">
        <v>10</v>
      </c>
      <c r="J56" s="30">
        <v>3000</v>
      </c>
      <c r="K56" s="13">
        <f t="shared" si="1"/>
        <v>300</v>
      </c>
      <c r="L56" s="167">
        <v>10</v>
      </c>
      <c r="M56" s="14">
        <f t="shared" ref="M56:M60" si="33">F56/V56*60</f>
        <v>2867.7272727272739</v>
      </c>
      <c r="N56" s="13">
        <f t="shared" si="3"/>
        <v>286.77272727272737</v>
      </c>
      <c r="O56" s="15">
        <f t="shared" si="4"/>
        <v>0</v>
      </c>
      <c r="P56" s="16">
        <f t="shared" si="5"/>
        <v>-13.227272727272634</v>
      </c>
      <c r="Q56" s="163">
        <f t="shared" si="6"/>
        <v>0.95590909090909126</v>
      </c>
      <c r="R56" s="619">
        <f>Q61</f>
        <v>0.96022943722943654</v>
      </c>
      <c r="S56" s="31">
        <v>0.20833333333333334</v>
      </c>
      <c r="T56" s="31">
        <v>0.26944444444444443</v>
      </c>
      <c r="U56" s="162"/>
      <c r="V56" s="168">
        <f t="shared" ref="V56:V60" si="34">(T56-S56)*24*60</f>
        <v>87.999999999999972</v>
      </c>
      <c r="W56" s="17"/>
      <c r="X56" s="17"/>
      <c r="Y56" s="22"/>
      <c r="Z56" s="22"/>
      <c r="AA56" s="610"/>
      <c r="AB56" s="610"/>
      <c r="AC56" s="19">
        <v>5</v>
      </c>
      <c r="AD56" s="19"/>
      <c r="AE56" s="15">
        <f t="shared" ref="AE56:AE69" si="35">M56-J56</f>
        <v>-132.27272727272612</v>
      </c>
      <c r="AF56" s="163">
        <f t="shared" si="9"/>
        <v>0.95590909090909126</v>
      </c>
      <c r="AG56" s="619">
        <f>AF61</f>
        <v>0.96022943722943666</v>
      </c>
    </row>
    <row r="57" spans="1:33" ht="15.75" customHeight="1">
      <c r="A57" s="621" t="s">
        <v>577</v>
      </c>
      <c r="B57" s="170" t="s">
        <v>36</v>
      </c>
      <c r="C57" s="611" t="s">
        <v>47</v>
      </c>
      <c r="D57" s="611"/>
      <c r="E57" s="33">
        <v>26.78</v>
      </c>
      <c r="F57" s="35">
        <v>2004</v>
      </c>
      <c r="G57" s="173">
        <f t="shared" si="0"/>
        <v>53667.12</v>
      </c>
      <c r="H57" s="29" t="s">
        <v>5</v>
      </c>
      <c r="I57" s="167">
        <v>10</v>
      </c>
      <c r="J57" s="30">
        <v>3000</v>
      </c>
      <c r="K57" s="13">
        <f t="shared" si="1"/>
        <v>300</v>
      </c>
      <c r="L57" s="167">
        <v>10</v>
      </c>
      <c r="M57" s="14">
        <f t="shared" si="33"/>
        <v>2862.8571428571422</v>
      </c>
      <c r="N57" s="13">
        <f t="shared" si="3"/>
        <v>286.28571428571422</v>
      </c>
      <c r="O57" s="15">
        <f t="shared" si="4"/>
        <v>0</v>
      </c>
      <c r="P57" s="16">
        <f t="shared" si="5"/>
        <v>-13.714285714285779</v>
      </c>
      <c r="Q57" s="163">
        <f t="shared" si="6"/>
        <v>0.95428571428571407</v>
      </c>
      <c r="R57" s="619"/>
      <c r="S57" s="31">
        <v>0.27361111111111108</v>
      </c>
      <c r="T57" s="31">
        <v>0.30277777777777776</v>
      </c>
      <c r="U57" s="162">
        <f t="shared" ref="U57:U60" si="36">(S57-T56)*24*60</f>
        <v>5.9999999999999787</v>
      </c>
      <c r="V57" s="168">
        <f t="shared" si="34"/>
        <v>42.000000000000014</v>
      </c>
      <c r="W57" s="162"/>
      <c r="X57" s="162"/>
      <c r="Y57" s="162"/>
      <c r="Z57" s="162"/>
      <c r="AA57" s="610"/>
      <c r="AB57" s="610"/>
      <c r="AC57" s="19"/>
      <c r="AD57" s="19"/>
      <c r="AE57" s="15">
        <f t="shared" si="35"/>
        <v>-137.14285714285779</v>
      </c>
      <c r="AF57" s="163">
        <f t="shared" si="9"/>
        <v>0.95428571428571407</v>
      </c>
      <c r="AG57" s="619"/>
    </row>
    <row r="58" spans="1:33" ht="15.75" customHeight="1">
      <c r="A58" s="621" t="s">
        <v>577</v>
      </c>
      <c r="B58" s="170" t="s">
        <v>36</v>
      </c>
      <c r="C58" s="611" t="s">
        <v>48</v>
      </c>
      <c r="D58" s="611"/>
      <c r="E58" s="33">
        <v>36.14</v>
      </c>
      <c r="F58" s="35">
        <v>661</v>
      </c>
      <c r="G58" s="173">
        <f t="shared" si="0"/>
        <v>23888.54</v>
      </c>
      <c r="H58" s="29" t="s">
        <v>5</v>
      </c>
      <c r="I58" s="167">
        <v>11</v>
      </c>
      <c r="J58" s="30">
        <v>3000</v>
      </c>
      <c r="K58" s="13">
        <f t="shared" si="1"/>
        <v>272.72727272727275</v>
      </c>
      <c r="L58" s="167">
        <v>11</v>
      </c>
      <c r="M58" s="14">
        <f t="shared" si="33"/>
        <v>2832.8571428571368</v>
      </c>
      <c r="N58" s="13">
        <f t="shared" si="3"/>
        <v>257.53246753246697</v>
      </c>
      <c r="O58" s="15">
        <f t="shared" si="4"/>
        <v>0</v>
      </c>
      <c r="P58" s="16">
        <f t="shared" si="5"/>
        <v>-15.194805194805781</v>
      </c>
      <c r="Q58" s="163">
        <f t="shared" si="6"/>
        <v>0.94428571428571217</v>
      </c>
      <c r="R58" s="619"/>
      <c r="S58" s="31">
        <v>0.30624999999999997</v>
      </c>
      <c r="T58" s="31">
        <v>0.31597222222222221</v>
      </c>
      <c r="U58" s="162">
        <f t="shared" si="36"/>
        <v>4.9999999999999822</v>
      </c>
      <c r="V58" s="168">
        <f t="shared" si="34"/>
        <v>14.00000000000003</v>
      </c>
      <c r="W58" s="162"/>
      <c r="X58" s="162"/>
      <c r="Y58" s="162"/>
      <c r="Z58" s="162"/>
      <c r="AA58" s="610"/>
      <c r="AB58" s="610"/>
      <c r="AC58" s="19"/>
      <c r="AD58" s="19"/>
      <c r="AE58" s="15">
        <f t="shared" si="35"/>
        <v>-167.14285714286325</v>
      </c>
      <c r="AF58" s="163">
        <f t="shared" si="9"/>
        <v>0.94428571428571229</v>
      </c>
      <c r="AG58" s="619"/>
    </row>
    <row r="59" spans="1:33" ht="15.75" customHeight="1">
      <c r="A59" s="621" t="s">
        <v>85</v>
      </c>
      <c r="B59" s="170" t="s">
        <v>36</v>
      </c>
      <c r="C59" s="611" t="s">
        <v>39</v>
      </c>
      <c r="D59" s="611"/>
      <c r="E59" s="33">
        <v>35.869999999999997</v>
      </c>
      <c r="F59" s="35">
        <v>1036</v>
      </c>
      <c r="G59" s="173">
        <f t="shared" si="0"/>
        <v>37161.32</v>
      </c>
      <c r="H59" s="29" t="s">
        <v>5</v>
      </c>
      <c r="I59" s="167">
        <v>9</v>
      </c>
      <c r="J59" s="30">
        <v>3000</v>
      </c>
      <c r="K59" s="13">
        <f t="shared" si="1"/>
        <v>333.33333333333331</v>
      </c>
      <c r="L59" s="167">
        <v>9</v>
      </c>
      <c r="M59" s="14">
        <f t="shared" si="33"/>
        <v>2959.9999999999991</v>
      </c>
      <c r="N59" s="13">
        <f t="shared" si="3"/>
        <v>328.8888888888888</v>
      </c>
      <c r="O59" s="15">
        <f t="shared" si="4"/>
        <v>0</v>
      </c>
      <c r="P59" s="16">
        <f t="shared" si="5"/>
        <v>-4.4444444444445139</v>
      </c>
      <c r="Q59" s="163">
        <f t="shared" si="6"/>
        <v>0.98666666666666647</v>
      </c>
      <c r="R59" s="619"/>
      <c r="S59" s="31">
        <v>0.31874999999999998</v>
      </c>
      <c r="T59" s="31">
        <v>0.33333333333333331</v>
      </c>
      <c r="U59" s="162">
        <f t="shared" si="36"/>
        <v>3.9999999999999858</v>
      </c>
      <c r="V59" s="168">
        <f t="shared" si="34"/>
        <v>21.000000000000007</v>
      </c>
      <c r="W59" s="162"/>
      <c r="X59" s="162"/>
      <c r="Y59" s="162"/>
      <c r="Z59" s="162"/>
      <c r="AA59" s="610"/>
      <c r="AB59" s="610"/>
      <c r="AC59" s="19"/>
      <c r="AD59" s="19"/>
      <c r="AE59" s="15">
        <f t="shared" si="35"/>
        <v>-40.000000000000909</v>
      </c>
      <c r="AF59" s="163">
        <f t="shared" si="9"/>
        <v>0.98666666666666636</v>
      </c>
      <c r="AG59" s="619"/>
    </row>
    <row r="60" spans="1:33">
      <c r="A60" s="622" t="s">
        <v>577</v>
      </c>
      <c r="B60" s="170" t="s">
        <v>36</v>
      </c>
      <c r="C60" s="611" t="s">
        <v>74</v>
      </c>
      <c r="D60" s="611"/>
      <c r="E60" s="33">
        <v>33.770000000000003</v>
      </c>
      <c r="F60" s="35">
        <v>3216</v>
      </c>
      <c r="G60" s="173">
        <f t="shared" si="0"/>
        <v>108604.32</v>
      </c>
      <c r="H60" s="29" t="s">
        <v>5</v>
      </c>
      <c r="I60" s="167">
        <v>12</v>
      </c>
      <c r="J60" s="30">
        <v>3000</v>
      </c>
      <c r="K60" s="13">
        <f t="shared" si="1"/>
        <v>250</v>
      </c>
      <c r="L60" s="167">
        <v>12</v>
      </c>
      <c r="M60" s="14">
        <f t="shared" si="33"/>
        <v>2880</v>
      </c>
      <c r="N60" s="13">
        <f t="shared" si="3"/>
        <v>240</v>
      </c>
      <c r="O60" s="15">
        <f t="shared" si="4"/>
        <v>0</v>
      </c>
      <c r="P60" s="16">
        <f t="shared" si="5"/>
        <v>-10</v>
      </c>
      <c r="Q60" s="163">
        <f t="shared" si="6"/>
        <v>0.96</v>
      </c>
      <c r="R60" s="619"/>
      <c r="S60" s="31">
        <v>0.33819444444444441</v>
      </c>
      <c r="T60" s="31">
        <v>0.38472222222222219</v>
      </c>
      <c r="U60" s="162">
        <f t="shared" si="36"/>
        <v>6.9999999999999751</v>
      </c>
      <c r="V60" s="168">
        <f t="shared" si="34"/>
        <v>67</v>
      </c>
      <c r="W60" s="17"/>
      <c r="X60" s="17"/>
      <c r="Y60" s="17"/>
      <c r="Z60" s="17"/>
      <c r="AA60" s="610"/>
      <c r="AB60" s="610"/>
      <c r="AC60" s="19"/>
      <c r="AD60" s="19"/>
      <c r="AE60" s="15">
        <f t="shared" si="35"/>
        <v>-120</v>
      </c>
      <c r="AF60" s="163">
        <f t="shared" si="9"/>
        <v>0.96</v>
      </c>
      <c r="AG60" s="619"/>
    </row>
    <row r="61" spans="1:33">
      <c r="A61" s="622" t="s">
        <v>577</v>
      </c>
      <c r="B61" s="33" t="s">
        <v>564</v>
      </c>
      <c r="C61" s="620"/>
      <c r="D61" s="620"/>
      <c r="E61" s="164"/>
      <c r="F61" s="34"/>
      <c r="G61" s="34"/>
      <c r="H61" s="170"/>
      <c r="I61" s="23">
        <v>10.4</v>
      </c>
      <c r="J61" s="30">
        <v>3000</v>
      </c>
      <c r="K61" s="13">
        <f t="shared" si="1"/>
        <v>288.46153846153845</v>
      </c>
      <c r="L61" s="23">
        <v>10.4</v>
      </c>
      <c r="M61" s="14">
        <f>AVERAGE(M56:M60)</f>
        <v>2880.68831168831</v>
      </c>
      <c r="N61" s="13">
        <f t="shared" si="3"/>
        <v>276.98926073926054</v>
      </c>
      <c r="O61" s="15">
        <f t="shared" si="4"/>
        <v>0</v>
      </c>
      <c r="P61" s="16">
        <f t="shared" si="5"/>
        <v>-11.472277722277909</v>
      </c>
      <c r="Q61" s="163">
        <f t="shared" si="6"/>
        <v>0.96022943722943654</v>
      </c>
      <c r="R61" s="619"/>
      <c r="S61" s="31"/>
      <c r="T61" s="31"/>
      <c r="U61" s="13"/>
      <c r="V61" s="168"/>
      <c r="W61" s="13"/>
      <c r="X61" s="13"/>
      <c r="Y61" s="24">
        <f>SUM(Y56:Y60)</f>
        <v>0</v>
      </c>
      <c r="Z61" s="24">
        <f>SUM(Z56:Z60)</f>
        <v>0</v>
      </c>
      <c r="AA61" s="609"/>
      <c r="AB61" s="609"/>
      <c r="AC61" s="24">
        <v>5</v>
      </c>
      <c r="AD61" s="24">
        <f>SUM(AD56:AD60)</f>
        <v>0</v>
      </c>
      <c r="AE61" s="15">
        <f t="shared" si="35"/>
        <v>-119.31168831168998</v>
      </c>
      <c r="AF61" s="163">
        <f t="shared" si="9"/>
        <v>0.96022943722943666</v>
      </c>
      <c r="AG61" s="619"/>
    </row>
    <row r="62" spans="1:33" ht="15.75" customHeight="1">
      <c r="A62" s="616" t="s">
        <v>578</v>
      </c>
      <c r="B62" s="170" t="s">
        <v>27</v>
      </c>
      <c r="C62" s="611" t="s">
        <v>50</v>
      </c>
      <c r="D62" s="611"/>
      <c r="E62" s="33">
        <v>19.02</v>
      </c>
      <c r="F62" s="170">
        <v>5000</v>
      </c>
      <c r="G62" s="173">
        <f t="shared" si="0"/>
        <v>95100</v>
      </c>
      <c r="H62" s="29">
        <v>2</v>
      </c>
      <c r="I62" s="167">
        <v>14</v>
      </c>
      <c r="J62" s="30">
        <v>2400</v>
      </c>
      <c r="K62" s="13">
        <f t="shared" si="1"/>
        <v>171.42857142857142</v>
      </c>
      <c r="L62" s="167">
        <v>14</v>
      </c>
      <c r="M62" s="14">
        <f t="shared" ref="M62:M68" si="37">F62/V62*60</f>
        <v>2290.0763358778627</v>
      </c>
      <c r="N62" s="13">
        <f t="shared" si="3"/>
        <v>163.57688113413306</v>
      </c>
      <c r="O62" s="15">
        <f t="shared" si="4"/>
        <v>0</v>
      </c>
      <c r="P62" s="16">
        <f t="shared" si="5"/>
        <v>-7.851690294438356</v>
      </c>
      <c r="Q62" s="163">
        <f t="shared" si="6"/>
        <v>0.95419847328244289</v>
      </c>
      <c r="R62" s="619">
        <f>Q69</f>
        <v>0.95848366934793638</v>
      </c>
      <c r="S62" s="31">
        <v>8.3333333333333329E-2</v>
      </c>
      <c r="T62" s="31">
        <v>0.17430555555555555</v>
      </c>
      <c r="U62" s="22"/>
      <c r="V62" s="168">
        <f t="shared" ref="V62:V68" si="38">(T62-S62)*24*60</f>
        <v>131</v>
      </c>
      <c r="W62" s="17">
        <f>T62</f>
        <v>0.17430555555555555</v>
      </c>
      <c r="X62" s="17">
        <f>S63</f>
        <v>0.19583333333333333</v>
      </c>
      <c r="Y62" s="17"/>
      <c r="Z62" s="17"/>
      <c r="AA62" s="610"/>
      <c r="AB62" s="610"/>
      <c r="AC62" s="19">
        <v>7</v>
      </c>
      <c r="AD62" s="19"/>
      <c r="AE62" s="15">
        <f t="shared" si="35"/>
        <v>-109.92366412213732</v>
      </c>
      <c r="AF62" s="163">
        <f t="shared" si="9"/>
        <v>0.95419847328244278</v>
      </c>
      <c r="AG62" s="619">
        <f>AF69</f>
        <v>0.95848366934793638</v>
      </c>
    </row>
    <row r="63" spans="1:33" ht="15.75" customHeight="1">
      <c r="A63" s="617" t="s">
        <v>579</v>
      </c>
      <c r="B63" s="170" t="s">
        <v>27</v>
      </c>
      <c r="C63" s="611" t="s">
        <v>51</v>
      </c>
      <c r="D63" s="611"/>
      <c r="E63" s="33">
        <v>20.36</v>
      </c>
      <c r="F63" s="170">
        <v>3277</v>
      </c>
      <c r="G63" s="173">
        <f t="shared" si="0"/>
        <v>66719.72</v>
      </c>
      <c r="H63" s="29" t="s">
        <v>5</v>
      </c>
      <c r="I63" s="167">
        <v>17</v>
      </c>
      <c r="J63" s="30">
        <v>2400</v>
      </c>
      <c r="K63" s="13">
        <f t="shared" si="1"/>
        <v>141.1764705882353</v>
      </c>
      <c r="L63" s="167">
        <v>17</v>
      </c>
      <c r="M63" s="14">
        <f t="shared" si="37"/>
        <v>2286.2790697674427</v>
      </c>
      <c r="N63" s="13">
        <f t="shared" si="3"/>
        <v>134.48700410396722</v>
      </c>
      <c r="O63" s="15">
        <f t="shared" si="4"/>
        <v>0</v>
      </c>
      <c r="P63" s="16">
        <f t="shared" si="5"/>
        <v>-6.6894664842680811</v>
      </c>
      <c r="Q63" s="163">
        <f t="shared" si="6"/>
        <v>0.95261627906976776</v>
      </c>
      <c r="R63" s="619"/>
      <c r="S63" s="31">
        <v>0.19583333333333333</v>
      </c>
      <c r="T63" s="31">
        <v>0.25555555555555554</v>
      </c>
      <c r="U63" s="162">
        <f t="shared" ref="U63:U68" si="39">(S63-T62)*24*60</f>
        <v>31.000000000000011</v>
      </c>
      <c r="V63" s="168">
        <f t="shared" si="38"/>
        <v>85.999999999999972</v>
      </c>
      <c r="W63" s="17"/>
      <c r="X63" s="17"/>
      <c r="Y63" s="17"/>
      <c r="Z63" s="17"/>
      <c r="AA63" s="610"/>
      <c r="AB63" s="610"/>
      <c r="AC63" s="19"/>
      <c r="AD63" s="19"/>
      <c r="AE63" s="15">
        <f t="shared" si="35"/>
        <v>-113.72093023255729</v>
      </c>
      <c r="AF63" s="163">
        <f t="shared" si="9"/>
        <v>0.95261627906976776</v>
      </c>
      <c r="AG63" s="619"/>
    </row>
    <row r="64" spans="1:33" ht="15.75" customHeight="1">
      <c r="A64" s="617" t="s">
        <v>578</v>
      </c>
      <c r="B64" s="170" t="s">
        <v>27</v>
      </c>
      <c r="C64" s="611" t="s">
        <v>75</v>
      </c>
      <c r="D64" s="611"/>
      <c r="E64" s="33">
        <v>25.98</v>
      </c>
      <c r="F64" s="170">
        <v>3710</v>
      </c>
      <c r="G64" s="173">
        <f t="shared" si="0"/>
        <v>96385.8</v>
      </c>
      <c r="H64" s="29" t="s">
        <v>5</v>
      </c>
      <c r="I64" s="167">
        <v>19</v>
      </c>
      <c r="J64" s="30">
        <v>2400</v>
      </c>
      <c r="K64" s="13">
        <f t="shared" si="1"/>
        <v>126.31578947368421</v>
      </c>
      <c r="L64" s="167">
        <v>19</v>
      </c>
      <c r="M64" s="14">
        <f t="shared" si="37"/>
        <v>2294.8453608247432</v>
      </c>
      <c r="N64" s="13">
        <f t="shared" si="3"/>
        <v>120.78133478024965</v>
      </c>
      <c r="O64" s="15">
        <f t="shared" si="4"/>
        <v>0</v>
      </c>
      <c r="P64" s="16">
        <f t="shared" si="5"/>
        <v>-5.5344546934345544</v>
      </c>
      <c r="Q64" s="163">
        <f t="shared" si="6"/>
        <v>0.95618556701030977</v>
      </c>
      <c r="R64" s="619"/>
      <c r="S64" s="31">
        <v>0.26041666666666663</v>
      </c>
      <c r="T64" s="31">
        <v>0.32777777777777772</v>
      </c>
      <c r="U64" s="162">
        <f t="shared" si="39"/>
        <v>6.9999999999999751</v>
      </c>
      <c r="V64" s="168">
        <f t="shared" si="38"/>
        <v>96.999999999999972</v>
      </c>
      <c r="W64" s="17"/>
      <c r="X64" s="17"/>
      <c r="Y64" s="17"/>
      <c r="Z64" s="17"/>
      <c r="AA64" s="610"/>
      <c r="AB64" s="610"/>
      <c r="AC64" s="19"/>
      <c r="AD64" s="19"/>
      <c r="AE64" s="15">
        <f t="shared" si="35"/>
        <v>-105.15463917525676</v>
      </c>
      <c r="AF64" s="163">
        <f t="shared" si="9"/>
        <v>0.95618556701030966</v>
      </c>
      <c r="AG64" s="619"/>
    </row>
    <row r="65" spans="1:33" ht="15.75" customHeight="1">
      <c r="A65" s="617" t="s">
        <v>578</v>
      </c>
      <c r="B65" s="170" t="s">
        <v>27</v>
      </c>
      <c r="C65" s="611" t="s">
        <v>31</v>
      </c>
      <c r="D65" s="611"/>
      <c r="E65" s="33">
        <v>25.99</v>
      </c>
      <c r="F65" s="170">
        <v>918</v>
      </c>
      <c r="G65" s="173">
        <f t="shared" si="0"/>
        <v>23858.82</v>
      </c>
      <c r="H65" s="29" t="s">
        <v>5</v>
      </c>
      <c r="I65" s="167">
        <v>18</v>
      </c>
      <c r="J65" s="30">
        <v>2400</v>
      </c>
      <c r="K65" s="13">
        <f t="shared" si="1"/>
        <v>133.33333333333334</v>
      </c>
      <c r="L65" s="167">
        <v>18</v>
      </c>
      <c r="M65" s="14">
        <f t="shared" si="37"/>
        <v>2295.0000000000009</v>
      </c>
      <c r="N65" s="13">
        <f t="shared" si="3"/>
        <v>127.50000000000006</v>
      </c>
      <c r="O65" s="15">
        <f t="shared" si="4"/>
        <v>0</v>
      </c>
      <c r="P65" s="16">
        <f t="shared" si="5"/>
        <v>-5.833333333333286</v>
      </c>
      <c r="Q65" s="163">
        <f t="shared" si="6"/>
        <v>0.95625000000000038</v>
      </c>
      <c r="R65" s="619"/>
      <c r="S65" s="31">
        <v>0.33124999999999993</v>
      </c>
      <c r="T65" s="31">
        <v>0.3479166666666666</v>
      </c>
      <c r="U65" s="162">
        <f t="shared" si="39"/>
        <v>4.9999999999999822</v>
      </c>
      <c r="V65" s="168">
        <f t="shared" si="38"/>
        <v>23.999999999999993</v>
      </c>
      <c r="W65" s="17"/>
      <c r="X65" s="17"/>
      <c r="Y65" s="17"/>
      <c r="Z65" s="17"/>
      <c r="AA65" s="610"/>
      <c r="AB65" s="610"/>
      <c r="AC65" s="19"/>
      <c r="AD65" s="19"/>
      <c r="AE65" s="15">
        <f t="shared" si="35"/>
        <v>-104.99999999999909</v>
      </c>
      <c r="AF65" s="163">
        <f t="shared" si="9"/>
        <v>0.95625000000000038</v>
      </c>
      <c r="AG65" s="619"/>
    </row>
    <row r="66" spans="1:33" ht="15.75" customHeight="1">
      <c r="A66" s="617" t="s">
        <v>578</v>
      </c>
      <c r="B66" s="170" t="s">
        <v>27</v>
      </c>
      <c r="C66" s="611" t="s">
        <v>55</v>
      </c>
      <c r="D66" s="611"/>
      <c r="E66" s="33">
        <v>23.89</v>
      </c>
      <c r="F66" s="170">
        <v>665</v>
      </c>
      <c r="G66" s="173">
        <f t="shared" si="0"/>
        <v>15886.85</v>
      </c>
      <c r="H66" s="29" t="s">
        <v>5</v>
      </c>
      <c r="I66" s="167">
        <v>13</v>
      </c>
      <c r="J66" s="30">
        <v>2400</v>
      </c>
      <c r="K66" s="13">
        <f t="shared" si="1"/>
        <v>184.61538461538461</v>
      </c>
      <c r="L66" s="167">
        <v>13</v>
      </c>
      <c r="M66" s="14">
        <f t="shared" si="37"/>
        <v>2347.058823529409</v>
      </c>
      <c r="N66" s="13">
        <f t="shared" si="3"/>
        <v>180.54298642533917</v>
      </c>
      <c r="O66" s="15">
        <f t="shared" si="4"/>
        <v>0</v>
      </c>
      <c r="P66" s="16">
        <f t="shared" si="5"/>
        <v>-4.0723981900454476</v>
      </c>
      <c r="Q66" s="163">
        <f t="shared" si="6"/>
        <v>0.9779411764705872</v>
      </c>
      <c r="R66" s="619"/>
      <c r="S66" s="31">
        <v>0.35347222222222213</v>
      </c>
      <c r="T66" s="31">
        <v>0.3652777777777777</v>
      </c>
      <c r="U66" s="162">
        <f t="shared" si="39"/>
        <v>7.9999999999999716</v>
      </c>
      <c r="V66" s="168">
        <f t="shared" si="38"/>
        <v>17.000000000000021</v>
      </c>
      <c r="W66" s="17"/>
      <c r="X66" s="17"/>
      <c r="Y66" s="17"/>
      <c r="Z66" s="17"/>
      <c r="AA66" s="610"/>
      <c r="AB66" s="610"/>
      <c r="AC66" s="19"/>
      <c r="AD66" s="19"/>
      <c r="AE66" s="15">
        <f t="shared" si="35"/>
        <v>-52.941176470591017</v>
      </c>
      <c r="AF66" s="163">
        <f t="shared" si="9"/>
        <v>0.97794117647058709</v>
      </c>
      <c r="AG66" s="619"/>
    </row>
    <row r="67" spans="1:33" ht="15.75" customHeight="1">
      <c r="A67" s="617" t="s">
        <v>578</v>
      </c>
      <c r="B67" s="170" t="s">
        <v>27</v>
      </c>
      <c r="C67" s="611" t="s">
        <v>197</v>
      </c>
      <c r="D67" s="611"/>
      <c r="E67" s="33">
        <v>23.89</v>
      </c>
      <c r="F67" s="170">
        <v>6183</v>
      </c>
      <c r="G67" s="173">
        <f t="shared" si="0"/>
        <v>147711.87</v>
      </c>
      <c r="H67" s="29" t="s">
        <v>5</v>
      </c>
      <c r="I67" s="167">
        <v>17</v>
      </c>
      <c r="J67" s="30">
        <v>2400</v>
      </c>
      <c r="K67" s="13">
        <f t="shared" si="1"/>
        <v>141.1764705882353</v>
      </c>
      <c r="L67" s="167">
        <v>17</v>
      </c>
      <c r="M67" s="14">
        <f t="shared" si="37"/>
        <v>2290.0000000000005</v>
      </c>
      <c r="N67" s="13">
        <f t="shared" si="3"/>
        <v>134.70588235294122</v>
      </c>
      <c r="O67" s="15">
        <f t="shared" si="4"/>
        <v>0</v>
      </c>
      <c r="P67" s="16">
        <f t="shared" si="5"/>
        <v>-6.4705882352940876</v>
      </c>
      <c r="Q67" s="163">
        <f t="shared" si="6"/>
        <v>0.95416666666666683</v>
      </c>
      <c r="R67" s="619"/>
      <c r="S67" s="31">
        <v>0.36944444444444435</v>
      </c>
      <c r="T67" s="31">
        <v>0.48194444444444434</v>
      </c>
      <c r="U67" s="162">
        <f t="shared" si="39"/>
        <v>5.9999999999999787</v>
      </c>
      <c r="V67" s="168">
        <f t="shared" si="38"/>
        <v>161.99999999999997</v>
      </c>
      <c r="W67" s="17">
        <f>T67</f>
        <v>0.48194444444444434</v>
      </c>
      <c r="X67" s="17">
        <f>S68</f>
        <v>0.52291666666666647</v>
      </c>
      <c r="Y67" s="17"/>
      <c r="Z67" s="17"/>
      <c r="AA67" s="610"/>
      <c r="AB67" s="610"/>
      <c r="AC67" s="19"/>
      <c r="AD67" s="19"/>
      <c r="AE67" s="15">
        <f t="shared" si="35"/>
        <v>-109.99999999999955</v>
      </c>
      <c r="AF67" s="163">
        <f t="shared" si="9"/>
        <v>0.95416666666666683</v>
      </c>
      <c r="AG67" s="619"/>
    </row>
    <row r="68" spans="1:33" ht="15.75" customHeight="1">
      <c r="A68" s="617" t="s">
        <v>578</v>
      </c>
      <c r="B68" s="170" t="s">
        <v>27</v>
      </c>
      <c r="C68" s="612" t="s">
        <v>50</v>
      </c>
      <c r="D68" s="613"/>
      <c r="E68" s="33">
        <v>19.02</v>
      </c>
      <c r="F68" s="170">
        <v>4177</v>
      </c>
      <c r="G68" s="173">
        <f t="shared" si="0"/>
        <v>79446.539999999994</v>
      </c>
      <c r="H68" s="29" t="s">
        <v>5</v>
      </c>
      <c r="I68" s="167">
        <v>14</v>
      </c>
      <c r="J68" s="30">
        <v>2400</v>
      </c>
      <c r="K68" s="13">
        <f t="shared" si="1"/>
        <v>171.42857142857142</v>
      </c>
      <c r="L68" s="167">
        <v>14</v>
      </c>
      <c r="M68" s="14">
        <f t="shared" si="37"/>
        <v>2299.2660550458731</v>
      </c>
      <c r="N68" s="13">
        <f t="shared" si="3"/>
        <v>164.23328964613378</v>
      </c>
      <c r="O68" s="15">
        <f t="shared" si="4"/>
        <v>0</v>
      </c>
      <c r="P68" s="16">
        <f t="shared" si="5"/>
        <v>-7.1952817824376325</v>
      </c>
      <c r="Q68" s="163">
        <f t="shared" si="6"/>
        <v>0.95802752293578053</v>
      </c>
      <c r="R68" s="619"/>
      <c r="S68" s="31">
        <v>0.52291666666666647</v>
      </c>
      <c r="T68" s="31">
        <v>0.59861111111111087</v>
      </c>
      <c r="U68" s="162">
        <f t="shared" si="39"/>
        <v>58.999999999999872</v>
      </c>
      <c r="V68" s="168">
        <f t="shared" si="38"/>
        <v>108.99999999999993</v>
      </c>
      <c r="W68" s="17"/>
      <c r="X68" s="17"/>
      <c r="Y68" s="20"/>
      <c r="Z68" s="20"/>
      <c r="AA68" s="614"/>
      <c r="AB68" s="615"/>
      <c r="AC68" s="19"/>
      <c r="AD68" s="19"/>
      <c r="AE68" s="15">
        <f t="shared" si="35"/>
        <v>-100.73394495412686</v>
      </c>
      <c r="AF68" s="163">
        <f t="shared" si="9"/>
        <v>0.95802752293578053</v>
      </c>
      <c r="AG68" s="619"/>
    </row>
    <row r="69" spans="1:33" ht="16.5" customHeight="1">
      <c r="A69" s="618" t="s">
        <v>578</v>
      </c>
      <c r="B69" s="33" t="s">
        <v>574</v>
      </c>
      <c r="C69" s="607"/>
      <c r="D69" s="608"/>
      <c r="E69" s="164"/>
      <c r="F69" s="34"/>
      <c r="G69" s="34"/>
      <c r="H69" s="170"/>
      <c r="I69" s="23">
        <v>16</v>
      </c>
      <c r="J69" s="30">
        <v>2400</v>
      </c>
      <c r="K69" s="13">
        <f t="shared" ref="K69" si="40">J69/I69</f>
        <v>150</v>
      </c>
      <c r="L69" s="23">
        <v>16</v>
      </c>
      <c r="M69" s="14">
        <f>AVERAGE(M62:M68)</f>
        <v>2300.3608064350474</v>
      </c>
      <c r="N69" s="13">
        <f t="shared" ref="N69" si="41">M69/L69</f>
        <v>143.77255040219046</v>
      </c>
      <c r="O69" s="15">
        <f t="shared" ref="O69" si="42">L69-I69</f>
        <v>0</v>
      </c>
      <c r="P69" s="16">
        <f t="shared" ref="P69" si="43">N69-K69</f>
        <v>-6.2274495978095388</v>
      </c>
      <c r="Q69" s="163">
        <f t="shared" ref="Q69" si="44">N69/K69</f>
        <v>0.95848366934793638</v>
      </c>
      <c r="R69" s="619"/>
      <c r="S69" s="31"/>
      <c r="T69" s="31"/>
      <c r="U69" s="13"/>
      <c r="V69" s="168"/>
      <c r="W69" s="13"/>
      <c r="X69" s="13"/>
      <c r="Y69" s="24">
        <f>SUM(Y62:Y68)</f>
        <v>0</v>
      </c>
      <c r="Z69" s="24">
        <f>SUM(Z62:Z68)</f>
        <v>0</v>
      </c>
      <c r="AA69" s="609"/>
      <c r="AB69" s="609"/>
      <c r="AC69" s="24">
        <v>7</v>
      </c>
      <c r="AD69" s="24">
        <f>SUM(AD62:AD68)</f>
        <v>0</v>
      </c>
      <c r="AE69" s="15">
        <f t="shared" si="35"/>
        <v>-99.63919356495262</v>
      </c>
      <c r="AF69" s="163">
        <f t="shared" ref="AF69" si="45">M69/J69</f>
        <v>0.95848366934793638</v>
      </c>
      <c r="AG69" s="619"/>
    </row>
    <row r="70" spans="1:33">
      <c r="D70" s="25"/>
      <c r="E70" s="25"/>
    </row>
  </sheetData>
  <mergeCells count="185">
    <mergeCell ref="A62:A69"/>
    <mergeCell ref="C62:D62"/>
    <mergeCell ref="R62:R69"/>
    <mergeCell ref="AA62:AB62"/>
    <mergeCell ref="AG62:AG69"/>
    <mergeCell ref="C63:D63"/>
    <mergeCell ref="AA63:AB63"/>
    <mergeCell ref="C64:D64"/>
    <mergeCell ref="AA64:AB64"/>
    <mergeCell ref="C65:D65"/>
    <mergeCell ref="C69:D69"/>
    <mergeCell ref="AA69:AB69"/>
    <mergeCell ref="AA65:AB65"/>
    <mergeCell ref="C66:D66"/>
    <mergeCell ref="AA66:AB66"/>
    <mergeCell ref="C67:D67"/>
    <mergeCell ref="AA67:AB67"/>
    <mergeCell ref="C68:D68"/>
    <mergeCell ref="AA68:AB68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56:A61"/>
    <mergeCell ref="C56:D56"/>
    <mergeCell ref="R56:R61"/>
    <mergeCell ref="AA56:AB56"/>
    <mergeCell ref="AA61:AB61"/>
    <mergeCell ref="AA50:AB50"/>
    <mergeCell ref="C51:D51"/>
    <mergeCell ref="AA51:AB51"/>
    <mergeCell ref="C52:D52"/>
    <mergeCell ref="AA52:AB52"/>
    <mergeCell ref="C53:D53"/>
    <mergeCell ref="AA53:AB53"/>
    <mergeCell ref="A46:A55"/>
    <mergeCell ref="C46:D46"/>
    <mergeCell ref="R46:R55"/>
    <mergeCell ref="AA46:AB46"/>
    <mergeCell ref="AG46:AG55"/>
    <mergeCell ref="C47:D47"/>
    <mergeCell ref="AA47:AB47"/>
    <mergeCell ref="C48:D48"/>
    <mergeCell ref="AA48:AB48"/>
    <mergeCell ref="AA49:AB49"/>
    <mergeCell ref="AG42:AG45"/>
    <mergeCell ref="C43:D43"/>
    <mergeCell ref="AA43:AB43"/>
    <mergeCell ref="C44:D44"/>
    <mergeCell ref="AA44:AB44"/>
    <mergeCell ref="C45:D45"/>
    <mergeCell ref="AA45:AB45"/>
    <mergeCell ref="C55:D55"/>
    <mergeCell ref="AA55:AB55"/>
    <mergeCell ref="A42:A45"/>
    <mergeCell ref="C42:D42"/>
    <mergeCell ref="R42:R45"/>
    <mergeCell ref="AA42:AB42"/>
    <mergeCell ref="AA37:AB37"/>
    <mergeCell ref="C38:D38"/>
    <mergeCell ref="AA38:AB38"/>
    <mergeCell ref="C39:D39"/>
    <mergeCell ref="AA39:AB39"/>
    <mergeCell ref="C40:D40"/>
    <mergeCell ref="AA40:AB40"/>
    <mergeCell ref="A34:A41"/>
    <mergeCell ref="C34:D34"/>
    <mergeCell ref="R34:R41"/>
    <mergeCell ref="AA34:AB34"/>
    <mergeCell ref="AG34:AG41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1:D41"/>
    <mergeCell ref="AA41:AB41"/>
    <mergeCell ref="A28:A33"/>
    <mergeCell ref="C28:D28"/>
    <mergeCell ref="R28:R33"/>
    <mergeCell ref="AA28:AB28"/>
    <mergeCell ref="AA33:AB3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C27:D27"/>
    <mergeCell ref="AA27:AB27"/>
    <mergeCell ref="AG13:AG20"/>
    <mergeCell ref="C14:D14"/>
    <mergeCell ref="AA14:AB14"/>
    <mergeCell ref="C15:D15"/>
    <mergeCell ref="AA15:AB15"/>
    <mergeCell ref="C16:D16"/>
    <mergeCell ref="C20:D20"/>
    <mergeCell ref="AA20:AB20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9:O67 O55:O56 O69 O5:O9 O12:O14 O20:O51">
    <cfRule type="cellIs" dxfId="447" priority="61" operator="greaterThan">
      <formula>0</formula>
    </cfRule>
  </conditionalFormatting>
  <conditionalFormatting sqref="P5:P7 P59:P60 AE59:AE60 P62:P67 P28:P32 P56 P9 P12:P14 P21:P26 P46:P51 P34:P44 AE5:AE56 AE62:AE69">
    <cfRule type="cellIs" dxfId="446" priority="65" operator="lessThan">
      <formula>0</formula>
    </cfRule>
  </conditionalFormatting>
  <conditionalFormatting sqref="AF59:AF60 Q59:Q67 Q55:Q56 Q69 Q5:Q9 Q12:Q14 Q20:Q51 AF5:AF56 AF62:AF69">
    <cfRule type="cellIs" dxfId="445" priority="62" operator="greaterThan">
      <formula>1</formula>
    </cfRule>
    <cfRule type="cellIs" dxfId="444" priority="63" operator="lessThan">
      <formula>0.8</formula>
    </cfRule>
  </conditionalFormatting>
  <conditionalFormatting sqref="AG13:AG14 R13:R14 AG59 R59:R67 AG55:AG56 R55:R56 R69 AG5:AG9 R5:R9 AG20:AG51 R20:R51">
    <cfRule type="cellIs" dxfId="443" priority="67" operator="lessThan">
      <formula>0.8</formula>
    </cfRule>
  </conditionalFormatting>
  <conditionalFormatting sqref="AG42">
    <cfRule type="cellIs" dxfId="442" priority="69" operator="lessThan">
      <formula>0.8</formula>
    </cfRule>
  </conditionalFormatting>
  <conditionalFormatting sqref="AG21:AG26">
    <cfRule type="cellIs" dxfId="441" priority="66" operator="lessThan">
      <formula>0.8</formula>
    </cfRule>
  </conditionalFormatting>
  <conditionalFormatting sqref="AG28">
    <cfRule type="cellIs" dxfId="440" priority="68" operator="lessThan">
      <formula>0.8</formula>
    </cfRule>
  </conditionalFormatting>
  <conditionalFormatting sqref="AG34:AG40">
    <cfRule type="cellIs" dxfId="439" priority="64" operator="lessThan">
      <formula>0.8</formula>
    </cfRule>
  </conditionalFormatting>
  <conditionalFormatting sqref="AE61">
    <cfRule type="cellIs" dxfId="438" priority="60" operator="lessThan">
      <formula>0</formula>
    </cfRule>
  </conditionalFormatting>
  <conditionalFormatting sqref="AF61">
    <cfRule type="cellIs" dxfId="437" priority="58" operator="greaterThan">
      <formula>1</formula>
    </cfRule>
    <cfRule type="cellIs" dxfId="436" priority="59" operator="lessThan">
      <formula>0.8</formula>
    </cfRule>
  </conditionalFormatting>
  <conditionalFormatting sqref="O15:O16">
    <cfRule type="cellIs" dxfId="435" priority="53" operator="greaterThan">
      <formula>0</formula>
    </cfRule>
  </conditionalFormatting>
  <conditionalFormatting sqref="P15:P16">
    <cfRule type="cellIs" dxfId="434" priority="56" operator="lessThan">
      <formula>0</formula>
    </cfRule>
  </conditionalFormatting>
  <conditionalFormatting sqref="Q15:Q16">
    <cfRule type="cellIs" dxfId="433" priority="54" operator="greaterThan">
      <formula>1</formula>
    </cfRule>
    <cfRule type="cellIs" dxfId="432" priority="55" operator="lessThan">
      <formula>0.8</formula>
    </cfRule>
  </conditionalFormatting>
  <conditionalFormatting sqref="R15:R16 AG15:AG16">
    <cfRule type="cellIs" dxfId="431" priority="57" operator="lessThan">
      <formula>0.8</formula>
    </cfRule>
  </conditionalFormatting>
  <conditionalFormatting sqref="O10:O11">
    <cfRule type="cellIs" dxfId="430" priority="49" operator="greaterThan">
      <formula>0</formula>
    </cfRule>
  </conditionalFormatting>
  <conditionalFormatting sqref="P10:P11">
    <cfRule type="cellIs" dxfId="429" priority="52" operator="lessThan">
      <formula>0</formula>
    </cfRule>
  </conditionalFormatting>
  <conditionalFormatting sqref="Q10:Q11">
    <cfRule type="cellIs" dxfId="428" priority="50" operator="greaterThan">
      <formula>1</formula>
    </cfRule>
    <cfRule type="cellIs" dxfId="427" priority="51" operator="lessThan">
      <formula>0.8</formula>
    </cfRule>
  </conditionalFormatting>
  <conditionalFormatting sqref="O52">
    <cfRule type="cellIs" dxfId="426" priority="44" operator="greaterThan">
      <formula>0</formula>
    </cfRule>
  </conditionalFormatting>
  <conditionalFormatting sqref="P52">
    <cfRule type="cellIs" dxfId="425" priority="47" operator="lessThan">
      <formula>0</formula>
    </cfRule>
  </conditionalFormatting>
  <conditionalFormatting sqref="Q52">
    <cfRule type="cellIs" dxfId="424" priority="45" operator="greaterThan">
      <formula>1</formula>
    </cfRule>
    <cfRule type="cellIs" dxfId="423" priority="46" operator="lessThan">
      <formula>0.8</formula>
    </cfRule>
  </conditionalFormatting>
  <conditionalFormatting sqref="R52 AG52">
    <cfRule type="cellIs" dxfId="422" priority="48" operator="lessThan">
      <formula>0.8</formula>
    </cfRule>
  </conditionalFormatting>
  <conditionalFormatting sqref="O58">
    <cfRule type="cellIs" dxfId="421" priority="39" operator="greaterThan">
      <formula>0</formula>
    </cfRule>
  </conditionalFormatting>
  <conditionalFormatting sqref="P58 AE58">
    <cfRule type="cellIs" dxfId="420" priority="42" operator="lessThan">
      <formula>0</formula>
    </cfRule>
  </conditionalFormatting>
  <conditionalFormatting sqref="Q58 AF58">
    <cfRule type="cellIs" dxfId="419" priority="40" operator="greaterThan">
      <formula>1</formula>
    </cfRule>
    <cfRule type="cellIs" dxfId="418" priority="41" operator="lessThan">
      <formula>0.8</formula>
    </cfRule>
  </conditionalFormatting>
  <conditionalFormatting sqref="R58 AG58">
    <cfRule type="cellIs" dxfId="417" priority="43" operator="lessThan">
      <formula>0.8</formula>
    </cfRule>
  </conditionalFormatting>
  <conditionalFormatting sqref="O68">
    <cfRule type="cellIs" dxfId="416" priority="34" operator="greaterThan">
      <formula>0</formula>
    </cfRule>
  </conditionalFormatting>
  <conditionalFormatting sqref="P68">
    <cfRule type="cellIs" dxfId="415" priority="37" operator="lessThan">
      <formula>0</formula>
    </cfRule>
  </conditionalFormatting>
  <conditionalFormatting sqref="Q68">
    <cfRule type="cellIs" dxfId="414" priority="35" operator="greaterThan">
      <formula>1</formula>
    </cfRule>
    <cfRule type="cellIs" dxfId="413" priority="36" operator="lessThan">
      <formula>0.8</formula>
    </cfRule>
  </conditionalFormatting>
  <conditionalFormatting sqref="R68">
    <cfRule type="cellIs" dxfId="412" priority="38" operator="lessThan">
      <formula>0.8</formula>
    </cfRule>
  </conditionalFormatting>
  <conditionalFormatting sqref="O17:O18">
    <cfRule type="cellIs" dxfId="411" priority="29" operator="greaterThan">
      <formula>0</formula>
    </cfRule>
  </conditionalFormatting>
  <conditionalFormatting sqref="P17:P18">
    <cfRule type="cellIs" dxfId="410" priority="32" operator="lessThan">
      <formula>0</formula>
    </cfRule>
  </conditionalFormatting>
  <conditionalFormatting sqref="Q17:Q18">
    <cfRule type="cellIs" dxfId="409" priority="30" operator="greaterThan">
      <formula>1</formula>
    </cfRule>
    <cfRule type="cellIs" dxfId="408" priority="31" operator="lessThan">
      <formula>0.8</formula>
    </cfRule>
  </conditionalFormatting>
  <conditionalFormatting sqref="R17:R18 AG17:AG18">
    <cfRule type="cellIs" dxfId="407" priority="33" operator="lessThan">
      <formula>0.8</formula>
    </cfRule>
  </conditionalFormatting>
  <conditionalFormatting sqref="O53">
    <cfRule type="cellIs" dxfId="406" priority="24" operator="greaterThan">
      <formula>0</formula>
    </cfRule>
  </conditionalFormatting>
  <conditionalFormatting sqref="P53">
    <cfRule type="cellIs" dxfId="405" priority="27" operator="lessThan">
      <formula>0</formula>
    </cfRule>
  </conditionalFormatting>
  <conditionalFormatting sqref="Q53">
    <cfRule type="cellIs" dxfId="404" priority="25" operator="greaterThan">
      <formula>1</formula>
    </cfRule>
    <cfRule type="cellIs" dxfId="403" priority="26" operator="lessThan">
      <formula>0.8</formula>
    </cfRule>
  </conditionalFormatting>
  <conditionalFormatting sqref="AG53 R53">
    <cfRule type="cellIs" dxfId="402" priority="28" operator="lessThan">
      <formula>0.8</formula>
    </cfRule>
  </conditionalFormatting>
  <conditionalFormatting sqref="O57">
    <cfRule type="cellIs" dxfId="401" priority="19" operator="greaterThan">
      <formula>0</formula>
    </cfRule>
  </conditionalFormatting>
  <conditionalFormatting sqref="P57 AE57">
    <cfRule type="cellIs" dxfId="400" priority="22" operator="lessThan">
      <formula>0</formula>
    </cfRule>
  </conditionalFormatting>
  <conditionalFormatting sqref="Q57 AF57">
    <cfRule type="cellIs" dxfId="399" priority="20" operator="greaterThan">
      <formula>1</formula>
    </cfRule>
    <cfRule type="cellIs" dxfId="398" priority="21" operator="lessThan">
      <formula>0.8</formula>
    </cfRule>
  </conditionalFormatting>
  <conditionalFormatting sqref="R57 AG57">
    <cfRule type="cellIs" dxfId="397" priority="23" operator="lessThan">
      <formula>0.8</formula>
    </cfRule>
  </conditionalFormatting>
  <conditionalFormatting sqref="O19">
    <cfRule type="cellIs" dxfId="396" priority="14" operator="greaterThan">
      <formula>0</formula>
    </cfRule>
  </conditionalFormatting>
  <conditionalFormatting sqref="P19">
    <cfRule type="cellIs" dxfId="395" priority="17" operator="lessThan">
      <formula>0</formula>
    </cfRule>
  </conditionalFormatting>
  <conditionalFormatting sqref="Q19">
    <cfRule type="cellIs" dxfId="394" priority="15" operator="greaterThan">
      <formula>1</formula>
    </cfRule>
    <cfRule type="cellIs" dxfId="393" priority="16" operator="lessThan">
      <formula>0.8</formula>
    </cfRule>
  </conditionalFormatting>
  <conditionalFormatting sqref="AG19 R19">
    <cfRule type="cellIs" dxfId="392" priority="18" operator="lessThan">
      <formula>0.8</formula>
    </cfRule>
  </conditionalFormatting>
  <conditionalFormatting sqref="P8">
    <cfRule type="cellIs" dxfId="391" priority="13" operator="lessThan">
      <formula>0</formula>
    </cfRule>
  </conditionalFormatting>
  <conditionalFormatting sqref="P20">
    <cfRule type="cellIs" dxfId="390" priority="12" operator="lessThan">
      <formula>0</formula>
    </cfRule>
  </conditionalFormatting>
  <conditionalFormatting sqref="P27">
    <cfRule type="cellIs" dxfId="389" priority="11" operator="lessThan">
      <formula>0</formula>
    </cfRule>
  </conditionalFormatting>
  <conditionalFormatting sqref="P33">
    <cfRule type="cellIs" dxfId="388" priority="10" operator="lessThan">
      <formula>0</formula>
    </cfRule>
  </conditionalFormatting>
  <conditionalFormatting sqref="P45">
    <cfRule type="cellIs" dxfId="387" priority="9" operator="lessThan">
      <formula>0</formula>
    </cfRule>
  </conditionalFormatting>
  <conditionalFormatting sqref="P55">
    <cfRule type="cellIs" dxfId="386" priority="8" operator="lessThan">
      <formula>0</formula>
    </cfRule>
  </conditionalFormatting>
  <conditionalFormatting sqref="P61">
    <cfRule type="cellIs" dxfId="385" priority="7" operator="lessThan">
      <formula>0</formula>
    </cfRule>
  </conditionalFormatting>
  <conditionalFormatting sqref="P69">
    <cfRule type="cellIs" dxfId="384" priority="6" operator="lessThan">
      <formula>0</formula>
    </cfRule>
  </conditionalFormatting>
  <conditionalFormatting sqref="O54">
    <cfRule type="cellIs" dxfId="383" priority="1" operator="greaterThan">
      <formula>0</formula>
    </cfRule>
  </conditionalFormatting>
  <conditionalFormatting sqref="P54">
    <cfRule type="cellIs" dxfId="382" priority="4" operator="lessThan">
      <formula>0</formula>
    </cfRule>
  </conditionalFormatting>
  <conditionalFormatting sqref="Q54">
    <cfRule type="cellIs" dxfId="381" priority="2" operator="greaterThan">
      <formula>1</formula>
    </cfRule>
    <cfRule type="cellIs" dxfId="380" priority="3" operator="lessThan">
      <formula>0.8</formula>
    </cfRule>
  </conditionalFormatting>
  <conditionalFormatting sqref="AG54 R54">
    <cfRule type="cellIs" dxfId="379" priority="5" operator="lessThan">
      <formula>0.8</formula>
    </cfRule>
  </conditionalFormatting>
  <dataValidations count="1">
    <dataValidation type="list" allowBlank="1" showInputMessage="1" showErrorMessage="1" sqref="AB8 AA5:AB7 AB60 AA8:AA60 AB10:AB56 AA61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M13" sqref="M13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418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419</v>
      </c>
      <c r="C3" s="596" t="str">
        <f>TEXT('0904 4度C'!A2,"yyyy.mm.ddaaaa")</f>
        <v>2026.09.04星期五</v>
      </c>
      <c r="D3" s="597"/>
      <c r="E3" s="39" t="s">
        <v>420</v>
      </c>
      <c r="F3" s="598">
        <f>'0904 4度C'!D1</f>
        <v>128066</v>
      </c>
      <c r="G3" s="599"/>
      <c r="H3" s="39" t="s">
        <v>89</v>
      </c>
      <c r="I3" s="600">
        <f>'0904 4度C'!F1</f>
        <v>4442007.83</v>
      </c>
      <c r="J3" s="601"/>
      <c r="K3" s="40"/>
      <c r="L3" s="41"/>
      <c r="M3" s="42"/>
      <c r="N3" s="42"/>
    </row>
    <row r="4" spans="2:17" ht="28.5" customHeight="1">
      <c r="B4" s="602" t="s">
        <v>421</v>
      </c>
      <c r="C4" s="588" t="s">
        <v>422</v>
      </c>
      <c r="D4" s="589"/>
      <c r="E4" s="605" t="s">
        <v>423</v>
      </c>
      <c r="F4" s="606"/>
      <c r="G4" s="605" t="s">
        <v>424</v>
      </c>
      <c r="H4" s="606"/>
      <c r="I4" s="605" t="s">
        <v>425</v>
      </c>
      <c r="J4" s="606"/>
      <c r="K4" s="586" t="s">
        <v>426</v>
      </c>
      <c r="L4" s="587"/>
      <c r="M4" s="587" t="s">
        <v>427</v>
      </c>
      <c r="N4" s="587"/>
    </row>
    <row r="5" spans="2:17" ht="28.5" customHeight="1">
      <c r="B5" s="603"/>
      <c r="C5" s="588" t="s">
        <v>428</v>
      </c>
      <c r="D5" s="589"/>
      <c r="E5" s="588" t="s">
        <v>429</v>
      </c>
      <c r="F5" s="589"/>
      <c r="G5" s="590" t="s">
        <v>430</v>
      </c>
      <c r="H5" s="591"/>
      <c r="I5" s="592" t="s">
        <v>431</v>
      </c>
      <c r="J5" s="593"/>
      <c r="K5" s="43" t="s">
        <v>432</v>
      </c>
      <c r="L5" s="44" t="s">
        <v>433</v>
      </c>
      <c r="M5" s="43" t="s">
        <v>434</v>
      </c>
      <c r="N5" s="44" t="s">
        <v>435</v>
      </c>
    </row>
    <row r="6" spans="2:17" ht="28.5" customHeight="1">
      <c r="B6" s="603"/>
      <c r="C6" s="588" t="s">
        <v>56</v>
      </c>
      <c r="D6" s="589"/>
      <c r="E6" s="580">
        <f>AVERAGE(D13:M13)</f>
        <v>154.97899320675319</v>
      </c>
      <c r="F6" s="581">
        <f>AVERAGE(D31:O31,D13:J13)</f>
        <v>162.94001346946649</v>
      </c>
      <c r="G6" s="582">
        <f>AVERAGE(D13:J13)</f>
        <v>162.94001346946649</v>
      </c>
      <c r="H6" s="583"/>
      <c r="I6" s="582">
        <f>AVERAGE(K13:M13)</f>
        <v>136.40327926042212</v>
      </c>
      <c r="J6" s="583"/>
      <c r="K6" s="584">
        <f>'0904 4度C'!Y2</f>
        <v>0</v>
      </c>
      <c r="L6" s="569">
        <f>'0904 4度C'!Z2</f>
        <v>0</v>
      </c>
      <c r="M6" s="585">
        <f>'0904 4度C'!AC2</f>
        <v>52</v>
      </c>
      <c r="N6" s="569">
        <f>'0904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148.5433081350233</v>
      </c>
      <c r="F7" s="573">
        <f>AVERAGE(D32:O32,D14:J14)</f>
        <v>156.34920225462</v>
      </c>
      <c r="G7" s="574">
        <f>AVERAGE(D14:J14)</f>
        <v>156.34920225462</v>
      </c>
      <c r="H7" s="575"/>
      <c r="I7" s="574">
        <f>AVERAGE(K14:M14)</f>
        <v>130.32955518929762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0.95870063361278945</v>
      </c>
      <c r="F8" s="577">
        <f>AVERAGE(D15:J15,D33:O33)</f>
        <v>0.96007294331391702</v>
      </c>
      <c r="G8" s="578">
        <f>AVERAGE(D15:J15)</f>
        <v>0.96007294331391702</v>
      </c>
      <c r="H8" s="579"/>
      <c r="I8" s="578">
        <f>AVERAGE(K15:M15)</f>
        <v>0.95549857764349166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436</v>
      </c>
      <c r="N9" s="42"/>
      <c r="O9" s="42"/>
      <c r="P9" s="42"/>
      <c r="Q9" s="42"/>
    </row>
    <row r="10" spans="2:17" ht="30" customHeight="1">
      <c r="B10" s="552" t="s">
        <v>437</v>
      </c>
      <c r="C10" s="553"/>
      <c r="D10" s="554" t="s">
        <v>107</v>
      </c>
      <c r="E10" s="555"/>
      <c r="F10" s="555"/>
      <c r="G10" s="555"/>
      <c r="H10" s="555"/>
      <c r="I10" s="555"/>
      <c r="J10" s="556"/>
      <c r="K10" s="557" t="s">
        <v>438</v>
      </c>
      <c r="L10" s="558"/>
      <c r="M10" s="559"/>
      <c r="P10" s="48"/>
      <c r="Q10" s="48"/>
    </row>
    <row r="11" spans="2:17" ht="17.25" customHeight="1">
      <c r="B11" s="560" t="s">
        <v>223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439</v>
      </c>
      <c r="C13" s="55" t="s">
        <v>440</v>
      </c>
      <c r="D13" s="56">
        <f>SUMIFS('0904 4度C'!$K:$K,'0904 4度C'!$A:$A,"新豐6線",'0904 4度C'!$B:$B,"平均")</f>
        <v>130.43478260869566</v>
      </c>
      <c r="E13" s="57">
        <f>SUMIFS('0904 4度C'!$K:$K,'0904 4度C'!$A:$A,"新豐2線",'0904 4度C'!$B:$B,"平均")</f>
        <v>81.818181818181827</v>
      </c>
      <c r="F13" s="58">
        <f>SUMIFS('0904 4度C'!$K:$K,'0904 4度C'!$A:$A,"新豐5線",'0904 4度C'!$B:$B,"平均")</f>
        <v>104.16666666666667</v>
      </c>
      <c r="G13" s="58">
        <f>SUMIFS('0904 4度C'!$K:$K,'0904 4度C'!$A:$A,"新豐7線",'0904 4度C'!$B:$B,"平均")</f>
        <v>129.03225806451613</v>
      </c>
      <c r="H13" s="58">
        <f>SUMIFS('0904 4度C'!$K:$K,'0904 4度C'!$A:$A,"新豐3線",'0904 4度C'!$B:$B,"平均")</f>
        <v>300</v>
      </c>
      <c r="I13" s="58">
        <f>SUMIFS('0904 4度C'!$K:$K,'0904 4度C'!$A:$A,"新豐1線",'0904 4度C'!$B:$B,"平均")</f>
        <v>106.66666666666667</v>
      </c>
      <c r="J13" s="59">
        <f>SUMIFS('0904 4度C'!$K:$K,'0904 4度C'!$A:$A,"新豐10線",'0904 4度C'!$B:$B,"平均")</f>
        <v>288.46153846153845</v>
      </c>
      <c r="K13" s="60">
        <f>SUMIFS('0904 4度C'!$K:$K,'0904 4度C'!$A:$A,"新豐8線",'0904 4度C'!$B:$B,"平均")</f>
        <v>123.80952380952381</v>
      </c>
      <c r="L13" s="61">
        <f>SUMIFS('0904 4度C'!$K:$K,'0904 4度C'!$A:$A,"新豐9線",'0904 4度C'!$B:$B,"平均")</f>
        <v>138.46153846153848</v>
      </c>
      <c r="M13" s="59">
        <f>SUMIFS('0904 4度C'!$K:$K,'0904 4度C'!$A:$A,"新豐4線",'0904 4度C'!$B:$B,"平均")</f>
        <v>146.9387755102041</v>
      </c>
    </row>
    <row r="14" spans="2:17" ht="39.6" customHeight="1">
      <c r="B14" s="565"/>
      <c r="C14" s="62" t="s">
        <v>441</v>
      </c>
      <c r="D14" s="63">
        <f>SUMIFS('0904 4度C'!$N:$N,'0904 4度C'!$A:$A,"新豐6線",'0904 4度C'!$B:$B,"平均")</f>
        <v>125.78804347826086</v>
      </c>
      <c r="E14" s="64">
        <f>SUMIFS('0904 4度C'!$N:$N,'0904 4度C'!$A:$A,"新豐2線",'0904 4度C'!$B:$B,"平均")</f>
        <v>78.248368130863113</v>
      </c>
      <c r="F14" s="64">
        <f>SUMIFS('0904 4度C'!$N:$N,'0904 4度C'!$A:$A,"新豐5線",'0904 4度C'!$B:$B,"平均")</f>
        <v>99.62980644478472</v>
      </c>
      <c r="G14" s="64">
        <f>SUMIFS('0904 4度C'!$N:$N,'0904 4度C'!$A:$A,"新豐7線",'0904 4度C'!$B:$B,"平均")</f>
        <v>124.45747102360004</v>
      </c>
      <c r="H14" s="64">
        <f>SUMIFS('0904 4度C'!$N:$N,'0904 4度C'!$A:$A,"新豐3線",'0904 4度C'!$B:$B,"平均")</f>
        <v>287.27605487578796</v>
      </c>
      <c r="I14" s="64">
        <f>SUMIFS('0904 4度C'!$N:$N,'0904 4度C'!$A:$A,"新豐1線",'0904 4度C'!$B:$B,"平均")</f>
        <v>102.76446913618328</v>
      </c>
      <c r="J14" s="65">
        <f>SUMIFS('0904 4度C'!$N:$N,'0904 4度C'!$A:$A,"新豐10線",'0904 4度C'!$B:$B,"平均")</f>
        <v>276.28020269286003</v>
      </c>
      <c r="K14" s="66">
        <f>SUMIFS('0904 4度C'!$N:$N,'0904 4度C'!$A:$A,"新豐8線",'0904 4度C'!$B:$B,"平均")</f>
        <v>118.37039714770808</v>
      </c>
      <c r="L14" s="67">
        <f>SUMIFS('0904 4度C'!$N:$N,'0904 4度C'!$A:$A,"新豐9線",'0904 4度C'!$B:$B,"平均")</f>
        <v>132.26008653762622</v>
      </c>
      <c r="M14" s="65">
        <f>SUMIFS('0904 4度C'!$N:$N,'0904 4度C'!$A:$A,"新豐4線",'0904 4度C'!$B:$B,"平均")</f>
        <v>140.3581818825586</v>
      </c>
    </row>
    <row r="15" spans="2:17" ht="40.15" customHeight="1">
      <c r="B15" s="566"/>
      <c r="C15" s="68" t="s">
        <v>442</v>
      </c>
      <c r="D15" s="69">
        <f t="shared" ref="D15:M15" si="0">D14/D13</f>
        <v>0.96437499999999987</v>
      </c>
      <c r="E15" s="70">
        <f t="shared" si="0"/>
        <v>0.95636894382166016</v>
      </c>
      <c r="F15" s="70">
        <f t="shared" si="0"/>
        <v>0.95644614186993326</v>
      </c>
      <c r="G15" s="70">
        <f t="shared" si="0"/>
        <v>0.96454540043290027</v>
      </c>
      <c r="H15" s="70">
        <f t="shared" si="0"/>
        <v>0.95758684958595985</v>
      </c>
      <c r="I15" s="70">
        <f t="shared" si="0"/>
        <v>0.96341689815171816</v>
      </c>
      <c r="J15" s="71">
        <f t="shared" si="0"/>
        <v>0.95777136933524809</v>
      </c>
      <c r="K15" s="69">
        <f t="shared" si="0"/>
        <v>0.95606859234687291</v>
      </c>
      <c r="L15" s="70">
        <f t="shared" si="0"/>
        <v>0.95521173610507815</v>
      </c>
      <c r="M15" s="71">
        <f t="shared" si="0"/>
        <v>0.95521540447852371</v>
      </c>
    </row>
    <row r="16" spans="2:17" ht="17.25" customHeight="1">
      <c r="B16" s="567" t="s">
        <v>443</v>
      </c>
      <c r="C16" s="72" t="s">
        <v>444</v>
      </c>
      <c r="D16" s="73">
        <f>VLOOKUP("新豐6線",'0904 4度C'!$A:$T,19,0)</f>
        <v>0.70833333333333337</v>
      </c>
      <c r="E16" s="74">
        <f>VLOOKUP("新豐2線",'0904 4度C'!$A:$T,19,0)</f>
        <v>8.3333333333333329E-2</v>
      </c>
      <c r="F16" s="74">
        <f>VLOOKUP("新豐5線",'0904 4度C'!$A:$T,19,0)</f>
        <v>0.20833333333333334</v>
      </c>
      <c r="G16" s="74">
        <f>VLOOKUP("新豐7線",'0904 4度C'!$A:$T,19,0)</f>
        <v>0.20833333333333334</v>
      </c>
      <c r="H16" s="74">
        <f>VLOOKUP("新豐3線",'0904 4度C'!$A:$T,19,0)</f>
        <v>0.20833333333333334</v>
      </c>
      <c r="I16" s="74">
        <f>VLOOKUP("新豐1線",'0904 4度C'!$A:$T,19,0)</f>
        <v>0.20833333333333334</v>
      </c>
      <c r="J16" s="75">
        <f>VLOOKUP("新豐10線",'0904 4度C'!$A:$T,19,0)</f>
        <v>0.20833333333333334</v>
      </c>
      <c r="K16" s="76">
        <f>VLOOKUP("新豐8線",'0904 4度C'!$A:$T,19,0)</f>
        <v>8.3333333333333329E-2</v>
      </c>
      <c r="L16" s="77">
        <f>VLOOKUP("新豐9線",'0904 4度C'!$A:$T,19,0)</f>
        <v>8.3333333333333329E-2</v>
      </c>
      <c r="M16" s="78">
        <f>VLOOKUP("新豐4線",'0904 4度C'!$A:$T,19,0)</f>
        <v>8.3333333333333329E-2</v>
      </c>
    </row>
    <row r="17" spans="2:13" ht="17.25" customHeight="1">
      <c r="B17" s="568"/>
      <c r="C17" s="72" t="s">
        <v>445</v>
      </c>
      <c r="D17" s="76">
        <f>LOOKUP(2,1/(('0904 4度C'!$A:$A="新豐6線")*('0904 4度C'!$T:$T&lt;&gt;"")),'0904 4度C'!$T:$T)</f>
        <v>0.81180555555555556</v>
      </c>
      <c r="E17" s="74">
        <f>LOOKUP(2,1/(('0904 4度C'!$A:$A="新豐2線")*('0904 4度C'!$T:$T&lt;&gt;"")),'0904 4度C'!$T:$T)</f>
        <v>0.40694444444444444</v>
      </c>
      <c r="F17" s="74">
        <f>LOOKUP(2,1/(('0904 4度C'!$A:$A="新豐5線")*('0904 4度C'!$T:$T&lt;&gt;"")),'0904 4度C'!$T:$T)</f>
        <v>0.81319444444444455</v>
      </c>
      <c r="G17" s="74">
        <f>LOOKUP(2,1/(('0904 4度C'!$A:$A="新豐7線")*('0904 4度C'!$T:$T&lt;&gt;"")),'0904 4度C'!$T:$T)</f>
        <v>0.80486111111111114</v>
      </c>
      <c r="H17" s="74">
        <f>LOOKUP(2,1/(('0904 4度C'!$A:$A="新豐3線")*('0904 4度C'!$T:$T&lt;&gt;"")),'0904 4度C'!$T:$T)</f>
        <v>0.37569444444444439</v>
      </c>
      <c r="I17" s="74">
        <f>LOOKUP(2,1/(('0904 4度C'!$A:$A="新豐1線")*('0904 4度C'!$T:$T&lt;&gt;"")),'0904 4度C'!$T:$T)</f>
        <v>0.83055555555555549</v>
      </c>
      <c r="J17" s="75">
        <f>LOOKUP(2,1/(('0904 4度C'!$A:$A="新豐10線")*('0904 4度C'!$T:$T&lt;&gt;"")),'0904 4度C'!$T:$T)</f>
        <v>0.36180555555555555</v>
      </c>
      <c r="K17" s="73">
        <f>LOOKUP(2,1/(('0904 4度C'!$A:$A="新豐8線")*('0904 4度C'!$T:$T&lt;&gt;"")),'0904 4度C'!$T:$T)</f>
        <v>0.59791666666666665</v>
      </c>
      <c r="L17" s="74">
        <f>LOOKUP(2,1/(('0904 4度C'!$A:$A="新豐9線")*('0904 4度C'!$T:$T&lt;&gt;"")),'0904 4度C'!$T:$T)</f>
        <v>0.47499999999999998</v>
      </c>
      <c r="M17" s="75">
        <f>LOOKUP(2,1/(('0904 4度C'!$A:$A="新豐4線")*('0904 4度C'!$T:$T&lt;&gt;"")),'0904 4度C'!$T:$T)</f>
        <v>0.4902777777777777</v>
      </c>
    </row>
    <row r="18" spans="2:13" ht="17.25" customHeight="1">
      <c r="B18" s="546" t="s">
        <v>446</v>
      </c>
      <c r="C18" s="79" t="s">
        <v>447</v>
      </c>
      <c r="D18" s="80">
        <f>SUMIFS('0904 4度C'!$Y:$Y,'0904 4度C'!$A:$A,"新豐6線",'0904 4度C'!$B:$B,"平均")</f>
        <v>0</v>
      </c>
      <c r="E18" s="81">
        <f>SUMIFS('0904 4度C'!$Y:$Y,'0904 4度C'!$A:$A,"新豐2線",'0904 4度C'!$B:$B,"平均")</f>
        <v>0</v>
      </c>
      <c r="F18" s="81">
        <f>SUMIFS('0904 4度C'!$Y:$Y,'0904 4度C'!$A:$A,"新豐5線",'0904 4度C'!$B:$B,"平均")</f>
        <v>0</v>
      </c>
      <c r="G18" s="81">
        <f>SUMIFS('0904 4度C'!$Y:$Y,'0904 4度C'!$A:$A,"新豐7線",'0904 4度C'!$B:$B,"平均")</f>
        <v>0</v>
      </c>
      <c r="H18" s="81">
        <f>SUMIFS('0904 4度C'!$Y:$Y,'0904 4度C'!$A:$A,"新豐3線",'0904 4度C'!$B:$B,"平均")</f>
        <v>0</v>
      </c>
      <c r="I18" s="81">
        <f>SUMIFS('0904 4度C'!$Y:$Y,'0904 4度C'!$A:$A,"新豐1線",'0904 4度C'!$B:$B,"平均")</f>
        <v>0</v>
      </c>
      <c r="J18" s="82">
        <f>SUMIFS('0904 4度C'!$Y:$Y,'0904 4度C'!$A:$A,"新豐10線",'0904 4度C'!$B:$B,"平均")</f>
        <v>0</v>
      </c>
      <c r="K18" s="83">
        <f>SUMIFS('0904 4度C'!$Y:$Y,'0904 4度C'!$A:$A,"新豐8線",'0904 4度C'!$B:$B,"平均")</f>
        <v>0</v>
      </c>
      <c r="L18" s="81">
        <f>SUMIFS('0904 4度C'!$Y:$Y,'0904 4度C'!$A:$A,"新豐9線",'0904 4度C'!$B:$B,"平均")</f>
        <v>0</v>
      </c>
      <c r="M18" s="82">
        <f>SUMIFS('0904 4度C'!$Y:$Y,'0904 4度C'!$A:$A,"新豐4線",'0904 4度C'!$B:$B,"平均")</f>
        <v>0</v>
      </c>
    </row>
    <row r="19" spans="2:13" ht="17.25" customHeight="1">
      <c r="B19" s="547"/>
      <c r="C19" s="79" t="s">
        <v>448</v>
      </c>
      <c r="D19" s="80">
        <f>SUMIFS('0904 4度C'!$Z:$Z,'0904 4度C'!$A:$A,"新豐6線",'0904 4度C'!$B:$B,"平均")</f>
        <v>0</v>
      </c>
      <c r="E19" s="81">
        <f>SUMIFS('0904 4度C'!$Z:$Z,'0904 4度C'!$A:$A,"新豐2線",'0904 4度C'!$B:$B,"平均")</f>
        <v>0</v>
      </c>
      <c r="F19" s="81">
        <f>SUMIFS('0904 4度C'!$Z:$Z,'0904 4度C'!$A:$A,"新豐5線",'0904 4度C'!$B:$B,"平均")</f>
        <v>0</v>
      </c>
      <c r="G19" s="81">
        <f>SUMIFS('0904 4度C'!$Z:$Z,'0904 4度C'!$A:$A,"新豐7線",'0904 4度C'!$B:$B,"平均")</f>
        <v>0</v>
      </c>
      <c r="H19" s="81">
        <f>SUMIFS('0904 4度C'!$Z:$Z,'0904 4度C'!$A:$A,"新豐3線",'0904 4度C'!$B:$B,"平均")</f>
        <v>0</v>
      </c>
      <c r="I19" s="81">
        <f>SUMIFS('0904 4度C'!$Z:$Z,'0904 4度C'!$A:$A,"新豐1線",'0904 4度C'!$B:$B,"平均")</f>
        <v>0</v>
      </c>
      <c r="J19" s="82">
        <f>SUMIFS('0904 4度C'!$Z:$Z,'0904 4度C'!$A:$A,"新豐10線",'0904 4度C'!$B:$B,"平均")</f>
        <v>0</v>
      </c>
      <c r="K19" s="83">
        <f>SUMIFS('0904 4度C'!$Z:$Z,'0904 4度C'!$A:$A,"新豐8線",'0904 4度C'!$B:$B,"平均")</f>
        <v>0</v>
      </c>
      <c r="L19" s="81">
        <f>SUMIFS('0904 4度C'!$Z:$Z,'0904 4度C'!$A:$A,"新豐9線",'0904 4度C'!$B:$B,"平均")</f>
        <v>0</v>
      </c>
      <c r="M19" s="82">
        <f>SUMIFS('0904 4度C'!$Z:$Z,'0904 4度C'!$A:$A,"新豐4線",'0904 4度C'!$B:$B,"平均")</f>
        <v>0</v>
      </c>
    </row>
    <row r="20" spans="2:13" ht="17.25" customHeight="1">
      <c r="B20" s="546" t="s">
        <v>449</v>
      </c>
      <c r="C20" s="79" t="s">
        <v>447</v>
      </c>
      <c r="D20" s="80">
        <f>SUMIFS('0904 4度C'!$AC:$AC,'0904 4度C'!$A:$A,"新豐6線",'0904 4度C'!$B:$B,"平均")</f>
        <v>3</v>
      </c>
      <c r="E20" s="81">
        <f>SUMIFS('0904 4度C'!$AC:$AC,'0904 4度C'!$A:$A,"新豐2線",'0904 4度C'!$B:$B,"平均")</f>
        <v>3</v>
      </c>
      <c r="F20" s="81">
        <f>SUMIFS('0904 4度C'!$AC:$AC,'0904 4度C'!$A:$A,"新豐5線",'0904 4度C'!$B:$B,"平均")</f>
        <v>7</v>
      </c>
      <c r="G20" s="81">
        <f>SUMIFS('0904 4度C'!$AC:$AC,'0904 4度C'!$A:$A,"新豐7線",'0904 4度C'!$B:$B,"平均")</f>
        <v>6</v>
      </c>
      <c r="H20" s="81">
        <f>SUMIFS('0904 4度C'!$AC:$AC,'0904 4度C'!$A:$A,"新豐3線",'0904 4度C'!$B:$B,"平均")</f>
        <v>3</v>
      </c>
      <c r="I20" s="81">
        <f>SUMIFS('0904 4度C'!$AC:$AC,'0904 4度C'!$A:$A,"新豐1線",'0904 4度C'!$B:$B,"平均")</f>
        <v>8</v>
      </c>
      <c r="J20" s="82">
        <f>SUMIFS('0904 4度C'!$AC:$AC,'0904 4度C'!$A:$A,"新豐10線",'0904 4度C'!$B:$B,"平均")</f>
        <v>5</v>
      </c>
      <c r="K20" s="83">
        <f>SUMIFS('0904 4度C'!$AC:$AC,'0904 4度C'!$A:$A,"新豐8線",'0904 4度C'!$B:$B,"平均")</f>
        <v>5</v>
      </c>
      <c r="L20" s="81">
        <f>SUMIFS('0904 4度C'!$AC:$AC,'0904 4度C'!$A:$A,"新豐9線",'0904 4度C'!$B:$B,"平均")</f>
        <v>6</v>
      </c>
      <c r="M20" s="82">
        <f>SUMIFS('0904 4度C'!$AC:$AC,'0904 4度C'!$A:$A,"新豐4線",'0904 4度C'!$B:$B,"平均")</f>
        <v>6</v>
      </c>
    </row>
    <row r="21" spans="2:13" ht="17.25" customHeight="1">
      <c r="B21" s="547"/>
      <c r="C21" s="79" t="s">
        <v>450</v>
      </c>
      <c r="D21" s="80">
        <f>SUMIFS('0904 4度C'!$AD:$AD,'0904 4度C'!$A:$A,"新豐6線",'0904 4度C'!$B:$B,"平均")</f>
        <v>0</v>
      </c>
      <c r="E21" s="81">
        <f>SUMIFS('0904 4度C'!$AD:$AD,'0904 4度C'!$A:$A,"新豐2線",'0904 4度C'!$B:$B,"平均")</f>
        <v>0</v>
      </c>
      <c r="F21" s="81">
        <f>SUMIFS('0904 4度C'!$AD:$AD,'0904 4度C'!$A:$A,"新豐5線",'0904 4度C'!$B:$B,"平均")</f>
        <v>0</v>
      </c>
      <c r="G21" s="81">
        <f>SUMIFS('0904 4度C'!$AD:$AD,'0904 4度C'!$A:$A,"新豐7線",'0904 4度C'!$B:$B,"平均")</f>
        <v>0</v>
      </c>
      <c r="H21" s="81">
        <f>SUMIFS('0904 4度C'!$AD:$AD,'0904 4度C'!$A:$A,"新豐3線",'0904 4度C'!$B:$B,"平均")</f>
        <v>0</v>
      </c>
      <c r="I21" s="81">
        <f>SUMIFS('0904 4度C'!$AD:$AD,'0904 4度C'!$A:$A,"新豐1線",'0904 4度C'!$B:$B,"平均")</f>
        <v>0</v>
      </c>
      <c r="J21" s="82">
        <f>SUMIFS('0904 4度C'!$AD:$AD,'0904 4度C'!$A:$A,"新豐10線",'0904 4度C'!$B:$B,"平均")</f>
        <v>0</v>
      </c>
      <c r="K21" s="83">
        <f>SUMIFS('0904 4度C'!$AD:$AD,'0904 4度C'!$A:$A,"新豐8線",'0904 4度C'!$B:$B,"平均")</f>
        <v>0</v>
      </c>
      <c r="L21" s="81">
        <f>SUMIFS('0904 4度C'!$AD:$AD,'0904 4度C'!$A:$A,"新豐9線",'0904 4度C'!$B:$B,"平均")</f>
        <v>0</v>
      </c>
      <c r="M21" s="82">
        <f>SUMIFS('0904 4度C'!$AD:$AD,'0904 4度C'!$A:$A,"新豐4線",'0904 4度C'!$B:$B,"平均")</f>
        <v>0</v>
      </c>
    </row>
    <row r="22" spans="2:13" ht="17.25" customHeight="1">
      <c r="B22" s="548" t="s">
        <v>451</v>
      </c>
      <c r="C22" s="549"/>
      <c r="D22" s="84">
        <f>SUMIFS('0904 4度C'!$I:$I,'0904 4度C'!$A:$A,"新豐6線",'0904 4度C'!$B:$B,"平均")</f>
        <v>15.333333333333334</v>
      </c>
      <c r="E22" s="85">
        <f>SUMIFS('0904 4度C'!$I:$I,'0904 4度C'!$A:$A,"新豐2線",'0904 4度C'!$B:$B,"平均")</f>
        <v>18.333333333333332</v>
      </c>
      <c r="F22" s="85">
        <f>SUMIFS('0904 4度C'!$I:$I,'0904 4度C'!$A:$A,"新豐5線",'0904 4度C'!$B:$B,"平均")</f>
        <v>17.142857142857142</v>
      </c>
      <c r="G22" s="85">
        <f>SUMIFS('0904 4度C'!$I:$I,'0904 4度C'!$A:$A,"新豐7線",'0904 4度C'!$B:$B,"平均")</f>
        <v>15.5</v>
      </c>
      <c r="H22" s="85">
        <f>SUMIFS('0904 4度C'!$I:$I,'0904 4度C'!$A:$A,"新豐3線",'0904 4度C'!$B:$B,"平均")</f>
        <v>10</v>
      </c>
      <c r="I22" s="85">
        <f>SUMIFS('0904 4度C'!$I:$I,'0904 4度C'!$A:$A,"新豐1線",'0904 4度C'!$B:$B,"平均")</f>
        <v>18.75</v>
      </c>
      <c r="J22" s="86">
        <f>SUMIFS('0904 4度C'!$I:$I,'0904 4度C'!$A:$A,"新豐10線",'0904 4度C'!$B:$B,"平均")</f>
        <v>10.4</v>
      </c>
      <c r="K22" s="84">
        <f>SUMIFS('0904 4度C'!$I:$I,'0904 4度C'!$A:$A,"新豐8線",'0904 4度C'!$B:$B,"平均")</f>
        <v>16.8</v>
      </c>
      <c r="L22" s="85">
        <f>SUMIFS('0904 4度C'!$I:$I,'0904 4度C'!$A:$A,"新豐9線",'0904 4度C'!$B:$B,"平均")</f>
        <v>17.333333333333332</v>
      </c>
      <c r="M22" s="86">
        <f>SUMIFS('0904 4度C'!$I:$I,'0904 4度C'!$A:$A,"新豐4線",'0904 4度C'!$B:$B,"平均")</f>
        <v>16.333333333333332</v>
      </c>
    </row>
    <row r="23" spans="2:13" ht="17.25" customHeight="1">
      <c r="B23" s="548" t="s">
        <v>452</v>
      </c>
      <c r="C23" s="549"/>
      <c r="D23" s="87" t="s">
        <v>69</v>
      </c>
      <c r="E23" s="88" t="s">
        <v>70</v>
      </c>
      <c r="F23" s="88" t="s">
        <v>453</v>
      </c>
      <c r="G23" s="88" t="s">
        <v>453</v>
      </c>
      <c r="H23" s="88" t="s">
        <v>71</v>
      </c>
      <c r="I23" s="88" t="s">
        <v>69</v>
      </c>
      <c r="J23" s="89" t="s">
        <v>71</v>
      </c>
      <c r="K23" s="87" t="s">
        <v>454</v>
      </c>
      <c r="L23" s="88" t="s">
        <v>454</v>
      </c>
      <c r="M23" s="89" t="s">
        <v>454</v>
      </c>
    </row>
    <row r="24" spans="2:13" ht="17.25" customHeight="1">
      <c r="B24" s="548" t="s">
        <v>455</v>
      </c>
      <c r="C24" s="549"/>
      <c r="D24" s="87"/>
      <c r="E24" s="88"/>
      <c r="F24" s="88" t="s">
        <v>456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457</v>
      </c>
      <c r="C25" s="551"/>
      <c r="D25" s="90"/>
      <c r="E25" s="91" t="s">
        <v>458</v>
      </c>
      <c r="F25" s="544" t="s">
        <v>459</v>
      </c>
      <c r="G25" s="545"/>
      <c r="H25" s="91" t="s">
        <v>460</v>
      </c>
      <c r="I25" s="91" t="s">
        <v>130</v>
      </c>
      <c r="J25" s="92" t="s">
        <v>460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37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7"/>
  <sheetViews>
    <sheetView zoomScale="80" zoomScaleNormal="80" workbookViewId="0">
      <pane ySplit="4" topLeftCell="A35" activePane="bottomLeft" state="frozen"/>
      <selection activeCell="G7" sqref="G7:H7"/>
      <selection pane="bottomLeft" activeCell="G57" sqref="G5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461</v>
      </c>
      <c r="B1" s="1"/>
      <c r="C1" s="2" t="s">
        <v>462</v>
      </c>
      <c r="D1" s="3">
        <f>SUM(F5:F66)</f>
        <v>128066</v>
      </c>
      <c r="E1" s="143" t="s">
        <v>463</v>
      </c>
      <c r="F1" s="1">
        <f>SUM(G5:G66)</f>
        <v>4442007.83</v>
      </c>
      <c r="G1" s="1" t="s">
        <v>464</v>
      </c>
      <c r="H1" s="4">
        <f>L8+L12+L44+L53+L20+L59+L33+L40+L27+L66</f>
        <v>155.9261904761905</v>
      </c>
      <c r="I1" s="660" t="s">
        <v>465</v>
      </c>
      <c r="J1" s="660"/>
      <c r="K1" s="660"/>
      <c r="L1" s="660" t="s">
        <v>466</v>
      </c>
      <c r="M1" s="660"/>
      <c r="N1" s="660"/>
      <c r="O1" s="660" t="s">
        <v>467</v>
      </c>
      <c r="P1" s="660"/>
      <c r="Q1" s="660"/>
      <c r="R1" s="660"/>
      <c r="S1" s="660" t="s">
        <v>468</v>
      </c>
      <c r="T1" s="660"/>
      <c r="U1" s="660"/>
      <c r="V1" s="660"/>
      <c r="W1" s="660"/>
      <c r="X1" s="660"/>
      <c r="Y1" s="5" t="s">
        <v>469</v>
      </c>
      <c r="Z1" s="6" t="s">
        <v>470</v>
      </c>
      <c r="AA1" s="661" t="s">
        <v>471</v>
      </c>
      <c r="AB1" s="661"/>
      <c r="AC1" s="171" t="s">
        <v>469</v>
      </c>
      <c r="AD1" s="6" t="s">
        <v>472</v>
      </c>
      <c r="AE1" s="660" t="s">
        <v>473</v>
      </c>
      <c r="AF1" s="662"/>
      <c r="AG1" s="662"/>
    </row>
    <row r="2" spans="1:33" ht="26.25" customHeight="1">
      <c r="A2" s="27">
        <v>46269</v>
      </c>
      <c r="B2" s="28" t="s">
        <v>474</v>
      </c>
      <c r="C2" s="2" t="s">
        <v>439</v>
      </c>
      <c r="D2" s="9">
        <f>AVERAGE(N8,N12,N44,N53,N20,N59,N27,N33,N40,N66)</f>
        <v>148.5433081350233</v>
      </c>
      <c r="E2" s="10" t="s">
        <v>0</v>
      </c>
      <c r="F2" s="11">
        <f>F1/D1</f>
        <v>34.685301563256445</v>
      </c>
      <c r="G2" s="1" t="s">
        <v>148</v>
      </c>
      <c r="H2" s="140">
        <f>COUNT(H5:H66)</f>
        <v>1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SUM(Y8+Y12+Y20+Y27+Y33+Y40+Y44+Y53+Y59+Y66)</f>
        <v>0</v>
      </c>
      <c r="Z2" s="12">
        <f>SUM(Z8+Z12+Z20+Z27+Z33+Z40+Z44+Z53+Z59+Z66)</f>
        <v>0</v>
      </c>
      <c r="AA2" s="661"/>
      <c r="AB2" s="661"/>
      <c r="AC2" s="172">
        <v>52</v>
      </c>
      <c r="AD2" s="12">
        <f>SUM(AD8+AD12+AD20+AD27+AD33+AD40+AD44+AD53+AD59+AD66)</f>
        <v>0</v>
      </c>
      <c r="AE2" s="662"/>
      <c r="AF2" s="662"/>
      <c r="AG2" s="662"/>
    </row>
    <row r="3" spans="1:33" ht="40.5" customHeight="1">
      <c r="A3" s="610" t="s">
        <v>149</v>
      </c>
      <c r="B3" s="610" t="s">
        <v>475</v>
      </c>
      <c r="C3" s="610" t="s">
        <v>476</v>
      </c>
      <c r="D3" s="610"/>
      <c r="E3" s="658" t="s">
        <v>152</v>
      </c>
      <c r="F3" s="610" t="s">
        <v>477</v>
      </c>
      <c r="G3" s="658" t="s">
        <v>154</v>
      </c>
      <c r="H3" s="651" t="s">
        <v>155</v>
      </c>
      <c r="I3" s="649" t="s">
        <v>156</v>
      </c>
      <c r="J3" s="646" t="s">
        <v>157</v>
      </c>
      <c r="K3" s="656" t="s">
        <v>439</v>
      </c>
      <c r="L3" s="649" t="s">
        <v>156</v>
      </c>
      <c r="M3" s="646" t="s">
        <v>478</v>
      </c>
      <c r="N3" s="656" t="s">
        <v>147</v>
      </c>
      <c r="O3" s="649" t="s">
        <v>156</v>
      </c>
      <c r="P3" s="656" t="s">
        <v>439</v>
      </c>
      <c r="Q3" s="647" t="s">
        <v>479</v>
      </c>
      <c r="R3" s="623" t="s">
        <v>480</v>
      </c>
      <c r="S3" s="657" t="s">
        <v>1</v>
      </c>
      <c r="T3" s="657"/>
      <c r="U3" s="651" t="s">
        <v>2</v>
      </c>
      <c r="V3" s="651" t="s">
        <v>481</v>
      </c>
      <c r="W3" s="610" t="s">
        <v>164</v>
      </c>
      <c r="X3" s="610"/>
      <c r="Y3" s="652" t="s">
        <v>165</v>
      </c>
      <c r="Z3" s="609"/>
      <c r="AA3" s="653" t="s">
        <v>482</v>
      </c>
      <c r="AB3" s="654"/>
      <c r="AC3" s="652" t="s">
        <v>483</v>
      </c>
      <c r="AD3" s="609"/>
      <c r="AE3" s="646" t="s">
        <v>157</v>
      </c>
      <c r="AF3" s="647" t="s">
        <v>479</v>
      </c>
      <c r="AG3" s="623" t="s">
        <v>162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146" t="s">
        <v>3</v>
      </c>
      <c r="T4" s="146" t="s">
        <v>4</v>
      </c>
      <c r="U4" s="651"/>
      <c r="V4" s="651"/>
      <c r="W4" s="143" t="s">
        <v>171</v>
      </c>
      <c r="X4" s="143" t="s">
        <v>484</v>
      </c>
      <c r="Y4" s="145" t="s">
        <v>118</v>
      </c>
      <c r="Z4" s="145" t="s">
        <v>174</v>
      </c>
      <c r="AA4" s="655"/>
      <c r="AB4" s="654"/>
      <c r="AC4" s="145" t="s">
        <v>485</v>
      </c>
      <c r="AD4" s="145" t="s">
        <v>176</v>
      </c>
      <c r="AE4" s="646"/>
      <c r="AF4" s="647"/>
      <c r="AG4" s="623"/>
    </row>
    <row r="5" spans="1:33">
      <c r="A5" s="648" t="s">
        <v>177</v>
      </c>
      <c r="B5" s="33" t="s">
        <v>6</v>
      </c>
      <c r="C5" s="650" t="s">
        <v>7</v>
      </c>
      <c r="D5" s="650"/>
      <c r="E5" s="33">
        <v>50.92</v>
      </c>
      <c r="F5" s="146">
        <v>1697</v>
      </c>
      <c r="G5" s="143">
        <f t="shared" ref="G5:G7" si="0">E5*F5</f>
        <v>86411.24</v>
      </c>
      <c r="H5" s="29" t="s">
        <v>5</v>
      </c>
      <c r="I5" s="141">
        <v>15</v>
      </c>
      <c r="J5" s="30">
        <v>2000</v>
      </c>
      <c r="K5" s="13">
        <f t="shared" ref="K5:K66" si="1">J5/I5</f>
        <v>133.33333333333334</v>
      </c>
      <c r="L5" s="141">
        <v>15</v>
      </c>
      <c r="M5" s="14">
        <f t="shared" ref="M5:M7" si="2">F5/V5*60</f>
        <v>1921.1320754716994</v>
      </c>
      <c r="N5" s="13">
        <f t="shared" ref="N5:N66" si="3">M5/L5</f>
        <v>128.07547169811329</v>
      </c>
      <c r="O5" s="15">
        <f t="shared" ref="O5:O66" si="4">L5-I5</f>
        <v>0</v>
      </c>
      <c r="P5" s="16">
        <f t="shared" ref="P5:P66" si="5">N5-K5</f>
        <v>-5.2578616352200527</v>
      </c>
      <c r="Q5" s="142">
        <f t="shared" ref="Q5:Q66" si="6">N5/K5</f>
        <v>0.96056603773584959</v>
      </c>
      <c r="R5" s="619">
        <f>Q8</f>
        <v>0.96437499999999987</v>
      </c>
      <c r="S5" s="31">
        <v>0.70833333333333337</v>
      </c>
      <c r="T5" s="31">
        <v>0.74513888888888891</v>
      </c>
      <c r="U5" s="143"/>
      <c r="V5" s="144">
        <f t="shared" ref="V5:V7" si="7">(T5-S5)*24*60</f>
        <v>52.999999999999972</v>
      </c>
      <c r="W5" s="17"/>
      <c r="X5" s="17"/>
      <c r="Y5" s="18"/>
      <c r="Z5" s="18"/>
      <c r="AA5" s="610"/>
      <c r="AB5" s="610"/>
      <c r="AC5" s="155">
        <v>3</v>
      </c>
      <c r="AD5" s="19"/>
      <c r="AE5" s="15">
        <f t="shared" ref="AE5:AE52" si="8">M5-J5</f>
        <v>-78.867924528300591</v>
      </c>
      <c r="AF5" s="142">
        <f t="shared" ref="AF5:AF66" si="9">M5/J5</f>
        <v>0.9605660377358497</v>
      </c>
      <c r="AG5" s="619">
        <f>AF8</f>
        <v>0.96437499999999998</v>
      </c>
    </row>
    <row r="6" spans="1:33">
      <c r="A6" s="649" t="s">
        <v>177</v>
      </c>
      <c r="B6" s="33" t="s">
        <v>6</v>
      </c>
      <c r="C6" s="650" t="s">
        <v>8</v>
      </c>
      <c r="D6" s="650"/>
      <c r="E6" s="33">
        <v>50.98</v>
      </c>
      <c r="F6" s="146">
        <v>1695</v>
      </c>
      <c r="G6" s="143">
        <f t="shared" si="0"/>
        <v>86411.099999999991</v>
      </c>
      <c r="H6" s="29" t="s">
        <v>5</v>
      </c>
      <c r="I6" s="141">
        <v>16</v>
      </c>
      <c r="J6" s="30">
        <v>2000</v>
      </c>
      <c r="K6" s="13">
        <f t="shared" si="1"/>
        <v>125</v>
      </c>
      <c r="L6" s="141">
        <v>16</v>
      </c>
      <c r="M6" s="14">
        <f t="shared" si="2"/>
        <v>1918.8679245283031</v>
      </c>
      <c r="N6" s="13">
        <f t="shared" si="3"/>
        <v>119.92924528301894</v>
      </c>
      <c r="O6" s="15">
        <f t="shared" si="4"/>
        <v>0</v>
      </c>
      <c r="P6" s="16">
        <f t="shared" si="5"/>
        <v>-5.0707547169810567</v>
      </c>
      <c r="Q6" s="142">
        <f t="shared" si="6"/>
        <v>0.95943396226415156</v>
      </c>
      <c r="R6" s="619"/>
      <c r="S6" s="31">
        <v>0.74930555555555556</v>
      </c>
      <c r="T6" s="31">
        <v>0.78611111111111109</v>
      </c>
      <c r="U6" s="143">
        <f t="shared" ref="U6:U7" si="10">IF(S6=TIME(17,0,0),"",(S6-T5)*24*60)</f>
        <v>5.9999999999999787</v>
      </c>
      <c r="V6" s="144">
        <f t="shared" si="7"/>
        <v>52.999999999999972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-81.132075471696908</v>
      </c>
      <c r="AF6" s="142">
        <f t="shared" si="9"/>
        <v>0.95943396226415156</v>
      </c>
      <c r="AG6" s="619"/>
    </row>
    <row r="7" spans="1:33">
      <c r="A7" s="649" t="s">
        <v>486</v>
      </c>
      <c r="B7" s="33" t="s">
        <v>6</v>
      </c>
      <c r="C7" s="641" t="s">
        <v>9</v>
      </c>
      <c r="D7" s="642"/>
      <c r="E7" s="33">
        <v>50.67</v>
      </c>
      <c r="F7" s="146">
        <v>1038</v>
      </c>
      <c r="G7" s="143">
        <f t="shared" si="0"/>
        <v>52595.46</v>
      </c>
      <c r="H7" s="29" t="s">
        <v>5</v>
      </c>
      <c r="I7" s="141">
        <v>15</v>
      </c>
      <c r="J7" s="30">
        <v>2000</v>
      </c>
      <c r="K7" s="13">
        <f t="shared" si="1"/>
        <v>133.33333333333334</v>
      </c>
      <c r="L7" s="141">
        <v>15</v>
      </c>
      <c r="M7" s="14">
        <f t="shared" si="2"/>
        <v>1946.2499999999975</v>
      </c>
      <c r="N7" s="13">
        <f t="shared" si="3"/>
        <v>129.74999999999983</v>
      </c>
      <c r="O7" s="15">
        <f t="shared" si="4"/>
        <v>0</v>
      </c>
      <c r="P7" s="16">
        <f t="shared" si="5"/>
        <v>-3.5833333333335133</v>
      </c>
      <c r="Q7" s="142">
        <f t="shared" si="6"/>
        <v>0.97312499999999869</v>
      </c>
      <c r="R7" s="619"/>
      <c r="S7" s="31">
        <v>0.7895833333333333</v>
      </c>
      <c r="T7" s="31">
        <v>0.81180555555555556</v>
      </c>
      <c r="U7" s="143">
        <f t="shared" si="10"/>
        <v>4.9999999999999822</v>
      </c>
      <c r="V7" s="144">
        <f t="shared" si="7"/>
        <v>32.000000000000043</v>
      </c>
      <c r="W7" s="17"/>
      <c r="X7" s="17"/>
      <c r="Y7" s="20"/>
      <c r="Z7" s="20"/>
      <c r="AA7" s="614"/>
      <c r="AB7" s="615"/>
      <c r="AC7" s="155"/>
      <c r="AD7" s="21"/>
      <c r="AE7" s="15">
        <f t="shared" si="8"/>
        <v>-53.750000000002501</v>
      </c>
      <c r="AF7" s="142">
        <f t="shared" si="9"/>
        <v>0.9731249999999988</v>
      </c>
      <c r="AG7" s="619"/>
    </row>
    <row r="8" spans="1:33">
      <c r="A8" s="649" t="s">
        <v>486</v>
      </c>
      <c r="B8" s="33" t="s">
        <v>80</v>
      </c>
      <c r="C8" s="620"/>
      <c r="D8" s="620"/>
      <c r="E8" s="149"/>
      <c r="F8" s="34"/>
      <c r="G8" s="13"/>
      <c r="H8" s="146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1928.75</v>
      </c>
      <c r="N8" s="13">
        <f t="shared" si="3"/>
        <v>125.78804347826086</v>
      </c>
      <c r="O8" s="15">
        <f t="shared" si="4"/>
        <v>0</v>
      </c>
      <c r="P8" s="16">
        <f t="shared" si="5"/>
        <v>-4.6467391304347956</v>
      </c>
      <c r="Q8" s="142">
        <f t="shared" si="6"/>
        <v>0.96437499999999987</v>
      </c>
      <c r="R8" s="619"/>
      <c r="S8" s="31"/>
      <c r="T8" s="31"/>
      <c r="U8" s="143"/>
      <c r="V8" s="144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-71.25</v>
      </c>
      <c r="AF8" s="142">
        <f t="shared" si="9"/>
        <v>0.96437499999999998</v>
      </c>
      <c r="AG8" s="619"/>
    </row>
    <row r="9" spans="1:33" ht="15.75" customHeight="1">
      <c r="A9" s="645" t="s">
        <v>81</v>
      </c>
      <c r="B9" s="33" t="s">
        <v>10</v>
      </c>
      <c r="C9" s="641" t="s">
        <v>14</v>
      </c>
      <c r="D9" s="642"/>
      <c r="E9" s="33">
        <v>39.619999999999997</v>
      </c>
      <c r="F9" s="146">
        <v>3506</v>
      </c>
      <c r="G9" s="143">
        <f t="shared" ref="G9:G11" si="11">E9*F9</f>
        <v>138907.72</v>
      </c>
      <c r="H9" s="29" t="s">
        <v>5</v>
      </c>
      <c r="I9" s="141">
        <v>19</v>
      </c>
      <c r="J9" s="30">
        <v>1500</v>
      </c>
      <c r="K9" s="13">
        <f t="shared" si="1"/>
        <v>78.94736842105263</v>
      </c>
      <c r="L9" s="141">
        <v>19</v>
      </c>
      <c r="M9" s="14">
        <f t="shared" ref="M9:M11" si="12">F9/V9*60</f>
        <v>1431.0204081632653</v>
      </c>
      <c r="N9" s="13">
        <f t="shared" si="3"/>
        <v>75.316863587540283</v>
      </c>
      <c r="O9" s="15">
        <f t="shared" si="4"/>
        <v>0</v>
      </c>
      <c r="P9" s="16">
        <f t="shared" si="5"/>
        <v>-3.6305048335123473</v>
      </c>
      <c r="Q9" s="142">
        <f t="shared" si="6"/>
        <v>0.95401360544217695</v>
      </c>
      <c r="R9" s="619">
        <f>Q12</f>
        <v>0.95636894382166016</v>
      </c>
      <c r="S9" s="31">
        <v>8.3333333333333329E-2</v>
      </c>
      <c r="T9" s="31">
        <v>0.18541666666666667</v>
      </c>
      <c r="U9" s="143"/>
      <c r="V9" s="144">
        <f t="shared" ref="V9:V11" si="13">(T9-S9)*24*60</f>
        <v>147</v>
      </c>
      <c r="W9" s="17">
        <f>T9</f>
        <v>0.18541666666666667</v>
      </c>
      <c r="X9" s="17">
        <f>S10</f>
        <v>0.20625000000000002</v>
      </c>
      <c r="Y9" s="17"/>
      <c r="Z9" s="17"/>
      <c r="AA9" s="610"/>
      <c r="AB9" s="610"/>
      <c r="AC9" s="155">
        <v>3</v>
      </c>
      <c r="AD9" s="19"/>
      <c r="AE9" s="15">
        <f t="shared" si="8"/>
        <v>-68.979591836734699</v>
      </c>
      <c r="AF9" s="142">
        <f t="shared" si="9"/>
        <v>0.95401360544217684</v>
      </c>
      <c r="AG9" s="619">
        <f>AF12</f>
        <v>0.95636894382166016</v>
      </c>
    </row>
    <row r="10" spans="1:33" ht="15.75" customHeight="1">
      <c r="A10" s="645" t="s">
        <v>81</v>
      </c>
      <c r="B10" s="33" t="s">
        <v>10</v>
      </c>
      <c r="C10" s="641" t="s">
        <v>11</v>
      </c>
      <c r="D10" s="642"/>
      <c r="E10" s="33">
        <v>39.799999999999997</v>
      </c>
      <c r="F10" s="146">
        <v>5095</v>
      </c>
      <c r="G10" s="143">
        <f t="shared" si="11"/>
        <v>202781</v>
      </c>
      <c r="H10" s="29" t="s">
        <v>5</v>
      </c>
      <c r="I10" s="141">
        <v>17</v>
      </c>
      <c r="J10" s="30">
        <v>1500</v>
      </c>
      <c r="K10" s="13">
        <f t="shared" si="1"/>
        <v>88.235294117647058</v>
      </c>
      <c r="L10" s="141">
        <v>17</v>
      </c>
      <c r="M10" s="14">
        <f t="shared" si="12"/>
        <v>1435.211267605634</v>
      </c>
      <c r="N10" s="13">
        <f t="shared" si="3"/>
        <v>84.424192212096116</v>
      </c>
      <c r="O10" s="15">
        <f t="shared" si="4"/>
        <v>0</v>
      </c>
      <c r="P10" s="16">
        <f t="shared" si="5"/>
        <v>-3.8111019055509416</v>
      </c>
      <c r="Q10" s="142">
        <f t="shared" si="6"/>
        <v>0.95680751173708933</v>
      </c>
      <c r="R10" s="619"/>
      <c r="S10" s="31">
        <v>0.20625000000000002</v>
      </c>
      <c r="T10" s="31">
        <v>0.35416666666666669</v>
      </c>
      <c r="U10" s="143">
        <f t="shared" ref="U10:U11" si="14">IF(S10=TIME(17,0,0),"",(S10-T9)*24*60)</f>
        <v>30.000000000000014</v>
      </c>
      <c r="V10" s="144">
        <f t="shared" si="13"/>
        <v>213</v>
      </c>
      <c r="W10" s="17"/>
      <c r="X10" s="17"/>
      <c r="Y10" s="17"/>
      <c r="Z10" s="17"/>
      <c r="AA10" s="610"/>
      <c r="AB10" s="610"/>
      <c r="AC10" s="155"/>
      <c r="AD10" s="19"/>
      <c r="AE10" s="15">
        <f t="shared" si="8"/>
        <v>-64.788732394365979</v>
      </c>
      <c r="AF10" s="142">
        <f t="shared" si="9"/>
        <v>0.95680751173708933</v>
      </c>
      <c r="AG10" s="619"/>
    </row>
    <row r="11" spans="1:33" ht="15.75" customHeight="1">
      <c r="A11" s="645" t="s">
        <v>81</v>
      </c>
      <c r="B11" s="33" t="s">
        <v>10</v>
      </c>
      <c r="C11" s="641" t="s">
        <v>13</v>
      </c>
      <c r="D11" s="642"/>
      <c r="E11" s="33">
        <v>39.520000000000003</v>
      </c>
      <c r="F11" s="146">
        <v>1677</v>
      </c>
      <c r="G11" s="143">
        <f t="shared" si="11"/>
        <v>66275.040000000008</v>
      </c>
      <c r="H11" s="29" t="s">
        <v>5</v>
      </c>
      <c r="I11" s="141">
        <v>19</v>
      </c>
      <c r="J11" s="30">
        <v>1500</v>
      </c>
      <c r="K11" s="13">
        <f t="shared" si="1"/>
        <v>78.94736842105263</v>
      </c>
      <c r="L11" s="141">
        <v>19</v>
      </c>
      <c r="M11" s="14">
        <f t="shared" si="12"/>
        <v>1437.4285714285718</v>
      </c>
      <c r="N11" s="13">
        <f t="shared" si="3"/>
        <v>75.654135338345881</v>
      </c>
      <c r="O11" s="15">
        <f t="shared" si="4"/>
        <v>0</v>
      </c>
      <c r="P11" s="16">
        <f t="shared" si="5"/>
        <v>-3.2932330827067489</v>
      </c>
      <c r="Q11" s="142">
        <f t="shared" si="6"/>
        <v>0.95828571428571452</v>
      </c>
      <c r="R11" s="619"/>
      <c r="S11" s="31">
        <v>0.35833333333333334</v>
      </c>
      <c r="T11" s="31">
        <v>0.40694444444444444</v>
      </c>
      <c r="U11" s="143">
        <f t="shared" si="14"/>
        <v>5.9999999999999787</v>
      </c>
      <c r="V11" s="144">
        <f t="shared" si="13"/>
        <v>69.999999999999986</v>
      </c>
      <c r="W11" s="17"/>
      <c r="X11" s="17"/>
      <c r="Y11" s="17"/>
      <c r="Z11" s="17"/>
      <c r="AA11" s="610"/>
      <c r="AB11" s="610"/>
      <c r="AC11" s="155"/>
      <c r="AD11" s="19"/>
      <c r="AE11" s="15">
        <f t="shared" si="8"/>
        <v>-62.571428571428214</v>
      </c>
      <c r="AF11" s="142">
        <f t="shared" si="9"/>
        <v>0.95828571428571452</v>
      </c>
      <c r="AG11" s="619"/>
    </row>
    <row r="12" spans="1:33" ht="16.5" customHeight="1">
      <c r="A12" s="645" t="s">
        <v>81</v>
      </c>
      <c r="B12" s="33" t="s">
        <v>80</v>
      </c>
      <c r="C12" s="620"/>
      <c r="D12" s="620"/>
      <c r="E12" s="149"/>
      <c r="F12" s="30"/>
      <c r="G12" s="14"/>
      <c r="H12" s="146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1434.5534157324903</v>
      </c>
      <c r="N12" s="13">
        <f t="shared" si="3"/>
        <v>78.248368130863113</v>
      </c>
      <c r="O12" s="15">
        <f t="shared" si="4"/>
        <v>0</v>
      </c>
      <c r="P12" s="16">
        <f t="shared" si="5"/>
        <v>-3.5698136873187138</v>
      </c>
      <c r="Q12" s="142">
        <f t="shared" si="6"/>
        <v>0.95636894382166016</v>
      </c>
      <c r="R12" s="619"/>
      <c r="S12" s="31"/>
      <c r="T12" s="31"/>
      <c r="U12" s="13"/>
      <c r="V12" s="144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-65.446584267509706</v>
      </c>
      <c r="AF12" s="142">
        <f t="shared" si="9"/>
        <v>0.95636894382166016</v>
      </c>
      <c r="AG12" s="619"/>
    </row>
    <row r="13" spans="1:33" ht="16.5" customHeight="1">
      <c r="A13" s="643" t="s">
        <v>487</v>
      </c>
      <c r="B13" s="146" t="s">
        <v>15</v>
      </c>
      <c r="C13" s="635" t="s">
        <v>16</v>
      </c>
      <c r="D13" s="635"/>
      <c r="E13" s="33">
        <v>31.11</v>
      </c>
      <c r="F13" s="146">
        <v>2268</v>
      </c>
      <c r="G13" s="143">
        <f t="shared" ref="G13:G19" si="15">E13*F13</f>
        <v>70557.48</v>
      </c>
      <c r="H13" s="29" t="s">
        <v>5</v>
      </c>
      <c r="I13" s="141">
        <v>14</v>
      </c>
      <c r="J13" s="30">
        <v>2000</v>
      </c>
      <c r="K13" s="13">
        <f t="shared" si="1"/>
        <v>142.85714285714286</v>
      </c>
      <c r="L13" s="141">
        <v>14</v>
      </c>
      <c r="M13" s="14">
        <f t="shared" ref="M13:M19" si="16">F13/V13*60</f>
        <v>1916.6197183098584</v>
      </c>
      <c r="N13" s="13">
        <f t="shared" si="3"/>
        <v>136.90140845070417</v>
      </c>
      <c r="O13" s="15">
        <f t="shared" si="4"/>
        <v>0</v>
      </c>
      <c r="P13" s="16">
        <f t="shared" si="5"/>
        <v>-5.9557344064386939</v>
      </c>
      <c r="Q13" s="142">
        <f t="shared" si="6"/>
        <v>0.95830985915492917</v>
      </c>
      <c r="R13" s="619">
        <f>Q20</f>
        <v>0.95644614186993326</v>
      </c>
      <c r="S13" s="31">
        <v>0.20833333333333334</v>
      </c>
      <c r="T13" s="31">
        <v>0.25763888888888892</v>
      </c>
      <c r="U13" s="143"/>
      <c r="V13" s="144">
        <f t="shared" ref="V13:V19" si="17">(T13-S13)*24*60</f>
        <v>71.000000000000028</v>
      </c>
      <c r="W13" s="17"/>
      <c r="X13" s="17"/>
      <c r="Y13" s="22"/>
      <c r="Z13" s="22"/>
      <c r="AA13" s="610"/>
      <c r="AB13" s="610"/>
      <c r="AC13" s="155">
        <v>7</v>
      </c>
      <c r="AD13" s="19"/>
      <c r="AE13" s="15">
        <f t="shared" si="8"/>
        <v>-83.380281690141601</v>
      </c>
      <c r="AF13" s="142">
        <f t="shared" si="9"/>
        <v>0.95830985915492917</v>
      </c>
      <c r="AG13" s="619">
        <f>AF20</f>
        <v>0.95644614186993326</v>
      </c>
    </row>
    <row r="14" spans="1:33" ht="16.5" customHeight="1">
      <c r="A14" s="644" t="s">
        <v>185</v>
      </c>
      <c r="B14" s="146" t="s">
        <v>17</v>
      </c>
      <c r="C14" s="635" t="s">
        <v>18</v>
      </c>
      <c r="D14" s="635"/>
      <c r="E14" s="33">
        <v>41</v>
      </c>
      <c r="F14" s="146">
        <v>1409</v>
      </c>
      <c r="G14" s="143">
        <f t="shared" si="15"/>
        <v>57769</v>
      </c>
      <c r="H14" s="29" t="s">
        <v>5</v>
      </c>
      <c r="I14" s="141">
        <v>26</v>
      </c>
      <c r="J14" s="30">
        <v>1500</v>
      </c>
      <c r="K14" s="13">
        <f t="shared" si="1"/>
        <v>57.692307692307693</v>
      </c>
      <c r="L14" s="141">
        <v>26</v>
      </c>
      <c r="M14" s="14">
        <f t="shared" si="16"/>
        <v>1432.8813559322025</v>
      </c>
      <c r="N14" s="13">
        <f t="shared" si="3"/>
        <v>55.110821382007785</v>
      </c>
      <c r="O14" s="15">
        <f t="shared" si="4"/>
        <v>0</v>
      </c>
      <c r="P14" s="16">
        <f t="shared" si="5"/>
        <v>-2.5814863102999084</v>
      </c>
      <c r="Q14" s="142">
        <f t="shared" si="6"/>
        <v>0.95525423728813497</v>
      </c>
      <c r="R14" s="619"/>
      <c r="S14" s="31">
        <v>0.26250000000000001</v>
      </c>
      <c r="T14" s="31">
        <v>0.30347222222222225</v>
      </c>
      <c r="U14" s="143">
        <f t="shared" ref="U14:U19" si="18">IF(S14=TIME(17,0,0),"",(S14-T13)*24*60)</f>
        <v>6.9999999999999751</v>
      </c>
      <c r="V14" s="144">
        <f t="shared" si="17"/>
        <v>59.000000000000028</v>
      </c>
      <c r="W14" s="17"/>
      <c r="X14" s="17"/>
      <c r="Y14" s="17"/>
      <c r="Z14" s="17"/>
      <c r="AA14" s="610"/>
      <c r="AB14" s="610"/>
      <c r="AC14" s="155"/>
      <c r="AD14" s="19"/>
      <c r="AE14" s="15">
        <f t="shared" si="8"/>
        <v>-67.118644067797504</v>
      </c>
      <c r="AF14" s="142">
        <f t="shared" si="9"/>
        <v>0.95525423728813497</v>
      </c>
      <c r="AG14" s="619"/>
    </row>
    <row r="15" spans="1:33" ht="16.5" customHeight="1">
      <c r="A15" s="644" t="s">
        <v>487</v>
      </c>
      <c r="B15" s="146" t="s">
        <v>15</v>
      </c>
      <c r="C15" s="635" t="s">
        <v>76</v>
      </c>
      <c r="D15" s="635"/>
      <c r="E15" s="33">
        <v>68.88</v>
      </c>
      <c r="F15" s="146">
        <v>1942</v>
      </c>
      <c r="G15" s="143">
        <f t="shared" si="15"/>
        <v>133764.96</v>
      </c>
      <c r="H15" s="29" t="s">
        <v>5</v>
      </c>
      <c r="I15" s="141">
        <v>16</v>
      </c>
      <c r="J15" s="30">
        <v>2000</v>
      </c>
      <c r="K15" s="13">
        <f t="shared" si="1"/>
        <v>125</v>
      </c>
      <c r="L15" s="141">
        <v>16</v>
      </c>
      <c r="M15" s="14">
        <f t="shared" si="16"/>
        <v>1910.1639344262287</v>
      </c>
      <c r="N15" s="13">
        <f t="shared" si="3"/>
        <v>119.38524590163929</v>
      </c>
      <c r="O15" s="15">
        <f t="shared" si="4"/>
        <v>0</v>
      </c>
      <c r="P15" s="16">
        <f t="shared" si="5"/>
        <v>-5.6147540983607058</v>
      </c>
      <c r="Q15" s="142">
        <f t="shared" si="6"/>
        <v>0.95508196721311434</v>
      </c>
      <c r="R15" s="619"/>
      <c r="S15" s="31">
        <v>0.30902777777777779</v>
      </c>
      <c r="T15" s="31">
        <v>0.35138888888888892</v>
      </c>
      <c r="U15" s="143">
        <f t="shared" si="18"/>
        <v>7.9999999999999716</v>
      </c>
      <c r="V15" s="144">
        <f t="shared" si="17"/>
        <v>61.000000000000021</v>
      </c>
      <c r="W15" s="17"/>
      <c r="X15" s="17"/>
      <c r="Y15" s="17"/>
      <c r="Z15" s="17"/>
      <c r="AA15" s="610"/>
      <c r="AB15" s="610"/>
      <c r="AC15" s="155"/>
      <c r="AD15" s="19"/>
      <c r="AE15" s="15">
        <f t="shared" si="8"/>
        <v>-89.836065573771293</v>
      </c>
      <c r="AF15" s="142">
        <f t="shared" si="9"/>
        <v>0.95508196721311434</v>
      </c>
      <c r="AG15" s="619"/>
    </row>
    <row r="16" spans="1:33" ht="16.5" customHeight="1">
      <c r="A16" s="644" t="s">
        <v>488</v>
      </c>
      <c r="B16" s="146" t="s">
        <v>10</v>
      </c>
      <c r="C16" s="635" t="s">
        <v>12</v>
      </c>
      <c r="D16" s="635"/>
      <c r="E16" s="33">
        <v>39.46</v>
      </c>
      <c r="F16" s="146">
        <v>1637</v>
      </c>
      <c r="G16" s="143">
        <f t="shared" si="15"/>
        <v>64596.020000000004</v>
      </c>
      <c r="H16" s="29" t="s">
        <v>5</v>
      </c>
      <c r="I16" s="141">
        <v>15</v>
      </c>
      <c r="J16" s="30">
        <v>1500</v>
      </c>
      <c r="K16" s="13">
        <f t="shared" si="1"/>
        <v>100</v>
      </c>
      <c r="L16" s="141">
        <v>15</v>
      </c>
      <c r="M16" s="14">
        <f t="shared" si="16"/>
        <v>1444.4117647058824</v>
      </c>
      <c r="N16" s="13">
        <f t="shared" si="3"/>
        <v>96.294117647058826</v>
      </c>
      <c r="O16" s="15">
        <f t="shared" si="4"/>
        <v>0</v>
      </c>
      <c r="P16" s="16">
        <f t="shared" si="5"/>
        <v>-3.705882352941174</v>
      </c>
      <c r="Q16" s="142">
        <f t="shared" si="6"/>
        <v>0.9629411764705883</v>
      </c>
      <c r="R16" s="619"/>
      <c r="S16" s="31">
        <v>0.35486111111111113</v>
      </c>
      <c r="T16" s="31">
        <v>0.40208333333333335</v>
      </c>
      <c r="U16" s="143">
        <f t="shared" si="18"/>
        <v>4.9999999999999822</v>
      </c>
      <c r="V16" s="144">
        <f t="shared" si="17"/>
        <v>68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-55.588235294117567</v>
      </c>
      <c r="AF16" s="142">
        <f t="shared" si="9"/>
        <v>0.9629411764705883</v>
      </c>
      <c r="AG16" s="619"/>
    </row>
    <row r="17" spans="1:33" ht="16.5" customHeight="1">
      <c r="A17" s="644" t="s">
        <v>487</v>
      </c>
      <c r="B17" s="146" t="s">
        <v>6</v>
      </c>
      <c r="C17" s="635" t="s">
        <v>20</v>
      </c>
      <c r="D17" s="635"/>
      <c r="E17" s="33">
        <v>54.5</v>
      </c>
      <c r="F17" s="146">
        <v>723</v>
      </c>
      <c r="G17" s="143">
        <f t="shared" si="15"/>
        <v>39403.5</v>
      </c>
      <c r="H17" s="29" t="s">
        <v>5</v>
      </c>
      <c r="I17" s="141">
        <v>19</v>
      </c>
      <c r="J17" s="30">
        <v>1500</v>
      </c>
      <c r="K17" s="13">
        <f t="shared" si="1"/>
        <v>78.94736842105263</v>
      </c>
      <c r="L17" s="141">
        <v>19</v>
      </c>
      <c r="M17" s="14">
        <f t="shared" si="16"/>
        <v>1445.9999999999975</v>
      </c>
      <c r="N17" s="13">
        <f t="shared" si="3"/>
        <v>76.105263157894612</v>
      </c>
      <c r="O17" s="15">
        <f t="shared" si="4"/>
        <v>0</v>
      </c>
      <c r="P17" s="16">
        <f t="shared" si="5"/>
        <v>-2.8421052631580181</v>
      </c>
      <c r="Q17" s="142">
        <f t="shared" si="6"/>
        <v>0.96399999999999841</v>
      </c>
      <c r="R17" s="619"/>
      <c r="S17" s="31">
        <v>0.70833333333333337</v>
      </c>
      <c r="T17" s="31">
        <v>0.72916666666666674</v>
      </c>
      <c r="U17" s="143" t="str">
        <f t="shared" si="18"/>
        <v/>
      </c>
      <c r="V17" s="144">
        <f t="shared" si="17"/>
        <v>30.000000000000053</v>
      </c>
      <c r="W17" s="17"/>
      <c r="X17" s="17"/>
      <c r="Y17" s="17"/>
      <c r="Z17" s="17"/>
      <c r="AA17" s="610"/>
      <c r="AB17" s="610"/>
      <c r="AC17" s="155"/>
      <c r="AD17" s="19"/>
      <c r="AE17" s="15">
        <f t="shared" si="8"/>
        <v>-54.000000000002501</v>
      </c>
      <c r="AF17" s="142">
        <f t="shared" si="9"/>
        <v>0.9639999999999983</v>
      </c>
      <c r="AG17" s="619"/>
    </row>
    <row r="18" spans="1:33" ht="16.5" customHeight="1">
      <c r="A18" s="644" t="s">
        <v>487</v>
      </c>
      <c r="B18" s="146" t="s">
        <v>6</v>
      </c>
      <c r="C18" s="150" t="s">
        <v>19</v>
      </c>
      <c r="D18" s="151"/>
      <c r="E18" s="33">
        <v>50.67</v>
      </c>
      <c r="F18" s="146">
        <v>1267</v>
      </c>
      <c r="G18" s="143">
        <f t="shared" si="15"/>
        <v>64198.89</v>
      </c>
      <c r="H18" s="29" t="s">
        <v>5</v>
      </c>
      <c r="I18" s="141">
        <v>17</v>
      </c>
      <c r="J18" s="30">
        <v>2000</v>
      </c>
      <c r="K18" s="13">
        <f t="shared" si="1"/>
        <v>117.64705882352941</v>
      </c>
      <c r="L18" s="141">
        <v>17</v>
      </c>
      <c r="M18" s="14">
        <f t="shared" si="16"/>
        <v>1900.4999999999993</v>
      </c>
      <c r="N18" s="13">
        <f t="shared" si="3"/>
        <v>111.79411764705878</v>
      </c>
      <c r="O18" s="15">
        <f t="shared" si="4"/>
        <v>0</v>
      </c>
      <c r="P18" s="16">
        <f t="shared" si="5"/>
        <v>-5.8529411764706225</v>
      </c>
      <c r="Q18" s="142">
        <f t="shared" si="6"/>
        <v>0.95024999999999971</v>
      </c>
      <c r="R18" s="619"/>
      <c r="S18" s="31">
        <v>0.73333333333333339</v>
      </c>
      <c r="T18" s="31">
        <v>0.76111111111111118</v>
      </c>
      <c r="U18" s="143">
        <f t="shared" si="18"/>
        <v>5.9999999999999787</v>
      </c>
      <c r="V18" s="144">
        <f t="shared" si="17"/>
        <v>40.000000000000014</v>
      </c>
      <c r="W18" s="17"/>
      <c r="X18" s="17"/>
      <c r="Y18" s="20"/>
      <c r="Z18" s="20"/>
      <c r="AA18" s="147"/>
      <c r="AB18" s="148"/>
      <c r="AC18" s="155"/>
      <c r="AD18" s="19"/>
      <c r="AE18" s="15">
        <f t="shared" si="8"/>
        <v>-99.500000000000682</v>
      </c>
      <c r="AF18" s="142">
        <f t="shared" si="9"/>
        <v>0.95024999999999971</v>
      </c>
      <c r="AG18" s="619"/>
    </row>
    <row r="19" spans="1:33" ht="16.5" customHeight="1">
      <c r="A19" s="644" t="s">
        <v>487</v>
      </c>
      <c r="B19" s="146" t="s">
        <v>6</v>
      </c>
      <c r="C19" s="150" t="s">
        <v>45</v>
      </c>
      <c r="D19" s="151"/>
      <c r="E19" s="33">
        <v>51.06</v>
      </c>
      <c r="F19" s="146">
        <v>2159</v>
      </c>
      <c r="G19" s="143">
        <f t="shared" si="15"/>
        <v>110238.54000000001</v>
      </c>
      <c r="H19" s="29" t="s">
        <v>5</v>
      </c>
      <c r="I19" s="141">
        <v>13</v>
      </c>
      <c r="J19" s="30">
        <v>2000</v>
      </c>
      <c r="K19" s="13">
        <f t="shared" si="1"/>
        <v>153.84615384615384</v>
      </c>
      <c r="L19" s="141">
        <v>13</v>
      </c>
      <c r="M19" s="14">
        <f t="shared" si="16"/>
        <v>1904.9999999999977</v>
      </c>
      <c r="N19" s="13">
        <f t="shared" si="3"/>
        <v>146.53846153846138</v>
      </c>
      <c r="O19" s="15">
        <f t="shared" si="4"/>
        <v>0</v>
      </c>
      <c r="P19" s="16">
        <f t="shared" si="5"/>
        <v>-7.3076923076924629</v>
      </c>
      <c r="Q19" s="142">
        <f t="shared" si="6"/>
        <v>0.95249999999999901</v>
      </c>
      <c r="R19" s="619"/>
      <c r="S19" s="31">
        <v>0.76597222222222228</v>
      </c>
      <c r="T19" s="31">
        <v>0.81319444444444455</v>
      </c>
      <c r="U19" s="143">
        <f t="shared" si="18"/>
        <v>6.9999999999999751</v>
      </c>
      <c r="V19" s="144">
        <f t="shared" si="17"/>
        <v>68.000000000000085</v>
      </c>
      <c r="W19" s="17"/>
      <c r="X19" s="17"/>
      <c r="Y19" s="20"/>
      <c r="Z19" s="20"/>
      <c r="AA19" s="147"/>
      <c r="AB19" s="148"/>
      <c r="AC19" s="155"/>
      <c r="AD19" s="19"/>
      <c r="AE19" s="15">
        <f t="shared" si="8"/>
        <v>-95.000000000002274</v>
      </c>
      <c r="AF19" s="142">
        <f t="shared" si="9"/>
        <v>0.9524999999999989</v>
      </c>
      <c r="AG19" s="619"/>
    </row>
    <row r="20" spans="1:33" ht="16.5" customHeight="1">
      <c r="A20" s="644" t="s">
        <v>487</v>
      </c>
      <c r="B20" s="33" t="s">
        <v>80</v>
      </c>
      <c r="C20" s="620"/>
      <c r="D20" s="620"/>
      <c r="E20" s="149"/>
      <c r="F20" s="34"/>
      <c r="G20" s="13"/>
      <c r="H20" s="146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1707.9395390534523</v>
      </c>
      <c r="N20" s="13">
        <f t="shared" si="3"/>
        <v>99.62980644478472</v>
      </c>
      <c r="O20" s="15">
        <f t="shared" si="4"/>
        <v>0</v>
      </c>
      <c r="P20" s="16">
        <f t="shared" si="5"/>
        <v>-4.5368602218819518</v>
      </c>
      <c r="Q20" s="142">
        <f t="shared" si="6"/>
        <v>0.95644614186993326</v>
      </c>
      <c r="R20" s="619"/>
      <c r="S20" s="31"/>
      <c r="T20" s="31"/>
      <c r="U20" s="143"/>
      <c r="V20" s="144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-77.774746660833443</v>
      </c>
      <c r="AF20" s="142">
        <f t="shared" si="9"/>
        <v>0.95644614186993326</v>
      </c>
      <c r="AG20" s="619"/>
    </row>
    <row r="21" spans="1:33" ht="15.75" customHeight="1">
      <c r="A21" s="637" t="s">
        <v>489</v>
      </c>
      <c r="B21" s="33" t="s">
        <v>6</v>
      </c>
      <c r="C21" s="635" t="s">
        <v>22</v>
      </c>
      <c r="D21" s="635"/>
      <c r="E21" s="33">
        <v>50.67</v>
      </c>
      <c r="F21" s="146">
        <v>1121</v>
      </c>
      <c r="G21" s="143">
        <f t="shared" ref="G21:G26" si="19">E21*F21</f>
        <v>56801.07</v>
      </c>
      <c r="H21" s="29" t="s">
        <v>5</v>
      </c>
      <c r="I21" s="141">
        <v>17</v>
      </c>
      <c r="J21" s="30">
        <v>2000</v>
      </c>
      <c r="K21" s="13">
        <f t="shared" si="1"/>
        <v>117.64705882352941</v>
      </c>
      <c r="L21" s="141">
        <v>17</v>
      </c>
      <c r="M21" s="14">
        <f t="shared" ref="M21:M26" si="20">F21/V21*60</f>
        <v>1921.714285714286</v>
      </c>
      <c r="N21" s="13">
        <f t="shared" si="3"/>
        <v>113.0420168067227</v>
      </c>
      <c r="O21" s="15">
        <f t="shared" si="4"/>
        <v>0</v>
      </c>
      <c r="P21" s="16">
        <f t="shared" si="5"/>
        <v>-4.6050420168067063</v>
      </c>
      <c r="Q21" s="142">
        <f t="shared" si="6"/>
        <v>0.96085714285714297</v>
      </c>
      <c r="R21" s="619">
        <f>Q27</f>
        <v>0.96454540043290027</v>
      </c>
      <c r="S21" s="31">
        <v>0.20833333333333334</v>
      </c>
      <c r="T21" s="31">
        <v>0.2326388888888889</v>
      </c>
      <c r="U21" s="143"/>
      <c r="V21" s="144">
        <f t="shared" ref="V21:V26" si="21">(T21-S21)*24*60</f>
        <v>34.999999999999993</v>
      </c>
      <c r="W21" s="17"/>
      <c r="X21" s="17"/>
      <c r="Y21" s="22"/>
      <c r="Z21" s="22"/>
      <c r="AA21" s="610"/>
      <c r="AB21" s="610"/>
      <c r="AC21" s="155">
        <v>6</v>
      </c>
      <c r="AD21" s="19"/>
      <c r="AE21" s="15">
        <f t="shared" si="8"/>
        <v>-78.285714285713993</v>
      </c>
      <c r="AF21" s="142">
        <f t="shared" si="9"/>
        <v>0.96085714285714297</v>
      </c>
      <c r="AG21" s="619">
        <f>AF27</f>
        <v>0.96454540043290027</v>
      </c>
    </row>
    <row r="22" spans="1:33" ht="15.75" customHeight="1">
      <c r="A22" s="638" t="s">
        <v>189</v>
      </c>
      <c r="B22" s="33" t="s">
        <v>6</v>
      </c>
      <c r="C22" s="635" t="s">
        <v>23</v>
      </c>
      <c r="D22" s="635"/>
      <c r="E22" s="33">
        <v>57.73</v>
      </c>
      <c r="F22" s="146">
        <v>1759</v>
      </c>
      <c r="G22" s="143">
        <f t="shared" si="19"/>
        <v>101547.06999999999</v>
      </c>
      <c r="H22" s="29" t="s">
        <v>5</v>
      </c>
      <c r="I22" s="141">
        <v>14</v>
      </c>
      <c r="J22" s="30">
        <v>2000</v>
      </c>
      <c r="K22" s="13">
        <f t="shared" si="1"/>
        <v>142.85714285714286</v>
      </c>
      <c r="L22" s="141">
        <v>14</v>
      </c>
      <c r="M22" s="14">
        <f t="shared" si="20"/>
        <v>1918.9090909090905</v>
      </c>
      <c r="N22" s="13">
        <f t="shared" si="3"/>
        <v>137.06493506493504</v>
      </c>
      <c r="O22" s="15">
        <f t="shared" si="4"/>
        <v>0</v>
      </c>
      <c r="P22" s="16">
        <f t="shared" si="5"/>
        <v>-5.7922077922078188</v>
      </c>
      <c r="Q22" s="142">
        <f t="shared" si="6"/>
        <v>0.95945454545454523</v>
      </c>
      <c r="R22" s="619"/>
      <c r="S22" s="31">
        <v>0.23819444444444446</v>
      </c>
      <c r="T22" s="31">
        <v>0.27638888888888891</v>
      </c>
      <c r="U22" s="143">
        <f t="shared" ref="U22:U26" si="22">IF(S22=TIME(17,0,0),"",(S22-T21)*24*60)</f>
        <v>8.0000000000000107</v>
      </c>
      <c r="V22" s="144">
        <f t="shared" si="21"/>
        <v>55.000000000000007</v>
      </c>
      <c r="W22" s="17"/>
      <c r="X22" s="143"/>
      <c r="Y22" s="143"/>
      <c r="Z22" s="143"/>
      <c r="AA22" s="610"/>
      <c r="AB22" s="610"/>
      <c r="AC22" s="155"/>
      <c r="AD22" s="19"/>
      <c r="AE22" s="15">
        <f t="shared" si="8"/>
        <v>-81.090909090909463</v>
      </c>
      <c r="AF22" s="142">
        <f t="shared" si="9"/>
        <v>0.95945454545454523</v>
      </c>
      <c r="AG22" s="619"/>
    </row>
    <row r="23" spans="1:33" ht="15.75" customHeight="1">
      <c r="A23" s="638" t="s">
        <v>489</v>
      </c>
      <c r="B23" s="33" t="s">
        <v>6</v>
      </c>
      <c r="C23" s="635" t="s">
        <v>24</v>
      </c>
      <c r="D23" s="635"/>
      <c r="E23" s="33">
        <v>53.27</v>
      </c>
      <c r="F23" s="146">
        <v>812</v>
      </c>
      <c r="G23" s="143">
        <f t="shared" si="19"/>
        <v>43255.240000000005</v>
      </c>
      <c r="H23" s="29" t="s">
        <v>5</v>
      </c>
      <c r="I23" s="141">
        <v>16</v>
      </c>
      <c r="J23" s="30">
        <v>2000</v>
      </c>
      <c r="K23" s="13">
        <f t="shared" si="1"/>
        <v>125</v>
      </c>
      <c r="L23" s="141">
        <v>16</v>
      </c>
      <c r="M23" s="14">
        <f t="shared" si="20"/>
        <v>1948.8000000000006</v>
      </c>
      <c r="N23" s="13">
        <f t="shared" si="3"/>
        <v>121.80000000000004</v>
      </c>
      <c r="O23" s="15">
        <f t="shared" si="4"/>
        <v>0</v>
      </c>
      <c r="P23" s="16">
        <f t="shared" si="5"/>
        <v>-3.1999999999999602</v>
      </c>
      <c r="Q23" s="142">
        <f t="shared" si="6"/>
        <v>0.97440000000000027</v>
      </c>
      <c r="R23" s="619"/>
      <c r="S23" s="31">
        <v>0.28055555555555556</v>
      </c>
      <c r="T23" s="31">
        <v>0.29791666666666666</v>
      </c>
      <c r="U23" s="143">
        <f t="shared" si="22"/>
        <v>5.9999999999999787</v>
      </c>
      <c r="V23" s="144">
        <f t="shared" si="21"/>
        <v>24.999999999999993</v>
      </c>
      <c r="W23" s="17"/>
      <c r="X23" s="143"/>
      <c r="Y23" s="143"/>
      <c r="Z23" s="143"/>
      <c r="AA23" s="610"/>
      <c r="AB23" s="610"/>
      <c r="AC23" s="155"/>
      <c r="AD23" s="19"/>
      <c r="AE23" s="15">
        <f t="shared" si="8"/>
        <v>-51.199999999999363</v>
      </c>
      <c r="AF23" s="142">
        <f t="shared" si="9"/>
        <v>0.97440000000000027</v>
      </c>
      <c r="AG23" s="619"/>
    </row>
    <row r="24" spans="1:33" ht="15.75" customHeight="1">
      <c r="A24" s="638" t="s">
        <v>489</v>
      </c>
      <c r="B24" s="33" t="s">
        <v>6</v>
      </c>
      <c r="C24" s="635" t="s">
        <v>21</v>
      </c>
      <c r="D24" s="635"/>
      <c r="E24" s="33">
        <v>50.49</v>
      </c>
      <c r="F24" s="146">
        <v>1555</v>
      </c>
      <c r="G24" s="143">
        <f t="shared" si="19"/>
        <v>78511.95</v>
      </c>
      <c r="H24" s="29" t="s">
        <v>5</v>
      </c>
      <c r="I24" s="141">
        <v>15</v>
      </c>
      <c r="J24" s="30">
        <v>2000</v>
      </c>
      <c r="K24" s="13">
        <f t="shared" si="1"/>
        <v>133.33333333333334</v>
      </c>
      <c r="L24" s="141">
        <v>15</v>
      </c>
      <c r="M24" s="14">
        <f t="shared" si="20"/>
        <v>1943.7500000000005</v>
      </c>
      <c r="N24" s="13">
        <f t="shared" si="3"/>
        <v>129.58333333333337</v>
      </c>
      <c r="O24" s="15">
        <f t="shared" si="4"/>
        <v>0</v>
      </c>
      <c r="P24" s="16">
        <f t="shared" si="5"/>
        <v>-3.7499999999999716</v>
      </c>
      <c r="Q24" s="142">
        <f t="shared" si="6"/>
        <v>0.97187500000000027</v>
      </c>
      <c r="R24" s="619"/>
      <c r="S24" s="31">
        <v>0.70833333333333337</v>
      </c>
      <c r="T24" s="31">
        <v>0.7416666666666667</v>
      </c>
      <c r="U24" s="143" t="str">
        <f t="shared" si="22"/>
        <v/>
      </c>
      <c r="V24" s="144">
        <f t="shared" si="21"/>
        <v>47.999999999999986</v>
      </c>
      <c r="W24" s="17"/>
      <c r="X24" s="143"/>
      <c r="Y24" s="143"/>
      <c r="Z24" s="143"/>
      <c r="AA24" s="610"/>
      <c r="AB24" s="610"/>
      <c r="AC24" s="155"/>
      <c r="AD24" s="19"/>
      <c r="AE24" s="15">
        <f t="shared" si="8"/>
        <v>-56.249999999999545</v>
      </c>
      <c r="AF24" s="142">
        <f t="shared" si="9"/>
        <v>0.97187500000000027</v>
      </c>
      <c r="AG24" s="619"/>
    </row>
    <row r="25" spans="1:33" ht="15.75" customHeight="1">
      <c r="A25" s="638" t="s">
        <v>489</v>
      </c>
      <c r="B25" s="33" t="s">
        <v>6</v>
      </c>
      <c r="C25" s="635" t="s">
        <v>26</v>
      </c>
      <c r="D25" s="635"/>
      <c r="E25" s="33">
        <v>54.09</v>
      </c>
      <c r="F25" s="146">
        <v>1594</v>
      </c>
      <c r="G25" s="143">
        <f t="shared" si="19"/>
        <v>86219.46</v>
      </c>
      <c r="H25" s="29" t="s">
        <v>5</v>
      </c>
      <c r="I25" s="141">
        <v>18</v>
      </c>
      <c r="J25" s="30">
        <v>2000</v>
      </c>
      <c r="K25" s="13">
        <f t="shared" si="1"/>
        <v>111.11111111111111</v>
      </c>
      <c r="L25" s="141">
        <v>18</v>
      </c>
      <c r="M25" s="14">
        <f t="shared" si="20"/>
        <v>1912.8000000000006</v>
      </c>
      <c r="N25" s="13">
        <f t="shared" si="3"/>
        <v>106.26666666666671</v>
      </c>
      <c r="O25" s="15">
        <f t="shared" si="4"/>
        <v>0</v>
      </c>
      <c r="P25" s="16">
        <f t="shared" si="5"/>
        <v>-4.8444444444444059</v>
      </c>
      <c r="Q25" s="142">
        <f t="shared" si="6"/>
        <v>0.95640000000000036</v>
      </c>
      <c r="R25" s="619"/>
      <c r="S25" s="31">
        <v>0.74513888888888891</v>
      </c>
      <c r="T25" s="31">
        <v>0.77986111111111112</v>
      </c>
      <c r="U25" s="143">
        <f t="shared" si="22"/>
        <v>4.9999999999999822</v>
      </c>
      <c r="V25" s="144">
        <f t="shared" si="21"/>
        <v>49.999999999999986</v>
      </c>
      <c r="W25" s="17"/>
      <c r="X25" s="17"/>
      <c r="Y25" s="143"/>
      <c r="Z25" s="143"/>
      <c r="AA25" s="610"/>
      <c r="AB25" s="610"/>
      <c r="AC25" s="155"/>
      <c r="AD25" s="19"/>
      <c r="AE25" s="15">
        <f t="shared" si="8"/>
        <v>-87.199999999999363</v>
      </c>
      <c r="AF25" s="142">
        <f t="shared" si="9"/>
        <v>0.95640000000000036</v>
      </c>
      <c r="AG25" s="619"/>
    </row>
    <row r="26" spans="1:33" ht="15.75" customHeight="1">
      <c r="A26" s="638" t="s">
        <v>489</v>
      </c>
      <c r="B26" s="33" t="s">
        <v>6</v>
      </c>
      <c r="C26" s="635" t="s">
        <v>25</v>
      </c>
      <c r="D26" s="635"/>
      <c r="E26" s="33">
        <v>56.43</v>
      </c>
      <c r="F26" s="146">
        <v>900</v>
      </c>
      <c r="G26" s="143">
        <f t="shared" si="19"/>
        <v>50787</v>
      </c>
      <c r="H26" s="29" t="s">
        <v>5</v>
      </c>
      <c r="I26" s="141">
        <v>13</v>
      </c>
      <c r="J26" s="30">
        <v>2000</v>
      </c>
      <c r="K26" s="13">
        <f t="shared" si="1"/>
        <v>153.84615384615384</v>
      </c>
      <c r="L26" s="141">
        <v>13</v>
      </c>
      <c r="M26" s="14">
        <f t="shared" si="20"/>
        <v>1928.5714285714246</v>
      </c>
      <c r="N26" s="13">
        <f t="shared" si="3"/>
        <v>148.35164835164804</v>
      </c>
      <c r="O26" s="15">
        <f t="shared" si="4"/>
        <v>0</v>
      </c>
      <c r="P26" s="16">
        <f t="shared" si="5"/>
        <v>-5.4945054945058018</v>
      </c>
      <c r="Q26" s="142">
        <f t="shared" si="6"/>
        <v>0.9642857142857123</v>
      </c>
      <c r="R26" s="619"/>
      <c r="S26" s="31">
        <v>0.78541666666666665</v>
      </c>
      <c r="T26" s="31">
        <v>0.80486111111111114</v>
      </c>
      <c r="U26" s="143">
        <f t="shared" si="22"/>
        <v>7.9999999999999716</v>
      </c>
      <c r="V26" s="144">
        <f t="shared" si="21"/>
        <v>28.00000000000006</v>
      </c>
      <c r="W26" s="17"/>
      <c r="X26" s="22"/>
      <c r="Y26" s="22"/>
      <c r="Z26" s="22"/>
      <c r="AA26" s="610"/>
      <c r="AB26" s="610"/>
      <c r="AC26" s="155"/>
      <c r="AD26" s="19"/>
      <c r="AE26" s="15">
        <f t="shared" si="8"/>
        <v>-71.428571428575424</v>
      </c>
      <c r="AF26" s="142">
        <f t="shared" si="9"/>
        <v>0.9642857142857123</v>
      </c>
      <c r="AG26" s="619"/>
    </row>
    <row r="27" spans="1:33" ht="15.75" customHeight="1">
      <c r="A27" s="638" t="s">
        <v>489</v>
      </c>
      <c r="B27" s="33" t="s">
        <v>490</v>
      </c>
      <c r="C27" s="620"/>
      <c r="D27" s="620"/>
      <c r="E27" s="149"/>
      <c r="F27" s="146"/>
      <c r="G27" s="143"/>
      <c r="H27" s="146"/>
      <c r="I27" s="23">
        <v>15.5</v>
      </c>
      <c r="J27" s="30">
        <v>2000</v>
      </c>
      <c r="K27" s="13">
        <f t="shared" si="1"/>
        <v>129.03225806451613</v>
      </c>
      <c r="L27" s="23">
        <v>15.5</v>
      </c>
      <c r="M27" s="14">
        <f>AVERAGE(M21:M26)</f>
        <v>1929.0908008658005</v>
      </c>
      <c r="N27" s="13">
        <f t="shared" si="3"/>
        <v>124.45747102360004</v>
      </c>
      <c r="O27" s="15">
        <f t="shared" si="4"/>
        <v>0</v>
      </c>
      <c r="P27" s="16">
        <f t="shared" si="5"/>
        <v>-4.5747870409160925</v>
      </c>
      <c r="Q27" s="142">
        <f t="shared" si="6"/>
        <v>0.96454540043290027</v>
      </c>
      <c r="R27" s="619"/>
      <c r="S27" s="31"/>
      <c r="T27" s="31"/>
      <c r="U27" s="13"/>
      <c r="V27" s="144"/>
      <c r="W27" s="13"/>
      <c r="X27" s="13"/>
      <c r="Y27" s="24">
        <f>SUM(Y21:Y26)</f>
        <v>0</v>
      </c>
      <c r="Z27" s="24">
        <f>SUM(Z21:Z26)</f>
        <v>0</v>
      </c>
      <c r="AA27" s="609"/>
      <c r="AB27" s="609"/>
      <c r="AC27" s="24">
        <v>6</v>
      </c>
      <c r="AD27" s="24">
        <f>SUM(AD21:AD26)</f>
        <v>0</v>
      </c>
      <c r="AE27" s="15">
        <f t="shared" si="8"/>
        <v>-70.909199134199525</v>
      </c>
      <c r="AF27" s="142">
        <f t="shared" si="9"/>
        <v>0.96454540043290027</v>
      </c>
      <c r="AG27" s="619"/>
    </row>
    <row r="28" spans="1:33" ht="15.75" customHeight="1">
      <c r="A28" s="636" t="s">
        <v>192</v>
      </c>
      <c r="B28" s="33" t="s">
        <v>27</v>
      </c>
      <c r="C28" s="635" t="s">
        <v>28</v>
      </c>
      <c r="D28" s="635"/>
      <c r="E28" s="33">
        <v>31.29</v>
      </c>
      <c r="F28" s="146">
        <v>6420</v>
      </c>
      <c r="G28" s="143">
        <f t="shared" ref="G28:G32" si="23">E28*F28</f>
        <v>200881.8</v>
      </c>
      <c r="H28" s="29" t="s">
        <v>5</v>
      </c>
      <c r="I28" s="141">
        <v>18</v>
      </c>
      <c r="J28" s="30">
        <v>2400</v>
      </c>
      <c r="K28" s="13">
        <f t="shared" si="1"/>
        <v>133.33333333333334</v>
      </c>
      <c r="L28" s="141">
        <v>18</v>
      </c>
      <c r="M28" s="14">
        <f t="shared" ref="M28:M32" si="24">F28/V28*60</f>
        <v>2292.8571428571431</v>
      </c>
      <c r="N28" s="13">
        <f t="shared" si="3"/>
        <v>127.38095238095239</v>
      </c>
      <c r="O28" s="15">
        <f t="shared" si="4"/>
        <v>0</v>
      </c>
      <c r="P28" s="16">
        <f t="shared" si="5"/>
        <v>-5.952380952380949</v>
      </c>
      <c r="Q28" s="142">
        <f t="shared" si="6"/>
        <v>0.9553571428571429</v>
      </c>
      <c r="R28" s="619">
        <f>Q33</f>
        <v>0.95606859234687291</v>
      </c>
      <c r="S28" s="31">
        <v>8.3333333333333329E-2</v>
      </c>
      <c r="T28" s="31">
        <v>0.19999999999999998</v>
      </c>
      <c r="U28" s="143"/>
      <c r="V28" s="144">
        <f t="shared" ref="V28:V32" si="25">(T28-S28)*24*60</f>
        <v>168</v>
      </c>
      <c r="W28" s="17">
        <f>T28</f>
        <v>0.19999999999999998</v>
      </c>
      <c r="X28" s="17">
        <f>S29</f>
        <v>0.21944444444444441</v>
      </c>
      <c r="Y28" s="17"/>
      <c r="Z28" s="17"/>
      <c r="AA28" s="610"/>
      <c r="AB28" s="610"/>
      <c r="AC28" s="155">
        <v>5</v>
      </c>
      <c r="AD28" s="19"/>
      <c r="AE28" s="15">
        <f t="shared" si="8"/>
        <v>-107.14285714285688</v>
      </c>
      <c r="AF28" s="142">
        <f t="shared" si="9"/>
        <v>0.95535714285714302</v>
      </c>
      <c r="AG28" s="619">
        <f>AF33</f>
        <v>0.95606859234687291</v>
      </c>
    </row>
    <row r="29" spans="1:33" ht="15.75" customHeight="1">
      <c r="A29" s="636" t="s">
        <v>491</v>
      </c>
      <c r="B29" s="33" t="s">
        <v>27</v>
      </c>
      <c r="C29" s="635" t="s">
        <v>29</v>
      </c>
      <c r="D29" s="635"/>
      <c r="E29" s="33">
        <v>26.37</v>
      </c>
      <c r="F29" s="146">
        <v>4981</v>
      </c>
      <c r="G29" s="143">
        <f t="shared" si="23"/>
        <v>131348.97</v>
      </c>
      <c r="H29" s="29" t="s">
        <v>5</v>
      </c>
      <c r="I29" s="141">
        <v>18</v>
      </c>
      <c r="J29" s="30">
        <v>2400</v>
      </c>
      <c r="K29" s="13">
        <f t="shared" si="1"/>
        <v>133.33333333333334</v>
      </c>
      <c r="L29" s="141">
        <v>18</v>
      </c>
      <c r="M29" s="14">
        <f t="shared" si="24"/>
        <v>2298.9230769230776</v>
      </c>
      <c r="N29" s="13">
        <f t="shared" si="3"/>
        <v>127.71794871794876</v>
      </c>
      <c r="O29" s="15">
        <f t="shared" si="4"/>
        <v>0</v>
      </c>
      <c r="P29" s="16">
        <f t="shared" si="5"/>
        <v>-5.6153846153845848</v>
      </c>
      <c r="Q29" s="142">
        <f t="shared" si="6"/>
        <v>0.95788461538461567</v>
      </c>
      <c r="R29" s="619"/>
      <c r="S29" s="31">
        <v>0.21944444444444441</v>
      </c>
      <c r="T29" s="31">
        <v>0.30972222222222218</v>
      </c>
      <c r="U29" s="143">
        <f t="shared" ref="U29:U32" si="26">(S29-T28)*24*60</f>
        <v>27.999999999999979</v>
      </c>
      <c r="V29" s="144">
        <f t="shared" si="25"/>
        <v>129.99999999999997</v>
      </c>
      <c r="W29" s="17"/>
      <c r="X29" s="17"/>
      <c r="Y29" s="17"/>
      <c r="Z29" s="17"/>
      <c r="AA29" s="610"/>
      <c r="AB29" s="610"/>
      <c r="AC29" s="155"/>
      <c r="AD29" s="19"/>
      <c r="AE29" s="15">
        <f t="shared" si="8"/>
        <v>-101.07692307692241</v>
      </c>
      <c r="AF29" s="142">
        <f t="shared" si="9"/>
        <v>0.95788461538461567</v>
      </c>
      <c r="AG29" s="619"/>
    </row>
    <row r="30" spans="1:33" ht="15.75" customHeight="1">
      <c r="A30" s="636" t="s">
        <v>491</v>
      </c>
      <c r="B30" s="33" t="s">
        <v>27</v>
      </c>
      <c r="C30" s="635" t="s">
        <v>34</v>
      </c>
      <c r="D30" s="635"/>
      <c r="E30" s="33">
        <v>24.43</v>
      </c>
      <c r="F30" s="146">
        <v>5670</v>
      </c>
      <c r="G30" s="143">
        <f t="shared" si="23"/>
        <v>138518.1</v>
      </c>
      <c r="H30" s="29" t="s">
        <v>5</v>
      </c>
      <c r="I30" s="141">
        <v>14</v>
      </c>
      <c r="J30" s="30">
        <v>2400</v>
      </c>
      <c r="K30" s="13">
        <f t="shared" si="1"/>
        <v>171.42857142857142</v>
      </c>
      <c r="L30" s="141">
        <v>14</v>
      </c>
      <c r="M30" s="14">
        <f t="shared" si="24"/>
        <v>2298.6486486486483</v>
      </c>
      <c r="N30" s="13">
        <f t="shared" si="3"/>
        <v>164.18918918918916</v>
      </c>
      <c r="O30" s="15">
        <f t="shared" si="4"/>
        <v>0</v>
      </c>
      <c r="P30" s="16">
        <f t="shared" si="5"/>
        <v>-7.2393822393822518</v>
      </c>
      <c r="Q30" s="142">
        <f t="shared" si="6"/>
        <v>0.95777027027027017</v>
      </c>
      <c r="R30" s="619"/>
      <c r="S30" s="31">
        <v>0.31388888888888883</v>
      </c>
      <c r="T30" s="31">
        <v>0.41666666666666663</v>
      </c>
      <c r="U30" s="143">
        <f t="shared" si="26"/>
        <v>5.9999999999999787</v>
      </c>
      <c r="V30" s="144">
        <f t="shared" si="25"/>
        <v>148.00000000000003</v>
      </c>
      <c r="W30" s="17"/>
      <c r="X30" s="17"/>
      <c r="Y30" s="17"/>
      <c r="Z30" s="17"/>
      <c r="AA30" s="610"/>
      <c r="AB30" s="610"/>
      <c r="AC30" s="155"/>
      <c r="AD30" s="19"/>
      <c r="AE30" s="15">
        <f t="shared" si="8"/>
        <v>-101.3513513513517</v>
      </c>
      <c r="AF30" s="142">
        <f t="shared" si="9"/>
        <v>0.95777027027027017</v>
      </c>
      <c r="AG30" s="619"/>
    </row>
    <row r="31" spans="1:33" ht="15.75" customHeight="1">
      <c r="A31" s="636" t="s">
        <v>491</v>
      </c>
      <c r="B31" s="33" t="s">
        <v>27</v>
      </c>
      <c r="C31" s="635" t="s">
        <v>35</v>
      </c>
      <c r="D31" s="635"/>
      <c r="E31" s="33">
        <v>34.1</v>
      </c>
      <c r="F31" s="146">
        <v>2800</v>
      </c>
      <c r="G31" s="143">
        <f t="shared" si="23"/>
        <v>95480</v>
      </c>
      <c r="H31" s="29">
        <v>2</v>
      </c>
      <c r="I31" s="141">
        <v>17</v>
      </c>
      <c r="J31" s="30">
        <v>1600</v>
      </c>
      <c r="K31" s="13">
        <f t="shared" si="1"/>
        <v>94.117647058823536</v>
      </c>
      <c r="L31" s="141">
        <v>17</v>
      </c>
      <c r="M31" s="14">
        <f t="shared" si="24"/>
        <v>1527.272727272727</v>
      </c>
      <c r="N31" s="13">
        <f t="shared" si="3"/>
        <v>89.839572192513359</v>
      </c>
      <c r="O31" s="15">
        <f t="shared" si="4"/>
        <v>0</v>
      </c>
      <c r="P31" s="16">
        <f t="shared" si="5"/>
        <v>-4.2780748663101775</v>
      </c>
      <c r="Q31" s="142">
        <f t="shared" si="6"/>
        <v>0.95454545454545436</v>
      </c>
      <c r="R31" s="619"/>
      <c r="S31" s="31">
        <v>0.42152777777777772</v>
      </c>
      <c r="T31" s="31">
        <v>0.49791666666666662</v>
      </c>
      <c r="U31" s="143">
        <f t="shared" si="26"/>
        <v>6.9999999999999751</v>
      </c>
      <c r="V31" s="144">
        <f t="shared" si="25"/>
        <v>110.00000000000001</v>
      </c>
      <c r="W31" s="17">
        <f>T31</f>
        <v>0.49791666666666662</v>
      </c>
      <c r="X31" s="17">
        <f>S32</f>
        <v>0.53888888888888886</v>
      </c>
      <c r="Y31" s="17"/>
      <c r="Z31" s="17"/>
      <c r="AA31" s="610"/>
      <c r="AB31" s="610"/>
      <c r="AC31" s="155"/>
      <c r="AD31" s="19"/>
      <c r="AE31" s="15">
        <f t="shared" si="8"/>
        <v>-72.727272727272975</v>
      </c>
      <c r="AF31" s="142">
        <f t="shared" si="9"/>
        <v>0.95454545454545436</v>
      </c>
      <c r="AG31" s="619"/>
    </row>
    <row r="32" spans="1:33" ht="15.75" customHeight="1">
      <c r="A32" s="636" t="s">
        <v>192</v>
      </c>
      <c r="B32" s="33" t="s">
        <v>27</v>
      </c>
      <c r="C32" s="635" t="s">
        <v>35</v>
      </c>
      <c r="D32" s="635"/>
      <c r="E32" s="33">
        <v>34.1</v>
      </c>
      <c r="F32" s="146">
        <v>2161</v>
      </c>
      <c r="G32" s="143">
        <f t="shared" si="23"/>
        <v>73690.100000000006</v>
      </c>
      <c r="H32" s="29" t="s">
        <v>5</v>
      </c>
      <c r="I32" s="141">
        <v>17</v>
      </c>
      <c r="J32" s="30">
        <v>1600</v>
      </c>
      <c r="K32" s="13">
        <f t="shared" si="1"/>
        <v>94.117647058823536</v>
      </c>
      <c r="L32" s="141">
        <v>17</v>
      </c>
      <c r="M32" s="14">
        <f t="shared" si="24"/>
        <v>1525.411764705882</v>
      </c>
      <c r="N32" s="13">
        <f t="shared" si="3"/>
        <v>89.730103806228357</v>
      </c>
      <c r="O32" s="15">
        <f t="shared" si="4"/>
        <v>0</v>
      </c>
      <c r="P32" s="16">
        <f t="shared" si="5"/>
        <v>-4.3875432525951794</v>
      </c>
      <c r="Q32" s="142">
        <f t="shared" si="6"/>
        <v>0.95338235294117624</v>
      </c>
      <c r="R32" s="619"/>
      <c r="S32" s="31">
        <v>0.53888888888888886</v>
      </c>
      <c r="T32" s="31">
        <v>0.59791666666666665</v>
      </c>
      <c r="U32" s="143">
        <f t="shared" si="26"/>
        <v>59.000000000000028</v>
      </c>
      <c r="V32" s="144">
        <f t="shared" si="25"/>
        <v>85.000000000000014</v>
      </c>
      <c r="W32" s="17"/>
      <c r="X32" s="17"/>
      <c r="Y32" s="17"/>
      <c r="Z32" s="17"/>
      <c r="AA32" s="610"/>
      <c r="AB32" s="610"/>
      <c r="AC32" s="155"/>
      <c r="AD32" s="19"/>
      <c r="AE32" s="15">
        <f t="shared" si="8"/>
        <v>-74.588235294118022</v>
      </c>
      <c r="AF32" s="142">
        <f t="shared" si="9"/>
        <v>0.95338235294117624</v>
      </c>
      <c r="AG32" s="619"/>
    </row>
    <row r="33" spans="1:33" ht="15.75" customHeight="1">
      <c r="A33" s="636" t="s">
        <v>192</v>
      </c>
      <c r="B33" s="33" t="s">
        <v>80</v>
      </c>
      <c r="C33" s="620"/>
      <c r="D33" s="620"/>
      <c r="E33" s="149"/>
      <c r="F33" s="146"/>
      <c r="G33" s="143"/>
      <c r="H33" s="146"/>
      <c r="I33" s="23">
        <v>16.8</v>
      </c>
      <c r="J33" s="30">
        <v>2080</v>
      </c>
      <c r="K33" s="13">
        <f t="shared" si="1"/>
        <v>123.80952380952381</v>
      </c>
      <c r="L33" s="23">
        <v>16.8</v>
      </c>
      <c r="M33" s="14">
        <f>AVERAGE(M28:M32)</f>
        <v>1988.6226720814957</v>
      </c>
      <c r="N33" s="13">
        <f t="shared" si="3"/>
        <v>118.37039714770808</v>
      </c>
      <c r="O33" s="15">
        <f t="shared" si="4"/>
        <v>0</v>
      </c>
      <c r="P33" s="16">
        <f t="shared" si="5"/>
        <v>-5.4391266618157346</v>
      </c>
      <c r="Q33" s="142">
        <f t="shared" si="6"/>
        <v>0.95606859234687291</v>
      </c>
      <c r="R33" s="619"/>
      <c r="S33" s="31"/>
      <c r="T33" s="31"/>
      <c r="U33" s="143"/>
      <c r="V33" s="144"/>
      <c r="W33" s="143"/>
      <c r="X33" s="143"/>
      <c r="Y33" s="24">
        <f>SUM(Y28:Y32)</f>
        <v>0</v>
      </c>
      <c r="Z33" s="24">
        <f>SUM(Z28:Z32)</f>
        <v>0</v>
      </c>
      <c r="AA33" s="609"/>
      <c r="AB33" s="609"/>
      <c r="AC33" s="24">
        <v>5</v>
      </c>
      <c r="AD33" s="24">
        <f>SUM(AD28:AD32)</f>
        <v>0</v>
      </c>
      <c r="AE33" s="15">
        <f t="shared" si="8"/>
        <v>-91.377327918504307</v>
      </c>
      <c r="AF33" s="142">
        <f t="shared" si="9"/>
        <v>0.95606859234687291</v>
      </c>
      <c r="AG33" s="619"/>
    </row>
    <row r="34" spans="1:33" ht="15.75" customHeight="1">
      <c r="A34" s="633" t="s">
        <v>83</v>
      </c>
      <c r="B34" s="33" t="s">
        <v>27</v>
      </c>
      <c r="C34" s="611" t="s">
        <v>33</v>
      </c>
      <c r="D34" s="611"/>
      <c r="E34" s="33">
        <v>26.18</v>
      </c>
      <c r="F34" s="146">
        <v>4631</v>
      </c>
      <c r="G34" s="143">
        <f t="shared" ref="G34:G39" si="27">E34*F34</f>
        <v>121239.58</v>
      </c>
      <c r="H34" s="29" t="s">
        <v>5</v>
      </c>
      <c r="I34" s="141">
        <v>20</v>
      </c>
      <c r="J34" s="30">
        <v>2400</v>
      </c>
      <c r="K34" s="13">
        <f t="shared" si="1"/>
        <v>120</v>
      </c>
      <c r="L34" s="141">
        <v>20</v>
      </c>
      <c r="M34" s="14">
        <f t="shared" ref="M34:M39" si="28">F34/V34*60</f>
        <v>2296.3636363636365</v>
      </c>
      <c r="N34" s="13">
        <f t="shared" si="3"/>
        <v>114.81818181818183</v>
      </c>
      <c r="O34" s="15">
        <f t="shared" si="4"/>
        <v>0</v>
      </c>
      <c r="P34" s="16">
        <f t="shared" si="5"/>
        <v>-5.1818181818181728</v>
      </c>
      <c r="Q34" s="142">
        <f t="shared" si="6"/>
        <v>0.9568181818181819</v>
      </c>
      <c r="R34" s="619">
        <f>Q40</f>
        <v>0.95521173610507815</v>
      </c>
      <c r="S34" s="31">
        <v>8.3333333333333329E-2</v>
      </c>
      <c r="T34" s="31">
        <v>0.1673611111111111</v>
      </c>
      <c r="U34" s="143"/>
      <c r="V34" s="144">
        <f t="shared" ref="V34:V39" si="29">(T34-S34)*24*60</f>
        <v>121</v>
      </c>
      <c r="W34" s="22">
        <f>T34</f>
        <v>0.1673611111111111</v>
      </c>
      <c r="X34" s="22">
        <f>S35</f>
        <v>0.18541666666666665</v>
      </c>
      <c r="Y34" s="22"/>
      <c r="Z34" s="22"/>
      <c r="AA34" s="610"/>
      <c r="AB34" s="610"/>
      <c r="AC34" s="155">
        <v>6</v>
      </c>
      <c r="AD34" s="19"/>
      <c r="AE34" s="15">
        <f t="shared" si="8"/>
        <v>-103.63636363636351</v>
      </c>
      <c r="AF34" s="142">
        <f t="shared" si="9"/>
        <v>0.9568181818181819</v>
      </c>
      <c r="AG34" s="619">
        <f>AF40</f>
        <v>0.95521173610507826</v>
      </c>
    </row>
    <row r="35" spans="1:33" ht="15.75" customHeight="1">
      <c r="A35" s="633" t="s">
        <v>83</v>
      </c>
      <c r="B35" s="33" t="s">
        <v>27</v>
      </c>
      <c r="C35" s="611" t="s">
        <v>53</v>
      </c>
      <c r="D35" s="611"/>
      <c r="E35" s="33">
        <v>28.29</v>
      </c>
      <c r="F35" s="146">
        <v>2450</v>
      </c>
      <c r="G35" s="143">
        <f t="shared" si="27"/>
        <v>69310.5</v>
      </c>
      <c r="H35" s="29" t="s">
        <v>5</v>
      </c>
      <c r="I35" s="141">
        <v>19</v>
      </c>
      <c r="J35" s="30">
        <v>2400</v>
      </c>
      <c r="K35" s="13">
        <f t="shared" si="1"/>
        <v>126.31578947368421</v>
      </c>
      <c r="L35" s="141">
        <v>19</v>
      </c>
      <c r="M35" s="14">
        <f t="shared" si="28"/>
        <v>2296.8749999999995</v>
      </c>
      <c r="N35" s="13">
        <f t="shared" si="3"/>
        <v>120.88815789473682</v>
      </c>
      <c r="O35" s="15">
        <f t="shared" si="4"/>
        <v>0</v>
      </c>
      <c r="P35" s="16">
        <f t="shared" si="5"/>
        <v>-5.4276315789473841</v>
      </c>
      <c r="Q35" s="142">
        <f t="shared" si="6"/>
        <v>0.95703124999999989</v>
      </c>
      <c r="R35" s="619"/>
      <c r="S35" s="31">
        <v>0.18541666666666665</v>
      </c>
      <c r="T35" s="31">
        <v>0.2298611111111111</v>
      </c>
      <c r="U35" s="143">
        <f t="shared" ref="U35:U39" si="30">(S35-T34)*24*60</f>
        <v>25.999999999999986</v>
      </c>
      <c r="V35" s="144">
        <f t="shared" si="29"/>
        <v>64.000000000000014</v>
      </c>
      <c r="W35" s="143"/>
      <c r="X35" s="143"/>
      <c r="Y35" s="143"/>
      <c r="Z35" s="143"/>
      <c r="AA35" s="610"/>
      <c r="AB35" s="610"/>
      <c r="AC35" s="155"/>
      <c r="AD35" s="19"/>
      <c r="AE35" s="15">
        <f t="shared" si="8"/>
        <v>-103.12500000000045</v>
      </c>
      <c r="AF35" s="142">
        <f t="shared" si="9"/>
        <v>0.95703124999999978</v>
      </c>
      <c r="AG35" s="619"/>
    </row>
    <row r="36" spans="1:33">
      <c r="A36" s="634" t="s">
        <v>83</v>
      </c>
      <c r="B36" s="33" t="s">
        <v>27</v>
      </c>
      <c r="C36" s="611" t="s">
        <v>30</v>
      </c>
      <c r="D36" s="611"/>
      <c r="E36" s="33">
        <v>26.18</v>
      </c>
      <c r="F36" s="146">
        <v>6145</v>
      </c>
      <c r="G36" s="143">
        <f t="shared" si="27"/>
        <v>160876.1</v>
      </c>
      <c r="H36" s="29" t="s">
        <v>5</v>
      </c>
      <c r="I36" s="141">
        <v>18</v>
      </c>
      <c r="J36" s="30">
        <v>2400</v>
      </c>
      <c r="K36" s="13">
        <f t="shared" si="1"/>
        <v>133.33333333333334</v>
      </c>
      <c r="L36" s="141">
        <v>18</v>
      </c>
      <c r="M36" s="14">
        <f t="shared" si="28"/>
        <v>2290.0621118012423</v>
      </c>
      <c r="N36" s="13">
        <f t="shared" si="3"/>
        <v>127.22567287784679</v>
      </c>
      <c r="O36" s="15">
        <f t="shared" si="4"/>
        <v>0</v>
      </c>
      <c r="P36" s="16">
        <f t="shared" si="5"/>
        <v>-6.1076604554865526</v>
      </c>
      <c r="Q36" s="142">
        <f t="shared" si="6"/>
        <v>0.95419254658385089</v>
      </c>
      <c r="R36" s="619"/>
      <c r="S36" s="31">
        <v>0.23541666666666666</v>
      </c>
      <c r="T36" s="31">
        <v>0.34722222222222221</v>
      </c>
      <c r="U36" s="143">
        <f t="shared" si="30"/>
        <v>8.0000000000000107</v>
      </c>
      <c r="V36" s="144">
        <f t="shared" si="29"/>
        <v>161</v>
      </c>
      <c r="W36" s="143"/>
      <c r="X36" s="143"/>
      <c r="Y36" s="143"/>
      <c r="Z36" s="143"/>
      <c r="AA36" s="610"/>
      <c r="AB36" s="610"/>
      <c r="AC36" s="155"/>
      <c r="AD36" s="19"/>
      <c r="AE36" s="15">
        <f t="shared" si="8"/>
        <v>-109.93788819875772</v>
      </c>
      <c r="AF36" s="142">
        <f t="shared" si="9"/>
        <v>0.954192546583851</v>
      </c>
      <c r="AG36" s="619"/>
    </row>
    <row r="37" spans="1:33">
      <c r="A37" s="634" t="s">
        <v>83</v>
      </c>
      <c r="B37" s="33" t="s">
        <v>27</v>
      </c>
      <c r="C37" s="611" t="s">
        <v>32</v>
      </c>
      <c r="D37" s="611"/>
      <c r="E37" s="33">
        <v>25.99</v>
      </c>
      <c r="F37" s="146">
        <v>2984</v>
      </c>
      <c r="G37" s="143">
        <f t="shared" si="27"/>
        <v>77554.159999999989</v>
      </c>
      <c r="H37" s="29" t="s">
        <v>5</v>
      </c>
      <c r="I37" s="141">
        <v>14</v>
      </c>
      <c r="J37" s="30">
        <v>2400</v>
      </c>
      <c r="K37" s="13">
        <f t="shared" si="1"/>
        <v>171.42857142857142</v>
      </c>
      <c r="L37" s="141">
        <v>14</v>
      </c>
      <c r="M37" s="14">
        <f t="shared" si="28"/>
        <v>2295.3846153846139</v>
      </c>
      <c r="N37" s="13">
        <f t="shared" si="3"/>
        <v>163.95604395604386</v>
      </c>
      <c r="O37" s="15">
        <f t="shared" si="4"/>
        <v>0</v>
      </c>
      <c r="P37" s="16">
        <f t="shared" si="5"/>
        <v>-7.4725274725275597</v>
      </c>
      <c r="Q37" s="142">
        <f t="shared" si="6"/>
        <v>0.9564102564102559</v>
      </c>
      <c r="R37" s="619"/>
      <c r="S37" s="31">
        <v>0.35277777777777775</v>
      </c>
      <c r="T37" s="31">
        <v>0.40694444444444444</v>
      </c>
      <c r="U37" s="143">
        <f t="shared" si="30"/>
        <v>7.9999999999999716</v>
      </c>
      <c r="V37" s="144">
        <f t="shared" si="29"/>
        <v>78.000000000000043</v>
      </c>
      <c r="W37" s="17"/>
      <c r="X37" s="17"/>
      <c r="Y37" s="17"/>
      <c r="Z37" s="17"/>
      <c r="AA37" s="610"/>
      <c r="AB37" s="610"/>
      <c r="AC37" s="155"/>
      <c r="AD37" s="19"/>
      <c r="AE37" s="15">
        <f t="shared" si="8"/>
        <v>-104.61538461538612</v>
      </c>
      <c r="AF37" s="142">
        <f t="shared" si="9"/>
        <v>0.95641025641025579</v>
      </c>
      <c r="AG37" s="619"/>
    </row>
    <row r="38" spans="1:33">
      <c r="A38" s="634" t="s">
        <v>83</v>
      </c>
      <c r="B38" s="33" t="s">
        <v>27</v>
      </c>
      <c r="C38" s="611" t="s">
        <v>52</v>
      </c>
      <c r="D38" s="611"/>
      <c r="E38" s="33">
        <v>25.98</v>
      </c>
      <c r="F38" s="146">
        <v>1530</v>
      </c>
      <c r="G38" s="143">
        <f t="shared" si="27"/>
        <v>39749.4</v>
      </c>
      <c r="H38" s="29" t="s">
        <v>5</v>
      </c>
      <c r="I38" s="141">
        <v>17</v>
      </c>
      <c r="J38" s="30">
        <v>2400</v>
      </c>
      <c r="K38" s="13">
        <f t="shared" si="1"/>
        <v>141.1764705882353</v>
      </c>
      <c r="L38" s="141">
        <v>17</v>
      </c>
      <c r="M38" s="14">
        <f t="shared" si="28"/>
        <v>2294.9999999999991</v>
      </c>
      <c r="N38" s="13">
        <f t="shared" si="3"/>
        <v>134.99999999999994</v>
      </c>
      <c r="O38" s="15">
        <f t="shared" si="4"/>
        <v>0</v>
      </c>
      <c r="P38" s="16">
        <f t="shared" si="5"/>
        <v>-6.176470588235361</v>
      </c>
      <c r="Q38" s="142">
        <f t="shared" si="6"/>
        <v>0.95624999999999949</v>
      </c>
      <c r="R38" s="619"/>
      <c r="S38" s="31">
        <v>0.41180555555555554</v>
      </c>
      <c r="T38" s="31">
        <v>0.43958333333333333</v>
      </c>
      <c r="U38" s="143">
        <f t="shared" si="30"/>
        <v>6.9999999999999751</v>
      </c>
      <c r="V38" s="144">
        <f t="shared" si="29"/>
        <v>40.000000000000014</v>
      </c>
      <c r="W38" s="17"/>
      <c r="X38" s="17"/>
      <c r="Y38" s="17"/>
      <c r="Z38" s="17"/>
      <c r="AA38" s="610"/>
      <c r="AB38" s="610"/>
      <c r="AC38" s="155"/>
      <c r="AD38" s="19"/>
      <c r="AE38" s="15">
        <f t="shared" si="8"/>
        <v>-105.00000000000091</v>
      </c>
      <c r="AF38" s="142">
        <f t="shared" si="9"/>
        <v>0.9562499999999996</v>
      </c>
      <c r="AG38" s="619"/>
    </row>
    <row r="39" spans="1:33">
      <c r="A39" s="634" t="s">
        <v>83</v>
      </c>
      <c r="B39" s="33" t="s">
        <v>27</v>
      </c>
      <c r="C39" s="611" t="s">
        <v>54</v>
      </c>
      <c r="D39" s="611"/>
      <c r="E39" s="33">
        <v>24.25</v>
      </c>
      <c r="F39" s="146">
        <v>1673</v>
      </c>
      <c r="G39" s="143">
        <f t="shared" si="27"/>
        <v>40570.25</v>
      </c>
      <c r="H39" s="29" t="s">
        <v>5</v>
      </c>
      <c r="I39" s="141">
        <v>16</v>
      </c>
      <c r="J39" s="30">
        <v>2400</v>
      </c>
      <c r="K39" s="13">
        <f t="shared" si="1"/>
        <v>150</v>
      </c>
      <c r="L39" s="141">
        <v>16</v>
      </c>
      <c r="M39" s="14">
        <f t="shared" si="28"/>
        <v>2281.3636363636365</v>
      </c>
      <c r="N39" s="13">
        <f t="shared" si="3"/>
        <v>142.58522727272728</v>
      </c>
      <c r="O39" s="15">
        <f t="shared" si="4"/>
        <v>0</v>
      </c>
      <c r="P39" s="16">
        <f t="shared" si="5"/>
        <v>-7.4147727272727195</v>
      </c>
      <c r="Q39" s="142">
        <f t="shared" si="6"/>
        <v>0.95056818181818192</v>
      </c>
      <c r="R39" s="619"/>
      <c r="S39" s="31">
        <v>0.44444444444444442</v>
      </c>
      <c r="T39" s="31">
        <v>0.47499999999999998</v>
      </c>
      <c r="U39" s="143">
        <f t="shared" si="30"/>
        <v>6.9999999999999751</v>
      </c>
      <c r="V39" s="144">
        <f t="shared" si="29"/>
        <v>44</v>
      </c>
      <c r="W39" s="17"/>
      <c r="X39" s="17"/>
      <c r="Y39" s="17"/>
      <c r="Z39" s="17"/>
      <c r="AA39" s="610"/>
      <c r="AB39" s="610"/>
      <c r="AC39" s="155"/>
      <c r="AD39" s="19"/>
      <c r="AE39" s="15">
        <f t="shared" si="8"/>
        <v>-118.63636363636351</v>
      </c>
      <c r="AF39" s="142">
        <f t="shared" si="9"/>
        <v>0.95056818181818192</v>
      </c>
      <c r="AG39" s="619"/>
    </row>
    <row r="40" spans="1:33">
      <c r="A40" s="634" t="s">
        <v>83</v>
      </c>
      <c r="B40" s="34" t="s">
        <v>80</v>
      </c>
      <c r="C40" s="620"/>
      <c r="D40" s="620"/>
      <c r="E40" s="149"/>
      <c r="F40" s="34"/>
      <c r="G40" s="13"/>
      <c r="H40" s="146"/>
      <c r="I40" s="23">
        <v>17.333333333333332</v>
      </c>
      <c r="J40" s="30">
        <v>2400</v>
      </c>
      <c r="K40" s="13">
        <f t="shared" si="1"/>
        <v>138.46153846153848</v>
      </c>
      <c r="L40" s="23">
        <v>17.333333333333332</v>
      </c>
      <c r="M40" s="14">
        <f>AVERAGE(M34:M39)</f>
        <v>2292.5081666521878</v>
      </c>
      <c r="N40" s="13">
        <f t="shared" si="3"/>
        <v>132.26008653762622</v>
      </c>
      <c r="O40" s="15">
        <f t="shared" si="4"/>
        <v>0</v>
      </c>
      <c r="P40" s="16">
        <f t="shared" si="5"/>
        <v>-6.2014519239122592</v>
      </c>
      <c r="Q40" s="142">
        <f t="shared" si="6"/>
        <v>0.95521173610507815</v>
      </c>
      <c r="R40" s="619"/>
      <c r="S40" s="31"/>
      <c r="T40" s="31"/>
      <c r="U40" s="13"/>
      <c r="V40" s="144"/>
      <c r="W40" s="13"/>
      <c r="X40" s="13"/>
      <c r="Y40" s="24">
        <f>SUM(Y34:Y39)</f>
        <v>0</v>
      </c>
      <c r="Z40" s="24">
        <f>SUM(Z34:Z39)</f>
        <v>0</v>
      </c>
      <c r="AA40" s="609"/>
      <c r="AB40" s="609"/>
      <c r="AC40" s="24">
        <v>6</v>
      </c>
      <c r="AD40" s="24">
        <f>SUM(AD34:AD39)</f>
        <v>0</v>
      </c>
      <c r="AE40" s="15">
        <f t="shared" si="8"/>
        <v>-107.49183334781219</v>
      </c>
      <c r="AF40" s="142">
        <f t="shared" si="9"/>
        <v>0.95521173610507826</v>
      </c>
      <c r="AG40" s="619"/>
    </row>
    <row r="41" spans="1:33" ht="15.75" customHeight="1">
      <c r="A41" s="630" t="s">
        <v>492</v>
      </c>
      <c r="B41" s="33" t="s">
        <v>36</v>
      </c>
      <c r="C41" s="612" t="s">
        <v>37</v>
      </c>
      <c r="D41" s="613"/>
      <c r="E41" s="33">
        <v>21.13</v>
      </c>
      <c r="F41" s="146">
        <v>4160</v>
      </c>
      <c r="G41" s="143">
        <f t="shared" ref="G41:G43" si="31">E41*F41</f>
        <v>87900.800000000003</v>
      </c>
      <c r="H41" s="29" t="s">
        <v>5</v>
      </c>
      <c r="I41" s="141">
        <v>10</v>
      </c>
      <c r="J41" s="30">
        <v>3000</v>
      </c>
      <c r="K41" s="13">
        <f t="shared" si="1"/>
        <v>300</v>
      </c>
      <c r="L41" s="141">
        <v>10</v>
      </c>
      <c r="M41" s="14">
        <f t="shared" ref="M41:M43" si="32">F41/V41*60</f>
        <v>2868.96551724138</v>
      </c>
      <c r="N41" s="14">
        <f t="shared" si="3"/>
        <v>286.89655172413802</v>
      </c>
      <c r="O41" s="15">
        <f t="shared" si="4"/>
        <v>0</v>
      </c>
      <c r="P41" s="16">
        <f t="shared" si="5"/>
        <v>-13.103448275861979</v>
      </c>
      <c r="Q41" s="142">
        <f t="shared" si="6"/>
        <v>0.95632183908046009</v>
      </c>
      <c r="R41" s="625">
        <f>Q44</f>
        <v>0.95758684958595985</v>
      </c>
      <c r="S41" s="31">
        <v>0.20833333333333334</v>
      </c>
      <c r="T41" s="31">
        <v>0.26874999999999999</v>
      </c>
      <c r="U41" s="22"/>
      <c r="V41" s="144">
        <f t="shared" ref="V41:V43" si="33">(T41-S41)*24*60</f>
        <v>86.999999999999972</v>
      </c>
      <c r="W41" s="17"/>
      <c r="X41" s="17"/>
      <c r="Y41" s="20"/>
      <c r="Z41" s="20"/>
      <c r="AA41" s="614"/>
      <c r="AB41" s="615"/>
      <c r="AC41" s="155">
        <v>3</v>
      </c>
      <c r="AD41" s="19"/>
      <c r="AE41" s="15">
        <f t="shared" si="8"/>
        <v>-131.03448275862002</v>
      </c>
      <c r="AF41" s="142">
        <f t="shared" si="9"/>
        <v>0.95632183908045998</v>
      </c>
      <c r="AG41" s="625">
        <f>AF44</f>
        <v>0.95758684958595996</v>
      </c>
    </row>
    <row r="42" spans="1:33" ht="15.75" customHeight="1">
      <c r="A42" s="631" t="s">
        <v>492</v>
      </c>
      <c r="B42" s="33" t="s">
        <v>36</v>
      </c>
      <c r="C42" s="612" t="s">
        <v>38</v>
      </c>
      <c r="D42" s="613"/>
      <c r="E42" s="33">
        <v>27.17</v>
      </c>
      <c r="F42" s="146">
        <v>4440</v>
      </c>
      <c r="G42" s="143">
        <f t="shared" si="31"/>
        <v>120634.8</v>
      </c>
      <c r="H42" s="29" t="s">
        <v>5</v>
      </c>
      <c r="I42" s="141">
        <v>10</v>
      </c>
      <c r="J42" s="30">
        <v>3000</v>
      </c>
      <c r="K42" s="13">
        <f t="shared" si="1"/>
        <v>300</v>
      </c>
      <c r="L42" s="141">
        <v>10</v>
      </c>
      <c r="M42" s="14">
        <f t="shared" si="32"/>
        <v>2864.5161290322585</v>
      </c>
      <c r="N42" s="14">
        <f t="shared" si="3"/>
        <v>286.45161290322585</v>
      </c>
      <c r="O42" s="15">
        <f t="shared" si="4"/>
        <v>0</v>
      </c>
      <c r="P42" s="16">
        <f t="shared" si="5"/>
        <v>-13.54838709677415</v>
      </c>
      <c r="Q42" s="142">
        <f t="shared" si="6"/>
        <v>0.95483870967741946</v>
      </c>
      <c r="R42" s="626"/>
      <c r="S42" s="31">
        <v>0.27291666666666664</v>
      </c>
      <c r="T42" s="31">
        <v>0.33749999999999997</v>
      </c>
      <c r="U42" s="143">
        <f t="shared" ref="U42:U43" si="34">(S42-T41)*24*60</f>
        <v>5.9999999999999787</v>
      </c>
      <c r="V42" s="144">
        <f t="shared" si="33"/>
        <v>92.999999999999986</v>
      </c>
      <c r="W42" s="17"/>
      <c r="X42" s="17"/>
      <c r="Y42" s="20"/>
      <c r="Z42" s="20"/>
      <c r="AA42" s="614"/>
      <c r="AB42" s="615"/>
      <c r="AC42" s="155"/>
      <c r="AD42" s="19"/>
      <c r="AE42" s="15">
        <f t="shared" si="8"/>
        <v>-135.4838709677415</v>
      </c>
      <c r="AF42" s="142">
        <f t="shared" si="9"/>
        <v>0.95483870967741946</v>
      </c>
      <c r="AG42" s="626"/>
    </row>
    <row r="43" spans="1:33" ht="15.75" customHeight="1">
      <c r="A43" s="631" t="s">
        <v>198</v>
      </c>
      <c r="B43" s="33" t="s">
        <v>36</v>
      </c>
      <c r="C43" s="612" t="s">
        <v>49</v>
      </c>
      <c r="D43" s="613"/>
      <c r="E43" s="33">
        <v>35.869999999999997</v>
      </c>
      <c r="F43" s="146">
        <v>2404</v>
      </c>
      <c r="G43" s="143">
        <f t="shared" si="31"/>
        <v>86231.48</v>
      </c>
      <c r="H43" s="29" t="s">
        <v>5</v>
      </c>
      <c r="I43" s="141">
        <v>10</v>
      </c>
      <c r="J43" s="30">
        <v>3000</v>
      </c>
      <c r="K43" s="13">
        <f t="shared" si="1"/>
        <v>300</v>
      </c>
      <c r="L43" s="141">
        <v>10</v>
      </c>
      <c r="M43" s="14">
        <f t="shared" si="32"/>
        <v>2884.8000000000006</v>
      </c>
      <c r="N43" s="14">
        <f t="shared" si="3"/>
        <v>288.48000000000008</v>
      </c>
      <c r="O43" s="15">
        <f t="shared" si="4"/>
        <v>0</v>
      </c>
      <c r="P43" s="16">
        <f t="shared" si="5"/>
        <v>-11.519999999999925</v>
      </c>
      <c r="Q43" s="142">
        <f t="shared" si="6"/>
        <v>0.96160000000000023</v>
      </c>
      <c r="R43" s="626"/>
      <c r="S43" s="31">
        <v>0.34097222222222218</v>
      </c>
      <c r="T43" s="31">
        <v>0.37569444444444439</v>
      </c>
      <c r="U43" s="143">
        <f t="shared" si="34"/>
        <v>4.9999999999999822</v>
      </c>
      <c r="V43" s="144">
        <f t="shared" si="33"/>
        <v>49.999999999999986</v>
      </c>
      <c r="W43" s="17"/>
      <c r="X43" s="17"/>
      <c r="Y43" s="20"/>
      <c r="Z43" s="20"/>
      <c r="AA43" s="614"/>
      <c r="AB43" s="615"/>
      <c r="AC43" s="155"/>
      <c r="AD43" s="19"/>
      <c r="AE43" s="15">
        <f t="shared" si="8"/>
        <v>-115.19999999999936</v>
      </c>
      <c r="AF43" s="142">
        <f t="shared" si="9"/>
        <v>0.96160000000000023</v>
      </c>
      <c r="AG43" s="626"/>
    </row>
    <row r="44" spans="1:33" ht="15.75" customHeight="1">
      <c r="A44" s="632" t="s">
        <v>492</v>
      </c>
      <c r="B44" s="33" t="s">
        <v>493</v>
      </c>
      <c r="C44" s="607"/>
      <c r="D44" s="608"/>
      <c r="E44" s="154"/>
      <c r="F44" s="146"/>
      <c r="G44" s="143"/>
      <c r="H44" s="146"/>
      <c r="I44" s="23">
        <v>10</v>
      </c>
      <c r="J44" s="30">
        <v>3000</v>
      </c>
      <c r="K44" s="13">
        <f t="shared" si="1"/>
        <v>300</v>
      </c>
      <c r="L44" s="23">
        <v>10</v>
      </c>
      <c r="M44" s="14">
        <f>AVERAGE(M41:M43)</f>
        <v>2872.7605487578799</v>
      </c>
      <c r="N44" s="13">
        <f t="shared" si="3"/>
        <v>287.27605487578796</v>
      </c>
      <c r="O44" s="15">
        <f t="shared" si="4"/>
        <v>0</v>
      </c>
      <c r="P44" s="16">
        <f t="shared" si="5"/>
        <v>-12.723945124212037</v>
      </c>
      <c r="Q44" s="142">
        <f t="shared" si="6"/>
        <v>0.95758684958595985</v>
      </c>
      <c r="R44" s="627"/>
      <c r="S44" s="31"/>
      <c r="T44" s="31"/>
      <c r="U44" s="143"/>
      <c r="V44" s="144"/>
      <c r="W44" s="17"/>
      <c r="X44" s="17"/>
      <c r="Y44" s="24">
        <f>SUM(Y41:Y43)</f>
        <v>0</v>
      </c>
      <c r="Z44" s="24">
        <f>SUM(Z41:Z43)</f>
        <v>0</v>
      </c>
      <c r="AA44" s="628"/>
      <c r="AB44" s="629"/>
      <c r="AC44" s="24">
        <v>3</v>
      </c>
      <c r="AD44" s="24">
        <f>SUM(AD41:AD43)</f>
        <v>0</v>
      </c>
      <c r="AE44" s="15">
        <f t="shared" si="8"/>
        <v>-127.23945124212014</v>
      </c>
      <c r="AF44" s="142">
        <f t="shared" si="9"/>
        <v>0.95758684958595996</v>
      </c>
      <c r="AG44" s="627"/>
    </row>
    <row r="45" spans="1:33" ht="15.75" customHeight="1">
      <c r="A45" s="623" t="s">
        <v>84</v>
      </c>
      <c r="B45" s="33" t="s">
        <v>6</v>
      </c>
      <c r="C45" s="611" t="s">
        <v>41</v>
      </c>
      <c r="D45" s="611"/>
      <c r="E45" s="33">
        <v>51.44</v>
      </c>
      <c r="F45" s="35">
        <v>1023</v>
      </c>
      <c r="G45" s="143">
        <f t="shared" ref="G45:G52" si="35">E45*F45</f>
        <v>52623.119999999995</v>
      </c>
      <c r="H45" s="29" t="s">
        <v>5</v>
      </c>
      <c r="I45" s="141">
        <v>25</v>
      </c>
      <c r="J45" s="30">
        <v>2000</v>
      </c>
      <c r="K45" s="13">
        <f t="shared" si="1"/>
        <v>80</v>
      </c>
      <c r="L45" s="141">
        <v>25</v>
      </c>
      <c r="M45" s="14">
        <f t="shared" ref="M45" si="36">F45/V45*60</f>
        <v>1918.1249999999995</v>
      </c>
      <c r="N45" s="14">
        <f t="shared" si="3"/>
        <v>76.72499999999998</v>
      </c>
      <c r="O45" s="15">
        <f t="shared" si="4"/>
        <v>0</v>
      </c>
      <c r="P45" s="16">
        <f t="shared" si="5"/>
        <v>-3.2750000000000199</v>
      </c>
      <c r="Q45" s="142">
        <f t="shared" si="6"/>
        <v>0.95906249999999971</v>
      </c>
      <c r="R45" s="619">
        <f>Q53</f>
        <v>0.96341689815171816</v>
      </c>
      <c r="S45" s="31">
        <v>0.20833333333333334</v>
      </c>
      <c r="T45" s="31">
        <v>0.23055555555555557</v>
      </c>
      <c r="U45" s="22"/>
      <c r="V45" s="144">
        <f t="shared" ref="V45:V52" si="37">(T45-S45)*24*60</f>
        <v>32.000000000000007</v>
      </c>
      <c r="W45" s="17"/>
      <c r="X45" s="17"/>
      <c r="Y45" s="22"/>
      <c r="Z45" s="22"/>
      <c r="AA45" s="610"/>
      <c r="AB45" s="610"/>
      <c r="AC45" s="155">
        <v>8</v>
      </c>
      <c r="AD45" s="19"/>
      <c r="AE45" s="15">
        <f t="shared" si="8"/>
        <v>-81.875000000000455</v>
      </c>
      <c r="AF45" s="142">
        <f t="shared" si="9"/>
        <v>0.95906249999999982</v>
      </c>
      <c r="AG45" s="619">
        <f>AF53</f>
        <v>0.96341689815171816</v>
      </c>
    </row>
    <row r="46" spans="1:33" ht="15.75" customHeight="1">
      <c r="A46" s="623" t="s">
        <v>84</v>
      </c>
      <c r="B46" s="33" t="s">
        <v>6</v>
      </c>
      <c r="C46" s="611" t="s">
        <v>77</v>
      </c>
      <c r="D46" s="611"/>
      <c r="E46" s="33">
        <v>56.43</v>
      </c>
      <c r="F46" s="35">
        <v>2479</v>
      </c>
      <c r="G46" s="143">
        <f t="shared" si="35"/>
        <v>139889.97</v>
      </c>
      <c r="H46" s="29" t="s">
        <v>5</v>
      </c>
      <c r="I46" s="141">
        <v>23</v>
      </c>
      <c r="J46" s="30">
        <v>2000</v>
      </c>
      <c r="K46" s="13">
        <f t="shared" si="1"/>
        <v>86.956521739130437</v>
      </c>
      <c r="L46" s="141">
        <v>23</v>
      </c>
      <c r="M46" s="14">
        <f>F46/V46*60</f>
        <v>1906.9230769230769</v>
      </c>
      <c r="N46" s="14">
        <f t="shared" si="3"/>
        <v>82.909698996655521</v>
      </c>
      <c r="O46" s="15">
        <f t="shared" si="4"/>
        <v>0</v>
      </c>
      <c r="P46" s="16">
        <f t="shared" si="5"/>
        <v>-4.0468227424749159</v>
      </c>
      <c r="Q46" s="142">
        <f t="shared" si="6"/>
        <v>0.95346153846153847</v>
      </c>
      <c r="R46" s="619"/>
      <c r="S46" s="31">
        <v>0.23472222222222225</v>
      </c>
      <c r="T46" s="31">
        <v>0.28888888888888892</v>
      </c>
      <c r="U46" s="143">
        <f t="shared" ref="U46:U52" si="38">IF(S46=TIME(17,0,0),"",(S46-T45)*24*60)</f>
        <v>6.0000000000000187</v>
      </c>
      <c r="V46" s="144">
        <f t="shared" si="37"/>
        <v>78</v>
      </c>
      <c r="W46" s="17"/>
      <c r="X46" s="17"/>
      <c r="Y46" s="17"/>
      <c r="Z46" s="17"/>
      <c r="AA46" s="610"/>
      <c r="AB46" s="610"/>
      <c r="AC46" s="155"/>
      <c r="AD46" s="19"/>
      <c r="AE46" s="15">
        <f t="shared" si="8"/>
        <v>-93.076923076923094</v>
      </c>
      <c r="AF46" s="142">
        <f t="shared" si="9"/>
        <v>0.95346153846153847</v>
      </c>
      <c r="AG46" s="619"/>
    </row>
    <row r="47" spans="1:33" ht="15.75" customHeight="1">
      <c r="A47" s="623" t="s">
        <v>494</v>
      </c>
      <c r="B47" s="33" t="s">
        <v>6</v>
      </c>
      <c r="C47" s="612" t="s">
        <v>73</v>
      </c>
      <c r="D47" s="613"/>
      <c r="E47" s="33">
        <v>56.43</v>
      </c>
      <c r="F47" s="35">
        <v>1389</v>
      </c>
      <c r="G47" s="143">
        <f t="shared" si="35"/>
        <v>78381.27</v>
      </c>
      <c r="H47" s="29" t="s">
        <v>5</v>
      </c>
      <c r="I47" s="141">
        <v>25</v>
      </c>
      <c r="J47" s="30">
        <v>2000</v>
      </c>
      <c r="K47" s="13">
        <f t="shared" si="1"/>
        <v>80</v>
      </c>
      <c r="L47" s="141">
        <v>25</v>
      </c>
      <c r="M47" s="14">
        <f t="shared" ref="M47:M52" si="39">F47/V47*60</f>
        <v>1938.1395348837207</v>
      </c>
      <c r="N47" s="14">
        <f t="shared" si="3"/>
        <v>77.525581395348823</v>
      </c>
      <c r="O47" s="15">
        <f t="shared" si="4"/>
        <v>0</v>
      </c>
      <c r="P47" s="16">
        <f t="shared" si="5"/>
        <v>-2.4744186046511771</v>
      </c>
      <c r="Q47" s="142">
        <f t="shared" si="6"/>
        <v>0.96906976744186024</v>
      </c>
      <c r="R47" s="619"/>
      <c r="S47" s="31">
        <v>0.29236111111111113</v>
      </c>
      <c r="T47" s="31">
        <v>0.32222222222222224</v>
      </c>
      <c r="U47" s="143">
        <f t="shared" si="38"/>
        <v>4.9999999999999822</v>
      </c>
      <c r="V47" s="144">
        <f t="shared" si="37"/>
        <v>43.000000000000007</v>
      </c>
      <c r="W47" s="17"/>
      <c r="X47" s="17"/>
      <c r="Y47" s="20"/>
      <c r="Z47" s="20"/>
      <c r="AA47" s="610"/>
      <c r="AB47" s="610"/>
      <c r="AC47" s="155"/>
      <c r="AD47" s="19"/>
      <c r="AE47" s="15">
        <f t="shared" si="8"/>
        <v>-61.860465116279329</v>
      </c>
      <c r="AF47" s="142">
        <f t="shared" si="9"/>
        <v>0.96906976744186035</v>
      </c>
      <c r="AG47" s="619"/>
    </row>
    <row r="48" spans="1:33" ht="15.75" customHeight="1">
      <c r="A48" s="623" t="s">
        <v>494</v>
      </c>
      <c r="B48" s="33" t="s">
        <v>10</v>
      </c>
      <c r="C48" s="152" t="s">
        <v>42</v>
      </c>
      <c r="D48" s="153"/>
      <c r="E48" s="33">
        <v>46</v>
      </c>
      <c r="F48" s="35">
        <v>871</v>
      </c>
      <c r="G48" s="143">
        <f t="shared" si="35"/>
        <v>40066</v>
      </c>
      <c r="H48" s="29" t="s">
        <v>5</v>
      </c>
      <c r="I48" s="141">
        <v>16</v>
      </c>
      <c r="J48" s="30">
        <v>2000</v>
      </c>
      <c r="K48" s="13">
        <f t="shared" si="1"/>
        <v>125</v>
      </c>
      <c r="L48" s="141">
        <v>16</v>
      </c>
      <c r="M48" s="14">
        <f t="shared" si="39"/>
        <v>1935.5555555555563</v>
      </c>
      <c r="N48" s="14">
        <f t="shared" si="3"/>
        <v>120.97222222222227</v>
      </c>
      <c r="O48" s="15">
        <f t="shared" si="4"/>
        <v>0</v>
      </c>
      <c r="P48" s="16">
        <f t="shared" si="5"/>
        <v>-4.0277777777777288</v>
      </c>
      <c r="Q48" s="142">
        <f t="shared" si="6"/>
        <v>0.96777777777777818</v>
      </c>
      <c r="R48" s="619"/>
      <c r="S48" s="31">
        <v>0.32708333333333334</v>
      </c>
      <c r="T48" s="31">
        <v>0.34583333333333333</v>
      </c>
      <c r="U48" s="143">
        <f t="shared" si="38"/>
        <v>6.9999999999999751</v>
      </c>
      <c r="V48" s="144">
        <f t="shared" si="37"/>
        <v>26.999999999999986</v>
      </c>
      <c r="W48" s="17"/>
      <c r="X48" s="17"/>
      <c r="Y48" s="20"/>
      <c r="Z48" s="20"/>
      <c r="AA48" s="610"/>
      <c r="AB48" s="610"/>
      <c r="AC48" s="155"/>
      <c r="AD48" s="19"/>
      <c r="AE48" s="15">
        <f t="shared" si="8"/>
        <v>-64.444444444443661</v>
      </c>
      <c r="AF48" s="142">
        <f t="shared" si="9"/>
        <v>0.96777777777777818</v>
      </c>
      <c r="AG48" s="619"/>
    </row>
    <row r="49" spans="1:33" ht="15.75" customHeight="1">
      <c r="A49" s="623" t="s">
        <v>494</v>
      </c>
      <c r="B49" s="33" t="s">
        <v>10</v>
      </c>
      <c r="C49" s="152" t="s">
        <v>43</v>
      </c>
      <c r="D49" s="153"/>
      <c r="E49" s="33">
        <v>46</v>
      </c>
      <c r="F49" s="35">
        <v>935</v>
      </c>
      <c r="G49" s="143">
        <f t="shared" si="35"/>
        <v>43010</v>
      </c>
      <c r="H49" s="29" t="s">
        <v>5</v>
      </c>
      <c r="I49" s="141">
        <v>17</v>
      </c>
      <c r="J49" s="30">
        <v>2000</v>
      </c>
      <c r="K49" s="13">
        <f t="shared" si="1"/>
        <v>117.64705882352941</v>
      </c>
      <c r="L49" s="141">
        <v>17</v>
      </c>
      <c r="M49" s="14">
        <f t="shared" si="39"/>
        <v>1934.4827586206911</v>
      </c>
      <c r="N49" s="14">
        <f t="shared" si="3"/>
        <v>113.79310344827594</v>
      </c>
      <c r="O49" s="15">
        <f t="shared" si="4"/>
        <v>0</v>
      </c>
      <c r="P49" s="16">
        <f t="shared" si="5"/>
        <v>-3.853955375253463</v>
      </c>
      <c r="Q49" s="142">
        <f t="shared" si="6"/>
        <v>0.96724137931034559</v>
      </c>
      <c r="R49" s="619"/>
      <c r="S49" s="31">
        <v>0.35</v>
      </c>
      <c r="T49" s="31">
        <v>0.37013888888888885</v>
      </c>
      <c r="U49" s="143">
        <f t="shared" si="38"/>
        <v>5.9999999999999787</v>
      </c>
      <c r="V49" s="144">
        <f t="shared" si="37"/>
        <v>28.999999999999979</v>
      </c>
      <c r="W49" s="17"/>
      <c r="X49" s="17"/>
      <c r="Y49" s="20"/>
      <c r="Z49" s="20"/>
      <c r="AA49" s="610"/>
      <c r="AB49" s="610"/>
      <c r="AC49" s="155"/>
      <c r="AD49" s="19"/>
      <c r="AE49" s="15">
        <f t="shared" si="8"/>
        <v>-65.517241379308871</v>
      </c>
      <c r="AF49" s="142">
        <f t="shared" si="9"/>
        <v>0.96724137931034559</v>
      </c>
      <c r="AG49" s="619"/>
    </row>
    <row r="50" spans="1:33" ht="15.75" customHeight="1">
      <c r="A50" s="623" t="s">
        <v>494</v>
      </c>
      <c r="B50" s="33" t="s">
        <v>6</v>
      </c>
      <c r="C50" s="612" t="s">
        <v>44</v>
      </c>
      <c r="D50" s="613"/>
      <c r="E50" s="33">
        <v>55.56</v>
      </c>
      <c r="F50" s="35">
        <v>1922</v>
      </c>
      <c r="G50" s="143">
        <f t="shared" si="35"/>
        <v>106786.32</v>
      </c>
      <c r="H50" s="29" t="s">
        <v>5</v>
      </c>
      <c r="I50" s="141">
        <v>17</v>
      </c>
      <c r="J50" s="30">
        <v>2000</v>
      </c>
      <c r="K50" s="13">
        <f t="shared" si="1"/>
        <v>117.64705882352941</v>
      </c>
      <c r="L50" s="141">
        <v>17</v>
      </c>
      <c r="M50" s="14">
        <f t="shared" si="39"/>
        <v>1922.000000000002</v>
      </c>
      <c r="N50" s="14">
        <f t="shared" si="3"/>
        <v>113.05882352941188</v>
      </c>
      <c r="O50" s="15">
        <f t="shared" si="4"/>
        <v>0</v>
      </c>
      <c r="P50" s="16">
        <f t="shared" si="5"/>
        <v>-4.5882352941175242</v>
      </c>
      <c r="Q50" s="142">
        <f t="shared" si="6"/>
        <v>0.96100000000000108</v>
      </c>
      <c r="R50" s="619"/>
      <c r="S50" s="31">
        <v>0.70833333333333337</v>
      </c>
      <c r="T50" s="31">
        <v>0.75</v>
      </c>
      <c r="U50" s="143" t="str">
        <f t="shared" si="38"/>
        <v/>
      </c>
      <c r="V50" s="144">
        <f t="shared" si="37"/>
        <v>59.999999999999943</v>
      </c>
      <c r="W50" s="17"/>
      <c r="X50" s="17"/>
      <c r="Y50" s="20"/>
      <c r="Z50" s="20"/>
      <c r="AA50" s="614"/>
      <c r="AB50" s="615"/>
      <c r="AC50" s="155"/>
      <c r="AD50" s="19"/>
      <c r="AE50" s="15">
        <f t="shared" si="8"/>
        <v>-77.999999999997954</v>
      </c>
      <c r="AF50" s="142">
        <f t="shared" si="9"/>
        <v>0.96100000000000108</v>
      </c>
      <c r="AG50" s="619"/>
    </row>
    <row r="51" spans="1:33" ht="15.75" customHeight="1">
      <c r="A51" s="623" t="s">
        <v>494</v>
      </c>
      <c r="B51" s="33" t="s">
        <v>6</v>
      </c>
      <c r="C51" s="612" t="s">
        <v>72</v>
      </c>
      <c r="D51" s="613"/>
      <c r="E51" s="33">
        <v>58.17</v>
      </c>
      <c r="F51" s="35">
        <v>1548</v>
      </c>
      <c r="G51" s="143">
        <f t="shared" si="35"/>
        <v>90047.16</v>
      </c>
      <c r="H51" s="29" t="s">
        <v>5</v>
      </c>
      <c r="I51" s="141">
        <v>13</v>
      </c>
      <c r="J51" s="30">
        <v>2000</v>
      </c>
      <c r="K51" s="13">
        <f t="shared" si="1"/>
        <v>153.84615384615384</v>
      </c>
      <c r="L51" s="141">
        <v>13</v>
      </c>
      <c r="M51" s="14">
        <f t="shared" si="39"/>
        <v>1935.0000000000005</v>
      </c>
      <c r="N51" s="14">
        <f t="shared" si="3"/>
        <v>148.84615384615387</v>
      </c>
      <c r="O51" s="15">
        <f t="shared" si="4"/>
        <v>0</v>
      </c>
      <c r="P51" s="16">
        <f t="shared" si="5"/>
        <v>-4.9999999999999716</v>
      </c>
      <c r="Q51" s="142">
        <f t="shared" si="6"/>
        <v>0.96750000000000014</v>
      </c>
      <c r="R51" s="619"/>
      <c r="S51" s="31">
        <v>0.75486111111111109</v>
      </c>
      <c r="T51" s="31">
        <v>0.78819444444444442</v>
      </c>
      <c r="U51" s="143">
        <f t="shared" si="38"/>
        <v>6.9999999999999751</v>
      </c>
      <c r="V51" s="144">
        <f t="shared" si="37"/>
        <v>47.999999999999986</v>
      </c>
      <c r="W51" s="17"/>
      <c r="X51" s="17"/>
      <c r="Y51" s="20"/>
      <c r="Z51" s="20"/>
      <c r="AA51" s="614"/>
      <c r="AB51" s="615"/>
      <c r="AC51" s="155"/>
      <c r="AD51" s="19"/>
      <c r="AE51" s="15">
        <f t="shared" si="8"/>
        <v>-64.999999999999545</v>
      </c>
      <c r="AF51" s="142">
        <f t="shared" si="9"/>
        <v>0.96750000000000025</v>
      </c>
      <c r="AG51" s="619"/>
    </row>
    <row r="52" spans="1:33" ht="15.75" customHeight="1">
      <c r="A52" s="623" t="s">
        <v>494</v>
      </c>
      <c r="B52" s="33" t="s">
        <v>6</v>
      </c>
      <c r="C52" s="612" t="s">
        <v>82</v>
      </c>
      <c r="D52" s="613"/>
      <c r="E52" s="33">
        <v>54.09</v>
      </c>
      <c r="F52" s="35">
        <v>1732</v>
      </c>
      <c r="G52" s="143">
        <f t="shared" si="35"/>
        <v>93683.88</v>
      </c>
      <c r="H52" s="29" t="s">
        <v>5</v>
      </c>
      <c r="I52" s="141">
        <v>14</v>
      </c>
      <c r="J52" s="30">
        <v>2000</v>
      </c>
      <c r="K52" s="13">
        <f t="shared" si="1"/>
        <v>142.85714285714286</v>
      </c>
      <c r="L52" s="141">
        <v>14</v>
      </c>
      <c r="M52" s="14">
        <f t="shared" si="39"/>
        <v>1924.4444444444455</v>
      </c>
      <c r="N52" s="14">
        <f t="shared" si="3"/>
        <v>137.46031746031753</v>
      </c>
      <c r="O52" s="15">
        <f t="shared" si="4"/>
        <v>0</v>
      </c>
      <c r="P52" s="16">
        <f t="shared" si="5"/>
        <v>-5.396825396825335</v>
      </c>
      <c r="Q52" s="142">
        <f t="shared" si="6"/>
        <v>0.96222222222222265</v>
      </c>
      <c r="R52" s="619"/>
      <c r="S52" s="31">
        <v>0.79305555555555551</v>
      </c>
      <c r="T52" s="31">
        <v>0.83055555555555549</v>
      </c>
      <c r="U52" s="143">
        <f t="shared" si="38"/>
        <v>6.9999999999999751</v>
      </c>
      <c r="V52" s="144">
        <f t="shared" si="37"/>
        <v>53.999999999999972</v>
      </c>
      <c r="W52" s="17"/>
      <c r="X52" s="17"/>
      <c r="Y52" s="20"/>
      <c r="Z52" s="20"/>
      <c r="AA52" s="614"/>
      <c r="AB52" s="615"/>
      <c r="AC52" s="155"/>
      <c r="AD52" s="19"/>
      <c r="AE52" s="15">
        <f t="shared" si="8"/>
        <v>-75.55555555555452</v>
      </c>
      <c r="AF52" s="142">
        <f t="shared" si="9"/>
        <v>0.96222222222222276</v>
      </c>
      <c r="AG52" s="619"/>
    </row>
    <row r="53" spans="1:33">
      <c r="A53" s="624" t="s">
        <v>494</v>
      </c>
      <c r="B53" s="33" t="s">
        <v>493</v>
      </c>
      <c r="C53" s="620"/>
      <c r="D53" s="620"/>
      <c r="E53" s="149"/>
      <c r="F53" s="34"/>
      <c r="G53" s="13"/>
      <c r="H53" s="146"/>
      <c r="I53" s="23">
        <v>18.75</v>
      </c>
      <c r="J53" s="30">
        <v>2000</v>
      </c>
      <c r="K53" s="13">
        <f t="shared" si="1"/>
        <v>106.66666666666667</v>
      </c>
      <c r="L53" s="23">
        <v>18.75</v>
      </c>
      <c r="M53" s="14">
        <f>AVERAGE(M45:M52)</f>
        <v>1926.8337963034364</v>
      </c>
      <c r="N53" s="13">
        <f t="shared" si="3"/>
        <v>102.76446913618328</v>
      </c>
      <c r="O53" s="15">
        <f t="shared" si="4"/>
        <v>0</v>
      </c>
      <c r="P53" s="16">
        <f t="shared" si="5"/>
        <v>-3.9021975304833916</v>
      </c>
      <c r="Q53" s="142">
        <f t="shared" si="6"/>
        <v>0.96341689815171816</v>
      </c>
      <c r="R53" s="619"/>
      <c r="S53" s="31"/>
      <c r="T53" s="31"/>
      <c r="U53" s="143"/>
      <c r="V53" s="144"/>
      <c r="W53" s="13"/>
      <c r="X53" s="13"/>
      <c r="Y53" s="24">
        <f>SUM(Y45:Y52)</f>
        <v>0</v>
      </c>
      <c r="Z53" s="24">
        <f>SUM(Z45:Z52)</f>
        <v>0</v>
      </c>
      <c r="AA53" s="609"/>
      <c r="AB53" s="609"/>
      <c r="AC53" s="24">
        <v>8</v>
      </c>
      <c r="AD53" s="24">
        <f>SUM(AD45:AD52)</f>
        <v>0</v>
      </c>
      <c r="AE53" s="15">
        <f>M53-J53</f>
        <v>-73.166203696563571</v>
      </c>
      <c r="AF53" s="142">
        <f t="shared" si="9"/>
        <v>0.96341689815171816</v>
      </c>
      <c r="AG53" s="619"/>
    </row>
    <row r="54" spans="1:33" ht="15.75" customHeight="1">
      <c r="A54" s="621" t="s">
        <v>199</v>
      </c>
      <c r="B54" s="146" t="s">
        <v>36</v>
      </c>
      <c r="C54" s="611" t="s">
        <v>46</v>
      </c>
      <c r="D54" s="611"/>
      <c r="E54" s="33">
        <v>35.119999999999997</v>
      </c>
      <c r="F54" s="35">
        <v>3078</v>
      </c>
      <c r="G54" s="143">
        <f t="shared" ref="G54:G58" si="40">E54*F54</f>
        <v>108099.35999999999</v>
      </c>
      <c r="H54" s="29" t="s">
        <v>5</v>
      </c>
      <c r="I54" s="141">
        <v>10</v>
      </c>
      <c r="J54" s="30">
        <v>3000</v>
      </c>
      <c r="K54" s="13">
        <f t="shared" si="1"/>
        <v>300</v>
      </c>
      <c r="L54" s="141">
        <v>10</v>
      </c>
      <c r="M54" s="14">
        <f t="shared" ref="M54:M58" si="41">F54/V54*60</f>
        <v>2885.6250000000014</v>
      </c>
      <c r="N54" s="13">
        <f t="shared" si="3"/>
        <v>288.56250000000011</v>
      </c>
      <c r="O54" s="15">
        <f t="shared" si="4"/>
        <v>0</v>
      </c>
      <c r="P54" s="16">
        <f t="shared" si="5"/>
        <v>-11.437499999999886</v>
      </c>
      <c r="Q54" s="142">
        <f t="shared" si="6"/>
        <v>0.96187500000000037</v>
      </c>
      <c r="R54" s="619">
        <f>Q59</f>
        <v>0.95777136933524809</v>
      </c>
      <c r="S54" s="31">
        <v>0.20833333333333334</v>
      </c>
      <c r="T54" s="31">
        <v>0.25277777777777777</v>
      </c>
      <c r="U54" s="143"/>
      <c r="V54" s="144">
        <f t="shared" ref="V54:V58" si="42">(T54-S54)*24*60</f>
        <v>63.999999999999972</v>
      </c>
      <c r="W54" s="17"/>
      <c r="X54" s="17"/>
      <c r="Y54" s="22"/>
      <c r="Z54" s="22"/>
      <c r="AA54" s="610"/>
      <c r="AB54" s="610"/>
      <c r="AC54" s="155">
        <v>5</v>
      </c>
      <c r="AD54" s="19"/>
      <c r="AE54" s="15">
        <f t="shared" ref="AE54:AE66" si="43">M54-J54</f>
        <v>-114.37499999999864</v>
      </c>
      <c r="AF54" s="142">
        <f t="shared" si="9"/>
        <v>0.96187500000000048</v>
      </c>
      <c r="AG54" s="619">
        <f>AF59</f>
        <v>0.95777136933524809</v>
      </c>
    </row>
    <row r="55" spans="1:33" ht="15.75" customHeight="1">
      <c r="A55" s="621" t="s">
        <v>495</v>
      </c>
      <c r="B55" s="146" t="s">
        <v>36</v>
      </c>
      <c r="C55" s="611" t="s">
        <v>47</v>
      </c>
      <c r="D55" s="611"/>
      <c r="E55" s="33">
        <v>26.78</v>
      </c>
      <c r="F55" s="35">
        <v>1881</v>
      </c>
      <c r="G55" s="143">
        <f t="shared" si="40"/>
        <v>50373.18</v>
      </c>
      <c r="H55" s="29" t="s">
        <v>5</v>
      </c>
      <c r="I55" s="141">
        <v>10</v>
      </c>
      <c r="J55" s="30">
        <v>3000</v>
      </c>
      <c r="K55" s="13">
        <f t="shared" si="1"/>
        <v>300</v>
      </c>
      <c r="L55" s="141">
        <v>10</v>
      </c>
      <c r="M55" s="14">
        <f t="shared" si="41"/>
        <v>2893.8461538461524</v>
      </c>
      <c r="N55" s="13">
        <f t="shared" si="3"/>
        <v>289.38461538461524</v>
      </c>
      <c r="O55" s="15">
        <f t="shared" si="4"/>
        <v>0</v>
      </c>
      <c r="P55" s="16">
        <f t="shared" si="5"/>
        <v>-10.615384615384755</v>
      </c>
      <c r="Q55" s="142">
        <f t="shared" si="6"/>
        <v>0.9646153846153841</v>
      </c>
      <c r="R55" s="619"/>
      <c r="S55" s="31">
        <v>0.25624999999999998</v>
      </c>
      <c r="T55" s="31">
        <v>0.28333333333333333</v>
      </c>
      <c r="U55" s="143">
        <f t="shared" ref="U55:U58" si="44">(S55-T54)*24*60</f>
        <v>4.9999999999999822</v>
      </c>
      <c r="V55" s="144">
        <f t="shared" si="42"/>
        <v>39.000000000000021</v>
      </c>
      <c r="W55" s="143"/>
      <c r="X55" s="143"/>
      <c r="Y55" s="143"/>
      <c r="Z55" s="143"/>
      <c r="AA55" s="610"/>
      <c r="AB55" s="610"/>
      <c r="AC55" s="155"/>
      <c r="AD55" s="19"/>
      <c r="AE55" s="15">
        <f t="shared" si="43"/>
        <v>-106.15384615384755</v>
      </c>
      <c r="AF55" s="142">
        <f t="shared" si="9"/>
        <v>0.9646153846153841</v>
      </c>
      <c r="AG55" s="619"/>
    </row>
    <row r="56" spans="1:33" ht="15.75" customHeight="1">
      <c r="A56" s="621" t="s">
        <v>199</v>
      </c>
      <c r="B56" s="146" t="s">
        <v>36</v>
      </c>
      <c r="C56" s="611" t="s">
        <v>48</v>
      </c>
      <c r="D56" s="611"/>
      <c r="E56" s="33">
        <v>36.14</v>
      </c>
      <c r="F56" s="35">
        <v>610</v>
      </c>
      <c r="G56" s="143">
        <f t="shared" si="40"/>
        <v>22045.4</v>
      </c>
      <c r="H56" s="29" t="s">
        <v>5</v>
      </c>
      <c r="I56" s="141">
        <v>11</v>
      </c>
      <c r="J56" s="30">
        <v>3000</v>
      </c>
      <c r="K56" s="13">
        <f t="shared" si="1"/>
        <v>272.72727272727275</v>
      </c>
      <c r="L56" s="141">
        <v>11</v>
      </c>
      <c r="M56" s="14">
        <f t="shared" si="41"/>
        <v>2815.384615384608</v>
      </c>
      <c r="N56" s="13">
        <f t="shared" si="3"/>
        <v>255.94405594405526</v>
      </c>
      <c r="O56" s="15">
        <f t="shared" si="4"/>
        <v>0</v>
      </c>
      <c r="P56" s="16">
        <f t="shared" si="5"/>
        <v>-16.783216783217483</v>
      </c>
      <c r="Q56" s="142">
        <f t="shared" si="6"/>
        <v>0.9384615384615359</v>
      </c>
      <c r="R56" s="619"/>
      <c r="S56" s="31">
        <v>0.28888888888888886</v>
      </c>
      <c r="T56" s="31">
        <v>0.29791666666666666</v>
      </c>
      <c r="U56" s="143">
        <f t="shared" si="44"/>
        <v>7.9999999999999716</v>
      </c>
      <c r="V56" s="144">
        <f t="shared" si="42"/>
        <v>13.000000000000034</v>
      </c>
      <c r="W56" s="143"/>
      <c r="X56" s="143"/>
      <c r="Y56" s="143"/>
      <c r="Z56" s="143"/>
      <c r="AA56" s="610"/>
      <c r="AB56" s="610"/>
      <c r="AC56" s="155"/>
      <c r="AD56" s="19"/>
      <c r="AE56" s="15">
        <f t="shared" si="43"/>
        <v>-184.61538461539203</v>
      </c>
      <c r="AF56" s="142">
        <f t="shared" si="9"/>
        <v>0.93846153846153602</v>
      </c>
      <c r="AG56" s="619"/>
    </row>
    <row r="57" spans="1:33" ht="15.75" customHeight="1">
      <c r="A57" s="621" t="s">
        <v>199</v>
      </c>
      <c r="B57" s="146" t="s">
        <v>36</v>
      </c>
      <c r="C57" s="611" t="s">
        <v>39</v>
      </c>
      <c r="D57" s="611"/>
      <c r="E57" s="33">
        <v>35.869999999999997</v>
      </c>
      <c r="F57" s="35">
        <v>920</v>
      </c>
      <c r="G57" s="143">
        <f t="shared" si="40"/>
        <v>33000.399999999994</v>
      </c>
      <c r="H57" s="29" t="s">
        <v>5</v>
      </c>
      <c r="I57" s="141">
        <v>9</v>
      </c>
      <c r="J57" s="30">
        <v>3000</v>
      </c>
      <c r="K57" s="13">
        <f t="shared" si="1"/>
        <v>333.33333333333331</v>
      </c>
      <c r="L57" s="141">
        <v>9</v>
      </c>
      <c r="M57" s="14">
        <f t="shared" si="41"/>
        <v>2905.2631578947344</v>
      </c>
      <c r="N57" s="13">
        <f t="shared" si="3"/>
        <v>322.80701754385939</v>
      </c>
      <c r="O57" s="15">
        <f t="shared" si="4"/>
        <v>0</v>
      </c>
      <c r="P57" s="16">
        <f t="shared" si="5"/>
        <v>-10.526315789473927</v>
      </c>
      <c r="Q57" s="142">
        <f t="shared" si="6"/>
        <v>0.96842105263157818</v>
      </c>
      <c r="R57" s="619"/>
      <c r="S57" s="31">
        <v>0.30208333333333331</v>
      </c>
      <c r="T57" s="31">
        <v>0.31527777777777777</v>
      </c>
      <c r="U57" s="143">
        <f t="shared" si="44"/>
        <v>5.9999999999999787</v>
      </c>
      <c r="V57" s="144">
        <f t="shared" si="42"/>
        <v>19.000000000000014</v>
      </c>
      <c r="W57" s="143"/>
      <c r="X57" s="143"/>
      <c r="Y57" s="143"/>
      <c r="Z57" s="143"/>
      <c r="AA57" s="610"/>
      <c r="AB57" s="610"/>
      <c r="AC57" s="155"/>
      <c r="AD57" s="19"/>
      <c r="AE57" s="15">
        <f t="shared" si="43"/>
        <v>-94.736842105265623</v>
      </c>
      <c r="AF57" s="142">
        <f t="shared" si="9"/>
        <v>0.96842105263157807</v>
      </c>
      <c r="AG57" s="619"/>
    </row>
    <row r="58" spans="1:33">
      <c r="A58" s="622" t="s">
        <v>495</v>
      </c>
      <c r="B58" s="146" t="s">
        <v>36</v>
      </c>
      <c r="C58" s="611" t="s">
        <v>74</v>
      </c>
      <c r="D58" s="611"/>
      <c r="E58" s="33">
        <v>33.770000000000003</v>
      </c>
      <c r="F58" s="35">
        <v>2962</v>
      </c>
      <c r="G58" s="143">
        <f t="shared" si="40"/>
        <v>100026.74</v>
      </c>
      <c r="H58" s="29" t="s">
        <v>5</v>
      </c>
      <c r="I58" s="141">
        <v>12</v>
      </c>
      <c r="J58" s="30">
        <v>3000</v>
      </c>
      <c r="K58" s="13">
        <f t="shared" si="1"/>
        <v>250</v>
      </c>
      <c r="L58" s="141">
        <v>12</v>
      </c>
      <c r="M58" s="14">
        <f t="shared" si="41"/>
        <v>2866.4516129032249</v>
      </c>
      <c r="N58" s="13">
        <f t="shared" si="3"/>
        <v>238.8709677419354</v>
      </c>
      <c r="O58" s="15">
        <f t="shared" si="4"/>
        <v>0</v>
      </c>
      <c r="P58" s="16">
        <f t="shared" si="5"/>
        <v>-11.129032258064598</v>
      </c>
      <c r="Q58" s="142">
        <f t="shared" si="6"/>
        <v>0.95548387096774157</v>
      </c>
      <c r="R58" s="619"/>
      <c r="S58" s="31">
        <v>0.31874999999999998</v>
      </c>
      <c r="T58" s="31">
        <v>0.36180555555555555</v>
      </c>
      <c r="U58" s="143">
        <f t="shared" si="44"/>
        <v>4.9999999999999822</v>
      </c>
      <c r="V58" s="144">
        <f t="shared" si="42"/>
        <v>62.000000000000021</v>
      </c>
      <c r="W58" s="17"/>
      <c r="X58" s="17"/>
      <c r="Y58" s="17"/>
      <c r="Z58" s="17"/>
      <c r="AA58" s="610"/>
      <c r="AB58" s="610"/>
      <c r="AC58" s="155"/>
      <c r="AD58" s="19"/>
      <c r="AE58" s="15">
        <f t="shared" si="43"/>
        <v>-133.54838709677506</v>
      </c>
      <c r="AF58" s="142">
        <f t="shared" si="9"/>
        <v>0.95548387096774168</v>
      </c>
      <c r="AG58" s="619"/>
    </row>
    <row r="59" spans="1:33">
      <c r="A59" s="622" t="s">
        <v>199</v>
      </c>
      <c r="B59" s="33" t="s">
        <v>80</v>
      </c>
      <c r="C59" s="620"/>
      <c r="D59" s="620"/>
      <c r="E59" s="149"/>
      <c r="F59" s="34"/>
      <c r="G59" s="13"/>
      <c r="H59" s="146"/>
      <c r="I59" s="23">
        <v>10.4</v>
      </c>
      <c r="J59" s="30">
        <v>3000</v>
      </c>
      <c r="K59" s="13">
        <f t="shared" si="1"/>
        <v>288.46153846153845</v>
      </c>
      <c r="L59" s="23">
        <v>10.4</v>
      </c>
      <c r="M59" s="14">
        <f>AVERAGE(M54:M58)</f>
        <v>2873.3141080057444</v>
      </c>
      <c r="N59" s="13">
        <f t="shared" si="3"/>
        <v>276.28020269286003</v>
      </c>
      <c r="O59" s="15">
        <f t="shared" si="4"/>
        <v>0</v>
      </c>
      <c r="P59" s="16">
        <f t="shared" si="5"/>
        <v>-12.181335768678423</v>
      </c>
      <c r="Q59" s="142">
        <f t="shared" si="6"/>
        <v>0.95777136933524809</v>
      </c>
      <c r="R59" s="619"/>
      <c r="S59" s="31"/>
      <c r="T59" s="31"/>
      <c r="U59" s="13"/>
      <c r="V59" s="144"/>
      <c r="W59" s="13"/>
      <c r="X59" s="13"/>
      <c r="Y59" s="24">
        <f>SUM(Y54:Y58)</f>
        <v>0</v>
      </c>
      <c r="Z59" s="24">
        <f>SUM(Z54:Z58)</f>
        <v>0</v>
      </c>
      <c r="AA59" s="609"/>
      <c r="AB59" s="609"/>
      <c r="AC59" s="24">
        <v>5</v>
      </c>
      <c r="AD59" s="24">
        <f>SUM(AD54:AD58)</f>
        <v>0</v>
      </c>
      <c r="AE59" s="15">
        <f t="shared" si="43"/>
        <v>-126.6858919942556</v>
      </c>
      <c r="AF59" s="142">
        <f t="shared" si="9"/>
        <v>0.95777136933524809</v>
      </c>
      <c r="AG59" s="619"/>
    </row>
    <row r="60" spans="1:33" ht="15.75" customHeight="1">
      <c r="A60" s="616" t="s">
        <v>496</v>
      </c>
      <c r="B60" s="146" t="s">
        <v>27</v>
      </c>
      <c r="C60" s="611" t="s">
        <v>50</v>
      </c>
      <c r="D60" s="611"/>
      <c r="E60" s="33">
        <v>19.02</v>
      </c>
      <c r="F60" s="146">
        <v>7695</v>
      </c>
      <c r="G60" s="143">
        <f t="shared" ref="G60:G65" si="45">E60*F60</f>
        <v>146358.9</v>
      </c>
      <c r="H60" s="29" t="s">
        <v>5</v>
      </c>
      <c r="I60" s="141">
        <v>14</v>
      </c>
      <c r="J60" s="30">
        <v>2400</v>
      </c>
      <c r="K60" s="13">
        <f t="shared" si="1"/>
        <v>171.42857142857142</v>
      </c>
      <c r="L60" s="141">
        <v>14</v>
      </c>
      <c r="M60" s="14">
        <f t="shared" ref="M60:M65" si="46">F60/V60*60</f>
        <v>2285.6435643564355</v>
      </c>
      <c r="N60" s="13">
        <f t="shared" si="3"/>
        <v>163.26025459688825</v>
      </c>
      <c r="O60" s="15">
        <f t="shared" si="4"/>
        <v>0</v>
      </c>
      <c r="P60" s="16">
        <f t="shared" si="5"/>
        <v>-8.1683168316831711</v>
      </c>
      <c r="Q60" s="142">
        <f t="shared" si="6"/>
        <v>0.95235148514851486</v>
      </c>
      <c r="R60" s="619">
        <f>Q66</f>
        <v>0.95521540447852371</v>
      </c>
      <c r="S60" s="31">
        <v>8.3333333333333329E-2</v>
      </c>
      <c r="T60" s="31">
        <v>0.22361111111111109</v>
      </c>
      <c r="U60" s="22"/>
      <c r="V60" s="144">
        <f t="shared" ref="V60:V65" si="47">(T60-S60)*24*60</f>
        <v>202</v>
      </c>
      <c r="W60" s="17">
        <f>T60</f>
        <v>0.22361111111111109</v>
      </c>
      <c r="X60" s="17">
        <f>S61</f>
        <v>0.24305555555555555</v>
      </c>
      <c r="Y60" s="17"/>
      <c r="Z60" s="17"/>
      <c r="AA60" s="610"/>
      <c r="AB60" s="610"/>
      <c r="AC60" s="155">
        <v>6</v>
      </c>
      <c r="AD60" s="19"/>
      <c r="AE60" s="15">
        <f t="shared" si="43"/>
        <v>-114.35643564356451</v>
      </c>
      <c r="AF60" s="142">
        <f t="shared" si="9"/>
        <v>0.95235148514851475</v>
      </c>
      <c r="AG60" s="619">
        <f>AF66</f>
        <v>0.95521540447852371</v>
      </c>
    </row>
    <row r="61" spans="1:33" ht="15.75" customHeight="1">
      <c r="A61" s="617" t="s">
        <v>496</v>
      </c>
      <c r="B61" s="146" t="s">
        <v>27</v>
      </c>
      <c r="C61" s="611" t="s">
        <v>51</v>
      </c>
      <c r="D61" s="611"/>
      <c r="E61" s="33">
        <v>20.36</v>
      </c>
      <c r="F61" s="146">
        <v>3065</v>
      </c>
      <c r="G61" s="143">
        <f t="shared" si="45"/>
        <v>62403.4</v>
      </c>
      <c r="H61" s="29" t="s">
        <v>5</v>
      </c>
      <c r="I61" s="141">
        <v>17</v>
      </c>
      <c r="J61" s="30">
        <v>2400</v>
      </c>
      <c r="K61" s="13">
        <f t="shared" si="1"/>
        <v>141.1764705882353</v>
      </c>
      <c r="L61" s="141">
        <v>17</v>
      </c>
      <c r="M61" s="14">
        <f t="shared" si="46"/>
        <v>2298.75</v>
      </c>
      <c r="N61" s="13">
        <f t="shared" si="3"/>
        <v>135.22058823529412</v>
      </c>
      <c r="O61" s="15">
        <f t="shared" si="4"/>
        <v>0</v>
      </c>
      <c r="P61" s="16">
        <f t="shared" si="5"/>
        <v>-5.9558823529411882</v>
      </c>
      <c r="Q61" s="142">
        <f t="shared" si="6"/>
        <v>0.95781249999999996</v>
      </c>
      <c r="R61" s="619"/>
      <c r="S61" s="31">
        <v>0.24305555555555555</v>
      </c>
      <c r="T61" s="31">
        <v>0.2986111111111111</v>
      </c>
      <c r="U61" s="143">
        <f t="shared" ref="U61:U65" si="48">(S61-T60)*24*60</f>
        <v>28.000000000000021</v>
      </c>
      <c r="V61" s="144">
        <f t="shared" si="47"/>
        <v>80</v>
      </c>
      <c r="W61" s="17"/>
      <c r="X61" s="17"/>
      <c r="Y61" s="17"/>
      <c r="Z61" s="17"/>
      <c r="AA61" s="610"/>
      <c r="AB61" s="610"/>
      <c r="AC61" s="155"/>
      <c r="AD61" s="19"/>
      <c r="AE61" s="15">
        <f t="shared" si="43"/>
        <v>-101.25</v>
      </c>
      <c r="AF61" s="142">
        <f t="shared" si="9"/>
        <v>0.95781249999999996</v>
      </c>
      <c r="AG61" s="619"/>
    </row>
    <row r="62" spans="1:33" ht="15.75" customHeight="1">
      <c r="A62" s="617" t="s">
        <v>496</v>
      </c>
      <c r="B62" s="146" t="s">
        <v>27</v>
      </c>
      <c r="C62" s="611" t="s">
        <v>75</v>
      </c>
      <c r="D62" s="611"/>
      <c r="E62" s="33">
        <v>25.98</v>
      </c>
      <c r="F62" s="146">
        <v>3742</v>
      </c>
      <c r="G62" s="143">
        <f t="shared" si="45"/>
        <v>97217.16</v>
      </c>
      <c r="H62" s="29" t="s">
        <v>5</v>
      </c>
      <c r="I62" s="141">
        <v>19</v>
      </c>
      <c r="J62" s="30">
        <v>2400</v>
      </c>
      <c r="K62" s="13">
        <f t="shared" si="1"/>
        <v>126.31578947368421</v>
      </c>
      <c r="L62" s="141">
        <v>19</v>
      </c>
      <c r="M62" s="14">
        <f t="shared" si="46"/>
        <v>2291.020408163266</v>
      </c>
      <c r="N62" s="13">
        <f t="shared" si="3"/>
        <v>120.58002148227716</v>
      </c>
      <c r="O62" s="15">
        <f t="shared" si="4"/>
        <v>0</v>
      </c>
      <c r="P62" s="16">
        <f t="shared" si="5"/>
        <v>-5.7357679914070445</v>
      </c>
      <c r="Q62" s="142">
        <f t="shared" si="6"/>
        <v>0.95459183673469428</v>
      </c>
      <c r="R62" s="619"/>
      <c r="S62" s="31">
        <v>0.30208333333333331</v>
      </c>
      <c r="T62" s="31">
        <v>0.37013888888888885</v>
      </c>
      <c r="U62" s="143">
        <f t="shared" si="48"/>
        <v>4.9999999999999822</v>
      </c>
      <c r="V62" s="144">
        <f t="shared" si="47"/>
        <v>97.999999999999972</v>
      </c>
      <c r="W62" s="17"/>
      <c r="X62" s="17"/>
      <c r="Y62" s="17"/>
      <c r="Z62" s="17"/>
      <c r="AA62" s="610"/>
      <c r="AB62" s="610"/>
      <c r="AC62" s="155"/>
      <c r="AD62" s="19"/>
      <c r="AE62" s="15">
        <f t="shared" si="43"/>
        <v>-108.97959183673402</v>
      </c>
      <c r="AF62" s="142">
        <f t="shared" si="9"/>
        <v>0.95459183673469417</v>
      </c>
      <c r="AG62" s="619"/>
    </row>
    <row r="63" spans="1:33" ht="15.75" customHeight="1">
      <c r="A63" s="617" t="s">
        <v>496</v>
      </c>
      <c r="B63" s="146" t="s">
        <v>27</v>
      </c>
      <c r="C63" s="611" t="s">
        <v>31</v>
      </c>
      <c r="D63" s="611"/>
      <c r="E63" s="33">
        <v>25.99</v>
      </c>
      <c r="F63" s="146">
        <v>840</v>
      </c>
      <c r="G63" s="143">
        <f t="shared" si="45"/>
        <v>21831.599999999999</v>
      </c>
      <c r="H63" s="29" t="s">
        <v>5</v>
      </c>
      <c r="I63" s="141">
        <v>18</v>
      </c>
      <c r="J63" s="30">
        <v>2400</v>
      </c>
      <c r="K63" s="13">
        <f t="shared" si="1"/>
        <v>133.33333333333334</v>
      </c>
      <c r="L63" s="141">
        <v>18</v>
      </c>
      <c r="M63" s="14">
        <f t="shared" si="46"/>
        <v>2290.909090909091</v>
      </c>
      <c r="N63" s="13">
        <f t="shared" si="3"/>
        <v>127.27272727272728</v>
      </c>
      <c r="O63" s="15">
        <f t="shared" si="4"/>
        <v>0</v>
      </c>
      <c r="P63" s="16">
        <f t="shared" si="5"/>
        <v>-6.0606060606060623</v>
      </c>
      <c r="Q63" s="142">
        <f t="shared" si="6"/>
        <v>0.95454545454545459</v>
      </c>
      <c r="R63" s="619"/>
      <c r="S63" s="31">
        <v>0.37499999999999994</v>
      </c>
      <c r="T63" s="31">
        <v>0.39027777777777772</v>
      </c>
      <c r="U63" s="143">
        <f t="shared" si="48"/>
        <v>6.9999999999999751</v>
      </c>
      <c r="V63" s="144">
        <f t="shared" si="47"/>
        <v>22</v>
      </c>
      <c r="W63" s="17"/>
      <c r="X63" s="17"/>
      <c r="Y63" s="17"/>
      <c r="Z63" s="17"/>
      <c r="AA63" s="610"/>
      <c r="AB63" s="610"/>
      <c r="AC63" s="155"/>
      <c r="AD63" s="19"/>
      <c r="AE63" s="15">
        <f t="shared" si="43"/>
        <v>-109.09090909090901</v>
      </c>
      <c r="AF63" s="142">
        <f t="shared" si="9"/>
        <v>0.95454545454545459</v>
      </c>
      <c r="AG63" s="619"/>
    </row>
    <row r="64" spans="1:33" ht="15.75" customHeight="1">
      <c r="A64" s="617" t="s">
        <v>496</v>
      </c>
      <c r="B64" s="146" t="s">
        <v>27</v>
      </c>
      <c r="C64" s="611" t="s">
        <v>55</v>
      </c>
      <c r="D64" s="611"/>
      <c r="E64" s="33">
        <v>23.89</v>
      </c>
      <c r="F64" s="146">
        <v>768</v>
      </c>
      <c r="G64" s="143">
        <f t="shared" si="45"/>
        <v>18347.52</v>
      </c>
      <c r="H64" s="29" t="s">
        <v>5</v>
      </c>
      <c r="I64" s="141">
        <v>13</v>
      </c>
      <c r="J64" s="30">
        <v>2400</v>
      </c>
      <c r="K64" s="13">
        <f t="shared" si="1"/>
        <v>184.61538461538461</v>
      </c>
      <c r="L64" s="141">
        <v>13</v>
      </c>
      <c r="M64" s="14">
        <f t="shared" si="46"/>
        <v>2303.9999999999991</v>
      </c>
      <c r="N64" s="13">
        <f t="shared" si="3"/>
        <v>177.23076923076917</v>
      </c>
      <c r="O64" s="15">
        <f t="shared" si="4"/>
        <v>0</v>
      </c>
      <c r="P64" s="16">
        <f t="shared" si="5"/>
        <v>-7.3846153846154436</v>
      </c>
      <c r="Q64" s="142">
        <f t="shared" si="6"/>
        <v>0.95999999999999963</v>
      </c>
      <c r="R64" s="619"/>
      <c r="S64" s="31">
        <v>0.39444444444444438</v>
      </c>
      <c r="T64" s="31">
        <v>0.40833333333333327</v>
      </c>
      <c r="U64" s="143">
        <f t="shared" si="48"/>
        <v>5.9999999999999787</v>
      </c>
      <c r="V64" s="144">
        <f t="shared" si="47"/>
        <v>20.000000000000007</v>
      </c>
      <c r="W64" s="17"/>
      <c r="X64" s="17"/>
      <c r="Y64" s="17"/>
      <c r="Z64" s="17"/>
      <c r="AA64" s="610"/>
      <c r="AB64" s="610"/>
      <c r="AC64" s="155"/>
      <c r="AD64" s="19"/>
      <c r="AE64" s="15">
        <f t="shared" si="43"/>
        <v>-96.000000000000909</v>
      </c>
      <c r="AF64" s="142">
        <f t="shared" si="9"/>
        <v>0.95999999999999963</v>
      </c>
      <c r="AG64" s="619"/>
    </row>
    <row r="65" spans="1:33" ht="15.75" customHeight="1">
      <c r="A65" s="617" t="s">
        <v>200</v>
      </c>
      <c r="B65" s="146" t="s">
        <v>27</v>
      </c>
      <c r="C65" s="611" t="s">
        <v>197</v>
      </c>
      <c r="D65" s="611"/>
      <c r="E65" s="33">
        <v>23.89</v>
      </c>
      <c r="F65" s="146">
        <v>4303</v>
      </c>
      <c r="G65" s="143">
        <f t="shared" si="45"/>
        <v>102798.67</v>
      </c>
      <c r="H65" s="29" t="s">
        <v>5</v>
      </c>
      <c r="I65" s="141">
        <v>17</v>
      </c>
      <c r="J65" s="30">
        <v>2400</v>
      </c>
      <c r="K65" s="13">
        <f t="shared" si="1"/>
        <v>141.1764705882353</v>
      </c>
      <c r="L65" s="141">
        <v>17</v>
      </c>
      <c r="M65" s="14">
        <f t="shared" si="46"/>
        <v>2284.7787610619466</v>
      </c>
      <c r="N65" s="13">
        <f t="shared" si="3"/>
        <v>134.39875065070274</v>
      </c>
      <c r="O65" s="15">
        <f t="shared" si="4"/>
        <v>0</v>
      </c>
      <c r="P65" s="16">
        <f t="shared" si="5"/>
        <v>-6.7777199375325665</v>
      </c>
      <c r="Q65" s="142">
        <f t="shared" si="6"/>
        <v>0.95199115044247762</v>
      </c>
      <c r="R65" s="619"/>
      <c r="S65" s="31">
        <v>0.41180555555555548</v>
      </c>
      <c r="T65" s="31">
        <v>0.4902777777777777</v>
      </c>
      <c r="U65" s="143">
        <f t="shared" si="48"/>
        <v>4.9999999999999822</v>
      </c>
      <c r="V65" s="144">
        <f t="shared" si="47"/>
        <v>113</v>
      </c>
      <c r="W65" s="17"/>
      <c r="X65" s="17"/>
      <c r="Y65" s="17"/>
      <c r="Z65" s="17"/>
      <c r="AA65" s="610"/>
      <c r="AB65" s="610"/>
      <c r="AC65" s="155"/>
      <c r="AD65" s="19"/>
      <c r="AE65" s="15">
        <f t="shared" si="43"/>
        <v>-115.22123893805338</v>
      </c>
      <c r="AF65" s="142">
        <f t="shared" si="9"/>
        <v>0.95199115044247773</v>
      </c>
      <c r="AG65" s="619"/>
    </row>
    <row r="66" spans="1:33" ht="16.5" customHeight="1">
      <c r="A66" s="618" t="s">
        <v>496</v>
      </c>
      <c r="B66" s="33" t="s">
        <v>493</v>
      </c>
      <c r="C66" s="607"/>
      <c r="D66" s="608"/>
      <c r="E66" s="149"/>
      <c r="F66" s="34"/>
      <c r="G66" s="13"/>
      <c r="H66" s="146"/>
      <c r="I66" s="23">
        <v>16.333333333333332</v>
      </c>
      <c r="J66" s="30">
        <v>2400</v>
      </c>
      <c r="K66" s="13">
        <f t="shared" si="1"/>
        <v>146.9387755102041</v>
      </c>
      <c r="L66" s="23">
        <v>16.333333333333332</v>
      </c>
      <c r="M66" s="14">
        <f>AVERAGE(M60:M65)</f>
        <v>2292.516970748457</v>
      </c>
      <c r="N66" s="13">
        <f t="shared" si="3"/>
        <v>140.3581818825586</v>
      </c>
      <c r="O66" s="15">
        <f t="shared" si="4"/>
        <v>0</v>
      </c>
      <c r="P66" s="16">
        <f t="shared" si="5"/>
        <v>-6.5805936276454986</v>
      </c>
      <c r="Q66" s="142">
        <f t="shared" si="6"/>
        <v>0.95521540447852371</v>
      </c>
      <c r="R66" s="619"/>
      <c r="S66" s="31"/>
      <c r="T66" s="31"/>
      <c r="U66" s="13"/>
      <c r="V66" s="144"/>
      <c r="W66" s="13"/>
      <c r="X66" s="13"/>
      <c r="Y66" s="24">
        <f>SUM(Y60:Y65)</f>
        <v>0</v>
      </c>
      <c r="Z66" s="24">
        <f>SUM(Z60:Z65)</f>
        <v>0</v>
      </c>
      <c r="AA66" s="609"/>
      <c r="AB66" s="609"/>
      <c r="AC66" s="24">
        <v>6</v>
      </c>
      <c r="AD66" s="24">
        <f>SUM(AD60:AD65)</f>
        <v>0</v>
      </c>
      <c r="AE66" s="15">
        <f t="shared" si="43"/>
        <v>-107.48302925154303</v>
      </c>
      <c r="AF66" s="142">
        <f t="shared" si="9"/>
        <v>0.95521540447852371</v>
      </c>
      <c r="AG66" s="619"/>
    </row>
    <row r="67" spans="1:33">
      <c r="D67" s="25"/>
      <c r="E67" s="25"/>
    </row>
  </sheetData>
  <mergeCells count="181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13:A20"/>
    <mergeCell ref="C13:D13"/>
    <mergeCell ref="R13:R20"/>
    <mergeCell ref="AA13:AB13"/>
    <mergeCell ref="C27:D27"/>
    <mergeCell ref="AA27:AB27"/>
    <mergeCell ref="AG13:AG20"/>
    <mergeCell ref="C14:D14"/>
    <mergeCell ref="AA14:AB14"/>
    <mergeCell ref="C15:D15"/>
    <mergeCell ref="AA15:AB15"/>
    <mergeCell ref="C16:D16"/>
    <mergeCell ref="C20:D20"/>
    <mergeCell ref="AA20:AB20"/>
    <mergeCell ref="A28:A33"/>
    <mergeCell ref="C28:D28"/>
    <mergeCell ref="R28:R33"/>
    <mergeCell ref="AA28:AB28"/>
    <mergeCell ref="AA33:AB3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21:A27"/>
    <mergeCell ref="C21:D21"/>
    <mergeCell ref="R21:R27"/>
    <mergeCell ref="AA21:AB21"/>
    <mergeCell ref="AA26:AB26"/>
    <mergeCell ref="AG34:AG40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7:AB37"/>
    <mergeCell ref="C38:D38"/>
    <mergeCell ref="AA38:AB38"/>
    <mergeCell ref="C39:D39"/>
    <mergeCell ref="AA39:AB39"/>
    <mergeCell ref="C40:D40"/>
    <mergeCell ref="AA40:AB40"/>
    <mergeCell ref="A34:A40"/>
    <mergeCell ref="C34:D34"/>
    <mergeCell ref="R34:R40"/>
    <mergeCell ref="AA34:AB34"/>
    <mergeCell ref="AG45:AG53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AA48:AB48"/>
    <mergeCell ref="AA49:AB49"/>
    <mergeCell ref="C50:D50"/>
    <mergeCell ref="AA50:AB50"/>
    <mergeCell ref="C51:D51"/>
    <mergeCell ref="AA51:AB51"/>
    <mergeCell ref="AA44:AB44"/>
    <mergeCell ref="A45:A53"/>
    <mergeCell ref="C45:D45"/>
    <mergeCell ref="R45:R53"/>
    <mergeCell ref="AA45:AB45"/>
    <mergeCell ref="C52:D52"/>
    <mergeCell ref="AA52:AB52"/>
    <mergeCell ref="C53:D53"/>
    <mergeCell ref="AA53:AB53"/>
    <mergeCell ref="AG60:AG66"/>
    <mergeCell ref="C61:D61"/>
    <mergeCell ref="AA61:AB61"/>
    <mergeCell ref="C62:D62"/>
    <mergeCell ref="AA62:AB62"/>
    <mergeCell ref="C63:D63"/>
    <mergeCell ref="AG54:AG59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AA63:AB63"/>
    <mergeCell ref="C64:D64"/>
    <mergeCell ref="AA64:AB64"/>
    <mergeCell ref="C65:D65"/>
    <mergeCell ref="AA65:AB65"/>
    <mergeCell ref="C66:D66"/>
    <mergeCell ref="AA66:AB66"/>
    <mergeCell ref="A60:A66"/>
    <mergeCell ref="C60:D60"/>
    <mergeCell ref="R60:R66"/>
    <mergeCell ref="AA60:AB60"/>
    <mergeCell ref="A54:A59"/>
    <mergeCell ref="C54:D54"/>
    <mergeCell ref="R54:R59"/>
    <mergeCell ref="AA54:AB54"/>
    <mergeCell ref="AA59:AB59"/>
  </mergeCells>
  <phoneticPr fontId="3" type="noConversion"/>
  <conditionalFormatting sqref="O53:O54 O57:O66 O5:O9 O12:O14 O20:O50">
    <cfRule type="cellIs" dxfId="377" priority="51" operator="greaterThan">
      <formula>0</formula>
    </cfRule>
  </conditionalFormatting>
  <conditionalFormatting sqref="P5:P7 P57:P58 AE57:AE58 P60:P65 P28:P32 P54 P9 P12:P14 P21:P26 P45:P50 P34:P43 AE5:AE54 AE60:AE66">
    <cfRule type="cellIs" dxfId="376" priority="55" operator="lessThan">
      <formula>0</formula>
    </cfRule>
  </conditionalFormatting>
  <conditionalFormatting sqref="AF57:AF58 Q53:Q54 Q57:Q66 Q5:Q9 Q12:Q14 Q20:Q50 AF5:AF54 AF60:AF66">
    <cfRule type="cellIs" dxfId="375" priority="52" operator="greaterThan">
      <formula>1</formula>
    </cfRule>
    <cfRule type="cellIs" dxfId="374" priority="53" operator="lessThan">
      <formula>0.8</formula>
    </cfRule>
  </conditionalFormatting>
  <conditionalFormatting sqref="AG13:AG14 R13:R14 AG57 AG53:AG54 R53:R54 R57:R66 AG5:AG9 R5:R9 AG20:AG50 R20:R50">
    <cfRule type="cellIs" dxfId="373" priority="57" operator="lessThan">
      <formula>0.8</formula>
    </cfRule>
  </conditionalFormatting>
  <conditionalFormatting sqref="AG41">
    <cfRule type="cellIs" dxfId="372" priority="59" operator="lessThan">
      <formula>0.8</formula>
    </cfRule>
  </conditionalFormatting>
  <conditionalFormatting sqref="AG21:AG26">
    <cfRule type="cellIs" dxfId="371" priority="56" operator="lessThan">
      <formula>0.8</formula>
    </cfRule>
  </conditionalFormatting>
  <conditionalFormatting sqref="AG28">
    <cfRule type="cellIs" dxfId="370" priority="58" operator="lessThan">
      <formula>0.8</formula>
    </cfRule>
  </conditionalFormatting>
  <conditionalFormatting sqref="AG34:AG39">
    <cfRule type="cellIs" dxfId="369" priority="54" operator="lessThan">
      <formula>0.8</formula>
    </cfRule>
  </conditionalFormatting>
  <conditionalFormatting sqref="AE59">
    <cfRule type="cellIs" dxfId="368" priority="50" operator="lessThan">
      <formula>0</formula>
    </cfRule>
  </conditionalFormatting>
  <conditionalFormatting sqref="AF59">
    <cfRule type="cellIs" dxfId="367" priority="48" operator="greaterThan">
      <formula>1</formula>
    </cfRule>
    <cfRule type="cellIs" dxfId="366" priority="49" operator="lessThan">
      <formula>0.8</formula>
    </cfRule>
  </conditionalFormatting>
  <conditionalFormatting sqref="O15:O16">
    <cfRule type="cellIs" dxfId="365" priority="43" operator="greaterThan">
      <formula>0</formula>
    </cfRule>
  </conditionalFormatting>
  <conditionalFormatting sqref="P15:P16">
    <cfRule type="cellIs" dxfId="364" priority="46" operator="lessThan">
      <formula>0</formula>
    </cfRule>
  </conditionalFormatting>
  <conditionalFormatting sqref="Q15:Q16">
    <cfRule type="cellIs" dxfId="363" priority="44" operator="greaterThan">
      <formula>1</formula>
    </cfRule>
    <cfRule type="cellIs" dxfId="362" priority="45" operator="lessThan">
      <formula>0.8</formula>
    </cfRule>
  </conditionalFormatting>
  <conditionalFormatting sqref="R15:R16 AG15:AG16">
    <cfRule type="cellIs" dxfId="361" priority="47" operator="lessThan">
      <formula>0.8</formula>
    </cfRule>
  </conditionalFormatting>
  <conditionalFormatting sqref="O10:O11">
    <cfRule type="cellIs" dxfId="360" priority="39" operator="greaterThan">
      <formula>0</formula>
    </cfRule>
  </conditionalFormatting>
  <conditionalFormatting sqref="P10:P11">
    <cfRule type="cellIs" dxfId="359" priority="42" operator="lessThan">
      <formula>0</formula>
    </cfRule>
  </conditionalFormatting>
  <conditionalFormatting sqref="Q10:Q11">
    <cfRule type="cellIs" dxfId="358" priority="40" operator="greaterThan">
      <formula>1</formula>
    </cfRule>
    <cfRule type="cellIs" dxfId="357" priority="41" operator="lessThan">
      <formula>0.8</formula>
    </cfRule>
  </conditionalFormatting>
  <conditionalFormatting sqref="O51">
    <cfRule type="cellIs" dxfId="356" priority="34" operator="greaterThan">
      <formula>0</formula>
    </cfRule>
  </conditionalFormatting>
  <conditionalFormatting sqref="P51">
    <cfRule type="cellIs" dxfId="355" priority="37" operator="lessThan">
      <formula>0</formula>
    </cfRule>
  </conditionalFormatting>
  <conditionalFormatting sqref="Q51">
    <cfRule type="cellIs" dxfId="354" priority="35" operator="greaterThan">
      <formula>1</formula>
    </cfRule>
    <cfRule type="cellIs" dxfId="353" priority="36" operator="lessThan">
      <formula>0.8</formula>
    </cfRule>
  </conditionalFormatting>
  <conditionalFormatting sqref="R51 AG51">
    <cfRule type="cellIs" dxfId="352" priority="38" operator="lessThan">
      <formula>0.8</formula>
    </cfRule>
  </conditionalFormatting>
  <conditionalFormatting sqref="O56">
    <cfRule type="cellIs" dxfId="351" priority="29" operator="greaterThan">
      <formula>0</formula>
    </cfRule>
  </conditionalFormatting>
  <conditionalFormatting sqref="P56 AE56">
    <cfRule type="cellIs" dxfId="350" priority="32" operator="lessThan">
      <formula>0</formula>
    </cfRule>
  </conditionalFormatting>
  <conditionalFormatting sqref="Q56 AF56">
    <cfRule type="cellIs" dxfId="349" priority="30" operator="greaterThan">
      <formula>1</formula>
    </cfRule>
    <cfRule type="cellIs" dxfId="348" priority="31" operator="lessThan">
      <formula>0.8</formula>
    </cfRule>
  </conditionalFormatting>
  <conditionalFormatting sqref="R56 AG56">
    <cfRule type="cellIs" dxfId="347" priority="33" operator="lessThan">
      <formula>0.8</formula>
    </cfRule>
  </conditionalFormatting>
  <conditionalFormatting sqref="O17:O18">
    <cfRule type="cellIs" dxfId="346" priority="24" operator="greaterThan">
      <formula>0</formula>
    </cfRule>
  </conditionalFormatting>
  <conditionalFormatting sqref="P17:P18">
    <cfRule type="cellIs" dxfId="345" priority="27" operator="lessThan">
      <formula>0</formula>
    </cfRule>
  </conditionalFormatting>
  <conditionalFormatting sqref="Q17:Q18">
    <cfRule type="cellIs" dxfId="344" priority="25" operator="greaterThan">
      <formula>1</formula>
    </cfRule>
    <cfRule type="cellIs" dxfId="343" priority="26" operator="lessThan">
      <formula>0.8</formula>
    </cfRule>
  </conditionalFormatting>
  <conditionalFormatting sqref="R17:R18 AG17:AG18">
    <cfRule type="cellIs" dxfId="342" priority="28" operator="lessThan">
      <formula>0.8</formula>
    </cfRule>
  </conditionalFormatting>
  <conditionalFormatting sqref="O52">
    <cfRule type="cellIs" dxfId="341" priority="19" operator="greaterThan">
      <formula>0</formula>
    </cfRule>
  </conditionalFormatting>
  <conditionalFormatting sqref="P52">
    <cfRule type="cellIs" dxfId="340" priority="22" operator="lessThan">
      <formula>0</formula>
    </cfRule>
  </conditionalFormatting>
  <conditionalFormatting sqref="Q52">
    <cfRule type="cellIs" dxfId="339" priority="20" operator="greaterThan">
      <formula>1</formula>
    </cfRule>
    <cfRule type="cellIs" dxfId="338" priority="21" operator="lessThan">
      <formula>0.8</formula>
    </cfRule>
  </conditionalFormatting>
  <conditionalFormatting sqref="AG52 R52">
    <cfRule type="cellIs" dxfId="337" priority="23" operator="lessThan">
      <formula>0.8</formula>
    </cfRule>
  </conditionalFormatting>
  <conditionalFormatting sqref="O55">
    <cfRule type="cellIs" dxfId="336" priority="14" operator="greaterThan">
      <formula>0</formula>
    </cfRule>
  </conditionalFormatting>
  <conditionalFormatting sqref="P55 AE55">
    <cfRule type="cellIs" dxfId="335" priority="17" operator="lessThan">
      <formula>0</formula>
    </cfRule>
  </conditionalFormatting>
  <conditionalFormatting sqref="Q55 AF55">
    <cfRule type="cellIs" dxfId="334" priority="15" operator="greaterThan">
      <formula>1</formula>
    </cfRule>
    <cfRule type="cellIs" dxfId="333" priority="16" operator="lessThan">
      <formula>0.8</formula>
    </cfRule>
  </conditionalFormatting>
  <conditionalFormatting sqref="R55 AG55">
    <cfRule type="cellIs" dxfId="332" priority="18" operator="lessThan">
      <formula>0.8</formula>
    </cfRule>
  </conditionalFormatting>
  <conditionalFormatting sqref="O19">
    <cfRule type="cellIs" dxfId="331" priority="9" operator="greaterThan">
      <formula>0</formula>
    </cfRule>
  </conditionalFormatting>
  <conditionalFormatting sqref="P19">
    <cfRule type="cellIs" dxfId="330" priority="12" operator="lessThan">
      <formula>0</formula>
    </cfRule>
  </conditionalFormatting>
  <conditionalFormatting sqref="Q19">
    <cfRule type="cellIs" dxfId="329" priority="10" operator="greaterThan">
      <formula>1</formula>
    </cfRule>
    <cfRule type="cellIs" dxfId="328" priority="11" operator="lessThan">
      <formula>0.8</formula>
    </cfRule>
  </conditionalFormatting>
  <conditionalFormatting sqref="AG19 R19">
    <cfRule type="cellIs" dxfId="327" priority="13" operator="lessThan">
      <formula>0.8</formula>
    </cfRule>
  </conditionalFormatting>
  <conditionalFormatting sqref="P8">
    <cfRule type="cellIs" dxfId="326" priority="8" operator="lessThan">
      <formula>0</formula>
    </cfRule>
  </conditionalFormatting>
  <conditionalFormatting sqref="P20">
    <cfRule type="cellIs" dxfId="325" priority="7" operator="lessThan">
      <formula>0</formula>
    </cfRule>
  </conditionalFormatting>
  <conditionalFormatting sqref="P27">
    <cfRule type="cellIs" dxfId="324" priority="6" operator="lessThan">
      <formula>0</formula>
    </cfRule>
  </conditionalFormatting>
  <conditionalFormatting sqref="P33">
    <cfRule type="cellIs" dxfId="323" priority="5" operator="lessThan">
      <formula>0</formula>
    </cfRule>
  </conditionalFormatting>
  <conditionalFormatting sqref="P44">
    <cfRule type="cellIs" dxfId="322" priority="4" operator="lessThan">
      <formula>0</formula>
    </cfRule>
  </conditionalFormatting>
  <conditionalFormatting sqref="P53">
    <cfRule type="cellIs" dxfId="321" priority="3" operator="lessThan">
      <formula>0</formula>
    </cfRule>
  </conditionalFormatting>
  <conditionalFormatting sqref="P59">
    <cfRule type="cellIs" dxfId="320" priority="2" operator="lessThan">
      <formula>0</formula>
    </cfRule>
  </conditionalFormatting>
  <conditionalFormatting sqref="P66">
    <cfRule type="cellIs" dxfId="319" priority="1" operator="lessThan">
      <formula>0</formula>
    </cfRule>
  </conditionalFormatting>
  <dataValidations count="1">
    <dataValidation type="list" allowBlank="1" showInputMessage="1" showErrorMessage="1" sqref="AB8 AA5:AB7 AB58 AA8:AA58 AB10:AB54 AA59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4" zoomScale="85" zoomScaleNormal="85" workbookViewId="0">
      <selection activeCell="J14" sqref="J14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305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306</v>
      </c>
      <c r="C3" s="596" t="str">
        <f>TEXT('0903 4度C'!A2,"yyyy.mm.ddaaaa")</f>
        <v>2026.09.03星期四</v>
      </c>
      <c r="D3" s="597"/>
      <c r="E3" s="39" t="s">
        <v>88</v>
      </c>
      <c r="F3" s="598">
        <f>'0903 4度C'!D1</f>
        <v>159880</v>
      </c>
      <c r="G3" s="599"/>
      <c r="H3" s="39" t="s">
        <v>307</v>
      </c>
      <c r="I3" s="600">
        <f>'0903 4度C'!F1</f>
        <v>5459547.5700000012</v>
      </c>
      <c r="J3" s="601"/>
      <c r="K3" s="40"/>
      <c r="L3" s="41"/>
      <c r="M3" s="42"/>
      <c r="N3" s="42"/>
    </row>
    <row r="4" spans="2:17" ht="28.5" customHeight="1">
      <c r="B4" s="602" t="s">
        <v>206</v>
      </c>
      <c r="C4" s="588" t="s">
        <v>91</v>
      </c>
      <c r="D4" s="589"/>
      <c r="E4" s="605" t="s">
        <v>92</v>
      </c>
      <c r="F4" s="606"/>
      <c r="G4" s="605" t="s">
        <v>308</v>
      </c>
      <c r="H4" s="606"/>
      <c r="I4" s="605" t="s">
        <v>309</v>
      </c>
      <c r="J4" s="606"/>
      <c r="K4" s="586" t="s">
        <v>310</v>
      </c>
      <c r="L4" s="587"/>
      <c r="M4" s="587" t="s">
        <v>311</v>
      </c>
      <c r="N4" s="587"/>
    </row>
    <row r="5" spans="2:17" ht="28.5" customHeight="1">
      <c r="B5" s="603"/>
      <c r="C5" s="588" t="s">
        <v>312</v>
      </c>
      <c r="D5" s="589"/>
      <c r="E5" s="588" t="s">
        <v>98</v>
      </c>
      <c r="F5" s="589"/>
      <c r="G5" s="590" t="s">
        <v>313</v>
      </c>
      <c r="H5" s="591"/>
      <c r="I5" s="592" t="s">
        <v>314</v>
      </c>
      <c r="J5" s="593"/>
      <c r="K5" s="43" t="s">
        <v>315</v>
      </c>
      <c r="L5" s="44" t="s">
        <v>316</v>
      </c>
      <c r="M5" s="43" t="s">
        <v>315</v>
      </c>
      <c r="N5" s="44" t="s">
        <v>317</v>
      </c>
    </row>
    <row r="6" spans="2:17" ht="28.5" customHeight="1">
      <c r="B6" s="603"/>
      <c r="C6" s="588" t="s">
        <v>56</v>
      </c>
      <c r="D6" s="589"/>
      <c r="E6" s="580">
        <f>AVERAGE(D13:M13)</f>
        <v>154.85801596352934</v>
      </c>
      <c r="F6" s="581">
        <f>AVERAGE(D31:O31,D13:J13)</f>
        <v>162.36397660310703</v>
      </c>
      <c r="G6" s="582">
        <f>AVERAGE(D13:J13)</f>
        <v>162.36397660310703</v>
      </c>
      <c r="H6" s="583"/>
      <c r="I6" s="582">
        <f>AVERAGE(K13:M13)</f>
        <v>137.34410780451461</v>
      </c>
      <c r="J6" s="583"/>
      <c r="K6" s="584">
        <f>'0903 4度C'!Y2</f>
        <v>0</v>
      </c>
      <c r="L6" s="569">
        <f>'0903 4度C'!Z2</f>
        <v>0</v>
      </c>
      <c r="M6" s="585">
        <f>'0903 4度C'!AC2</f>
        <v>57</v>
      </c>
      <c r="N6" s="569">
        <f>'0903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148.64462061348232</v>
      </c>
      <c r="F7" s="573">
        <f>AVERAGE(D32:O32,D14:J14)</f>
        <v>155.97182997017009</v>
      </c>
      <c r="G7" s="574">
        <f>AVERAGE(D14:J14)</f>
        <v>155.97182997017009</v>
      </c>
      <c r="H7" s="575"/>
      <c r="I7" s="574">
        <f>AVERAGE(K14:M14)</f>
        <v>131.54779878121084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0.95977691002164855</v>
      </c>
      <c r="F8" s="577">
        <f>AVERAGE(D15:J15,D33:O33)</f>
        <v>0.96069192281973026</v>
      </c>
      <c r="G8" s="578">
        <f>AVERAGE(D15:J15)</f>
        <v>0.96069192281973026</v>
      </c>
      <c r="H8" s="579"/>
      <c r="I8" s="578">
        <f>AVERAGE(K15:M15)</f>
        <v>0.95764188015945795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318</v>
      </c>
      <c r="N9" s="42"/>
      <c r="O9" s="42"/>
      <c r="P9" s="42"/>
      <c r="Q9" s="42"/>
    </row>
    <row r="10" spans="2:17" ht="30" customHeight="1">
      <c r="B10" s="552" t="s">
        <v>319</v>
      </c>
      <c r="C10" s="553"/>
      <c r="D10" s="554" t="s">
        <v>320</v>
      </c>
      <c r="E10" s="555"/>
      <c r="F10" s="555"/>
      <c r="G10" s="555"/>
      <c r="H10" s="555"/>
      <c r="I10" s="555"/>
      <c r="J10" s="556"/>
      <c r="K10" s="557" t="s">
        <v>321</v>
      </c>
      <c r="L10" s="558"/>
      <c r="M10" s="559"/>
      <c r="P10" s="48"/>
      <c r="Q10" s="48"/>
    </row>
    <row r="11" spans="2:17" ht="17.25" customHeight="1">
      <c r="B11" s="560" t="s">
        <v>322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323</v>
      </c>
      <c r="C13" s="55" t="s">
        <v>324</v>
      </c>
      <c r="D13" s="56">
        <f>SUMIFS('0903 4度C'!$K:$K,'0903 4度C'!$A:$A,"新豐6線",'0903 4度C'!$B:$B,"平均")</f>
        <v>130.43478260869566</v>
      </c>
      <c r="E13" s="57">
        <f>SUMIFS('0903 4度C'!$K:$K,'0903 4度C'!$A:$A,"新豐2線",'0903 4度C'!$B:$B,"平均")</f>
        <v>81.818181818181827</v>
      </c>
      <c r="F13" s="58">
        <f>SUMIFS('0903 4度C'!$K:$K,'0903 4度C'!$A:$A,"新豐5線",'0903 4度C'!$B:$B,"平均")</f>
        <v>104.16666666666667</v>
      </c>
      <c r="G13" s="58">
        <f>SUMIFS('0903 4度C'!$K:$K,'0903 4度C'!$A:$A,"新豐7線",'0903 4度C'!$B:$B,"平均")</f>
        <v>125</v>
      </c>
      <c r="H13" s="58">
        <f>SUMIFS('0903 4度C'!$K:$K,'0903 4度C'!$A:$A,"新豐3線",'0903 4度C'!$B:$B,"平均")</f>
        <v>300</v>
      </c>
      <c r="I13" s="58">
        <f>SUMIFS('0903 4度C'!$K:$K,'0903 4度C'!$A:$A,"新豐1線",'0903 4度C'!$B:$B,"平均")</f>
        <v>106.66666666666667</v>
      </c>
      <c r="J13" s="59">
        <f>SUMIFS('0903 4度C'!$K:$K,'0903 4度C'!$A:$A,"新豐10線",'0903 4度C'!$B:$B,"平均")</f>
        <v>288.46153846153845</v>
      </c>
      <c r="K13" s="60">
        <f>SUMIFS('0903 4度C'!$K:$K,'0903 4度C'!$A:$A,"新豐8線",'0903 4度C'!$B:$B,"平均")</f>
        <v>125.49019607843138</v>
      </c>
      <c r="L13" s="61">
        <f>SUMIFS('0903 4度C'!$K:$K,'0903 4度C'!$A:$A,"新豐9線",'0903 4度C'!$B:$B,"平均")</f>
        <v>137.70491803278691</v>
      </c>
      <c r="M13" s="59">
        <f>SUMIFS('0903 4度C'!$K:$K,'0903 4度C'!$A:$A,"新豐4線",'0903 4度C'!$B:$B,"平均")</f>
        <v>148.83720930232559</v>
      </c>
    </row>
    <row r="14" spans="2:17" ht="39.6" customHeight="1">
      <c r="B14" s="565"/>
      <c r="C14" s="62" t="s">
        <v>325</v>
      </c>
      <c r="D14" s="63">
        <f>SUMIFS('0903 4度C'!$N:$N,'0903 4度C'!$A:$A,"新豐6線",'0903 4度C'!$B:$B,"平均")</f>
        <v>125.79905005480455</v>
      </c>
      <c r="E14" s="64">
        <f>SUMIFS('0903 4度C'!$N:$N,'0903 4度C'!$A:$A,"新豐2線",'0903 4度C'!$B:$B,"平均")</f>
        <v>78.120186917742302</v>
      </c>
      <c r="F14" s="64">
        <f>SUMIFS('0903 4度C'!$N:$N,'0903 4度C'!$A:$A,"新豐5線",'0903 4度C'!$B:$B,"平均")</f>
        <v>99.631925511860686</v>
      </c>
      <c r="G14" s="64">
        <f>SUMIFS('0903 4度C'!$N:$N,'0903 4度C'!$A:$A,"新豐7線",'0903 4度C'!$B:$B,"平均")</f>
        <v>120.59232106658203</v>
      </c>
      <c r="H14" s="64">
        <f>SUMIFS('0903 4度C'!$N:$N,'0903 4度C'!$A:$A,"新豐3線",'0903 4度C'!$B:$B,"平均")</f>
        <v>286.85054181929178</v>
      </c>
      <c r="I14" s="64">
        <f>SUMIFS('0903 4度C'!$N:$N,'0903 4度C'!$A:$A,"新豐1線",'0903 4度C'!$B:$B,"平均")</f>
        <v>102.91754232966711</v>
      </c>
      <c r="J14" s="65">
        <f>SUMIFS('0903 4度C'!$N:$N,'0903 4度C'!$A:$A,"新豐10線",'0903 4度C'!$B:$B,"平均")</f>
        <v>277.89124209124213</v>
      </c>
      <c r="K14" s="66">
        <f>SUMIFS('0903 4度C'!$N:$N,'0903 4度C'!$A:$A,"新豐8線",'0903 4度C'!$B:$B,"平均")</f>
        <v>119.90652768811685</v>
      </c>
      <c r="L14" s="67">
        <f>SUMIFS('0903 4度C'!$N:$N,'0903 4度C'!$A:$A,"新豐9線",'0903 4度C'!$B:$B,"平均")</f>
        <v>131.69756890944799</v>
      </c>
      <c r="M14" s="65">
        <f>SUMIFS('0903 4度C'!$N:$N,'0903 4度C'!$A:$A,"新豐4線",'0903 4度C'!$B:$B,"平均")</f>
        <v>143.03929974606766</v>
      </c>
    </row>
    <row r="15" spans="2:17" ht="40.15" customHeight="1">
      <c r="B15" s="566"/>
      <c r="C15" s="68" t="s">
        <v>326</v>
      </c>
      <c r="D15" s="69">
        <f t="shared" ref="D15:M15" si="0">D14/D13</f>
        <v>0.9644593837535016</v>
      </c>
      <c r="E15" s="70">
        <f t="shared" si="0"/>
        <v>0.95480228455018357</v>
      </c>
      <c r="F15" s="70">
        <f t="shared" si="0"/>
        <v>0.95646648491386255</v>
      </c>
      <c r="G15" s="70">
        <f t="shared" si="0"/>
        <v>0.96473856853265627</v>
      </c>
      <c r="H15" s="70">
        <f t="shared" si="0"/>
        <v>0.95616847273097261</v>
      </c>
      <c r="I15" s="70">
        <f t="shared" si="0"/>
        <v>0.96485195934062917</v>
      </c>
      <c r="J15" s="71">
        <f t="shared" si="0"/>
        <v>0.96335630591630605</v>
      </c>
      <c r="K15" s="69">
        <f t="shared" si="0"/>
        <v>0.95550514251468111</v>
      </c>
      <c r="L15" s="70">
        <f t="shared" si="0"/>
        <v>0.95637520279480082</v>
      </c>
      <c r="M15" s="71">
        <f t="shared" si="0"/>
        <v>0.96104529516889203</v>
      </c>
    </row>
    <row r="16" spans="2:17" ht="17.25" customHeight="1">
      <c r="B16" s="567" t="s">
        <v>327</v>
      </c>
      <c r="C16" s="72" t="s">
        <v>328</v>
      </c>
      <c r="D16" s="73">
        <f>VLOOKUP("新豐6線",'0903 4度C'!$A:$T,19,0)</f>
        <v>0.70833333333333337</v>
      </c>
      <c r="E16" s="74">
        <f>VLOOKUP("新豐2線",'0903 4度C'!$A:$T,19,0)</f>
        <v>8.3333333333333329E-2</v>
      </c>
      <c r="F16" s="74">
        <f>VLOOKUP("新豐5線",'0903 4度C'!$A:$T,19,0)</f>
        <v>0.20833333333333334</v>
      </c>
      <c r="G16" s="74">
        <f>VLOOKUP("新豐7線",'0903 4度C'!$A:$T,19,0)</f>
        <v>0.20833333333333334</v>
      </c>
      <c r="H16" s="74">
        <f>VLOOKUP("新豐3線",'0903 4度C'!$A:$T,19,0)</f>
        <v>0.20833333333333334</v>
      </c>
      <c r="I16" s="74">
        <f>VLOOKUP("新豐1線",'0903 4度C'!$A:$T,19,0)</f>
        <v>0.20833333333333334</v>
      </c>
      <c r="J16" s="75">
        <f>VLOOKUP("新豐10線",'0903 4度C'!$A:$T,19,0)</f>
        <v>0.20833333333333334</v>
      </c>
      <c r="K16" s="76">
        <f>VLOOKUP("新豐8線",'0903 4度C'!$A:$T,19,0)</f>
        <v>8.3333333333333329E-2</v>
      </c>
      <c r="L16" s="77">
        <f>VLOOKUP("新豐9線",'0903 4度C'!$A:$T,19,0)</f>
        <v>8.3333333333333329E-2</v>
      </c>
      <c r="M16" s="78">
        <f>VLOOKUP("新豐4線",'0903 4度C'!$A:$T,19,0)</f>
        <v>8.3333333333333329E-2</v>
      </c>
    </row>
    <row r="17" spans="2:13" ht="17.25" customHeight="1">
      <c r="B17" s="568"/>
      <c r="C17" s="72" t="s">
        <v>329</v>
      </c>
      <c r="D17" s="76">
        <f>LOOKUP(2,1/(('0903 4度C'!$A:$A="新豐6線")*('0903 4度C'!$T:$T&lt;&gt;"")),'0903 4度C'!$T:$T)</f>
        <v>0.8208333333333333</v>
      </c>
      <c r="E17" s="74">
        <f>LOOKUP(2,1/(('0903 4度C'!$A:$A="新豐2線")*('0903 4度C'!$T:$T&lt;&gt;"")),'0903 4度C'!$T:$T)</f>
        <v>0.44930555555555551</v>
      </c>
      <c r="F17" s="74">
        <f>LOOKUP(2,1/(('0903 4度C'!$A:$A="新豐5線")*('0903 4度C'!$T:$T&lt;&gt;"")),'0903 4度C'!$T:$T)</f>
        <v>0.81527777777777788</v>
      </c>
      <c r="G17" s="74">
        <f>LOOKUP(2,1/(('0903 4度C'!$A:$A="新豐7線")*('0903 4度C'!$T:$T&lt;&gt;"")),'0903 4度C'!$T:$T)</f>
        <v>0.80902777777777779</v>
      </c>
      <c r="H17" s="74">
        <f>LOOKUP(2,1/(('0903 4度C'!$A:$A="新豐3線")*('0903 4度C'!$T:$T&lt;&gt;"")),'0903 4度C'!$T:$T)</f>
        <v>0.42083333333333334</v>
      </c>
      <c r="I17" s="74">
        <f>LOOKUP(2,1/(('0903 4度C'!$A:$A="新豐1線")*('0903 4度C'!$T:$T&lt;&gt;"")),'0903 4度C'!$T:$T)</f>
        <v>0.85416666666666663</v>
      </c>
      <c r="J17" s="75">
        <f>LOOKUP(2,1/(('0903 4度C'!$A:$A="新豐10線")*('0903 4度C'!$T:$T&lt;&gt;"")),'0903 4度C'!$T:$T)</f>
        <v>0.41527777777777769</v>
      </c>
      <c r="K17" s="73">
        <f>LOOKUP(2,1/(('0903 4度C'!$A:$A="新豐8線")*('0903 4度C'!$T:$T&lt;&gt;"")),'0903 4度C'!$T:$T)</f>
        <v>0.70138888888888884</v>
      </c>
      <c r="L17" s="74">
        <f>LOOKUP(2,1/(('0903 4度C'!$A:$A="新豐9線")*('0903 4度C'!$T:$T&lt;&gt;"")),'0903 4度C'!$T:$T)</f>
        <v>0.60624999999999984</v>
      </c>
      <c r="M17" s="75">
        <f>LOOKUP(2,1/(('0903 4度C'!$A:$A="新豐4線")*('0903 4度C'!$T:$T&lt;&gt;"")),'0903 4度C'!$T:$T)</f>
        <v>0.66874999999999996</v>
      </c>
    </row>
    <row r="18" spans="2:13" ht="17.25" customHeight="1">
      <c r="B18" s="546" t="s">
        <v>330</v>
      </c>
      <c r="C18" s="79" t="s">
        <v>331</v>
      </c>
      <c r="D18" s="80">
        <f>SUMIFS('0903 4度C'!$Y:$Y,'0903 4度C'!$A:$A,"新豐6線",'0903 4度C'!$B:$B,"平均")</f>
        <v>0</v>
      </c>
      <c r="E18" s="81">
        <f>SUMIFS('0903 4度C'!$Y:$Y,'0903 4度C'!$A:$A,"新豐2線",'0903 4度C'!$B:$B,"平均")</f>
        <v>0</v>
      </c>
      <c r="F18" s="81">
        <f>SUMIFS('0903 4度C'!$Y:$Y,'0903 4度C'!$A:$A,"新豐5線",'0903 4度C'!$B:$B,"平均")</f>
        <v>0</v>
      </c>
      <c r="G18" s="81">
        <f>SUMIFS('0903 4度C'!$Y:$Y,'0903 4度C'!$A:$A,"新豐7線",'0903 4度C'!$B:$B,"平均")</f>
        <v>0</v>
      </c>
      <c r="H18" s="81">
        <f>SUMIFS('0903 4度C'!$Y:$Y,'0903 4度C'!$A:$A,"新豐3線",'0903 4度C'!$B:$B,"平均")</f>
        <v>0</v>
      </c>
      <c r="I18" s="81">
        <f>SUMIFS('0903 4度C'!$Y:$Y,'0903 4度C'!$A:$A,"新豐1線",'0903 4度C'!$B:$B,"平均")</f>
        <v>0</v>
      </c>
      <c r="J18" s="82">
        <f>SUMIFS('0903 4度C'!$Y:$Y,'0903 4度C'!$A:$A,"新豐10線",'0903 4度C'!$B:$B,"平均")</f>
        <v>0</v>
      </c>
      <c r="K18" s="83">
        <f>SUMIFS('0903 4度C'!$Y:$Y,'0903 4度C'!$A:$A,"新豐8線",'0903 4度C'!$B:$B,"平均")</f>
        <v>0</v>
      </c>
      <c r="L18" s="81">
        <f>SUMIFS('0903 4度C'!$Y:$Y,'0903 4度C'!$A:$A,"新豐9線",'0903 4度C'!$B:$B,"平均")</f>
        <v>0</v>
      </c>
      <c r="M18" s="82">
        <f>SUMIFS('0903 4度C'!$Y:$Y,'0903 4度C'!$A:$A,"新豐4線",'0903 4度C'!$B:$B,"平均")</f>
        <v>0</v>
      </c>
    </row>
    <row r="19" spans="2:13" ht="17.25" customHeight="1">
      <c r="B19" s="547"/>
      <c r="C19" s="79" t="s">
        <v>332</v>
      </c>
      <c r="D19" s="80">
        <f>SUMIFS('0903 4度C'!$Z:$Z,'0903 4度C'!$A:$A,"新豐6線",'0903 4度C'!$B:$B,"平均")</f>
        <v>0</v>
      </c>
      <c r="E19" s="81">
        <f>SUMIFS('0903 4度C'!$Z:$Z,'0903 4度C'!$A:$A,"新豐2線",'0903 4度C'!$B:$B,"平均")</f>
        <v>0</v>
      </c>
      <c r="F19" s="81">
        <f>SUMIFS('0903 4度C'!$Z:$Z,'0903 4度C'!$A:$A,"新豐5線",'0903 4度C'!$B:$B,"平均")</f>
        <v>0</v>
      </c>
      <c r="G19" s="81">
        <f>SUMIFS('0903 4度C'!$Z:$Z,'0903 4度C'!$A:$A,"新豐7線",'0903 4度C'!$B:$B,"平均")</f>
        <v>0</v>
      </c>
      <c r="H19" s="81">
        <f>SUMIFS('0903 4度C'!$Z:$Z,'0903 4度C'!$A:$A,"新豐3線",'0903 4度C'!$B:$B,"平均")</f>
        <v>0</v>
      </c>
      <c r="I19" s="81">
        <f>SUMIFS('0903 4度C'!$Z:$Z,'0903 4度C'!$A:$A,"新豐1線",'0903 4度C'!$B:$B,"平均")</f>
        <v>0</v>
      </c>
      <c r="J19" s="82">
        <f>SUMIFS('0903 4度C'!$Z:$Z,'0903 4度C'!$A:$A,"新豐10線",'0903 4度C'!$B:$B,"平均")</f>
        <v>0</v>
      </c>
      <c r="K19" s="83">
        <f>SUMIFS('0903 4度C'!$Z:$Z,'0903 4度C'!$A:$A,"新豐8線",'0903 4度C'!$B:$B,"平均")</f>
        <v>0</v>
      </c>
      <c r="L19" s="81">
        <f>SUMIFS('0903 4度C'!$Z:$Z,'0903 4度C'!$A:$A,"新豐9線",'0903 4度C'!$B:$B,"平均")</f>
        <v>0</v>
      </c>
      <c r="M19" s="82">
        <f>SUMIFS('0903 4度C'!$Z:$Z,'0903 4度C'!$A:$A,"新豐4線",'0903 4度C'!$B:$B,"平均")</f>
        <v>0</v>
      </c>
    </row>
    <row r="20" spans="2:13" ht="17.25" customHeight="1">
      <c r="B20" s="546" t="s">
        <v>333</v>
      </c>
      <c r="C20" s="79" t="s">
        <v>331</v>
      </c>
      <c r="D20" s="80">
        <f>SUMIFS('0903 4度C'!$AC:$AC,'0903 4度C'!$A:$A,"新豐6線",'0903 4度C'!$B:$B,"平均")</f>
        <v>3</v>
      </c>
      <c r="E20" s="81">
        <f>SUMIFS('0903 4度C'!$AC:$AC,'0903 4度C'!$A:$A,"新豐2線",'0903 4度C'!$B:$B,"平均")</f>
        <v>3</v>
      </c>
      <c r="F20" s="81">
        <f>SUMIFS('0903 4度C'!$AC:$AC,'0903 4度C'!$A:$A,"新豐5線",'0903 4度C'!$B:$B,"平均")</f>
        <v>7</v>
      </c>
      <c r="G20" s="81">
        <f>SUMIFS('0903 4度C'!$AC:$AC,'0903 4度C'!$A:$A,"新豐7線",'0903 4度C'!$B:$B,"平均")</f>
        <v>7</v>
      </c>
      <c r="H20" s="81">
        <f>SUMIFS('0903 4度C'!$AC:$AC,'0903 4度C'!$A:$A,"新豐3線",'0903 4度C'!$B:$B,"平均")</f>
        <v>3</v>
      </c>
      <c r="I20" s="81">
        <f>SUMIFS('0903 4度C'!$AC:$AC,'0903 4度C'!$A:$A,"新豐1線",'0903 4度C'!$B:$B,"平均")</f>
        <v>8</v>
      </c>
      <c r="J20" s="82">
        <f>SUMIFS('0903 4度C'!$AC:$AC,'0903 4度C'!$A:$A,"新豐10線",'0903 4度C'!$B:$B,"平均")</f>
        <v>5</v>
      </c>
      <c r="K20" s="83">
        <f>SUMIFS('0903 4度C'!$AC:$AC,'0903 4度C'!$A:$A,"新豐8線",'0903 4度C'!$B:$B,"平均")</f>
        <v>6</v>
      </c>
      <c r="L20" s="81">
        <f>SUMIFS('0903 4度C'!$AC:$AC,'0903 4度C'!$A:$A,"新豐9線",'0903 4度C'!$B:$B,"平均")</f>
        <v>7</v>
      </c>
      <c r="M20" s="82">
        <f>SUMIFS('0903 4度C'!$AC:$AC,'0903 4度C'!$A:$A,"新豐4線",'0903 4度C'!$B:$B,"平均")</f>
        <v>8</v>
      </c>
    </row>
    <row r="21" spans="2:13" ht="17.25" customHeight="1">
      <c r="B21" s="547"/>
      <c r="C21" s="79" t="s">
        <v>334</v>
      </c>
      <c r="D21" s="80">
        <f>SUMIFS('0903 4度C'!$AD:$AD,'0903 4度C'!$A:$A,"新豐6線",'0903 4度C'!$B:$B,"平均")</f>
        <v>0</v>
      </c>
      <c r="E21" s="81">
        <f>SUMIFS('0903 4度C'!$AD:$AD,'0903 4度C'!$A:$A,"新豐2線",'0903 4度C'!$B:$B,"平均")</f>
        <v>0</v>
      </c>
      <c r="F21" s="81">
        <f>SUMIFS('0903 4度C'!$AD:$AD,'0903 4度C'!$A:$A,"新豐5線",'0903 4度C'!$B:$B,"平均")</f>
        <v>0</v>
      </c>
      <c r="G21" s="81">
        <f>SUMIFS('0903 4度C'!$AD:$AD,'0903 4度C'!$A:$A,"新豐7線",'0903 4度C'!$B:$B,"平均")</f>
        <v>0</v>
      </c>
      <c r="H21" s="81">
        <f>SUMIFS('0903 4度C'!$AD:$AD,'0903 4度C'!$A:$A,"新豐3線",'0903 4度C'!$B:$B,"平均")</f>
        <v>0</v>
      </c>
      <c r="I21" s="81">
        <f>SUMIFS('0903 4度C'!$AD:$AD,'0903 4度C'!$A:$A,"新豐1線",'0903 4度C'!$B:$B,"平均")</f>
        <v>0</v>
      </c>
      <c r="J21" s="82">
        <f>SUMIFS('0903 4度C'!$AD:$AD,'0903 4度C'!$A:$A,"新豐10線",'0903 4度C'!$B:$B,"平均")</f>
        <v>0</v>
      </c>
      <c r="K21" s="83">
        <f>SUMIFS('0903 4度C'!$AD:$AD,'0903 4度C'!$A:$A,"新豐8線",'0903 4度C'!$B:$B,"平均")</f>
        <v>0</v>
      </c>
      <c r="L21" s="81">
        <f>SUMIFS('0903 4度C'!$AD:$AD,'0903 4度C'!$A:$A,"新豐9線",'0903 4度C'!$B:$B,"平均")</f>
        <v>0</v>
      </c>
      <c r="M21" s="82">
        <f>SUMIFS('0903 4度C'!$AD:$AD,'0903 4度C'!$A:$A,"新豐4線",'0903 4度C'!$B:$B,"平均")</f>
        <v>0</v>
      </c>
    </row>
    <row r="22" spans="2:13" ht="17.25" customHeight="1">
      <c r="B22" s="548" t="s">
        <v>335</v>
      </c>
      <c r="C22" s="549"/>
      <c r="D22" s="84">
        <f>SUMIFS('0903 4度C'!$I:$I,'0903 4度C'!$A:$A,"新豐6線",'0903 4度C'!$B:$B,"平均")</f>
        <v>15.333333333333334</v>
      </c>
      <c r="E22" s="85">
        <f>SUMIFS('0903 4度C'!$I:$I,'0903 4度C'!$A:$A,"新豐2線",'0903 4度C'!$B:$B,"平均")</f>
        <v>18.333333333333332</v>
      </c>
      <c r="F22" s="85">
        <f>SUMIFS('0903 4度C'!$I:$I,'0903 4度C'!$A:$A,"新豐5線",'0903 4度C'!$B:$B,"平均")</f>
        <v>17.142857142857142</v>
      </c>
      <c r="G22" s="85">
        <f>SUMIFS('0903 4度C'!$I:$I,'0903 4度C'!$A:$A,"新豐7線",'0903 4度C'!$B:$B,"平均")</f>
        <v>16</v>
      </c>
      <c r="H22" s="85">
        <f>SUMIFS('0903 4度C'!$I:$I,'0903 4度C'!$A:$A,"新豐3線",'0903 4度C'!$B:$B,"平均")</f>
        <v>10</v>
      </c>
      <c r="I22" s="85">
        <f>SUMIFS('0903 4度C'!$I:$I,'0903 4度C'!$A:$A,"新豐1線",'0903 4度C'!$B:$B,"平均")</f>
        <v>18.75</v>
      </c>
      <c r="J22" s="86">
        <f>SUMIFS('0903 4度C'!$I:$I,'0903 4度C'!$A:$A,"新豐10線",'0903 4度C'!$B:$B,"平均")</f>
        <v>10.4</v>
      </c>
      <c r="K22" s="84">
        <f>SUMIFS('0903 4度C'!$I:$I,'0903 4度C'!$A:$A,"新豐8線",'0903 4度C'!$B:$B,"平均")</f>
        <v>17</v>
      </c>
      <c r="L22" s="85">
        <f>SUMIFS('0903 4度C'!$I:$I,'0903 4度C'!$A:$A,"新豐9線",'0903 4度C'!$B:$B,"平均")</f>
        <v>17.428571428571427</v>
      </c>
      <c r="M22" s="86">
        <f>SUMIFS('0903 4度C'!$I:$I,'0903 4度C'!$A:$A,"新豐4線",'0903 4度C'!$B:$B,"平均")</f>
        <v>16.125</v>
      </c>
    </row>
    <row r="23" spans="2:13" ht="17.25" customHeight="1">
      <c r="B23" s="548" t="s">
        <v>122</v>
      </c>
      <c r="C23" s="549"/>
      <c r="D23" s="87" t="s">
        <v>69</v>
      </c>
      <c r="E23" s="88" t="s">
        <v>70</v>
      </c>
      <c r="F23" s="88" t="s">
        <v>123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336</v>
      </c>
      <c r="L23" s="88" t="s">
        <v>336</v>
      </c>
      <c r="M23" s="89" t="s">
        <v>336</v>
      </c>
    </row>
    <row r="24" spans="2:13" ht="17.25" customHeight="1">
      <c r="B24" s="548" t="s">
        <v>337</v>
      </c>
      <c r="C24" s="549"/>
      <c r="D24" s="87"/>
      <c r="E24" s="88"/>
      <c r="F24" s="88" t="s">
        <v>338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339</v>
      </c>
      <c r="C25" s="551"/>
      <c r="D25" s="90"/>
      <c r="E25" s="91" t="s">
        <v>128</v>
      </c>
      <c r="F25" s="544" t="s">
        <v>340</v>
      </c>
      <c r="G25" s="545"/>
      <c r="H25" s="91" t="s">
        <v>341</v>
      </c>
      <c r="I25" s="91" t="s">
        <v>342</v>
      </c>
      <c r="J25" s="92" t="s">
        <v>341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1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topLeftCell="K1" zoomScale="80" zoomScaleNormal="80" workbookViewId="0">
      <pane ySplit="4" topLeftCell="A5" activePane="bottomLeft" state="frozen"/>
      <selection activeCell="F20" sqref="F20"/>
      <selection pane="bottomLeft" activeCell="AC12" sqref="AC1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343</v>
      </c>
      <c r="B1" s="1"/>
      <c r="C1" s="2" t="s">
        <v>344</v>
      </c>
      <c r="D1" s="3">
        <f>SUM(F5:F71)</f>
        <v>159880</v>
      </c>
      <c r="E1" s="131" t="s">
        <v>345</v>
      </c>
      <c r="F1" s="1">
        <f>SUM(G5:G71)</f>
        <v>5459547.5700000012</v>
      </c>
      <c r="G1" s="1" t="s">
        <v>346</v>
      </c>
      <c r="H1" s="4">
        <f>L8+L12+L47+L56+L20+L62+L35+L43+L28+L71</f>
        <v>156.51309523809525</v>
      </c>
      <c r="I1" s="660" t="s">
        <v>347</v>
      </c>
      <c r="J1" s="660"/>
      <c r="K1" s="660"/>
      <c r="L1" s="660" t="s">
        <v>348</v>
      </c>
      <c r="M1" s="660"/>
      <c r="N1" s="660"/>
      <c r="O1" s="660" t="s">
        <v>349</v>
      </c>
      <c r="P1" s="660"/>
      <c r="Q1" s="660"/>
      <c r="R1" s="660"/>
      <c r="S1" s="660" t="s">
        <v>350</v>
      </c>
      <c r="T1" s="660"/>
      <c r="U1" s="660"/>
      <c r="V1" s="660"/>
      <c r="W1" s="660"/>
      <c r="X1" s="660"/>
      <c r="Y1" s="5" t="s">
        <v>351</v>
      </c>
      <c r="Z1" s="6" t="s">
        <v>352</v>
      </c>
      <c r="AA1" s="661" t="s">
        <v>353</v>
      </c>
      <c r="AB1" s="661"/>
      <c r="AC1" s="7" t="s">
        <v>351</v>
      </c>
      <c r="AD1" s="6" t="s">
        <v>354</v>
      </c>
      <c r="AE1" s="660" t="s">
        <v>355</v>
      </c>
      <c r="AF1" s="662"/>
      <c r="AG1" s="662"/>
    </row>
    <row r="2" spans="1:33" ht="26.25" customHeight="1">
      <c r="A2" s="27">
        <v>46268</v>
      </c>
      <c r="B2" s="28" t="s">
        <v>356</v>
      </c>
      <c r="C2" s="2" t="s">
        <v>323</v>
      </c>
      <c r="D2" s="9">
        <f>AVERAGE(N8,N12,N47,N56,N20,N62,N28,N35,N43,N71)</f>
        <v>148.64462061348232</v>
      </c>
      <c r="E2" s="10" t="s">
        <v>0</v>
      </c>
      <c r="F2" s="11">
        <f>F1/D1</f>
        <v>34.147783149862406</v>
      </c>
      <c r="G2" s="1" t="s">
        <v>357</v>
      </c>
      <c r="H2" s="139">
        <f>COUNT(H5:H71)</f>
        <v>5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SUM(Y8+Y12+Y20+Y28+Y35+Y43+Y47+Y56+Y62+Y71)</f>
        <v>0</v>
      </c>
      <c r="Z2" s="12">
        <f>SUM(Z8+Z12+Z20+Z28+Z35+Z43+Z47+Z56+Z62+Z71)</f>
        <v>0</v>
      </c>
      <c r="AA2" s="661"/>
      <c r="AB2" s="661"/>
      <c r="AC2" s="12">
        <v>57</v>
      </c>
      <c r="AD2" s="12">
        <f>SUM(AD8+AD12+AD20+AD28+AD35+AD43+AD47+AD56+AD62+AD71)</f>
        <v>0</v>
      </c>
      <c r="AE2" s="662"/>
      <c r="AF2" s="662"/>
      <c r="AG2" s="662"/>
    </row>
    <row r="3" spans="1:33" ht="40.5" customHeight="1">
      <c r="A3" s="610" t="s">
        <v>358</v>
      </c>
      <c r="B3" s="610" t="s">
        <v>359</v>
      </c>
      <c r="C3" s="610" t="s">
        <v>360</v>
      </c>
      <c r="D3" s="610"/>
      <c r="E3" s="658" t="s">
        <v>361</v>
      </c>
      <c r="F3" s="610" t="s">
        <v>362</v>
      </c>
      <c r="G3" s="658" t="s">
        <v>363</v>
      </c>
      <c r="H3" s="651" t="s">
        <v>364</v>
      </c>
      <c r="I3" s="649" t="s">
        <v>365</v>
      </c>
      <c r="J3" s="646" t="s">
        <v>366</v>
      </c>
      <c r="K3" s="656" t="s">
        <v>323</v>
      </c>
      <c r="L3" s="649" t="s">
        <v>365</v>
      </c>
      <c r="M3" s="646" t="s">
        <v>366</v>
      </c>
      <c r="N3" s="656" t="s">
        <v>323</v>
      </c>
      <c r="O3" s="649" t="s">
        <v>365</v>
      </c>
      <c r="P3" s="656" t="s">
        <v>323</v>
      </c>
      <c r="Q3" s="647" t="s">
        <v>367</v>
      </c>
      <c r="R3" s="623" t="s">
        <v>368</v>
      </c>
      <c r="S3" s="610" t="s">
        <v>1</v>
      </c>
      <c r="T3" s="610"/>
      <c r="U3" s="651" t="s">
        <v>2</v>
      </c>
      <c r="V3" s="651" t="s">
        <v>369</v>
      </c>
      <c r="W3" s="610" t="s">
        <v>370</v>
      </c>
      <c r="X3" s="610"/>
      <c r="Y3" s="652" t="s">
        <v>371</v>
      </c>
      <c r="Z3" s="609"/>
      <c r="AA3" s="653" t="s">
        <v>372</v>
      </c>
      <c r="AB3" s="654"/>
      <c r="AC3" s="652" t="s">
        <v>373</v>
      </c>
      <c r="AD3" s="609"/>
      <c r="AE3" s="646" t="s">
        <v>374</v>
      </c>
      <c r="AF3" s="647" t="s">
        <v>367</v>
      </c>
      <c r="AG3" s="623" t="s">
        <v>375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131" t="s">
        <v>3</v>
      </c>
      <c r="T4" s="131" t="s">
        <v>4</v>
      </c>
      <c r="U4" s="651"/>
      <c r="V4" s="651"/>
      <c r="W4" s="131" t="s">
        <v>376</v>
      </c>
      <c r="X4" s="131" t="s">
        <v>377</v>
      </c>
      <c r="Y4" s="130" t="s">
        <v>378</v>
      </c>
      <c r="Z4" s="130" t="s">
        <v>379</v>
      </c>
      <c r="AA4" s="655"/>
      <c r="AB4" s="654"/>
      <c r="AC4" s="130" t="s">
        <v>380</v>
      </c>
      <c r="AD4" s="130" t="s">
        <v>381</v>
      </c>
      <c r="AE4" s="646"/>
      <c r="AF4" s="647"/>
      <c r="AG4" s="623"/>
    </row>
    <row r="5" spans="1:33">
      <c r="A5" s="648" t="s">
        <v>382</v>
      </c>
      <c r="B5" s="33" t="s">
        <v>6</v>
      </c>
      <c r="C5" s="650" t="s">
        <v>7</v>
      </c>
      <c r="D5" s="650"/>
      <c r="E5" s="33">
        <v>50.92</v>
      </c>
      <c r="F5" s="138">
        <v>1796</v>
      </c>
      <c r="G5" s="131">
        <f t="shared" ref="G5:G7" si="0">E5*F5</f>
        <v>91452.32</v>
      </c>
      <c r="H5" s="29" t="s">
        <v>5</v>
      </c>
      <c r="I5" s="136">
        <v>15</v>
      </c>
      <c r="J5" s="30">
        <v>2000</v>
      </c>
      <c r="K5" s="13">
        <f t="shared" ref="K5:K68" si="1">J5/I5</f>
        <v>133.33333333333334</v>
      </c>
      <c r="L5" s="136">
        <v>15</v>
      </c>
      <c r="M5" s="14">
        <f t="shared" ref="M5:M7" si="2">F5/V5*60</f>
        <v>1924.2857142857158</v>
      </c>
      <c r="N5" s="13">
        <f t="shared" ref="N5:N68" si="3">M5/L5</f>
        <v>128.28571428571439</v>
      </c>
      <c r="O5" s="15">
        <f t="shared" ref="O5:O68" si="4">L5-I5</f>
        <v>0</v>
      </c>
      <c r="P5" s="16">
        <f t="shared" ref="P5:P68" si="5">N5-K5</f>
        <v>-5.0476190476189515</v>
      </c>
      <c r="Q5" s="132">
        <f t="shared" ref="Q5:Q68" si="6">N5/K5</f>
        <v>0.96214285714285785</v>
      </c>
      <c r="R5" s="619">
        <f>Q8</f>
        <v>0.9644593837535016</v>
      </c>
      <c r="S5" s="31">
        <v>0.70833333333333337</v>
      </c>
      <c r="T5" s="31">
        <v>0.74722222222222223</v>
      </c>
      <c r="U5" s="131"/>
      <c r="V5" s="137">
        <f t="shared" ref="V5:V7" si="7">(T5-S5)*24*60</f>
        <v>55.999999999999957</v>
      </c>
      <c r="W5" s="17"/>
      <c r="X5" s="17"/>
      <c r="Y5" s="18"/>
      <c r="Z5" s="18"/>
      <c r="AA5" s="610"/>
      <c r="AB5" s="610"/>
      <c r="AC5" s="155">
        <v>3</v>
      </c>
      <c r="AD5" s="19"/>
      <c r="AE5" s="15">
        <f t="shared" ref="AE5:AE55" si="8">M5-J5</f>
        <v>-75.714285714284188</v>
      </c>
      <c r="AF5" s="132">
        <f t="shared" ref="AF5:AF68" si="9">M5/J5</f>
        <v>0.96214285714285785</v>
      </c>
      <c r="AG5" s="619">
        <f>AF8</f>
        <v>0.9644593837535016</v>
      </c>
    </row>
    <row r="6" spans="1:33">
      <c r="A6" s="649" t="s">
        <v>383</v>
      </c>
      <c r="B6" s="33" t="s">
        <v>6</v>
      </c>
      <c r="C6" s="650" t="s">
        <v>8</v>
      </c>
      <c r="D6" s="650"/>
      <c r="E6" s="33">
        <v>50.98</v>
      </c>
      <c r="F6" s="138">
        <v>1916</v>
      </c>
      <c r="G6" s="131">
        <f t="shared" si="0"/>
        <v>97677.68</v>
      </c>
      <c r="H6" s="29" t="s">
        <v>5</v>
      </c>
      <c r="I6" s="136">
        <v>16</v>
      </c>
      <c r="J6" s="30">
        <v>2000</v>
      </c>
      <c r="K6" s="13">
        <f t="shared" si="1"/>
        <v>125</v>
      </c>
      <c r="L6" s="136">
        <v>16</v>
      </c>
      <c r="M6" s="14">
        <f t="shared" si="2"/>
        <v>1916.0000000000018</v>
      </c>
      <c r="N6" s="13">
        <f t="shared" si="3"/>
        <v>119.75000000000011</v>
      </c>
      <c r="O6" s="15">
        <f t="shared" si="4"/>
        <v>0</v>
      </c>
      <c r="P6" s="16">
        <f t="shared" si="5"/>
        <v>-5.2499999999998863</v>
      </c>
      <c r="Q6" s="132">
        <f t="shared" si="6"/>
        <v>0.95800000000000096</v>
      </c>
      <c r="R6" s="619"/>
      <c r="S6" s="31">
        <v>0.75069444444444444</v>
      </c>
      <c r="T6" s="31">
        <v>0.79236111111111107</v>
      </c>
      <c r="U6" s="131">
        <f t="shared" ref="U6:U7" si="10">IF(S6=TIME(17,0,0),"",(S6-T5)*24*60)</f>
        <v>4.9999999999999822</v>
      </c>
      <c r="V6" s="137">
        <f t="shared" si="7"/>
        <v>59.999999999999943</v>
      </c>
      <c r="W6" s="17"/>
      <c r="X6" s="17"/>
      <c r="Y6" s="17"/>
      <c r="Z6" s="17"/>
      <c r="AA6" s="610"/>
      <c r="AB6" s="610"/>
      <c r="AC6" s="155"/>
      <c r="AD6" s="19"/>
      <c r="AE6" s="15">
        <f t="shared" si="8"/>
        <v>-83.999999999998181</v>
      </c>
      <c r="AF6" s="132">
        <f t="shared" si="9"/>
        <v>0.95800000000000096</v>
      </c>
      <c r="AG6" s="619"/>
    </row>
    <row r="7" spans="1:33">
      <c r="A7" s="649" t="s">
        <v>384</v>
      </c>
      <c r="B7" s="33" t="s">
        <v>6</v>
      </c>
      <c r="C7" s="641" t="s">
        <v>9</v>
      </c>
      <c r="D7" s="642"/>
      <c r="E7" s="33">
        <v>50.67</v>
      </c>
      <c r="F7" s="138">
        <v>1103</v>
      </c>
      <c r="G7" s="131">
        <f t="shared" si="0"/>
        <v>55889.01</v>
      </c>
      <c r="H7" s="29" t="s">
        <v>5</v>
      </c>
      <c r="I7" s="136">
        <v>15</v>
      </c>
      <c r="J7" s="30">
        <v>2000</v>
      </c>
      <c r="K7" s="13">
        <f t="shared" si="1"/>
        <v>133.33333333333334</v>
      </c>
      <c r="L7" s="136">
        <v>15</v>
      </c>
      <c r="M7" s="14">
        <f t="shared" si="2"/>
        <v>1946.4705882352919</v>
      </c>
      <c r="N7" s="13">
        <f t="shared" si="3"/>
        <v>129.76470588235279</v>
      </c>
      <c r="O7" s="15">
        <f t="shared" si="4"/>
        <v>0</v>
      </c>
      <c r="P7" s="16">
        <f t="shared" si="5"/>
        <v>-3.5686274509805571</v>
      </c>
      <c r="Q7" s="132">
        <f t="shared" si="6"/>
        <v>0.97323529411764587</v>
      </c>
      <c r="R7" s="619"/>
      <c r="S7" s="31">
        <v>0.79722222222222217</v>
      </c>
      <c r="T7" s="31">
        <v>0.8208333333333333</v>
      </c>
      <c r="U7" s="131">
        <f t="shared" si="10"/>
        <v>6.9999999999999751</v>
      </c>
      <c r="V7" s="137">
        <f t="shared" si="7"/>
        <v>34.000000000000043</v>
      </c>
      <c r="W7" s="17"/>
      <c r="X7" s="17"/>
      <c r="Y7" s="20"/>
      <c r="Z7" s="20"/>
      <c r="AA7" s="614"/>
      <c r="AB7" s="615"/>
      <c r="AC7" s="155"/>
      <c r="AD7" s="21"/>
      <c r="AE7" s="15">
        <f t="shared" si="8"/>
        <v>-53.529411764708129</v>
      </c>
      <c r="AF7" s="132">
        <f t="shared" si="9"/>
        <v>0.97323529411764598</v>
      </c>
      <c r="AG7" s="619"/>
    </row>
    <row r="8" spans="1:33">
      <c r="A8" s="649" t="s">
        <v>384</v>
      </c>
      <c r="B8" s="33" t="s">
        <v>385</v>
      </c>
      <c r="C8" s="620"/>
      <c r="D8" s="620"/>
      <c r="E8" s="133"/>
      <c r="F8" s="34"/>
      <c r="G8" s="13"/>
      <c r="H8" s="138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1928.9187675070032</v>
      </c>
      <c r="N8" s="13">
        <f t="shared" si="3"/>
        <v>125.79905005480455</v>
      </c>
      <c r="O8" s="15">
        <f t="shared" si="4"/>
        <v>0</v>
      </c>
      <c r="P8" s="16">
        <f t="shared" si="5"/>
        <v>-4.6357325538911027</v>
      </c>
      <c r="Q8" s="132">
        <f t="shared" si="6"/>
        <v>0.9644593837535016</v>
      </c>
      <c r="R8" s="619"/>
      <c r="S8" s="31"/>
      <c r="T8" s="31"/>
      <c r="U8" s="131"/>
      <c r="V8" s="137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-71.081232492996833</v>
      </c>
      <c r="AF8" s="132">
        <f t="shared" si="9"/>
        <v>0.9644593837535016</v>
      </c>
      <c r="AG8" s="619"/>
    </row>
    <row r="9" spans="1:33" ht="15.75" customHeight="1">
      <c r="A9" s="645" t="s">
        <v>386</v>
      </c>
      <c r="B9" s="33" t="s">
        <v>10</v>
      </c>
      <c r="C9" s="641" t="s">
        <v>14</v>
      </c>
      <c r="D9" s="642"/>
      <c r="E9" s="33">
        <v>39.619999999999997</v>
      </c>
      <c r="F9" s="138">
        <v>3945</v>
      </c>
      <c r="G9" s="131">
        <f t="shared" ref="G9:G11" si="11">E9*F9</f>
        <v>156300.9</v>
      </c>
      <c r="H9" s="29" t="s">
        <v>5</v>
      </c>
      <c r="I9" s="136">
        <v>19</v>
      </c>
      <c r="J9" s="30">
        <v>1500</v>
      </c>
      <c r="K9" s="13">
        <f t="shared" si="1"/>
        <v>78.94736842105263</v>
      </c>
      <c r="L9" s="136">
        <v>19</v>
      </c>
      <c r="M9" s="14">
        <f t="shared" ref="M9:M11" si="12">F9/V9*60</f>
        <v>1434.5454545454545</v>
      </c>
      <c r="N9" s="13">
        <f t="shared" si="3"/>
        <v>75.502392344497608</v>
      </c>
      <c r="O9" s="15">
        <f t="shared" si="4"/>
        <v>0</v>
      </c>
      <c r="P9" s="16">
        <f t="shared" si="5"/>
        <v>-3.4449760765550224</v>
      </c>
      <c r="Q9" s="132">
        <f t="shared" si="6"/>
        <v>0.95636363636363642</v>
      </c>
      <c r="R9" s="619">
        <f>Q12</f>
        <v>0.95480228455018357</v>
      </c>
      <c r="S9" s="31">
        <v>8.3333333333333329E-2</v>
      </c>
      <c r="T9" s="31">
        <v>0.19791666666666666</v>
      </c>
      <c r="U9" s="131"/>
      <c r="V9" s="137">
        <f t="shared" ref="V9:V11" si="13">(T9-S9)*24*60</f>
        <v>165</v>
      </c>
      <c r="W9" s="17">
        <f>T9</f>
        <v>0.19791666666666666</v>
      </c>
      <c r="X9" s="17">
        <f>S10</f>
        <v>0.21666666666666667</v>
      </c>
      <c r="Y9" s="17"/>
      <c r="Z9" s="17"/>
      <c r="AA9" s="610"/>
      <c r="AB9" s="610"/>
      <c r="AC9" s="155">
        <v>3</v>
      </c>
      <c r="AD9" s="19"/>
      <c r="AE9" s="15">
        <f t="shared" si="8"/>
        <v>-65.454545454545496</v>
      </c>
      <c r="AF9" s="132">
        <f t="shared" si="9"/>
        <v>0.9563636363636363</v>
      </c>
      <c r="AG9" s="619">
        <f>AF12</f>
        <v>0.95480228455018368</v>
      </c>
    </row>
    <row r="10" spans="1:33" ht="15.75" customHeight="1">
      <c r="A10" s="645" t="s">
        <v>387</v>
      </c>
      <c r="B10" s="33" t="s">
        <v>10</v>
      </c>
      <c r="C10" s="641" t="s">
        <v>11</v>
      </c>
      <c r="D10" s="642"/>
      <c r="E10" s="33">
        <v>39.799999999999997</v>
      </c>
      <c r="F10" s="138">
        <v>5850</v>
      </c>
      <c r="G10" s="131">
        <f t="shared" si="11"/>
        <v>232829.99999999997</v>
      </c>
      <c r="H10" s="29" t="s">
        <v>5</v>
      </c>
      <c r="I10" s="136">
        <v>17</v>
      </c>
      <c r="J10" s="30">
        <v>1500</v>
      </c>
      <c r="K10" s="13">
        <f t="shared" si="1"/>
        <v>88.235294117647058</v>
      </c>
      <c r="L10" s="136">
        <v>17</v>
      </c>
      <c r="M10" s="14">
        <f t="shared" si="12"/>
        <v>1432.6530612244901</v>
      </c>
      <c r="N10" s="13">
        <f t="shared" si="3"/>
        <v>84.273709483793539</v>
      </c>
      <c r="O10" s="15">
        <f t="shared" si="4"/>
        <v>0</v>
      </c>
      <c r="P10" s="16">
        <f t="shared" si="5"/>
        <v>-3.9615846338535192</v>
      </c>
      <c r="Q10" s="132">
        <f t="shared" si="6"/>
        <v>0.95510204081632677</v>
      </c>
      <c r="R10" s="619"/>
      <c r="S10" s="31">
        <v>0.21666666666666667</v>
      </c>
      <c r="T10" s="31">
        <v>0.38680555555555551</v>
      </c>
      <c r="U10" s="131">
        <f t="shared" ref="U10:U11" si="14">IF(S10=TIME(17,0,0),"",(S10-T9)*24*60)</f>
        <v>27.000000000000025</v>
      </c>
      <c r="V10" s="137">
        <f t="shared" si="13"/>
        <v>244.99999999999994</v>
      </c>
      <c r="W10" s="17"/>
      <c r="X10" s="17"/>
      <c r="Y10" s="17"/>
      <c r="Z10" s="17"/>
      <c r="AA10" s="610"/>
      <c r="AB10" s="610"/>
      <c r="AC10" s="155"/>
      <c r="AD10" s="19"/>
      <c r="AE10" s="15">
        <f t="shared" si="8"/>
        <v>-67.346938775509898</v>
      </c>
      <c r="AF10" s="132">
        <f t="shared" si="9"/>
        <v>0.95510204081632677</v>
      </c>
      <c r="AG10" s="619"/>
    </row>
    <row r="11" spans="1:33" ht="15.75" customHeight="1">
      <c r="A11" s="645" t="s">
        <v>81</v>
      </c>
      <c r="B11" s="33" t="s">
        <v>10</v>
      </c>
      <c r="C11" s="641" t="s">
        <v>13</v>
      </c>
      <c r="D11" s="642"/>
      <c r="E11" s="33">
        <v>39.520000000000003</v>
      </c>
      <c r="F11" s="138">
        <v>2025</v>
      </c>
      <c r="G11" s="131">
        <f t="shared" si="11"/>
        <v>80028</v>
      </c>
      <c r="H11" s="29" t="s">
        <v>5</v>
      </c>
      <c r="I11" s="136">
        <v>19</v>
      </c>
      <c r="J11" s="30">
        <v>1500</v>
      </c>
      <c r="K11" s="13">
        <f t="shared" si="1"/>
        <v>78.94736842105263</v>
      </c>
      <c r="L11" s="136">
        <v>19</v>
      </c>
      <c r="M11" s="14">
        <f t="shared" si="12"/>
        <v>1429.4117647058822</v>
      </c>
      <c r="N11" s="13">
        <f t="shared" si="3"/>
        <v>75.232198142414859</v>
      </c>
      <c r="O11" s="15">
        <f t="shared" si="4"/>
        <v>0</v>
      </c>
      <c r="P11" s="16">
        <f t="shared" si="5"/>
        <v>-3.7151702786377712</v>
      </c>
      <c r="Q11" s="132">
        <f t="shared" si="6"/>
        <v>0.95294117647058818</v>
      </c>
      <c r="R11" s="619"/>
      <c r="S11" s="31">
        <v>0.39027777777777772</v>
      </c>
      <c r="T11" s="31">
        <v>0.44930555555555551</v>
      </c>
      <c r="U11" s="131">
        <f t="shared" si="14"/>
        <v>4.9999999999999822</v>
      </c>
      <c r="V11" s="137">
        <f t="shared" si="13"/>
        <v>85.000000000000014</v>
      </c>
      <c r="W11" s="17"/>
      <c r="X11" s="17"/>
      <c r="Y11" s="17"/>
      <c r="Z11" s="17"/>
      <c r="AA11" s="610"/>
      <c r="AB11" s="610"/>
      <c r="AC11" s="155"/>
      <c r="AD11" s="19"/>
      <c r="AE11" s="15">
        <f t="shared" si="8"/>
        <v>-70.588235294117794</v>
      </c>
      <c r="AF11" s="132">
        <f t="shared" si="9"/>
        <v>0.95294117647058818</v>
      </c>
      <c r="AG11" s="619"/>
    </row>
    <row r="12" spans="1:33" ht="16.5" customHeight="1">
      <c r="A12" s="645" t="s">
        <v>81</v>
      </c>
      <c r="B12" s="33" t="s">
        <v>80</v>
      </c>
      <c r="C12" s="620"/>
      <c r="D12" s="620"/>
      <c r="E12" s="133"/>
      <c r="F12" s="30"/>
      <c r="G12" s="14"/>
      <c r="H12" s="138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1432.2034268252755</v>
      </c>
      <c r="N12" s="13">
        <f t="shared" si="3"/>
        <v>78.120186917742302</v>
      </c>
      <c r="O12" s="15">
        <f t="shared" si="4"/>
        <v>0</v>
      </c>
      <c r="P12" s="16">
        <f t="shared" si="5"/>
        <v>-3.6979949004395252</v>
      </c>
      <c r="Q12" s="132">
        <f t="shared" si="6"/>
        <v>0.95480228455018357</v>
      </c>
      <c r="R12" s="619"/>
      <c r="S12" s="31"/>
      <c r="T12" s="31"/>
      <c r="U12" s="13"/>
      <c r="V12" s="137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-67.796573174724472</v>
      </c>
      <c r="AF12" s="132">
        <f t="shared" si="9"/>
        <v>0.95480228455018368</v>
      </c>
      <c r="AG12" s="619"/>
    </row>
    <row r="13" spans="1:33" ht="16.5" customHeight="1">
      <c r="A13" s="643" t="s">
        <v>185</v>
      </c>
      <c r="B13" s="138" t="s">
        <v>15</v>
      </c>
      <c r="C13" s="635" t="s">
        <v>16</v>
      </c>
      <c r="D13" s="635"/>
      <c r="E13" s="33">
        <v>31.11</v>
      </c>
      <c r="F13" s="138">
        <v>2469</v>
      </c>
      <c r="G13" s="131">
        <f t="shared" ref="G13:G19" si="15">E13*F13</f>
        <v>76810.59</v>
      </c>
      <c r="H13" s="29" t="s">
        <v>5</v>
      </c>
      <c r="I13" s="136">
        <v>14</v>
      </c>
      <c r="J13" s="30">
        <v>2000</v>
      </c>
      <c r="K13" s="13">
        <f t="shared" si="1"/>
        <v>142.85714285714286</v>
      </c>
      <c r="L13" s="136">
        <v>14</v>
      </c>
      <c r="M13" s="14">
        <f t="shared" ref="M13:M19" si="16">F13/V13*60</f>
        <v>1923.8961038961038</v>
      </c>
      <c r="N13" s="13">
        <f t="shared" si="3"/>
        <v>137.42115027829314</v>
      </c>
      <c r="O13" s="15">
        <f t="shared" si="4"/>
        <v>0</v>
      </c>
      <c r="P13" s="16">
        <f t="shared" si="5"/>
        <v>-5.4359925788497208</v>
      </c>
      <c r="Q13" s="132">
        <f t="shared" si="6"/>
        <v>0.961948051948052</v>
      </c>
      <c r="R13" s="619">
        <f>Q20</f>
        <v>0.95646648491386255</v>
      </c>
      <c r="S13" s="31">
        <v>0.20833333333333334</v>
      </c>
      <c r="T13" s="31">
        <v>0.26180555555555557</v>
      </c>
      <c r="U13" s="131"/>
      <c r="V13" s="137">
        <f t="shared" ref="V13:V19" si="17">(T13-S13)*24*60</f>
        <v>77</v>
      </c>
      <c r="W13" s="17"/>
      <c r="X13" s="17"/>
      <c r="Y13" s="22"/>
      <c r="Z13" s="22"/>
      <c r="AA13" s="610"/>
      <c r="AB13" s="610"/>
      <c r="AC13" s="155">
        <v>7</v>
      </c>
      <c r="AD13" s="19"/>
      <c r="AE13" s="15">
        <f t="shared" si="8"/>
        <v>-76.103896103896204</v>
      </c>
      <c r="AF13" s="132">
        <f t="shared" si="9"/>
        <v>0.96194805194805189</v>
      </c>
      <c r="AG13" s="619">
        <f>AF20</f>
        <v>0.95646648491386244</v>
      </c>
    </row>
    <row r="14" spans="1:33" ht="16.5" customHeight="1">
      <c r="A14" s="644" t="s">
        <v>388</v>
      </c>
      <c r="B14" s="138" t="s">
        <v>17</v>
      </c>
      <c r="C14" s="635" t="s">
        <v>18</v>
      </c>
      <c r="D14" s="635"/>
      <c r="E14" s="33">
        <v>41</v>
      </c>
      <c r="F14" s="138">
        <v>1718</v>
      </c>
      <c r="G14" s="131">
        <f t="shared" si="15"/>
        <v>70438</v>
      </c>
      <c r="H14" s="29" t="s">
        <v>5</v>
      </c>
      <c r="I14" s="136">
        <v>26</v>
      </c>
      <c r="J14" s="30">
        <v>1500</v>
      </c>
      <c r="K14" s="13">
        <f t="shared" si="1"/>
        <v>57.692307692307693</v>
      </c>
      <c r="L14" s="136">
        <v>26</v>
      </c>
      <c r="M14" s="14">
        <f t="shared" si="16"/>
        <v>1431.666666666667</v>
      </c>
      <c r="N14" s="13">
        <f t="shared" si="3"/>
        <v>55.064102564102576</v>
      </c>
      <c r="O14" s="15">
        <f t="shared" si="4"/>
        <v>0</v>
      </c>
      <c r="P14" s="16">
        <f t="shared" si="5"/>
        <v>-2.6282051282051171</v>
      </c>
      <c r="Q14" s="132">
        <f t="shared" si="6"/>
        <v>0.95444444444444465</v>
      </c>
      <c r="R14" s="619"/>
      <c r="S14" s="31">
        <v>0.26527777777777778</v>
      </c>
      <c r="T14" s="31">
        <v>0.31527777777777777</v>
      </c>
      <c r="U14" s="131">
        <f t="shared" ref="U14:U19" si="18">IF(S14=TIME(17,0,0),"",(S14-T13)*24*60)</f>
        <v>4.9999999999999822</v>
      </c>
      <c r="V14" s="137">
        <f t="shared" si="17"/>
        <v>71.999999999999986</v>
      </c>
      <c r="W14" s="17"/>
      <c r="X14" s="17"/>
      <c r="Y14" s="17"/>
      <c r="Z14" s="17"/>
      <c r="AA14" s="610"/>
      <c r="AB14" s="610"/>
      <c r="AC14" s="155"/>
      <c r="AD14" s="19"/>
      <c r="AE14" s="15">
        <f t="shared" si="8"/>
        <v>-68.33333333333303</v>
      </c>
      <c r="AF14" s="132">
        <f t="shared" si="9"/>
        <v>0.95444444444444465</v>
      </c>
      <c r="AG14" s="619"/>
    </row>
    <row r="15" spans="1:33" ht="16.5" customHeight="1">
      <c r="A15" s="644" t="s">
        <v>185</v>
      </c>
      <c r="B15" s="138" t="s">
        <v>15</v>
      </c>
      <c r="C15" s="635" t="s">
        <v>76</v>
      </c>
      <c r="D15" s="635"/>
      <c r="E15" s="33">
        <v>68.88</v>
      </c>
      <c r="F15" s="138">
        <v>1647</v>
      </c>
      <c r="G15" s="131">
        <f t="shared" si="15"/>
        <v>113445.35999999999</v>
      </c>
      <c r="H15" s="29" t="s">
        <v>5</v>
      </c>
      <c r="I15" s="136">
        <v>16</v>
      </c>
      <c r="J15" s="30">
        <v>2000</v>
      </c>
      <c r="K15" s="13">
        <f t="shared" si="1"/>
        <v>125</v>
      </c>
      <c r="L15" s="136">
        <v>16</v>
      </c>
      <c r="M15" s="14">
        <f t="shared" si="16"/>
        <v>1900.3846153846164</v>
      </c>
      <c r="N15" s="13">
        <f t="shared" si="3"/>
        <v>118.77403846153852</v>
      </c>
      <c r="O15" s="15">
        <f t="shared" si="4"/>
        <v>0</v>
      </c>
      <c r="P15" s="16">
        <f t="shared" si="5"/>
        <v>-6.2259615384614762</v>
      </c>
      <c r="Q15" s="132">
        <f t="shared" si="6"/>
        <v>0.95019230769230822</v>
      </c>
      <c r="R15" s="619"/>
      <c r="S15" s="31">
        <v>0.32013888888888886</v>
      </c>
      <c r="T15" s="31">
        <v>0.35624999999999996</v>
      </c>
      <c r="U15" s="131">
        <f t="shared" si="18"/>
        <v>6.9999999999999751</v>
      </c>
      <c r="V15" s="137">
        <f t="shared" si="17"/>
        <v>51.999999999999972</v>
      </c>
      <c r="W15" s="17"/>
      <c r="X15" s="17"/>
      <c r="Y15" s="17"/>
      <c r="Z15" s="17"/>
      <c r="AA15" s="610"/>
      <c r="AB15" s="610"/>
      <c r="AC15" s="155"/>
      <c r="AD15" s="19"/>
      <c r="AE15" s="15">
        <f t="shared" si="8"/>
        <v>-99.615384615383618</v>
      </c>
      <c r="AF15" s="132">
        <f t="shared" si="9"/>
        <v>0.95019230769230822</v>
      </c>
      <c r="AG15" s="619"/>
    </row>
    <row r="16" spans="1:33" ht="16.5" customHeight="1">
      <c r="A16" s="644" t="s">
        <v>389</v>
      </c>
      <c r="B16" s="138" t="s">
        <v>10</v>
      </c>
      <c r="C16" s="635" t="s">
        <v>12</v>
      </c>
      <c r="D16" s="635"/>
      <c r="E16" s="33">
        <v>39.46</v>
      </c>
      <c r="F16" s="138">
        <v>2075</v>
      </c>
      <c r="G16" s="131">
        <f t="shared" si="15"/>
        <v>81879.5</v>
      </c>
      <c r="H16" s="29" t="s">
        <v>5</v>
      </c>
      <c r="I16" s="136">
        <v>15</v>
      </c>
      <c r="J16" s="30">
        <v>1500</v>
      </c>
      <c r="K16" s="13">
        <f t="shared" si="1"/>
        <v>100</v>
      </c>
      <c r="L16" s="136">
        <v>15</v>
      </c>
      <c r="M16" s="14">
        <f t="shared" si="16"/>
        <v>1431.0344827586205</v>
      </c>
      <c r="N16" s="13">
        <f t="shared" si="3"/>
        <v>95.402298850574695</v>
      </c>
      <c r="O16" s="15">
        <f t="shared" si="4"/>
        <v>0</v>
      </c>
      <c r="P16" s="16">
        <f t="shared" si="5"/>
        <v>-4.5977011494253048</v>
      </c>
      <c r="Q16" s="132">
        <f t="shared" si="6"/>
        <v>0.95402298850574696</v>
      </c>
      <c r="R16" s="619"/>
      <c r="S16" s="31">
        <v>0.35972222222222217</v>
      </c>
      <c r="T16" s="31">
        <v>0.42013888888888884</v>
      </c>
      <c r="U16" s="131">
        <f t="shared" si="18"/>
        <v>4.9999999999999822</v>
      </c>
      <c r="V16" s="137">
        <f t="shared" si="17"/>
        <v>87.000000000000014</v>
      </c>
      <c r="W16" s="17"/>
      <c r="X16" s="17"/>
      <c r="Y16" s="17"/>
      <c r="Z16" s="17"/>
      <c r="AA16" s="610"/>
      <c r="AB16" s="610"/>
      <c r="AC16" s="155"/>
      <c r="AD16" s="19"/>
      <c r="AE16" s="15">
        <f t="shared" si="8"/>
        <v>-68.96551724137953</v>
      </c>
      <c r="AF16" s="132">
        <f t="shared" si="9"/>
        <v>0.95402298850574696</v>
      </c>
      <c r="AG16" s="619"/>
    </row>
    <row r="17" spans="1:33" ht="16.5" customHeight="1">
      <c r="A17" s="644" t="s">
        <v>185</v>
      </c>
      <c r="B17" s="138" t="s">
        <v>6</v>
      </c>
      <c r="C17" s="635" t="s">
        <v>20</v>
      </c>
      <c r="D17" s="635"/>
      <c r="E17" s="33">
        <v>54.5</v>
      </c>
      <c r="F17" s="138">
        <v>744</v>
      </c>
      <c r="G17" s="131">
        <f t="shared" si="15"/>
        <v>40548</v>
      </c>
      <c r="H17" s="29" t="s">
        <v>5</v>
      </c>
      <c r="I17" s="136">
        <v>19</v>
      </c>
      <c r="J17" s="30">
        <v>1500</v>
      </c>
      <c r="K17" s="13">
        <f t="shared" si="1"/>
        <v>78.94736842105263</v>
      </c>
      <c r="L17" s="136">
        <v>19</v>
      </c>
      <c r="M17" s="14">
        <f t="shared" si="16"/>
        <v>1439.9999999999977</v>
      </c>
      <c r="N17" s="13">
        <f t="shared" si="3"/>
        <v>75.789473684210407</v>
      </c>
      <c r="O17" s="15">
        <f t="shared" si="4"/>
        <v>0</v>
      </c>
      <c r="P17" s="16">
        <f t="shared" si="5"/>
        <v>-3.1578947368422234</v>
      </c>
      <c r="Q17" s="132">
        <f t="shared" si="6"/>
        <v>0.95999999999999852</v>
      </c>
      <c r="R17" s="619"/>
      <c r="S17" s="31">
        <v>0.70833333333333337</v>
      </c>
      <c r="T17" s="31">
        <v>0.72986111111111118</v>
      </c>
      <c r="U17" s="131" t="str">
        <f t="shared" si="18"/>
        <v/>
      </c>
      <c r="V17" s="137">
        <f t="shared" si="17"/>
        <v>31.00000000000005</v>
      </c>
      <c r="W17" s="17"/>
      <c r="X17" s="17"/>
      <c r="Y17" s="17"/>
      <c r="Z17" s="17"/>
      <c r="AA17" s="610"/>
      <c r="AB17" s="610"/>
      <c r="AC17" s="155"/>
      <c r="AD17" s="19"/>
      <c r="AE17" s="15">
        <f t="shared" si="8"/>
        <v>-60.000000000002274</v>
      </c>
      <c r="AF17" s="132">
        <f t="shared" si="9"/>
        <v>0.95999999999999852</v>
      </c>
      <c r="AG17" s="619"/>
    </row>
    <row r="18" spans="1:33" ht="16.5" customHeight="1">
      <c r="A18" s="644" t="s">
        <v>185</v>
      </c>
      <c r="B18" s="138" t="s">
        <v>6</v>
      </c>
      <c r="C18" s="134" t="s">
        <v>19</v>
      </c>
      <c r="D18" s="135"/>
      <c r="E18" s="33">
        <v>50.67</v>
      </c>
      <c r="F18" s="138">
        <v>1309</v>
      </c>
      <c r="G18" s="131">
        <f t="shared" si="15"/>
        <v>66327.03</v>
      </c>
      <c r="H18" s="29" t="s">
        <v>5</v>
      </c>
      <c r="I18" s="136">
        <v>17</v>
      </c>
      <c r="J18" s="30">
        <v>2000</v>
      </c>
      <c r="K18" s="13">
        <f t="shared" si="1"/>
        <v>117.64705882352941</v>
      </c>
      <c r="L18" s="136">
        <v>17</v>
      </c>
      <c r="M18" s="14">
        <f t="shared" si="16"/>
        <v>1915.6097560975602</v>
      </c>
      <c r="N18" s="13">
        <f t="shared" si="3"/>
        <v>112.68292682926824</v>
      </c>
      <c r="O18" s="15">
        <f t="shared" si="4"/>
        <v>0</v>
      </c>
      <c r="P18" s="16">
        <f t="shared" si="5"/>
        <v>-4.9641319942611659</v>
      </c>
      <c r="Q18" s="132">
        <f t="shared" si="6"/>
        <v>0.95780487804878012</v>
      </c>
      <c r="R18" s="619"/>
      <c r="S18" s="31">
        <v>0.73333333333333339</v>
      </c>
      <c r="T18" s="31">
        <v>0.76180555555555562</v>
      </c>
      <c r="U18" s="131">
        <f t="shared" si="18"/>
        <v>4.9999999999999822</v>
      </c>
      <c r="V18" s="137">
        <f t="shared" si="17"/>
        <v>41.000000000000014</v>
      </c>
      <c r="W18" s="17"/>
      <c r="X18" s="17"/>
      <c r="Y18" s="20"/>
      <c r="Z18" s="20"/>
      <c r="AA18" s="127"/>
      <c r="AB18" s="128"/>
      <c r="AC18" s="155"/>
      <c r="AD18" s="19"/>
      <c r="AE18" s="15">
        <f t="shared" si="8"/>
        <v>-84.390243902439806</v>
      </c>
      <c r="AF18" s="132">
        <f t="shared" si="9"/>
        <v>0.95780487804878012</v>
      </c>
      <c r="AG18" s="619"/>
    </row>
    <row r="19" spans="1:33" ht="16.5" customHeight="1">
      <c r="A19" s="644" t="s">
        <v>185</v>
      </c>
      <c r="B19" s="138" t="s">
        <v>6</v>
      </c>
      <c r="C19" s="134" t="s">
        <v>45</v>
      </c>
      <c r="D19" s="135"/>
      <c r="E19" s="33">
        <v>51.06</v>
      </c>
      <c r="F19" s="138">
        <v>2264</v>
      </c>
      <c r="G19" s="131">
        <f t="shared" si="15"/>
        <v>115599.84000000001</v>
      </c>
      <c r="H19" s="29" t="s">
        <v>5</v>
      </c>
      <c r="I19" s="136">
        <v>13</v>
      </c>
      <c r="J19" s="30">
        <v>2000</v>
      </c>
      <c r="K19" s="13">
        <f t="shared" si="1"/>
        <v>153.84615384615384</v>
      </c>
      <c r="L19" s="136">
        <v>13</v>
      </c>
      <c r="M19" s="14">
        <f t="shared" si="16"/>
        <v>1913.2394366197163</v>
      </c>
      <c r="N19" s="13">
        <f t="shared" si="3"/>
        <v>147.17226435536278</v>
      </c>
      <c r="O19" s="15">
        <f t="shared" si="4"/>
        <v>0</v>
      </c>
      <c r="P19" s="16">
        <f t="shared" si="5"/>
        <v>-6.6738894907910549</v>
      </c>
      <c r="Q19" s="132">
        <f t="shared" si="6"/>
        <v>0.95661971830985815</v>
      </c>
      <c r="R19" s="619"/>
      <c r="S19" s="31">
        <v>0.76597222222222228</v>
      </c>
      <c r="T19" s="31">
        <v>0.81527777777777788</v>
      </c>
      <c r="U19" s="131">
        <f t="shared" si="18"/>
        <v>5.9999999999999787</v>
      </c>
      <c r="V19" s="137">
        <f t="shared" si="17"/>
        <v>71.000000000000071</v>
      </c>
      <c r="W19" s="17"/>
      <c r="X19" s="17"/>
      <c r="Y19" s="20"/>
      <c r="Z19" s="20"/>
      <c r="AA19" s="127"/>
      <c r="AB19" s="128"/>
      <c r="AC19" s="155"/>
      <c r="AD19" s="19"/>
      <c r="AE19" s="15">
        <f t="shared" si="8"/>
        <v>-86.760563380283656</v>
      </c>
      <c r="AF19" s="132">
        <f t="shared" si="9"/>
        <v>0.95661971830985815</v>
      </c>
      <c r="AG19" s="619"/>
    </row>
    <row r="20" spans="1:33" ht="16.5" customHeight="1">
      <c r="A20" s="644" t="s">
        <v>388</v>
      </c>
      <c r="B20" s="33" t="s">
        <v>390</v>
      </c>
      <c r="C20" s="620"/>
      <c r="D20" s="620"/>
      <c r="E20" s="133"/>
      <c r="F20" s="34"/>
      <c r="G20" s="13"/>
      <c r="H20" s="138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1707.9758659176116</v>
      </c>
      <c r="N20" s="13">
        <f t="shared" si="3"/>
        <v>99.631925511860686</v>
      </c>
      <c r="O20" s="15">
        <f t="shared" si="4"/>
        <v>0</v>
      </c>
      <c r="P20" s="16">
        <f t="shared" si="5"/>
        <v>-4.5347411548059853</v>
      </c>
      <c r="Q20" s="132">
        <f t="shared" si="6"/>
        <v>0.95646648491386255</v>
      </c>
      <c r="R20" s="619"/>
      <c r="S20" s="31"/>
      <c r="T20" s="31"/>
      <c r="U20" s="131"/>
      <c r="V20" s="137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-77.738419796674179</v>
      </c>
      <c r="AF20" s="132">
        <f t="shared" si="9"/>
        <v>0.95646648491386244</v>
      </c>
      <c r="AG20" s="619"/>
    </row>
    <row r="21" spans="1:33" ht="15.75" customHeight="1">
      <c r="A21" s="637" t="s">
        <v>189</v>
      </c>
      <c r="B21" s="33" t="s">
        <v>6</v>
      </c>
      <c r="C21" s="635" t="s">
        <v>22</v>
      </c>
      <c r="D21" s="635"/>
      <c r="E21" s="33">
        <v>50.67</v>
      </c>
      <c r="F21" s="138">
        <v>1567</v>
      </c>
      <c r="G21" s="131">
        <f t="shared" ref="G21:G27" si="19">E21*F21</f>
        <v>79399.89</v>
      </c>
      <c r="H21" s="29" t="s">
        <v>5</v>
      </c>
      <c r="I21" s="136">
        <v>17</v>
      </c>
      <c r="J21" s="30">
        <v>2000</v>
      </c>
      <c r="K21" s="13">
        <f t="shared" si="1"/>
        <v>117.64705882352941</v>
      </c>
      <c r="L21" s="136">
        <v>17</v>
      </c>
      <c r="M21" s="14">
        <f t="shared" ref="M21:M27" si="20">F21/V21*60</f>
        <v>1918.7755102040821</v>
      </c>
      <c r="N21" s="13">
        <f t="shared" si="3"/>
        <v>112.86914765906366</v>
      </c>
      <c r="O21" s="15">
        <f t="shared" si="4"/>
        <v>0</v>
      </c>
      <c r="P21" s="16">
        <f t="shared" si="5"/>
        <v>-4.777911164465749</v>
      </c>
      <c r="Q21" s="132">
        <f t="shared" si="6"/>
        <v>0.95938775510204111</v>
      </c>
      <c r="R21" s="619">
        <f>Q28</f>
        <v>0.96473856853265627</v>
      </c>
      <c r="S21" s="31">
        <v>0.20833333333333334</v>
      </c>
      <c r="T21" s="31">
        <v>0.24236111111111111</v>
      </c>
      <c r="U21" s="131"/>
      <c r="V21" s="137">
        <f t="shared" ref="V21:V27" si="21">(T21-S21)*24*60</f>
        <v>48.999999999999986</v>
      </c>
      <c r="W21" s="17"/>
      <c r="X21" s="17"/>
      <c r="Y21" s="22"/>
      <c r="Z21" s="22"/>
      <c r="AA21" s="610"/>
      <c r="AB21" s="610"/>
      <c r="AC21" s="155">
        <v>7</v>
      </c>
      <c r="AD21" s="19"/>
      <c r="AE21" s="15">
        <f t="shared" si="8"/>
        <v>-81.224489795917862</v>
      </c>
      <c r="AF21" s="132">
        <f t="shared" si="9"/>
        <v>0.95938775510204111</v>
      </c>
      <c r="AG21" s="619">
        <f>AF28</f>
        <v>0.96473856853265627</v>
      </c>
    </row>
    <row r="22" spans="1:33" ht="15.75" customHeight="1">
      <c r="A22" s="638" t="s">
        <v>391</v>
      </c>
      <c r="B22" s="33" t="s">
        <v>6</v>
      </c>
      <c r="C22" s="635" t="s">
        <v>23</v>
      </c>
      <c r="D22" s="635"/>
      <c r="E22" s="33">
        <v>57.73</v>
      </c>
      <c r="F22" s="138">
        <v>1837</v>
      </c>
      <c r="G22" s="131">
        <f t="shared" si="19"/>
        <v>106050.01</v>
      </c>
      <c r="H22" s="29" t="s">
        <v>5</v>
      </c>
      <c r="I22" s="136">
        <v>14</v>
      </c>
      <c r="J22" s="30">
        <v>2000</v>
      </c>
      <c r="K22" s="13">
        <f t="shared" si="1"/>
        <v>142.85714285714286</v>
      </c>
      <c r="L22" s="136">
        <v>14</v>
      </c>
      <c r="M22" s="14">
        <f t="shared" si="20"/>
        <v>1933.684210526317</v>
      </c>
      <c r="N22" s="13">
        <f t="shared" si="3"/>
        <v>138.1203007518798</v>
      </c>
      <c r="O22" s="15">
        <f t="shared" si="4"/>
        <v>0</v>
      </c>
      <c r="P22" s="16">
        <f t="shared" si="5"/>
        <v>-4.7368421052630652</v>
      </c>
      <c r="Q22" s="132">
        <f t="shared" si="6"/>
        <v>0.9668421052631585</v>
      </c>
      <c r="R22" s="619"/>
      <c r="S22" s="31">
        <v>0.24791666666666667</v>
      </c>
      <c r="T22" s="31">
        <v>0.28749999999999998</v>
      </c>
      <c r="U22" s="131">
        <f t="shared" ref="U22:U27" si="22">IF(S22=TIME(17,0,0),"",(S22-T21)*24*60)</f>
        <v>8.0000000000000107</v>
      </c>
      <c r="V22" s="137">
        <f t="shared" si="21"/>
        <v>56.999999999999957</v>
      </c>
      <c r="W22" s="17"/>
      <c r="X22" s="131"/>
      <c r="Y22" s="131"/>
      <c r="Z22" s="131"/>
      <c r="AA22" s="610"/>
      <c r="AB22" s="610"/>
      <c r="AC22" s="155"/>
      <c r="AD22" s="19"/>
      <c r="AE22" s="15">
        <f t="shared" si="8"/>
        <v>-66.315789473683026</v>
      </c>
      <c r="AF22" s="132">
        <f t="shared" si="9"/>
        <v>0.9668421052631585</v>
      </c>
      <c r="AG22" s="619"/>
    </row>
    <row r="23" spans="1:33" ht="15.75" customHeight="1">
      <c r="A23" s="638" t="s">
        <v>189</v>
      </c>
      <c r="B23" s="33" t="s">
        <v>6</v>
      </c>
      <c r="C23" s="635" t="s">
        <v>24</v>
      </c>
      <c r="D23" s="635"/>
      <c r="E23" s="33">
        <v>53.27</v>
      </c>
      <c r="F23" s="138">
        <v>1860</v>
      </c>
      <c r="G23" s="131">
        <f t="shared" si="19"/>
        <v>99082.200000000012</v>
      </c>
      <c r="H23" s="29" t="s">
        <v>5</v>
      </c>
      <c r="I23" s="136">
        <v>16</v>
      </c>
      <c r="J23" s="30">
        <v>2000</v>
      </c>
      <c r="K23" s="13">
        <f t="shared" si="1"/>
        <v>125</v>
      </c>
      <c r="L23" s="136">
        <v>16</v>
      </c>
      <c r="M23" s="14">
        <f t="shared" si="20"/>
        <v>1924.1379310344817</v>
      </c>
      <c r="N23" s="13">
        <f t="shared" si="3"/>
        <v>120.2586206896551</v>
      </c>
      <c r="O23" s="15">
        <f t="shared" si="4"/>
        <v>0</v>
      </c>
      <c r="P23" s="16">
        <f t="shared" si="5"/>
        <v>-4.7413793103448967</v>
      </c>
      <c r="Q23" s="132">
        <f t="shared" si="6"/>
        <v>0.96206896551724086</v>
      </c>
      <c r="R23" s="619"/>
      <c r="S23" s="31">
        <v>0.29305555555555551</v>
      </c>
      <c r="T23" s="31">
        <v>0.33333333333333331</v>
      </c>
      <c r="U23" s="131">
        <f t="shared" si="22"/>
        <v>7.9999999999999716</v>
      </c>
      <c r="V23" s="137">
        <f t="shared" si="21"/>
        <v>58.000000000000036</v>
      </c>
      <c r="W23" s="17"/>
      <c r="X23" s="131"/>
      <c r="Y23" s="131"/>
      <c r="Z23" s="131"/>
      <c r="AA23" s="610"/>
      <c r="AB23" s="610"/>
      <c r="AC23" s="155"/>
      <c r="AD23" s="19"/>
      <c r="AE23" s="15">
        <f t="shared" si="8"/>
        <v>-75.862068965518347</v>
      </c>
      <c r="AF23" s="132">
        <f t="shared" si="9"/>
        <v>0.96206896551724086</v>
      </c>
      <c r="AG23" s="619"/>
    </row>
    <row r="24" spans="1:33" ht="15.75" customHeight="1">
      <c r="A24" s="638" t="s">
        <v>392</v>
      </c>
      <c r="B24" s="33" t="s">
        <v>6</v>
      </c>
      <c r="C24" s="635" t="s">
        <v>40</v>
      </c>
      <c r="D24" s="635"/>
      <c r="E24" s="33">
        <v>59.04</v>
      </c>
      <c r="F24" s="138">
        <v>1266</v>
      </c>
      <c r="G24" s="131">
        <f t="shared" si="19"/>
        <v>74744.639999999999</v>
      </c>
      <c r="H24" s="29" t="s">
        <v>5</v>
      </c>
      <c r="I24" s="136">
        <v>19</v>
      </c>
      <c r="J24" s="30">
        <v>2000</v>
      </c>
      <c r="K24" s="13">
        <f t="shared" si="1"/>
        <v>105.26315789473684</v>
      </c>
      <c r="L24" s="136">
        <v>19</v>
      </c>
      <c r="M24" s="14">
        <f t="shared" si="20"/>
        <v>1947.6923076923067</v>
      </c>
      <c r="N24" s="13">
        <f t="shared" si="3"/>
        <v>102.51012145748983</v>
      </c>
      <c r="O24" s="15">
        <f t="shared" si="4"/>
        <v>0</v>
      </c>
      <c r="P24" s="16">
        <f t="shared" si="5"/>
        <v>-2.7530364372470046</v>
      </c>
      <c r="Q24" s="132">
        <f t="shared" si="6"/>
        <v>0.97384615384615347</v>
      </c>
      <c r="R24" s="619"/>
      <c r="S24" s="31">
        <v>0.33680555555555552</v>
      </c>
      <c r="T24" s="31">
        <v>0.36388888888888887</v>
      </c>
      <c r="U24" s="131">
        <f t="shared" si="22"/>
        <v>4.9999999999999822</v>
      </c>
      <c r="V24" s="137">
        <f t="shared" si="21"/>
        <v>39.000000000000021</v>
      </c>
      <c r="W24" s="17"/>
      <c r="X24" s="131"/>
      <c r="Y24" s="131"/>
      <c r="Z24" s="131"/>
      <c r="AA24" s="610"/>
      <c r="AB24" s="610"/>
      <c r="AC24" s="155"/>
      <c r="AD24" s="19"/>
      <c r="AE24" s="15">
        <f t="shared" si="8"/>
        <v>-52.307692307693287</v>
      </c>
      <c r="AF24" s="132">
        <f t="shared" si="9"/>
        <v>0.97384615384615336</v>
      </c>
      <c r="AG24" s="619"/>
    </row>
    <row r="25" spans="1:33" ht="15.75" customHeight="1">
      <c r="A25" s="638" t="s">
        <v>393</v>
      </c>
      <c r="B25" s="33" t="s">
        <v>6</v>
      </c>
      <c r="C25" s="635" t="s">
        <v>21</v>
      </c>
      <c r="D25" s="635"/>
      <c r="E25" s="33">
        <v>50.49</v>
      </c>
      <c r="F25" s="138">
        <v>1612</v>
      </c>
      <c r="G25" s="131">
        <f t="shared" si="19"/>
        <v>81389.88</v>
      </c>
      <c r="H25" s="29" t="s">
        <v>5</v>
      </c>
      <c r="I25" s="136">
        <v>15</v>
      </c>
      <c r="J25" s="30">
        <v>2000</v>
      </c>
      <c r="K25" s="13">
        <f t="shared" si="1"/>
        <v>133.33333333333334</v>
      </c>
      <c r="L25" s="136">
        <v>15</v>
      </c>
      <c r="M25" s="14">
        <f t="shared" si="20"/>
        <v>1934.4000000000005</v>
      </c>
      <c r="N25" s="13">
        <f t="shared" si="3"/>
        <v>128.96000000000004</v>
      </c>
      <c r="O25" s="15">
        <f t="shared" si="4"/>
        <v>0</v>
      </c>
      <c r="P25" s="16">
        <f t="shared" si="5"/>
        <v>-4.3733333333333064</v>
      </c>
      <c r="Q25" s="132">
        <f t="shared" si="6"/>
        <v>0.96720000000000017</v>
      </c>
      <c r="R25" s="619"/>
      <c r="S25" s="31">
        <v>0.70833333333333337</v>
      </c>
      <c r="T25" s="31">
        <v>0.74305555555555558</v>
      </c>
      <c r="U25" s="131" t="str">
        <f t="shared" si="22"/>
        <v/>
      </c>
      <c r="V25" s="137">
        <f t="shared" si="21"/>
        <v>49.999999999999986</v>
      </c>
      <c r="W25" s="17"/>
      <c r="X25" s="17"/>
      <c r="Y25" s="131"/>
      <c r="Z25" s="131"/>
      <c r="AA25" s="610"/>
      <c r="AB25" s="610"/>
      <c r="AC25" s="155"/>
      <c r="AD25" s="19"/>
      <c r="AE25" s="15">
        <f t="shared" si="8"/>
        <v>-65.599999999999454</v>
      </c>
      <c r="AF25" s="132">
        <f t="shared" si="9"/>
        <v>0.96720000000000028</v>
      </c>
      <c r="AG25" s="619"/>
    </row>
    <row r="26" spans="1:33" ht="15.75" customHeight="1">
      <c r="A26" s="638" t="s">
        <v>189</v>
      </c>
      <c r="B26" s="33" t="s">
        <v>6</v>
      </c>
      <c r="C26" s="635" t="s">
        <v>26</v>
      </c>
      <c r="D26" s="635"/>
      <c r="E26" s="33">
        <v>54.09</v>
      </c>
      <c r="F26" s="138">
        <v>1597</v>
      </c>
      <c r="G26" s="131">
        <f t="shared" si="19"/>
        <v>86381.73000000001</v>
      </c>
      <c r="H26" s="29" t="s">
        <v>5</v>
      </c>
      <c r="I26" s="136">
        <v>18</v>
      </c>
      <c r="J26" s="30">
        <v>2000</v>
      </c>
      <c r="K26" s="13">
        <f t="shared" si="1"/>
        <v>111.11111111111111</v>
      </c>
      <c r="L26" s="136">
        <v>18</v>
      </c>
      <c r="M26" s="14">
        <f t="shared" si="20"/>
        <v>1916.4000000000005</v>
      </c>
      <c r="N26" s="13">
        <f t="shared" si="3"/>
        <v>106.4666666666667</v>
      </c>
      <c r="O26" s="15">
        <f t="shared" si="4"/>
        <v>0</v>
      </c>
      <c r="P26" s="16">
        <f t="shared" si="5"/>
        <v>-4.6444444444444173</v>
      </c>
      <c r="Q26" s="132">
        <f t="shared" si="6"/>
        <v>0.95820000000000027</v>
      </c>
      <c r="R26" s="619"/>
      <c r="S26" s="31">
        <v>0.74791666666666667</v>
      </c>
      <c r="T26" s="31">
        <v>0.78263888888888888</v>
      </c>
      <c r="U26" s="131">
        <f t="shared" si="22"/>
        <v>6.9999999999999751</v>
      </c>
      <c r="V26" s="137">
        <f t="shared" si="21"/>
        <v>49.999999999999986</v>
      </c>
      <c r="W26" s="17"/>
      <c r="X26" s="22"/>
      <c r="Y26" s="22"/>
      <c r="Z26" s="22"/>
      <c r="AA26" s="610"/>
      <c r="AB26" s="610"/>
      <c r="AC26" s="155"/>
      <c r="AD26" s="19"/>
      <c r="AE26" s="15">
        <f t="shared" si="8"/>
        <v>-83.599999999999454</v>
      </c>
      <c r="AF26" s="132">
        <f t="shared" si="9"/>
        <v>0.95820000000000027</v>
      </c>
      <c r="AG26" s="619"/>
    </row>
    <row r="27" spans="1:33" ht="15.75" customHeight="1">
      <c r="A27" s="638" t="s">
        <v>394</v>
      </c>
      <c r="B27" s="33" t="s">
        <v>6</v>
      </c>
      <c r="C27" s="639" t="s">
        <v>25</v>
      </c>
      <c r="D27" s="640"/>
      <c r="E27" s="33">
        <v>56.43</v>
      </c>
      <c r="F27" s="138">
        <v>1030</v>
      </c>
      <c r="G27" s="131">
        <f t="shared" si="19"/>
        <v>58122.9</v>
      </c>
      <c r="H27" s="29" t="s">
        <v>5</v>
      </c>
      <c r="I27" s="136">
        <v>13</v>
      </c>
      <c r="J27" s="30">
        <v>2000</v>
      </c>
      <c r="K27" s="13">
        <f t="shared" si="1"/>
        <v>153.84615384615384</v>
      </c>
      <c r="L27" s="136">
        <v>13</v>
      </c>
      <c r="M27" s="14">
        <f t="shared" si="20"/>
        <v>1931.2499999999975</v>
      </c>
      <c r="N27" s="13">
        <f t="shared" si="3"/>
        <v>148.55769230769212</v>
      </c>
      <c r="O27" s="15">
        <f t="shared" si="4"/>
        <v>0</v>
      </c>
      <c r="P27" s="16">
        <f t="shared" si="5"/>
        <v>-5.2884615384617177</v>
      </c>
      <c r="Q27" s="132">
        <f t="shared" si="6"/>
        <v>0.96562499999999885</v>
      </c>
      <c r="R27" s="619"/>
      <c r="S27" s="31">
        <v>0.78680555555555554</v>
      </c>
      <c r="T27" s="31">
        <v>0.80902777777777779</v>
      </c>
      <c r="U27" s="131">
        <f t="shared" si="22"/>
        <v>5.9999999999999787</v>
      </c>
      <c r="V27" s="137">
        <f t="shared" si="21"/>
        <v>32.000000000000043</v>
      </c>
      <c r="W27" s="17"/>
      <c r="X27" s="22"/>
      <c r="Y27" s="94"/>
      <c r="Z27" s="94"/>
      <c r="AA27" s="614"/>
      <c r="AB27" s="615"/>
      <c r="AC27" s="155"/>
      <c r="AD27" s="19"/>
      <c r="AE27" s="15">
        <f t="shared" si="8"/>
        <v>-68.750000000002501</v>
      </c>
      <c r="AF27" s="132">
        <f t="shared" si="9"/>
        <v>0.96562499999999873</v>
      </c>
      <c r="AG27" s="619"/>
    </row>
    <row r="28" spans="1:33" ht="15.75" customHeight="1">
      <c r="A28" s="638" t="s">
        <v>189</v>
      </c>
      <c r="B28" s="33" t="s">
        <v>80</v>
      </c>
      <c r="C28" s="620"/>
      <c r="D28" s="620"/>
      <c r="E28" s="133"/>
      <c r="F28" s="138"/>
      <c r="G28" s="131"/>
      <c r="H28" s="138"/>
      <c r="I28" s="23">
        <v>16</v>
      </c>
      <c r="J28" s="30">
        <v>2000</v>
      </c>
      <c r="K28" s="13">
        <f t="shared" si="1"/>
        <v>125</v>
      </c>
      <c r="L28" s="23">
        <v>16</v>
      </c>
      <c r="M28" s="14">
        <f>AVERAGE(M21:M27)</f>
        <v>1929.4771370653125</v>
      </c>
      <c r="N28" s="13">
        <f t="shared" si="3"/>
        <v>120.59232106658203</v>
      </c>
      <c r="O28" s="15">
        <f t="shared" si="4"/>
        <v>0</v>
      </c>
      <c r="P28" s="16">
        <f t="shared" si="5"/>
        <v>-4.4076789334179693</v>
      </c>
      <c r="Q28" s="132">
        <f t="shared" si="6"/>
        <v>0.96473856853265627</v>
      </c>
      <c r="R28" s="619"/>
      <c r="S28" s="31"/>
      <c r="T28" s="31"/>
      <c r="U28" s="13"/>
      <c r="V28" s="137"/>
      <c r="W28" s="13"/>
      <c r="X28" s="13"/>
      <c r="Y28" s="24">
        <f>SUM(Y21:Y27)</f>
        <v>0</v>
      </c>
      <c r="Z28" s="24">
        <f>SUM(Z21:Z27)</f>
        <v>0</v>
      </c>
      <c r="AA28" s="609"/>
      <c r="AB28" s="609"/>
      <c r="AC28" s="24">
        <v>7</v>
      </c>
      <c r="AD28" s="24">
        <f>SUM(AD21:AD27)</f>
        <v>0</v>
      </c>
      <c r="AE28" s="15">
        <f t="shared" si="8"/>
        <v>-70.52286293468751</v>
      </c>
      <c r="AF28" s="132">
        <f t="shared" si="9"/>
        <v>0.96473856853265627</v>
      </c>
      <c r="AG28" s="619"/>
    </row>
    <row r="29" spans="1:33" ht="15.75" customHeight="1">
      <c r="A29" s="636" t="s">
        <v>192</v>
      </c>
      <c r="B29" s="33" t="s">
        <v>27</v>
      </c>
      <c r="C29" s="635" t="s">
        <v>28</v>
      </c>
      <c r="D29" s="635"/>
      <c r="E29" s="33">
        <v>31.29</v>
      </c>
      <c r="F29" s="138">
        <v>3300</v>
      </c>
      <c r="G29" s="131">
        <f t="shared" ref="G29:G34" si="23">E29*F29</f>
        <v>103257</v>
      </c>
      <c r="H29" s="29">
        <v>2</v>
      </c>
      <c r="I29" s="136">
        <v>18</v>
      </c>
      <c r="J29" s="30">
        <v>2400</v>
      </c>
      <c r="K29" s="13">
        <f t="shared" si="1"/>
        <v>133.33333333333334</v>
      </c>
      <c r="L29" s="136">
        <v>18</v>
      </c>
      <c r="M29" s="14">
        <f t="shared" ref="M29:M34" si="24">F29/V29*60</f>
        <v>2302.3255813953492</v>
      </c>
      <c r="N29" s="13">
        <f t="shared" si="3"/>
        <v>127.90697674418607</v>
      </c>
      <c r="O29" s="15">
        <f t="shared" si="4"/>
        <v>0</v>
      </c>
      <c r="P29" s="16">
        <f t="shared" si="5"/>
        <v>-5.4263565891472751</v>
      </c>
      <c r="Q29" s="132">
        <f t="shared" si="6"/>
        <v>0.95930232558139539</v>
      </c>
      <c r="R29" s="619">
        <f>Q35</f>
        <v>0.95550514251468111</v>
      </c>
      <c r="S29" s="31">
        <v>8.3333333333333329E-2</v>
      </c>
      <c r="T29" s="31">
        <v>0.14305555555555555</v>
      </c>
      <c r="U29" s="131"/>
      <c r="V29" s="137">
        <f t="shared" ref="V29:V34" si="25">(T29-S29)*24*60</f>
        <v>85.999999999999986</v>
      </c>
      <c r="W29" s="17">
        <f>T29</f>
        <v>0.14305555555555555</v>
      </c>
      <c r="X29" s="17">
        <f>S30</f>
        <v>0.16041666666666662</v>
      </c>
      <c r="Y29" s="17"/>
      <c r="Z29" s="17"/>
      <c r="AA29" s="610"/>
      <c r="AB29" s="610"/>
      <c r="AC29" s="155">
        <v>6</v>
      </c>
      <c r="AD29" s="19"/>
      <c r="AE29" s="15">
        <f t="shared" si="8"/>
        <v>-97.674418604650782</v>
      </c>
      <c r="AF29" s="132">
        <f t="shared" si="9"/>
        <v>0.9593023255813955</v>
      </c>
      <c r="AG29" s="619">
        <f>AF35</f>
        <v>0.95550514251468111</v>
      </c>
    </row>
    <row r="30" spans="1:33" ht="15.75" customHeight="1">
      <c r="A30" s="636" t="s">
        <v>193</v>
      </c>
      <c r="B30" s="33" t="s">
        <v>27</v>
      </c>
      <c r="C30" s="635" t="s">
        <v>29</v>
      </c>
      <c r="D30" s="635"/>
      <c r="E30" s="33">
        <v>26.37</v>
      </c>
      <c r="F30" s="138">
        <v>6280</v>
      </c>
      <c r="G30" s="131">
        <f t="shared" si="23"/>
        <v>165603.6</v>
      </c>
      <c r="H30" s="29" t="s">
        <v>5</v>
      </c>
      <c r="I30" s="136">
        <v>18</v>
      </c>
      <c r="J30" s="30">
        <v>2400</v>
      </c>
      <c r="K30" s="13">
        <f t="shared" si="1"/>
        <v>133.33333333333334</v>
      </c>
      <c r="L30" s="136">
        <v>18</v>
      </c>
      <c r="M30" s="14">
        <f t="shared" si="24"/>
        <v>2283.636363636364</v>
      </c>
      <c r="N30" s="13">
        <f t="shared" si="3"/>
        <v>126.86868686868689</v>
      </c>
      <c r="O30" s="15">
        <f t="shared" si="4"/>
        <v>0</v>
      </c>
      <c r="P30" s="16">
        <f t="shared" si="5"/>
        <v>-6.4646464646464494</v>
      </c>
      <c r="Q30" s="132">
        <f t="shared" si="6"/>
        <v>0.95151515151515165</v>
      </c>
      <c r="R30" s="619"/>
      <c r="S30" s="31">
        <v>0.16041666666666662</v>
      </c>
      <c r="T30" s="31">
        <v>0.27499999999999997</v>
      </c>
      <c r="U30" s="131">
        <f t="shared" ref="U30:U34" si="26">(S30-T29)*24*60</f>
        <v>24.99999999999995</v>
      </c>
      <c r="V30" s="137">
        <f t="shared" si="25"/>
        <v>165</v>
      </c>
      <c r="W30" s="17"/>
      <c r="X30" s="17"/>
      <c r="Y30" s="17"/>
      <c r="Z30" s="17"/>
      <c r="AA30" s="610"/>
      <c r="AB30" s="610"/>
      <c r="AC30" s="155"/>
      <c r="AD30" s="19"/>
      <c r="AE30" s="15">
        <f t="shared" si="8"/>
        <v>-116.36363636363603</v>
      </c>
      <c r="AF30" s="132">
        <f t="shared" si="9"/>
        <v>0.95151515151515165</v>
      </c>
      <c r="AG30" s="619"/>
    </row>
    <row r="31" spans="1:33" ht="15.75" customHeight="1">
      <c r="A31" s="636" t="s">
        <v>395</v>
      </c>
      <c r="B31" s="33" t="s">
        <v>27</v>
      </c>
      <c r="C31" s="635" t="s">
        <v>34</v>
      </c>
      <c r="D31" s="635"/>
      <c r="E31" s="33">
        <v>24.43</v>
      </c>
      <c r="F31" s="138">
        <v>6644</v>
      </c>
      <c r="G31" s="131">
        <f t="shared" si="23"/>
        <v>162312.91999999998</v>
      </c>
      <c r="H31" s="29" t="s">
        <v>5</v>
      </c>
      <c r="I31" s="136">
        <v>14</v>
      </c>
      <c r="J31" s="30">
        <v>2400</v>
      </c>
      <c r="K31" s="13">
        <f t="shared" si="1"/>
        <v>171.42857142857142</v>
      </c>
      <c r="L31" s="136">
        <v>14</v>
      </c>
      <c r="M31" s="14">
        <f t="shared" si="24"/>
        <v>2291.0344827586205</v>
      </c>
      <c r="N31" s="13">
        <f t="shared" si="3"/>
        <v>163.64532019704433</v>
      </c>
      <c r="O31" s="15">
        <f t="shared" si="4"/>
        <v>0</v>
      </c>
      <c r="P31" s="16">
        <f t="shared" si="5"/>
        <v>-7.783251231527089</v>
      </c>
      <c r="Q31" s="132">
        <f t="shared" si="6"/>
        <v>0.95459770114942533</v>
      </c>
      <c r="R31" s="619"/>
      <c r="S31" s="31">
        <v>0.27986111111111106</v>
      </c>
      <c r="T31" s="31">
        <v>0.40069444444444441</v>
      </c>
      <c r="U31" s="131">
        <f t="shared" si="26"/>
        <v>6.9999999999999751</v>
      </c>
      <c r="V31" s="137">
        <f t="shared" si="25"/>
        <v>174.00000000000003</v>
      </c>
      <c r="W31" s="17"/>
      <c r="X31" s="17"/>
      <c r="Y31" s="17"/>
      <c r="Z31" s="17"/>
      <c r="AA31" s="610"/>
      <c r="AB31" s="610"/>
      <c r="AC31" s="155"/>
      <c r="AD31" s="19"/>
      <c r="AE31" s="15">
        <f t="shared" si="8"/>
        <v>-108.96551724137953</v>
      </c>
      <c r="AF31" s="132">
        <f t="shared" si="9"/>
        <v>0.95459770114942522</v>
      </c>
      <c r="AG31" s="619"/>
    </row>
    <row r="32" spans="1:33" ht="15.75" customHeight="1">
      <c r="A32" s="636" t="s">
        <v>193</v>
      </c>
      <c r="B32" s="33" t="s">
        <v>27</v>
      </c>
      <c r="C32" s="635" t="s">
        <v>35</v>
      </c>
      <c r="D32" s="635"/>
      <c r="E32" s="33">
        <v>34.1</v>
      </c>
      <c r="F32" s="138">
        <v>3400</v>
      </c>
      <c r="G32" s="131">
        <f t="shared" si="23"/>
        <v>115940</v>
      </c>
      <c r="H32" s="29">
        <v>2</v>
      </c>
      <c r="I32" s="136">
        <v>17</v>
      </c>
      <c r="J32" s="30">
        <v>1600</v>
      </c>
      <c r="K32" s="13">
        <f t="shared" si="1"/>
        <v>94.117647058823536</v>
      </c>
      <c r="L32" s="136">
        <v>17</v>
      </c>
      <c r="M32" s="14">
        <f t="shared" si="24"/>
        <v>1522.3880597014925</v>
      </c>
      <c r="N32" s="13">
        <f t="shared" si="3"/>
        <v>89.552238805970148</v>
      </c>
      <c r="O32" s="15">
        <f t="shared" si="4"/>
        <v>0</v>
      </c>
      <c r="P32" s="16">
        <f t="shared" si="5"/>
        <v>-4.5654082528533877</v>
      </c>
      <c r="Q32" s="132">
        <f t="shared" si="6"/>
        <v>0.95149253731343275</v>
      </c>
      <c r="R32" s="619"/>
      <c r="S32" s="31">
        <v>0.40416666666666662</v>
      </c>
      <c r="T32" s="31">
        <v>0.49722222222222218</v>
      </c>
      <c r="U32" s="131">
        <f t="shared" si="26"/>
        <v>4.9999999999999822</v>
      </c>
      <c r="V32" s="137">
        <f t="shared" si="25"/>
        <v>134</v>
      </c>
      <c r="W32" s="17">
        <f>T32</f>
        <v>0.49722222222222218</v>
      </c>
      <c r="X32" s="17">
        <f>S33</f>
        <v>0.53888888888888886</v>
      </c>
      <c r="Y32" s="17"/>
      <c r="Z32" s="17"/>
      <c r="AA32" s="610"/>
      <c r="AB32" s="610"/>
      <c r="AC32" s="155"/>
      <c r="AD32" s="19"/>
      <c r="AE32" s="15">
        <f t="shared" si="8"/>
        <v>-77.611940298507534</v>
      </c>
      <c r="AF32" s="132">
        <f t="shared" si="9"/>
        <v>0.95149253731343275</v>
      </c>
      <c r="AG32" s="619"/>
    </row>
    <row r="33" spans="1:33" ht="15.75" customHeight="1">
      <c r="A33" s="636" t="s">
        <v>396</v>
      </c>
      <c r="B33" s="33" t="s">
        <v>27</v>
      </c>
      <c r="C33" s="635" t="s">
        <v>28</v>
      </c>
      <c r="D33" s="635"/>
      <c r="E33" s="33">
        <v>31.29</v>
      </c>
      <c r="F33" s="138">
        <v>4673</v>
      </c>
      <c r="G33" s="131">
        <f t="shared" si="23"/>
        <v>146218.16999999998</v>
      </c>
      <c r="H33" s="29" t="s">
        <v>5</v>
      </c>
      <c r="I33" s="136">
        <v>18</v>
      </c>
      <c r="J33" s="30">
        <v>2400</v>
      </c>
      <c r="K33" s="13">
        <f t="shared" si="1"/>
        <v>133.33333333333334</v>
      </c>
      <c r="L33" s="136">
        <v>18</v>
      </c>
      <c r="M33" s="14">
        <f t="shared" si="24"/>
        <v>2298.1967213114749</v>
      </c>
      <c r="N33" s="13">
        <f t="shared" si="3"/>
        <v>127.67759562841528</v>
      </c>
      <c r="O33" s="15">
        <f t="shared" si="4"/>
        <v>0</v>
      </c>
      <c r="P33" s="16">
        <f t="shared" si="5"/>
        <v>-5.6557377049180673</v>
      </c>
      <c r="Q33" s="132">
        <f t="shared" si="6"/>
        <v>0.9575819672131145</v>
      </c>
      <c r="R33" s="619"/>
      <c r="S33" s="31">
        <v>0.53888888888888886</v>
      </c>
      <c r="T33" s="31">
        <v>0.62361111111111112</v>
      </c>
      <c r="U33" s="131">
        <f t="shared" si="26"/>
        <v>60.000000000000028</v>
      </c>
      <c r="V33" s="137">
        <f t="shared" si="25"/>
        <v>122.00000000000004</v>
      </c>
      <c r="W33" s="17"/>
      <c r="X33" s="17"/>
      <c r="Y33" s="17"/>
      <c r="Z33" s="17"/>
      <c r="AA33" s="610"/>
      <c r="AB33" s="610"/>
      <c r="AC33" s="155"/>
      <c r="AD33" s="19"/>
      <c r="AE33" s="15">
        <f t="shared" si="8"/>
        <v>-101.8032786885251</v>
      </c>
      <c r="AF33" s="132">
        <f t="shared" si="9"/>
        <v>0.9575819672131145</v>
      </c>
      <c r="AG33" s="619"/>
    </row>
    <row r="34" spans="1:33" ht="15.75" customHeight="1">
      <c r="A34" s="636" t="s">
        <v>193</v>
      </c>
      <c r="B34" s="33" t="s">
        <v>27</v>
      </c>
      <c r="C34" s="635" t="s">
        <v>35</v>
      </c>
      <c r="D34" s="635"/>
      <c r="E34" s="33">
        <v>34.1</v>
      </c>
      <c r="F34" s="138">
        <v>2657</v>
      </c>
      <c r="G34" s="131">
        <f t="shared" si="23"/>
        <v>90603.7</v>
      </c>
      <c r="H34" s="29" t="s">
        <v>5</v>
      </c>
      <c r="I34" s="136">
        <v>17</v>
      </c>
      <c r="J34" s="30">
        <v>1600</v>
      </c>
      <c r="K34" s="13">
        <f t="shared" si="1"/>
        <v>94.117647058823536</v>
      </c>
      <c r="L34" s="136">
        <v>17</v>
      </c>
      <c r="M34" s="14">
        <f t="shared" si="24"/>
        <v>1532.8846153846162</v>
      </c>
      <c r="N34" s="13">
        <f t="shared" si="3"/>
        <v>90.169683257918592</v>
      </c>
      <c r="O34" s="15">
        <f t="shared" si="4"/>
        <v>0</v>
      </c>
      <c r="P34" s="16">
        <f t="shared" si="5"/>
        <v>-3.9479638009049438</v>
      </c>
      <c r="Q34" s="132">
        <f t="shared" si="6"/>
        <v>0.95805288461538496</v>
      </c>
      <c r="R34" s="619"/>
      <c r="S34" s="31">
        <v>0.62916666666666665</v>
      </c>
      <c r="T34" s="31">
        <v>0.70138888888888884</v>
      </c>
      <c r="U34" s="131">
        <f t="shared" si="26"/>
        <v>7.9999999999999716</v>
      </c>
      <c r="V34" s="137">
        <f t="shared" si="25"/>
        <v>103.99999999999994</v>
      </c>
      <c r="W34" s="17"/>
      <c r="X34" s="17"/>
      <c r="Y34" s="17"/>
      <c r="Z34" s="17"/>
      <c r="AA34" s="610"/>
      <c r="AB34" s="610"/>
      <c r="AC34" s="155"/>
      <c r="AD34" s="19"/>
      <c r="AE34" s="15">
        <f t="shared" si="8"/>
        <v>-67.115384615383846</v>
      </c>
      <c r="AF34" s="132">
        <f t="shared" si="9"/>
        <v>0.95805288461538507</v>
      </c>
      <c r="AG34" s="619"/>
    </row>
    <row r="35" spans="1:33" ht="15.75" customHeight="1">
      <c r="A35" s="636" t="s">
        <v>192</v>
      </c>
      <c r="B35" s="33" t="s">
        <v>397</v>
      </c>
      <c r="C35" s="620"/>
      <c r="D35" s="620"/>
      <c r="E35" s="133"/>
      <c r="F35" s="138"/>
      <c r="G35" s="131"/>
      <c r="H35" s="138"/>
      <c r="I35" s="23">
        <v>17</v>
      </c>
      <c r="J35" s="30">
        <v>2133.3333333333335</v>
      </c>
      <c r="K35" s="13">
        <f t="shared" si="1"/>
        <v>125.49019607843138</v>
      </c>
      <c r="L35" s="23">
        <v>17</v>
      </c>
      <c r="M35" s="14">
        <f>AVERAGE(M29:M34)</f>
        <v>2038.4109706979864</v>
      </c>
      <c r="N35" s="13">
        <f t="shared" si="3"/>
        <v>119.90652768811685</v>
      </c>
      <c r="O35" s="15">
        <f t="shared" si="4"/>
        <v>0</v>
      </c>
      <c r="P35" s="16">
        <f t="shared" si="5"/>
        <v>-5.5836683903145286</v>
      </c>
      <c r="Q35" s="132">
        <f t="shared" si="6"/>
        <v>0.95550514251468111</v>
      </c>
      <c r="R35" s="619"/>
      <c r="S35" s="31"/>
      <c r="T35" s="31"/>
      <c r="U35" s="131"/>
      <c r="V35" s="137"/>
      <c r="W35" s="131"/>
      <c r="X35" s="131"/>
      <c r="Y35" s="24">
        <f>SUM(Y29:Y34)</f>
        <v>0</v>
      </c>
      <c r="Z35" s="24">
        <f>SUM(Z29:Z34)</f>
        <v>0</v>
      </c>
      <c r="AA35" s="609"/>
      <c r="AB35" s="609"/>
      <c r="AC35" s="24">
        <v>6</v>
      </c>
      <c r="AD35" s="24">
        <f>SUM(AD29:AD34)</f>
        <v>0</v>
      </c>
      <c r="AE35" s="15">
        <f t="shared" si="8"/>
        <v>-94.922362635347099</v>
      </c>
      <c r="AF35" s="132">
        <f t="shared" si="9"/>
        <v>0.95550514251468111</v>
      </c>
      <c r="AG35" s="619"/>
    </row>
    <row r="36" spans="1:33" ht="15.75" customHeight="1">
      <c r="A36" s="633" t="s">
        <v>398</v>
      </c>
      <c r="B36" s="33" t="s">
        <v>27</v>
      </c>
      <c r="C36" s="611" t="s">
        <v>33</v>
      </c>
      <c r="D36" s="611"/>
      <c r="E36" s="33">
        <v>26.18</v>
      </c>
      <c r="F36" s="138">
        <v>5828</v>
      </c>
      <c r="G36" s="131">
        <f t="shared" ref="G36:G42" si="27">E36*F36</f>
        <v>152577.04</v>
      </c>
      <c r="H36" s="29" t="s">
        <v>5</v>
      </c>
      <c r="I36" s="136">
        <v>20</v>
      </c>
      <c r="J36" s="30">
        <v>2400</v>
      </c>
      <c r="K36" s="13">
        <f t="shared" si="1"/>
        <v>120</v>
      </c>
      <c r="L36" s="136">
        <v>20</v>
      </c>
      <c r="M36" s="14">
        <f t="shared" ref="M36:M42" si="28">F36/V36*60</f>
        <v>2285.4901960784314</v>
      </c>
      <c r="N36" s="13">
        <f t="shared" si="3"/>
        <v>114.27450980392157</v>
      </c>
      <c r="O36" s="15">
        <f t="shared" si="4"/>
        <v>0</v>
      </c>
      <c r="P36" s="16">
        <f t="shared" si="5"/>
        <v>-5.7254901960784252</v>
      </c>
      <c r="Q36" s="132">
        <f t="shared" si="6"/>
        <v>0.95228758169934646</v>
      </c>
      <c r="R36" s="619">
        <f>Q43</f>
        <v>0.95637520279480082</v>
      </c>
      <c r="S36" s="31">
        <v>8.3333333333333329E-2</v>
      </c>
      <c r="T36" s="31">
        <v>0.18958333333333333</v>
      </c>
      <c r="U36" s="131"/>
      <c r="V36" s="137">
        <f t="shared" ref="V36:V42" si="29">(T36-S36)*24*60</f>
        <v>153</v>
      </c>
      <c r="W36" s="22">
        <f>T36</f>
        <v>0.18958333333333333</v>
      </c>
      <c r="X36" s="22">
        <f>S37</f>
        <v>0.20902777777777778</v>
      </c>
      <c r="Y36" s="22"/>
      <c r="Z36" s="22"/>
      <c r="AA36" s="610"/>
      <c r="AB36" s="610"/>
      <c r="AC36" s="155">
        <v>7</v>
      </c>
      <c r="AD36" s="19"/>
      <c r="AE36" s="15">
        <f t="shared" si="8"/>
        <v>-114.50980392156862</v>
      </c>
      <c r="AF36" s="132">
        <f t="shared" si="9"/>
        <v>0.95228758169934646</v>
      </c>
      <c r="AG36" s="619">
        <f>AF43</f>
        <v>0.95637520279480082</v>
      </c>
    </row>
    <row r="37" spans="1:33" ht="15.75" customHeight="1">
      <c r="A37" s="633" t="s">
        <v>83</v>
      </c>
      <c r="B37" s="33" t="s">
        <v>27</v>
      </c>
      <c r="C37" s="611" t="s">
        <v>53</v>
      </c>
      <c r="D37" s="611"/>
      <c r="E37" s="33">
        <v>28.29</v>
      </c>
      <c r="F37" s="138">
        <v>2975</v>
      </c>
      <c r="G37" s="131">
        <f t="shared" si="27"/>
        <v>84162.75</v>
      </c>
      <c r="H37" s="29" t="s">
        <v>5</v>
      </c>
      <c r="I37" s="136">
        <v>19</v>
      </c>
      <c r="J37" s="30">
        <v>2400</v>
      </c>
      <c r="K37" s="13">
        <f t="shared" si="1"/>
        <v>126.31578947368421</v>
      </c>
      <c r="L37" s="136">
        <v>19</v>
      </c>
      <c r="M37" s="14">
        <f t="shared" si="28"/>
        <v>2288.4615384615386</v>
      </c>
      <c r="N37" s="13">
        <f t="shared" si="3"/>
        <v>120.44534412955466</v>
      </c>
      <c r="O37" s="15">
        <f t="shared" si="4"/>
        <v>0</v>
      </c>
      <c r="P37" s="16">
        <f t="shared" si="5"/>
        <v>-5.8704453441295499</v>
      </c>
      <c r="Q37" s="132">
        <f t="shared" si="6"/>
        <v>0.95352564102564108</v>
      </c>
      <c r="R37" s="619"/>
      <c r="S37" s="31">
        <v>0.20902777777777778</v>
      </c>
      <c r="T37" s="31">
        <v>0.26319444444444445</v>
      </c>
      <c r="U37" s="131">
        <f t="shared" ref="U37:U42" si="30">(S37-T36)*24*60</f>
        <v>28.000000000000021</v>
      </c>
      <c r="V37" s="137">
        <f t="shared" si="29"/>
        <v>78</v>
      </c>
      <c r="W37" s="131"/>
      <c r="X37" s="131"/>
      <c r="Y37" s="131"/>
      <c r="Z37" s="131"/>
      <c r="AA37" s="610"/>
      <c r="AB37" s="610"/>
      <c r="AC37" s="155"/>
      <c r="AD37" s="19"/>
      <c r="AE37" s="15">
        <f t="shared" si="8"/>
        <v>-111.53846153846143</v>
      </c>
      <c r="AF37" s="132">
        <f t="shared" si="9"/>
        <v>0.95352564102564108</v>
      </c>
      <c r="AG37" s="619"/>
    </row>
    <row r="38" spans="1:33">
      <c r="A38" s="634" t="s">
        <v>399</v>
      </c>
      <c r="B38" s="33" t="s">
        <v>27</v>
      </c>
      <c r="C38" s="611" t="s">
        <v>30</v>
      </c>
      <c r="D38" s="611"/>
      <c r="E38" s="33">
        <v>26.18</v>
      </c>
      <c r="F38" s="138">
        <v>3000</v>
      </c>
      <c r="G38" s="131">
        <f t="shared" si="27"/>
        <v>78540</v>
      </c>
      <c r="H38" s="29">
        <v>2</v>
      </c>
      <c r="I38" s="136">
        <v>18</v>
      </c>
      <c r="J38" s="30">
        <v>2400</v>
      </c>
      <c r="K38" s="13">
        <f t="shared" si="1"/>
        <v>133.33333333333334</v>
      </c>
      <c r="L38" s="136">
        <v>18</v>
      </c>
      <c r="M38" s="14">
        <f t="shared" si="28"/>
        <v>2307.692307692309</v>
      </c>
      <c r="N38" s="13">
        <f t="shared" si="3"/>
        <v>128.20512820512829</v>
      </c>
      <c r="O38" s="15">
        <f t="shared" si="4"/>
        <v>0</v>
      </c>
      <c r="P38" s="16">
        <f t="shared" si="5"/>
        <v>-5.1282051282050531</v>
      </c>
      <c r="Q38" s="132">
        <f t="shared" si="6"/>
        <v>0.96153846153846212</v>
      </c>
      <c r="R38" s="619"/>
      <c r="S38" s="31">
        <v>0.2673611111111111</v>
      </c>
      <c r="T38" s="31">
        <v>0.32152777777777775</v>
      </c>
      <c r="U38" s="131">
        <f t="shared" si="30"/>
        <v>5.9999999999999787</v>
      </c>
      <c r="V38" s="137">
        <f t="shared" si="29"/>
        <v>77.999999999999957</v>
      </c>
      <c r="W38" s="131"/>
      <c r="X38" s="131"/>
      <c r="Y38" s="131"/>
      <c r="Z38" s="131"/>
      <c r="AA38" s="610"/>
      <c r="AB38" s="610"/>
      <c r="AC38" s="155"/>
      <c r="AD38" s="19"/>
      <c r="AE38" s="15">
        <f t="shared" si="8"/>
        <v>-92.307692307691013</v>
      </c>
      <c r="AF38" s="132">
        <f t="shared" si="9"/>
        <v>0.96153846153846212</v>
      </c>
      <c r="AG38" s="619"/>
    </row>
    <row r="39" spans="1:33">
      <c r="A39" s="634" t="s">
        <v>399</v>
      </c>
      <c r="B39" s="33" t="s">
        <v>27</v>
      </c>
      <c r="C39" s="611" t="s">
        <v>32</v>
      </c>
      <c r="D39" s="611"/>
      <c r="E39" s="33">
        <v>25.99</v>
      </c>
      <c r="F39" s="138">
        <v>3694</v>
      </c>
      <c r="G39" s="131">
        <f t="shared" si="27"/>
        <v>96007.06</v>
      </c>
      <c r="H39" s="29" t="s">
        <v>5</v>
      </c>
      <c r="I39" s="136">
        <v>14</v>
      </c>
      <c r="J39" s="30">
        <v>2400</v>
      </c>
      <c r="K39" s="13">
        <f t="shared" si="1"/>
        <v>171.42857142857142</v>
      </c>
      <c r="L39" s="136">
        <v>14</v>
      </c>
      <c r="M39" s="14">
        <f t="shared" si="28"/>
        <v>2284.9484536082482</v>
      </c>
      <c r="N39" s="13">
        <f t="shared" si="3"/>
        <v>163.21060382916059</v>
      </c>
      <c r="O39" s="15">
        <f t="shared" si="4"/>
        <v>0</v>
      </c>
      <c r="P39" s="16">
        <f t="shared" si="5"/>
        <v>-8.2179675994108266</v>
      </c>
      <c r="Q39" s="132">
        <f t="shared" si="6"/>
        <v>0.95206185567010349</v>
      </c>
      <c r="R39" s="619"/>
      <c r="S39" s="31">
        <v>0.3256944444444444</v>
      </c>
      <c r="T39" s="31">
        <v>0.39305555555555549</v>
      </c>
      <c r="U39" s="131">
        <f t="shared" si="30"/>
        <v>5.9999999999999787</v>
      </c>
      <c r="V39" s="137">
        <f t="shared" si="29"/>
        <v>96.999999999999972</v>
      </c>
      <c r="W39" s="17"/>
      <c r="X39" s="17"/>
      <c r="Y39" s="17"/>
      <c r="Z39" s="17"/>
      <c r="AA39" s="610"/>
      <c r="AB39" s="610"/>
      <c r="AC39" s="155"/>
      <c r="AD39" s="19"/>
      <c r="AE39" s="15">
        <f t="shared" si="8"/>
        <v>-115.0515463917518</v>
      </c>
      <c r="AF39" s="132">
        <f t="shared" si="9"/>
        <v>0.95206185567010337</v>
      </c>
      <c r="AG39" s="619"/>
    </row>
    <row r="40" spans="1:33">
      <c r="A40" s="634" t="s">
        <v>83</v>
      </c>
      <c r="B40" s="33" t="s">
        <v>27</v>
      </c>
      <c r="C40" s="611" t="s">
        <v>52</v>
      </c>
      <c r="D40" s="611"/>
      <c r="E40" s="33">
        <v>25.98</v>
      </c>
      <c r="F40" s="138">
        <v>2053</v>
      </c>
      <c r="G40" s="131">
        <f t="shared" si="27"/>
        <v>53336.94</v>
      </c>
      <c r="H40" s="29" t="s">
        <v>5</v>
      </c>
      <c r="I40" s="136">
        <v>17</v>
      </c>
      <c r="J40" s="30">
        <v>2400</v>
      </c>
      <c r="K40" s="13">
        <f t="shared" si="1"/>
        <v>141.1764705882353</v>
      </c>
      <c r="L40" s="136">
        <v>17</v>
      </c>
      <c r="M40" s="14">
        <f t="shared" si="28"/>
        <v>2324.1509433962278</v>
      </c>
      <c r="N40" s="13">
        <f t="shared" si="3"/>
        <v>136.7147613762487</v>
      </c>
      <c r="O40" s="15">
        <f t="shared" si="4"/>
        <v>0</v>
      </c>
      <c r="P40" s="16">
        <f t="shared" si="5"/>
        <v>-4.4617092119866015</v>
      </c>
      <c r="Q40" s="132">
        <f t="shared" si="6"/>
        <v>0.96839622641509493</v>
      </c>
      <c r="R40" s="619"/>
      <c r="S40" s="31">
        <v>0.3965277777777777</v>
      </c>
      <c r="T40" s="31">
        <v>0.43333333333333324</v>
      </c>
      <c r="U40" s="131">
        <f t="shared" si="30"/>
        <v>4.9999999999999822</v>
      </c>
      <c r="V40" s="137">
        <f t="shared" si="29"/>
        <v>52.999999999999972</v>
      </c>
      <c r="W40" s="17"/>
      <c r="X40" s="17"/>
      <c r="Y40" s="17"/>
      <c r="Z40" s="17"/>
      <c r="AA40" s="610"/>
      <c r="AB40" s="610"/>
      <c r="AC40" s="155"/>
      <c r="AD40" s="19"/>
      <c r="AE40" s="15">
        <f t="shared" si="8"/>
        <v>-75.849056603772169</v>
      </c>
      <c r="AF40" s="132">
        <f t="shared" si="9"/>
        <v>0.96839622641509493</v>
      </c>
      <c r="AG40" s="619"/>
    </row>
    <row r="41" spans="1:33">
      <c r="A41" s="634" t="s">
        <v>83</v>
      </c>
      <c r="B41" s="33" t="s">
        <v>27</v>
      </c>
      <c r="C41" s="611" t="s">
        <v>54</v>
      </c>
      <c r="D41" s="611"/>
      <c r="E41" s="33">
        <v>24.25</v>
      </c>
      <c r="F41" s="138">
        <v>2252</v>
      </c>
      <c r="G41" s="131">
        <f t="shared" si="27"/>
        <v>54611</v>
      </c>
      <c r="H41" s="29" t="s">
        <v>5</v>
      </c>
      <c r="I41" s="136">
        <v>16</v>
      </c>
      <c r="J41" s="30">
        <v>2400</v>
      </c>
      <c r="K41" s="13">
        <f t="shared" si="1"/>
        <v>150</v>
      </c>
      <c r="L41" s="136">
        <v>16</v>
      </c>
      <c r="M41" s="14">
        <f t="shared" si="28"/>
        <v>2290.1694915254225</v>
      </c>
      <c r="N41" s="13">
        <f t="shared" si="3"/>
        <v>143.1355932203389</v>
      </c>
      <c r="O41" s="15">
        <f t="shared" si="4"/>
        <v>0</v>
      </c>
      <c r="P41" s="16">
        <f t="shared" si="5"/>
        <v>-6.8644067796610955</v>
      </c>
      <c r="Q41" s="132">
        <f t="shared" si="6"/>
        <v>0.95423728813559272</v>
      </c>
      <c r="R41" s="619"/>
      <c r="S41" s="31">
        <v>0.43819444444444433</v>
      </c>
      <c r="T41" s="31">
        <v>0.47916666666666657</v>
      </c>
      <c r="U41" s="131">
        <f t="shared" si="30"/>
        <v>6.9999999999999751</v>
      </c>
      <c r="V41" s="137">
        <f t="shared" si="29"/>
        <v>59.000000000000028</v>
      </c>
      <c r="W41" s="17">
        <f>T41</f>
        <v>0.47916666666666657</v>
      </c>
      <c r="X41" s="17">
        <f>S42</f>
        <v>0.51874999999999982</v>
      </c>
      <c r="Y41" s="17"/>
      <c r="Z41" s="17"/>
      <c r="AA41" s="610"/>
      <c r="AB41" s="610"/>
      <c r="AC41" s="155"/>
      <c r="AD41" s="19"/>
      <c r="AE41" s="15">
        <f t="shared" si="8"/>
        <v>-109.83050847457753</v>
      </c>
      <c r="AF41" s="132">
        <f t="shared" si="9"/>
        <v>0.95423728813559272</v>
      </c>
      <c r="AG41" s="619"/>
    </row>
    <row r="42" spans="1:33">
      <c r="A42" s="634" t="s">
        <v>400</v>
      </c>
      <c r="B42" s="33" t="s">
        <v>27</v>
      </c>
      <c r="C42" s="611" t="s">
        <v>30</v>
      </c>
      <c r="D42" s="611"/>
      <c r="E42" s="33">
        <v>26.18</v>
      </c>
      <c r="F42" s="138">
        <v>4801</v>
      </c>
      <c r="G42" s="131">
        <f t="shared" si="27"/>
        <v>125690.18</v>
      </c>
      <c r="H42" s="29" t="s">
        <v>5</v>
      </c>
      <c r="I42" s="136">
        <v>18</v>
      </c>
      <c r="J42" s="30">
        <v>2400</v>
      </c>
      <c r="K42" s="13">
        <f t="shared" si="1"/>
        <v>133.33333333333334</v>
      </c>
      <c r="L42" s="136">
        <v>18</v>
      </c>
      <c r="M42" s="14">
        <f t="shared" si="28"/>
        <v>2286.1904761904757</v>
      </c>
      <c r="N42" s="13">
        <f t="shared" si="3"/>
        <v>127.01058201058198</v>
      </c>
      <c r="O42" s="15">
        <f t="shared" si="4"/>
        <v>0</v>
      </c>
      <c r="P42" s="16">
        <f t="shared" si="5"/>
        <v>-6.3227513227513583</v>
      </c>
      <c r="Q42" s="132">
        <f t="shared" si="6"/>
        <v>0.9525793650793648</v>
      </c>
      <c r="R42" s="619"/>
      <c r="S42" s="31">
        <v>0.51874999999999982</v>
      </c>
      <c r="T42" s="31">
        <v>0.60624999999999984</v>
      </c>
      <c r="U42" s="131">
        <f t="shared" si="30"/>
        <v>56.999999999999879</v>
      </c>
      <c r="V42" s="137">
        <f t="shared" si="29"/>
        <v>126.00000000000003</v>
      </c>
      <c r="W42" s="17"/>
      <c r="X42" s="17"/>
      <c r="Y42" s="20"/>
      <c r="Z42" s="20"/>
      <c r="AA42" s="614"/>
      <c r="AB42" s="615"/>
      <c r="AC42" s="155"/>
      <c r="AD42" s="19"/>
      <c r="AE42" s="15">
        <f t="shared" si="8"/>
        <v>-113.80952380952431</v>
      </c>
      <c r="AF42" s="132">
        <f t="shared" si="9"/>
        <v>0.95257936507936491</v>
      </c>
      <c r="AG42" s="619"/>
    </row>
    <row r="43" spans="1:33">
      <c r="A43" s="634" t="s">
        <v>401</v>
      </c>
      <c r="B43" s="34" t="s">
        <v>80</v>
      </c>
      <c r="C43" s="620"/>
      <c r="D43" s="620"/>
      <c r="E43" s="133"/>
      <c r="F43" s="34"/>
      <c r="G43" s="13"/>
      <c r="H43" s="138"/>
      <c r="I43" s="23">
        <v>17.428571428571427</v>
      </c>
      <c r="J43" s="30">
        <v>2400</v>
      </c>
      <c r="K43" s="13">
        <f t="shared" si="1"/>
        <v>137.70491803278691</v>
      </c>
      <c r="L43" s="23">
        <v>17.428571428571427</v>
      </c>
      <c r="M43" s="14">
        <f>AVERAGE(M36:M42)</f>
        <v>2295.3004867075219</v>
      </c>
      <c r="N43" s="13">
        <f t="shared" si="3"/>
        <v>131.69756890944799</v>
      </c>
      <c r="O43" s="15">
        <f t="shared" si="4"/>
        <v>0</v>
      </c>
      <c r="P43" s="16">
        <f t="shared" si="5"/>
        <v>-6.007349123338912</v>
      </c>
      <c r="Q43" s="132">
        <f t="shared" si="6"/>
        <v>0.95637520279480082</v>
      </c>
      <c r="R43" s="619"/>
      <c r="S43" s="31"/>
      <c r="T43" s="31"/>
      <c r="U43" s="13"/>
      <c r="V43" s="137"/>
      <c r="W43" s="13"/>
      <c r="X43" s="13"/>
      <c r="Y43" s="24">
        <f>SUM(Y36:Y42)</f>
        <v>0</v>
      </c>
      <c r="Z43" s="24">
        <f>SUM(Z36:Z42)</f>
        <v>0</v>
      </c>
      <c r="AA43" s="609"/>
      <c r="AB43" s="609"/>
      <c r="AC43" s="24">
        <v>7</v>
      </c>
      <c r="AD43" s="24">
        <f>SUM(AD36:AD42)</f>
        <v>0</v>
      </c>
      <c r="AE43" s="15">
        <f t="shared" si="8"/>
        <v>-104.69951329247806</v>
      </c>
      <c r="AF43" s="132">
        <f t="shared" si="9"/>
        <v>0.95637520279480082</v>
      </c>
      <c r="AG43" s="619"/>
    </row>
    <row r="44" spans="1:33" ht="15.75" customHeight="1">
      <c r="A44" s="630" t="s">
        <v>296</v>
      </c>
      <c r="B44" s="33" t="s">
        <v>36</v>
      </c>
      <c r="C44" s="612" t="s">
        <v>37</v>
      </c>
      <c r="D44" s="613"/>
      <c r="E44" s="33">
        <v>21.13</v>
      </c>
      <c r="F44" s="138">
        <v>5572</v>
      </c>
      <c r="G44" s="131">
        <f t="shared" ref="G44:G46" si="31">E44*F44</f>
        <v>117736.36</v>
      </c>
      <c r="H44" s="29" t="s">
        <v>5</v>
      </c>
      <c r="I44" s="136">
        <v>10</v>
      </c>
      <c r="J44" s="30">
        <v>3000</v>
      </c>
      <c r="K44" s="13">
        <f t="shared" si="1"/>
        <v>300</v>
      </c>
      <c r="L44" s="136">
        <v>10</v>
      </c>
      <c r="M44" s="14">
        <f t="shared" ref="M44:M46" si="32">F44/V44*60</f>
        <v>2857.4358974358965</v>
      </c>
      <c r="N44" s="14">
        <f t="shared" si="3"/>
        <v>285.74358974358967</v>
      </c>
      <c r="O44" s="15">
        <f t="shared" si="4"/>
        <v>0</v>
      </c>
      <c r="P44" s="16">
        <f t="shared" si="5"/>
        <v>-14.256410256410334</v>
      </c>
      <c r="Q44" s="132">
        <f t="shared" si="6"/>
        <v>0.95247863247863218</v>
      </c>
      <c r="R44" s="625">
        <f>Q47</f>
        <v>0.95616847273097261</v>
      </c>
      <c r="S44" s="31">
        <v>0.20833333333333334</v>
      </c>
      <c r="T44" s="31">
        <v>0.28958333333333336</v>
      </c>
      <c r="U44" s="22"/>
      <c r="V44" s="137">
        <f t="shared" ref="V44:V46" si="33">(T44-S44)*24*60</f>
        <v>117.00000000000003</v>
      </c>
      <c r="W44" s="17"/>
      <c r="X44" s="17"/>
      <c r="Y44" s="20"/>
      <c r="Z44" s="20"/>
      <c r="AA44" s="614"/>
      <c r="AB44" s="615"/>
      <c r="AC44" s="155">
        <v>3</v>
      </c>
      <c r="AD44" s="19"/>
      <c r="AE44" s="15">
        <f t="shared" si="8"/>
        <v>-142.56410256410345</v>
      </c>
      <c r="AF44" s="132">
        <f t="shared" si="9"/>
        <v>0.95247863247863218</v>
      </c>
      <c r="AG44" s="625">
        <f>AF47</f>
        <v>0.95616847273097261</v>
      </c>
    </row>
    <row r="45" spans="1:33" ht="15.75" customHeight="1">
      <c r="A45" s="631" t="s">
        <v>296</v>
      </c>
      <c r="B45" s="33" t="s">
        <v>36</v>
      </c>
      <c r="C45" s="612" t="s">
        <v>38</v>
      </c>
      <c r="D45" s="613"/>
      <c r="E45" s="33">
        <v>27.17</v>
      </c>
      <c r="F45" s="138">
        <v>5345</v>
      </c>
      <c r="G45" s="131">
        <f t="shared" si="31"/>
        <v>145223.65000000002</v>
      </c>
      <c r="H45" s="29" t="s">
        <v>5</v>
      </c>
      <c r="I45" s="136">
        <v>10</v>
      </c>
      <c r="J45" s="30">
        <v>3000</v>
      </c>
      <c r="K45" s="13">
        <f t="shared" si="1"/>
        <v>300</v>
      </c>
      <c r="L45" s="136">
        <v>10</v>
      </c>
      <c r="M45" s="14">
        <f t="shared" si="32"/>
        <v>2863.3928571428569</v>
      </c>
      <c r="N45" s="14">
        <f t="shared" si="3"/>
        <v>286.33928571428567</v>
      </c>
      <c r="O45" s="15">
        <f t="shared" si="4"/>
        <v>0</v>
      </c>
      <c r="P45" s="16">
        <f t="shared" si="5"/>
        <v>-13.660714285714334</v>
      </c>
      <c r="Q45" s="132">
        <f t="shared" si="6"/>
        <v>0.95446428571428554</v>
      </c>
      <c r="R45" s="626"/>
      <c r="S45" s="31">
        <v>0.2951388888888889</v>
      </c>
      <c r="T45" s="31">
        <v>0.37291666666666667</v>
      </c>
      <c r="U45" s="131">
        <f t="shared" ref="U45:U46" si="34">(S45-T44)*24*60</f>
        <v>7.9999999999999716</v>
      </c>
      <c r="V45" s="137">
        <f t="shared" si="33"/>
        <v>112</v>
      </c>
      <c r="W45" s="17"/>
      <c r="X45" s="17"/>
      <c r="Y45" s="20"/>
      <c r="Z45" s="20"/>
      <c r="AA45" s="614"/>
      <c r="AB45" s="615"/>
      <c r="AC45" s="155"/>
      <c r="AD45" s="19"/>
      <c r="AE45" s="15">
        <f t="shared" si="8"/>
        <v>-136.60714285714312</v>
      </c>
      <c r="AF45" s="132">
        <f t="shared" si="9"/>
        <v>0.95446428571428565</v>
      </c>
      <c r="AG45" s="626"/>
    </row>
    <row r="46" spans="1:33" ht="15.75" customHeight="1">
      <c r="A46" s="631" t="s">
        <v>296</v>
      </c>
      <c r="B46" s="33" t="s">
        <v>36</v>
      </c>
      <c r="C46" s="612" t="s">
        <v>49</v>
      </c>
      <c r="D46" s="613"/>
      <c r="E46" s="33">
        <v>35.869999999999997</v>
      </c>
      <c r="F46" s="138">
        <v>3077</v>
      </c>
      <c r="G46" s="131">
        <f t="shared" si="31"/>
        <v>110371.98999999999</v>
      </c>
      <c r="H46" s="29" t="s">
        <v>5</v>
      </c>
      <c r="I46" s="136">
        <v>10</v>
      </c>
      <c r="J46" s="30">
        <v>3000</v>
      </c>
      <c r="K46" s="13">
        <f t="shared" si="1"/>
        <v>300</v>
      </c>
      <c r="L46" s="136">
        <v>10</v>
      </c>
      <c r="M46" s="14">
        <f t="shared" si="32"/>
        <v>2884.6874999999991</v>
      </c>
      <c r="N46" s="14">
        <f t="shared" si="3"/>
        <v>288.46874999999989</v>
      </c>
      <c r="O46" s="15">
        <f t="shared" si="4"/>
        <v>0</v>
      </c>
      <c r="P46" s="16">
        <f t="shared" si="5"/>
        <v>-11.531250000000114</v>
      </c>
      <c r="Q46" s="132">
        <f t="shared" si="6"/>
        <v>0.96156249999999965</v>
      </c>
      <c r="R46" s="626"/>
      <c r="S46" s="31">
        <v>0.37638888888888888</v>
      </c>
      <c r="T46" s="31">
        <v>0.42083333333333334</v>
      </c>
      <c r="U46" s="131">
        <f t="shared" si="34"/>
        <v>4.9999999999999822</v>
      </c>
      <c r="V46" s="137">
        <f t="shared" si="33"/>
        <v>64.000000000000014</v>
      </c>
      <c r="W46" s="17"/>
      <c r="X46" s="17"/>
      <c r="Y46" s="20"/>
      <c r="Z46" s="20"/>
      <c r="AA46" s="614"/>
      <c r="AB46" s="615"/>
      <c r="AC46" s="155"/>
      <c r="AD46" s="19"/>
      <c r="AE46" s="15">
        <f t="shared" si="8"/>
        <v>-115.31250000000091</v>
      </c>
      <c r="AF46" s="132">
        <f t="shared" si="9"/>
        <v>0.96156249999999965</v>
      </c>
      <c r="AG46" s="626"/>
    </row>
    <row r="47" spans="1:33" ht="15.75" customHeight="1">
      <c r="A47" s="632" t="s">
        <v>402</v>
      </c>
      <c r="B47" s="33" t="s">
        <v>80</v>
      </c>
      <c r="C47" s="607"/>
      <c r="D47" s="608"/>
      <c r="E47" s="129"/>
      <c r="F47" s="138"/>
      <c r="G47" s="131"/>
      <c r="H47" s="138"/>
      <c r="I47" s="23">
        <v>10</v>
      </c>
      <c r="J47" s="30">
        <v>3000</v>
      </c>
      <c r="K47" s="13">
        <f t="shared" si="1"/>
        <v>300</v>
      </c>
      <c r="L47" s="23">
        <v>10</v>
      </c>
      <c r="M47" s="14">
        <f>AVERAGE(M44:M46)</f>
        <v>2868.5054181929177</v>
      </c>
      <c r="N47" s="13">
        <f t="shared" si="3"/>
        <v>286.85054181929178</v>
      </c>
      <c r="O47" s="15">
        <f t="shared" si="4"/>
        <v>0</v>
      </c>
      <c r="P47" s="16">
        <f t="shared" si="5"/>
        <v>-13.149458180708223</v>
      </c>
      <c r="Q47" s="132">
        <f t="shared" si="6"/>
        <v>0.95616847273097261</v>
      </c>
      <c r="R47" s="627"/>
      <c r="S47" s="31"/>
      <c r="T47" s="31"/>
      <c r="U47" s="131"/>
      <c r="V47" s="137"/>
      <c r="W47" s="17"/>
      <c r="X47" s="17"/>
      <c r="Y47" s="24">
        <f>SUM(Y44:Y46)</f>
        <v>0</v>
      </c>
      <c r="Z47" s="24">
        <f>SUM(Z44:Z46)</f>
        <v>0</v>
      </c>
      <c r="AA47" s="628"/>
      <c r="AB47" s="629"/>
      <c r="AC47" s="24">
        <v>3</v>
      </c>
      <c r="AD47" s="24">
        <f>SUM(AD44:AD46)</f>
        <v>0</v>
      </c>
      <c r="AE47" s="15">
        <f t="shared" si="8"/>
        <v>-131.49458180708234</v>
      </c>
      <c r="AF47" s="132">
        <f t="shared" si="9"/>
        <v>0.95616847273097261</v>
      </c>
      <c r="AG47" s="627"/>
    </row>
    <row r="48" spans="1:33" ht="15.75" customHeight="1">
      <c r="A48" s="623" t="s">
        <v>403</v>
      </c>
      <c r="B48" s="33" t="s">
        <v>6</v>
      </c>
      <c r="C48" s="611" t="s">
        <v>41</v>
      </c>
      <c r="D48" s="611"/>
      <c r="E48" s="33">
        <v>51.44</v>
      </c>
      <c r="F48" s="35">
        <v>1323</v>
      </c>
      <c r="G48" s="131">
        <f t="shared" ref="G48:G55" si="35">E48*F48</f>
        <v>68055.12</v>
      </c>
      <c r="H48" s="29" t="s">
        <v>5</v>
      </c>
      <c r="I48" s="136">
        <v>25</v>
      </c>
      <c r="J48" s="30">
        <v>2000</v>
      </c>
      <c r="K48" s="13">
        <f t="shared" si="1"/>
        <v>80</v>
      </c>
      <c r="L48" s="136">
        <v>25</v>
      </c>
      <c r="M48" s="14">
        <f t="shared" ref="M48" si="36">F48/V48*60</f>
        <v>1936.0975609756092</v>
      </c>
      <c r="N48" s="14">
        <f t="shared" si="3"/>
        <v>77.44390243902437</v>
      </c>
      <c r="O48" s="15">
        <f t="shared" si="4"/>
        <v>0</v>
      </c>
      <c r="P48" s="16">
        <f t="shared" si="5"/>
        <v>-2.5560975609756298</v>
      </c>
      <c r="Q48" s="132">
        <f t="shared" si="6"/>
        <v>0.96804878048780463</v>
      </c>
      <c r="R48" s="619">
        <f>Q56</f>
        <v>0.96485195934062917</v>
      </c>
      <c r="S48" s="31">
        <v>0.20833333333333334</v>
      </c>
      <c r="T48" s="31">
        <v>0.23680555555555557</v>
      </c>
      <c r="U48" s="22"/>
      <c r="V48" s="137">
        <f t="shared" ref="V48:V55" si="37">(T48-S48)*24*60</f>
        <v>41.000000000000014</v>
      </c>
      <c r="W48" s="17"/>
      <c r="X48" s="17"/>
      <c r="Y48" s="22"/>
      <c r="Z48" s="22"/>
      <c r="AA48" s="610"/>
      <c r="AB48" s="610"/>
      <c r="AC48" s="155">
        <v>8</v>
      </c>
      <c r="AD48" s="19"/>
      <c r="AE48" s="15">
        <f t="shared" si="8"/>
        <v>-63.902439024390787</v>
      </c>
      <c r="AF48" s="132">
        <f t="shared" si="9"/>
        <v>0.96804878048780463</v>
      </c>
      <c r="AG48" s="619">
        <f>AF56</f>
        <v>0.96485195934062917</v>
      </c>
    </row>
    <row r="49" spans="1:33" ht="15.75" customHeight="1">
      <c r="A49" s="623" t="s">
        <v>403</v>
      </c>
      <c r="B49" s="33" t="s">
        <v>6</v>
      </c>
      <c r="C49" s="611" t="s">
        <v>77</v>
      </c>
      <c r="D49" s="611"/>
      <c r="E49" s="33">
        <v>56.43</v>
      </c>
      <c r="F49" s="35">
        <v>1993</v>
      </c>
      <c r="G49" s="131">
        <f t="shared" si="35"/>
        <v>112464.99</v>
      </c>
      <c r="H49" s="29" t="s">
        <v>5</v>
      </c>
      <c r="I49" s="136">
        <v>23</v>
      </c>
      <c r="J49" s="30">
        <v>2000</v>
      </c>
      <c r="K49" s="13">
        <f t="shared" si="1"/>
        <v>86.956521739130437</v>
      </c>
      <c r="L49" s="136">
        <v>23</v>
      </c>
      <c r="M49" s="14">
        <f>F49/V49*60</f>
        <v>1928.7096774193542</v>
      </c>
      <c r="N49" s="14">
        <f t="shared" si="3"/>
        <v>83.856942496493659</v>
      </c>
      <c r="O49" s="15">
        <f t="shared" si="4"/>
        <v>0</v>
      </c>
      <c r="P49" s="16">
        <f t="shared" si="5"/>
        <v>-3.0995792426367785</v>
      </c>
      <c r="Q49" s="132">
        <f t="shared" si="6"/>
        <v>0.96435483870967709</v>
      </c>
      <c r="R49" s="619"/>
      <c r="S49" s="31">
        <v>0.24097222222222225</v>
      </c>
      <c r="T49" s="31">
        <v>0.28402777777777782</v>
      </c>
      <c r="U49" s="131">
        <f t="shared" ref="U49:U55" si="38">IF(S49=TIME(17,0,0),"",(S49-T48)*24*60)</f>
        <v>6.0000000000000187</v>
      </c>
      <c r="V49" s="137">
        <f t="shared" si="37"/>
        <v>62.000000000000021</v>
      </c>
      <c r="W49" s="17"/>
      <c r="X49" s="17"/>
      <c r="Y49" s="17"/>
      <c r="Z49" s="17"/>
      <c r="AA49" s="610"/>
      <c r="AB49" s="610"/>
      <c r="AC49" s="155"/>
      <c r="AD49" s="19"/>
      <c r="AE49" s="15">
        <f t="shared" si="8"/>
        <v>-71.290322580645807</v>
      </c>
      <c r="AF49" s="132">
        <f t="shared" si="9"/>
        <v>0.96435483870967709</v>
      </c>
      <c r="AG49" s="619"/>
    </row>
    <row r="50" spans="1:33" ht="15.75" customHeight="1">
      <c r="A50" s="623" t="s">
        <v>404</v>
      </c>
      <c r="B50" s="33" t="s">
        <v>6</v>
      </c>
      <c r="C50" s="612" t="s">
        <v>73</v>
      </c>
      <c r="D50" s="613"/>
      <c r="E50" s="33">
        <v>56.43</v>
      </c>
      <c r="F50" s="35">
        <v>1632</v>
      </c>
      <c r="G50" s="131">
        <f t="shared" si="35"/>
        <v>92093.759999999995</v>
      </c>
      <c r="H50" s="29" t="s">
        <v>5</v>
      </c>
      <c r="I50" s="136">
        <v>25</v>
      </c>
      <c r="J50" s="30">
        <v>2000</v>
      </c>
      <c r="K50" s="13">
        <f t="shared" si="1"/>
        <v>80</v>
      </c>
      <c r="L50" s="136">
        <v>25</v>
      </c>
      <c r="M50" s="14">
        <f t="shared" ref="M50:M55" si="39">F50/V50*60</f>
        <v>1920.0000000000009</v>
      </c>
      <c r="N50" s="14">
        <f t="shared" si="3"/>
        <v>76.80000000000004</v>
      </c>
      <c r="O50" s="15">
        <f t="shared" si="4"/>
        <v>0</v>
      </c>
      <c r="P50" s="16">
        <f t="shared" si="5"/>
        <v>-3.1999999999999602</v>
      </c>
      <c r="Q50" s="132">
        <f t="shared" si="6"/>
        <v>0.96000000000000052</v>
      </c>
      <c r="R50" s="619"/>
      <c r="S50" s="31">
        <v>0.28819444444444448</v>
      </c>
      <c r="T50" s="31">
        <v>0.32361111111111113</v>
      </c>
      <c r="U50" s="131">
        <f t="shared" si="38"/>
        <v>5.9999999999999787</v>
      </c>
      <c r="V50" s="137">
        <f t="shared" si="37"/>
        <v>50.999999999999979</v>
      </c>
      <c r="W50" s="17"/>
      <c r="X50" s="17"/>
      <c r="Y50" s="20"/>
      <c r="Z50" s="20"/>
      <c r="AA50" s="610"/>
      <c r="AB50" s="610"/>
      <c r="AC50" s="155"/>
      <c r="AD50" s="19"/>
      <c r="AE50" s="15">
        <f t="shared" si="8"/>
        <v>-79.999999999999091</v>
      </c>
      <c r="AF50" s="132">
        <f t="shared" si="9"/>
        <v>0.96000000000000041</v>
      </c>
      <c r="AG50" s="619"/>
    </row>
    <row r="51" spans="1:33" ht="15.75" customHeight="1">
      <c r="A51" s="623" t="s">
        <v>405</v>
      </c>
      <c r="B51" s="33" t="s">
        <v>10</v>
      </c>
      <c r="C51" s="125" t="s">
        <v>42</v>
      </c>
      <c r="D51" s="126"/>
      <c r="E51" s="33">
        <v>46</v>
      </c>
      <c r="F51" s="35">
        <v>1204</v>
      </c>
      <c r="G51" s="131">
        <f t="shared" si="35"/>
        <v>55384</v>
      </c>
      <c r="H51" s="29" t="s">
        <v>5</v>
      </c>
      <c r="I51" s="136">
        <v>16</v>
      </c>
      <c r="J51" s="30">
        <v>2000</v>
      </c>
      <c r="K51" s="13">
        <f t="shared" si="1"/>
        <v>125</v>
      </c>
      <c r="L51" s="136">
        <v>16</v>
      </c>
      <c r="M51" s="14">
        <f t="shared" si="39"/>
        <v>1952.4324324324311</v>
      </c>
      <c r="N51" s="14">
        <f t="shared" si="3"/>
        <v>122.02702702702695</v>
      </c>
      <c r="O51" s="15">
        <f t="shared" si="4"/>
        <v>0</v>
      </c>
      <c r="P51" s="16">
        <f t="shared" si="5"/>
        <v>-2.9729729729730536</v>
      </c>
      <c r="Q51" s="132">
        <f t="shared" si="6"/>
        <v>0.97621621621621557</v>
      </c>
      <c r="R51" s="619"/>
      <c r="S51" s="31">
        <v>0.32847222222222222</v>
      </c>
      <c r="T51" s="31">
        <v>0.35416666666666669</v>
      </c>
      <c r="U51" s="131">
        <f t="shared" si="38"/>
        <v>6.9999999999999751</v>
      </c>
      <c r="V51" s="137">
        <f t="shared" si="37"/>
        <v>37.000000000000028</v>
      </c>
      <c r="W51" s="17"/>
      <c r="X51" s="17"/>
      <c r="Y51" s="20"/>
      <c r="Z51" s="20"/>
      <c r="AA51" s="610"/>
      <c r="AB51" s="610"/>
      <c r="AC51" s="155"/>
      <c r="AD51" s="19"/>
      <c r="AE51" s="15">
        <f t="shared" si="8"/>
        <v>-47.567567567568858</v>
      </c>
      <c r="AF51" s="132">
        <f t="shared" si="9"/>
        <v>0.97621621621621557</v>
      </c>
      <c r="AG51" s="619"/>
    </row>
    <row r="52" spans="1:33" ht="15.75" customHeight="1">
      <c r="A52" s="623" t="s">
        <v>84</v>
      </c>
      <c r="B52" s="33" t="s">
        <v>10</v>
      </c>
      <c r="C52" s="125" t="s">
        <v>43</v>
      </c>
      <c r="D52" s="126"/>
      <c r="E52" s="33">
        <v>46</v>
      </c>
      <c r="F52" s="35">
        <v>1323</v>
      </c>
      <c r="G52" s="131">
        <f t="shared" si="35"/>
        <v>60858</v>
      </c>
      <c r="H52" s="29" t="s">
        <v>5</v>
      </c>
      <c r="I52" s="136">
        <v>17</v>
      </c>
      <c r="J52" s="30">
        <v>2000</v>
      </c>
      <c r="K52" s="13">
        <f t="shared" si="1"/>
        <v>117.64705882352941</v>
      </c>
      <c r="L52" s="136">
        <v>17</v>
      </c>
      <c r="M52" s="14">
        <f t="shared" si="39"/>
        <v>1936.0975609756092</v>
      </c>
      <c r="N52" s="14">
        <f t="shared" si="3"/>
        <v>113.88809182209467</v>
      </c>
      <c r="O52" s="15">
        <f t="shared" si="4"/>
        <v>0</v>
      </c>
      <c r="P52" s="16">
        <f t="shared" si="5"/>
        <v>-3.7589670014347405</v>
      </c>
      <c r="Q52" s="132">
        <f t="shared" si="6"/>
        <v>0.96804878048780474</v>
      </c>
      <c r="R52" s="619"/>
      <c r="S52" s="31">
        <v>0.35833333333333334</v>
      </c>
      <c r="T52" s="31">
        <v>0.38680555555555557</v>
      </c>
      <c r="U52" s="131">
        <f t="shared" si="38"/>
        <v>5.9999999999999787</v>
      </c>
      <c r="V52" s="137">
        <f t="shared" si="37"/>
        <v>41.000000000000014</v>
      </c>
      <c r="W52" s="17"/>
      <c r="X52" s="17"/>
      <c r="Y52" s="20"/>
      <c r="Z52" s="20"/>
      <c r="AA52" s="610"/>
      <c r="AB52" s="610"/>
      <c r="AC52" s="155"/>
      <c r="AD52" s="19"/>
      <c r="AE52" s="15">
        <f t="shared" si="8"/>
        <v>-63.902439024390787</v>
      </c>
      <c r="AF52" s="132">
        <f t="shared" si="9"/>
        <v>0.96804878048780463</v>
      </c>
      <c r="AG52" s="619"/>
    </row>
    <row r="53" spans="1:33" ht="15.75" customHeight="1">
      <c r="A53" s="623" t="s">
        <v>404</v>
      </c>
      <c r="B53" s="33" t="s">
        <v>6</v>
      </c>
      <c r="C53" s="612" t="s">
        <v>44</v>
      </c>
      <c r="D53" s="613"/>
      <c r="E53" s="33">
        <v>55.56</v>
      </c>
      <c r="F53" s="35">
        <v>1925</v>
      </c>
      <c r="G53" s="131">
        <f t="shared" si="35"/>
        <v>106953</v>
      </c>
      <c r="H53" s="29" t="s">
        <v>5</v>
      </c>
      <c r="I53" s="136">
        <v>17</v>
      </c>
      <c r="J53" s="30">
        <v>2000</v>
      </c>
      <c r="K53" s="13">
        <f t="shared" si="1"/>
        <v>117.64705882352941</v>
      </c>
      <c r="L53" s="136">
        <v>17</v>
      </c>
      <c r="M53" s="14">
        <f t="shared" si="39"/>
        <v>1925.0000000000018</v>
      </c>
      <c r="N53" s="14">
        <f t="shared" si="3"/>
        <v>113.23529411764717</v>
      </c>
      <c r="O53" s="15">
        <f t="shared" si="4"/>
        <v>0</v>
      </c>
      <c r="P53" s="16">
        <f t="shared" si="5"/>
        <v>-4.4117647058822342</v>
      </c>
      <c r="Q53" s="132">
        <f t="shared" si="6"/>
        <v>0.96250000000000102</v>
      </c>
      <c r="R53" s="619"/>
      <c r="S53" s="31">
        <v>0.70833333333333337</v>
      </c>
      <c r="T53" s="31">
        <v>0.75</v>
      </c>
      <c r="U53" s="131" t="str">
        <f t="shared" si="38"/>
        <v/>
      </c>
      <c r="V53" s="137">
        <f t="shared" si="37"/>
        <v>59.999999999999943</v>
      </c>
      <c r="W53" s="17"/>
      <c r="X53" s="17"/>
      <c r="Y53" s="20"/>
      <c r="Z53" s="20"/>
      <c r="AA53" s="614"/>
      <c r="AB53" s="615"/>
      <c r="AC53" s="155"/>
      <c r="AD53" s="19"/>
      <c r="AE53" s="15">
        <f t="shared" si="8"/>
        <v>-74.999999999998181</v>
      </c>
      <c r="AF53" s="132">
        <f t="shared" si="9"/>
        <v>0.96250000000000091</v>
      </c>
      <c r="AG53" s="619"/>
    </row>
    <row r="54" spans="1:33" ht="15.75" customHeight="1">
      <c r="A54" s="623" t="s">
        <v>404</v>
      </c>
      <c r="B54" s="33" t="s">
        <v>6</v>
      </c>
      <c r="C54" s="612" t="s">
        <v>72</v>
      </c>
      <c r="D54" s="613"/>
      <c r="E54" s="33">
        <v>58.17</v>
      </c>
      <c r="F54" s="35">
        <v>1696</v>
      </c>
      <c r="G54" s="131">
        <f t="shared" si="35"/>
        <v>98656.320000000007</v>
      </c>
      <c r="H54" s="29" t="s">
        <v>5</v>
      </c>
      <c r="I54" s="136">
        <v>13</v>
      </c>
      <c r="J54" s="30">
        <v>2000</v>
      </c>
      <c r="K54" s="13">
        <f t="shared" si="1"/>
        <v>153.84615384615384</v>
      </c>
      <c r="L54" s="136">
        <v>13</v>
      </c>
      <c r="M54" s="14">
        <f t="shared" si="39"/>
        <v>1920.0000000000009</v>
      </c>
      <c r="N54" s="14">
        <f t="shared" si="3"/>
        <v>147.69230769230776</v>
      </c>
      <c r="O54" s="15">
        <f t="shared" si="4"/>
        <v>0</v>
      </c>
      <c r="P54" s="16">
        <f t="shared" si="5"/>
        <v>-6.1538461538460751</v>
      </c>
      <c r="Q54" s="132">
        <f t="shared" si="6"/>
        <v>0.96000000000000052</v>
      </c>
      <c r="R54" s="619"/>
      <c r="S54" s="31">
        <v>0.75416666666666665</v>
      </c>
      <c r="T54" s="31">
        <v>0.79097222222222219</v>
      </c>
      <c r="U54" s="131">
        <f t="shared" si="38"/>
        <v>5.9999999999999787</v>
      </c>
      <c r="V54" s="137">
        <f t="shared" si="37"/>
        <v>52.999999999999972</v>
      </c>
      <c r="W54" s="17"/>
      <c r="X54" s="17"/>
      <c r="Y54" s="20"/>
      <c r="Z54" s="20"/>
      <c r="AA54" s="614"/>
      <c r="AB54" s="615"/>
      <c r="AC54" s="155"/>
      <c r="AD54" s="19"/>
      <c r="AE54" s="15">
        <f t="shared" si="8"/>
        <v>-79.999999999999091</v>
      </c>
      <c r="AF54" s="132">
        <f t="shared" si="9"/>
        <v>0.96000000000000041</v>
      </c>
      <c r="AG54" s="619"/>
    </row>
    <row r="55" spans="1:33" ht="15.75" customHeight="1">
      <c r="A55" s="623" t="s">
        <v>404</v>
      </c>
      <c r="B55" s="33" t="s">
        <v>6</v>
      </c>
      <c r="C55" s="612" t="s">
        <v>82</v>
      </c>
      <c r="D55" s="613"/>
      <c r="E55" s="33">
        <v>54.09</v>
      </c>
      <c r="F55" s="35">
        <v>2719</v>
      </c>
      <c r="G55" s="131">
        <f t="shared" si="35"/>
        <v>147070.71000000002</v>
      </c>
      <c r="H55" s="29" t="s">
        <v>5</v>
      </c>
      <c r="I55" s="136">
        <v>14</v>
      </c>
      <c r="J55" s="30">
        <v>2000</v>
      </c>
      <c r="K55" s="13">
        <f t="shared" si="1"/>
        <v>142.85714285714286</v>
      </c>
      <c r="L55" s="136">
        <v>14</v>
      </c>
      <c r="M55" s="14">
        <f t="shared" si="39"/>
        <v>1919.2941176470583</v>
      </c>
      <c r="N55" s="14">
        <f t="shared" si="3"/>
        <v>137.09243697478988</v>
      </c>
      <c r="O55" s="15">
        <f t="shared" si="4"/>
        <v>0</v>
      </c>
      <c r="P55" s="16">
        <f t="shared" si="5"/>
        <v>-5.7647058823529846</v>
      </c>
      <c r="Q55" s="132">
        <f t="shared" si="6"/>
        <v>0.95964705882352908</v>
      </c>
      <c r="R55" s="619"/>
      <c r="S55" s="31">
        <v>0.79513888888888884</v>
      </c>
      <c r="T55" s="31">
        <v>0.85416666666666663</v>
      </c>
      <c r="U55" s="131">
        <f t="shared" si="38"/>
        <v>5.9999999999999787</v>
      </c>
      <c r="V55" s="137">
        <f t="shared" si="37"/>
        <v>85.000000000000014</v>
      </c>
      <c r="W55" s="17"/>
      <c r="X55" s="17"/>
      <c r="Y55" s="20"/>
      <c r="Z55" s="20"/>
      <c r="AA55" s="614"/>
      <c r="AB55" s="615"/>
      <c r="AC55" s="155"/>
      <c r="AD55" s="19"/>
      <c r="AE55" s="15">
        <f t="shared" si="8"/>
        <v>-80.705882352941671</v>
      </c>
      <c r="AF55" s="132">
        <f t="shared" si="9"/>
        <v>0.95964705882352919</v>
      </c>
      <c r="AG55" s="619"/>
    </row>
    <row r="56" spans="1:33">
      <c r="A56" s="624" t="s">
        <v>404</v>
      </c>
      <c r="B56" s="33" t="s">
        <v>80</v>
      </c>
      <c r="C56" s="620"/>
      <c r="D56" s="620"/>
      <c r="E56" s="133"/>
      <c r="F56" s="34"/>
      <c r="G56" s="13"/>
      <c r="H56" s="138"/>
      <c r="I56" s="23">
        <v>18.75</v>
      </c>
      <c r="J56" s="30">
        <v>2000</v>
      </c>
      <c r="K56" s="13">
        <f t="shared" si="1"/>
        <v>106.66666666666667</v>
      </c>
      <c r="L56" s="23">
        <v>18.75</v>
      </c>
      <c r="M56" s="14">
        <f>AVERAGE(M48:M55)</f>
        <v>1929.7039186812583</v>
      </c>
      <c r="N56" s="13">
        <f t="shared" si="3"/>
        <v>102.91754232966711</v>
      </c>
      <c r="O56" s="15">
        <f t="shared" si="4"/>
        <v>0</v>
      </c>
      <c r="P56" s="16">
        <f t="shared" si="5"/>
        <v>-3.7491243369995573</v>
      </c>
      <c r="Q56" s="132">
        <f t="shared" si="6"/>
        <v>0.96485195934062917</v>
      </c>
      <c r="R56" s="619"/>
      <c r="S56" s="31"/>
      <c r="T56" s="31"/>
      <c r="U56" s="131"/>
      <c r="V56" s="137"/>
      <c r="W56" s="13"/>
      <c r="X56" s="13"/>
      <c r="Y56" s="24">
        <f>SUM(Y48:Y55)</f>
        <v>0</v>
      </c>
      <c r="Z56" s="24">
        <f>SUM(Z48:Z55)</f>
        <v>0</v>
      </c>
      <c r="AA56" s="609"/>
      <c r="AB56" s="609"/>
      <c r="AC56" s="24">
        <v>8</v>
      </c>
      <c r="AD56" s="24">
        <f>SUM(AD48:AD55)</f>
        <v>0</v>
      </c>
      <c r="AE56" s="15">
        <f>M56-J56</f>
        <v>-70.296081318741699</v>
      </c>
      <c r="AF56" s="132">
        <f t="shared" si="9"/>
        <v>0.96485195934062917</v>
      </c>
      <c r="AG56" s="619"/>
    </row>
    <row r="57" spans="1:33" ht="15.75" customHeight="1">
      <c r="A57" s="621" t="s">
        <v>406</v>
      </c>
      <c r="B57" s="138" t="s">
        <v>36</v>
      </c>
      <c r="C57" s="611" t="s">
        <v>46</v>
      </c>
      <c r="D57" s="611"/>
      <c r="E57" s="33">
        <v>35.119999999999997</v>
      </c>
      <c r="F57" s="35">
        <v>5255</v>
      </c>
      <c r="G57" s="131">
        <f t="shared" ref="G57:G61" si="40">E57*F57</f>
        <v>184555.59999999998</v>
      </c>
      <c r="H57" s="29" t="s">
        <v>5</v>
      </c>
      <c r="I57" s="136">
        <v>10</v>
      </c>
      <c r="J57" s="30">
        <v>3000</v>
      </c>
      <c r="K57" s="13">
        <f t="shared" si="1"/>
        <v>300</v>
      </c>
      <c r="L57" s="136">
        <v>10</v>
      </c>
      <c r="M57" s="14">
        <f t="shared" ref="M57:M61" si="41">F57/V57*60</f>
        <v>2866.3636363636374</v>
      </c>
      <c r="N57" s="13">
        <f t="shared" si="3"/>
        <v>286.63636363636374</v>
      </c>
      <c r="O57" s="15">
        <f t="shared" si="4"/>
        <v>0</v>
      </c>
      <c r="P57" s="16">
        <f t="shared" si="5"/>
        <v>-13.36363636363626</v>
      </c>
      <c r="Q57" s="132">
        <f t="shared" si="6"/>
        <v>0.95545454545454578</v>
      </c>
      <c r="R57" s="619">
        <f>Q62</f>
        <v>0.96335630591630605</v>
      </c>
      <c r="S57" s="31">
        <v>0.20833333333333334</v>
      </c>
      <c r="T57" s="31">
        <v>0.28472222222222221</v>
      </c>
      <c r="U57" s="131"/>
      <c r="V57" s="137">
        <f t="shared" ref="V57:V61" si="42">(T57-S57)*24*60</f>
        <v>109.99999999999997</v>
      </c>
      <c r="W57" s="17"/>
      <c r="X57" s="17"/>
      <c r="Y57" s="22"/>
      <c r="Z57" s="22"/>
      <c r="AA57" s="610"/>
      <c r="AB57" s="610"/>
      <c r="AC57" s="155">
        <v>5</v>
      </c>
      <c r="AD57" s="19"/>
      <c r="AE57" s="15">
        <f t="shared" ref="AE57:AE71" si="43">M57-J57</f>
        <v>-133.6363636363626</v>
      </c>
      <c r="AF57" s="132">
        <f t="shared" si="9"/>
        <v>0.95545454545454578</v>
      </c>
      <c r="AG57" s="619">
        <f>AF62</f>
        <v>0.96335630591630605</v>
      </c>
    </row>
    <row r="58" spans="1:33" ht="15.75" customHeight="1">
      <c r="A58" s="621" t="s">
        <v>407</v>
      </c>
      <c r="B58" s="138" t="s">
        <v>36</v>
      </c>
      <c r="C58" s="611" t="s">
        <v>47</v>
      </c>
      <c r="D58" s="611"/>
      <c r="E58" s="33">
        <v>26.78</v>
      </c>
      <c r="F58" s="35">
        <v>2404</v>
      </c>
      <c r="G58" s="131">
        <f t="shared" si="40"/>
        <v>64379.12</v>
      </c>
      <c r="H58" s="29" t="s">
        <v>5</v>
      </c>
      <c r="I58" s="136">
        <v>10</v>
      </c>
      <c r="J58" s="30">
        <v>3000</v>
      </c>
      <c r="K58" s="13">
        <f t="shared" si="1"/>
        <v>300</v>
      </c>
      <c r="L58" s="136">
        <v>10</v>
      </c>
      <c r="M58" s="14">
        <f t="shared" si="41"/>
        <v>2884.8000000000006</v>
      </c>
      <c r="N58" s="13">
        <f t="shared" si="3"/>
        <v>288.48000000000008</v>
      </c>
      <c r="O58" s="15">
        <f t="shared" si="4"/>
        <v>0</v>
      </c>
      <c r="P58" s="16">
        <f t="shared" si="5"/>
        <v>-11.519999999999925</v>
      </c>
      <c r="Q58" s="132">
        <f t="shared" si="6"/>
        <v>0.96160000000000023</v>
      </c>
      <c r="R58" s="619"/>
      <c r="S58" s="31">
        <v>0.2895833333333333</v>
      </c>
      <c r="T58" s="31">
        <v>0.32430555555555551</v>
      </c>
      <c r="U58" s="131">
        <f t="shared" ref="U58:U61" si="44">(S58-T57)*24*60</f>
        <v>6.9999999999999751</v>
      </c>
      <c r="V58" s="137">
        <f t="shared" si="42"/>
        <v>49.999999999999986</v>
      </c>
      <c r="W58" s="131"/>
      <c r="X58" s="131"/>
      <c r="Y58" s="131"/>
      <c r="Z58" s="131"/>
      <c r="AA58" s="610"/>
      <c r="AB58" s="610"/>
      <c r="AC58" s="155"/>
      <c r="AD58" s="19"/>
      <c r="AE58" s="15">
        <f t="shared" si="43"/>
        <v>-115.19999999999936</v>
      </c>
      <c r="AF58" s="132">
        <f t="shared" si="9"/>
        <v>0.96160000000000023</v>
      </c>
      <c r="AG58" s="619"/>
    </row>
    <row r="59" spans="1:33" ht="15.75" customHeight="1">
      <c r="A59" s="621" t="s">
        <v>408</v>
      </c>
      <c r="B59" s="138" t="s">
        <v>36</v>
      </c>
      <c r="C59" s="611" t="s">
        <v>48</v>
      </c>
      <c r="D59" s="611"/>
      <c r="E59" s="33">
        <v>36.14</v>
      </c>
      <c r="F59" s="35">
        <v>869</v>
      </c>
      <c r="G59" s="131">
        <f t="shared" si="40"/>
        <v>31405.66</v>
      </c>
      <c r="H59" s="29" t="s">
        <v>5</v>
      </c>
      <c r="I59" s="136">
        <v>11</v>
      </c>
      <c r="J59" s="30">
        <v>3000</v>
      </c>
      <c r="K59" s="13">
        <f t="shared" si="1"/>
        <v>272.72727272727275</v>
      </c>
      <c r="L59" s="136">
        <v>11</v>
      </c>
      <c r="M59" s="14">
        <f t="shared" si="41"/>
        <v>2896.6666666666647</v>
      </c>
      <c r="N59" s="13">
        <f t="shared" si="3"/>
        <v>263.33333333333314</v>
      </c>
      <c r="O59" s="15">
        <f t="shared" si="4"/>
        <v>0</v>
      </c>
      <c r="P59" s="16">
        <f t="shared" si="5"/>
        <v>-9.3939393939396041</v>
      </c>
      <c r="Q59" s="132">
        <f t="shared" si="6"/>
        <v>0.96555555555555483</v>
      </c>
      <c r="R59" s="619"/>
      <c r="S59" s="31">
        <v>0.32777777777777772</v>
      </c>
      <c r="T59" s="31">
        <v>0.34027777777777773</v>
      </c>
      <c r="U59" s="131">
        <f t="shared" si="44"/>
        <v>4.9999999999999822</v>
      </c>
      <c r="V59" s="137">
        <f t="shared" si="42"/>
        <v>18.000000000000014</v>
      </c>
      <c r="W59" s="131"/>
      <c r="X59" s="131"/>
      <c r="Y59" s="131"/>
      <c r="Z59" s="131"/>
      <c r="AA59" s="610"/>
      <c r="AB59" s="610"/>
      <c r="AC59" s="155"/>
      <c r="AD59" s="19"/>
      <c r="AE59" s="15">
        <f t="shared" si="43"/>
        <v>-103.3333333333353</v>
      </c>
      <c r="AF59" s="132">
        <f t="shared" si="9"/>
        <v>0.96555555555555495</v>
      </c>
      <c r="AG59" s="619"/>
    </row>
    <row r="60" spans="1:33" ht="15.75" customHeight="1">
      <c r="A60" s="621" t="s">
        <v>409</v>
      </c>
      <c r="B60" s="138" t="s">
        <v>36</v>
      </c>
      <c r="C60" s="611" t="s">
        <v>39</v>
      </c>
      <c r="D60" s="611"/>
      <c r="E60" s="33">
        <v>35.869999999999997</v>
      </c>
      <c r="F60" s="35">
        <v>1217</v>
      </c>
      <c r="G60" s="131">
        <f t="shared" si="40"/>
        <v>43653.789999999994</v>
      </c>
      <c r="H60" s="29" t="s">
        <v>5</v>
      </c>
      <c r="I60" s="136">
        <v>9</v>
      </c>
      <c r="J60" s="30">
        <v>3000</v>
      </c>
      <c r="K60" s="13">
        <f t="shared" si="1"/>
        <v>333.33333333333331</v>
      </c>
      <c r="L60" s="136">
        <v>9</v>
      </c>
      <c r="M60" s="14">
        <f t="shared" si="41"/>
        <v>2920.8000000000006</v>
      </c>
      <c r="N60" s="13">
        <f t="shared" si="3"/>
        <v>324.53333333333342</v>
      </c>
      <c r="O60" s="15">
        <f t="shared" si="4"/>
        <v>0</v>
      </c>
      <c r="P60" s="16">
        <f t="shared" si="5"/>
        <v>-8.7999999999998977</v>
      </c>
      <c r="Q60" s="132">
        <f t="shared" si="6"/>
        <v>0.97360000000000035</v>
      </c>
      <c r="R60" s="619"/>
      <c r="S60" s="31">
        <v>0.34513888888888883</v>
      </c>
      <c r="T60" s="31">
        <v>0.36249999999999993</v>
      </c>
      <c r="U60" s="131">
        <f t="shared" si="44"/>
        <v>6.9999999999999751</v>
      </c>
      <c r="V60" s="137">
        <f t="shared" si="42"/>
        <v>24.999999999999993</v>
      </c>
      <c r="W60" s="131"/>
      <c r="X60" s="131"/>
      <c r="Y60" s="131"/>
      <c r="Z60" s="131"/>
      <c r="AA60" s="610"/>
      <c r="AB60" s="610"/>
      <c r="AC60" s="155"/>
      <c r="AD60" s="19"/>
      <c r="AE60" s="15">
        <f t="shared" si="43"/>
        <v>-79.199999999999363</v>
      </c>
      <c r="AF60" s="132">
        <f t="shared" si="9"/>
        <v>0.97360000000000024</v>
      </c>
      <c r="AG60" s="619"/>
    </row>
    <row r="61" spans="1:33">
      <c r="A61" s="622" t="s">
        <v>410</v>
      </c>
      <c r="B61" s="138" t="s">
        <v>36</v>
      </c>
      <c r="C61" s="611" t="s">
        <v>74</v>
      </c>
      <c r="D61" s="611"/>
      <c r="E61" s="33">
        <v>33.770000000000003</v>
      </c>
      <c r="F61" s="35">
        <v>3362</v>
      </c>
      <c r="G61" s="131">
        <f t="shared" si="40"/>
        <v>113534.74</v>
      </c>
      <c r="H61" s="29" t="s">
        <v>5</v>
      </c>
      <c r="I61" s="136">
        <v>12</v>
      </c>
      <c r="J61" s="30">
        <v>3000</v>
      </c>
      <c r="K61" s="13">
        <f t="shared" si="1"/>
        <v>250</v>
      </c>
      <c r="L61" s="136">
        <v>12</v>
      </c>
      <c r="M61" s="14">
        <f t="shared" si="41"/>
        <v>2881.7142857142862</v>
      </c>
      <c r="N61" s="13">
        <f t="shared" si="3"/>
        <v>240.1428571428572</v>
      </c>
      <c r="O61" s="15">
        <f t="shared" si="4"/>
        <v>0</v>
      </c>
      <c r="P61" s="16">
        <f t="shared" si="5"/>
        <v>-9.8571428571428044</v>
      </c>
      <c r="Q61" s="132">
        <f t="shared" si="6"/>
        <v>0.96057142857142874</v>
      </c>
      <c r="R61" s="619"/>
      <c r="S61" s="31">
        <v>0.36666666666666659</v>
      </c>
      <c r="T61" s="31">
        <v>0.41527777777777769</v>
      </c>
      <c r="U61" s="131">
        <f t="shared" si="44"/>
        <v>5.9999999999999787</v>
      </c>
      <c r="V61" s="137">
        <f t="shared" si="42"/>
        <v>69.999999999999986</v>
      </c>
      <c r="W61" s="17"/>
      <c r="X61" s="17"/>
      <c r="Y61" s="17"/>
      <c r="Z61" s="17"/>
      <c r="AA61" s="610"/>
      <c r="AB61" s="610"/>
      <c r="AC61" s="155"/>
      <c r="AD61" s="19"/>
      <c r="AE61" s="15">
        <f t="shared" si="43"/>
        <v>-118.28571428571377</v>
      </c>
      <c r="AF61" s="132">
        <f t="shared" si="9"/>
        <v>0.96057142857142874</v>
      </c>
      <c r="AG61" s="619"/>
    </row>
    <row r="62" spans="1:33">
      <c r="A62" s="622" t="s">
        <v>411</v>
      </c>
      <c r="B62" s="33" t="s">
        <v>412</v>
      </c>
      <c r="C62" s="620"/>
      <c r="D62" s="620"/>
      <c r="E62" s="133"/>
      <c r="F62" s="34"/>
      <c r="G62" s="13"/>
      <c r="H62" s="138"/>
      <c r="I62" s="23">
        <v>10.4</v>
      </c>
      <c r="J62" s="30">
        <v>3000</v>
      </c>
      <c r="K62" s="13">
        <f t="shared" si="1"/>
        <v>288.46153846153845</v>
      </c>
      <c r="L62" s="23">
        <v>10.4</v>
      </c>
      <c r="M62" s="14">
        <f>AVERAGE(M57:M61)</f>
        <v>2890.068917748918</v>
      </c>
      <c r="N62" s="13">
        <f t="shared" si="3"/>
        <v>277.89124209124213</v>
      </c>
      <c r="O62" s="15">
        <f t="shared" si="4"/>
        <v>0</v>
      </c>
      <c r="P62" s="16">
        <f t="shared" si="5"/>
        <v>-10.570296370296319</v>
      </c>
      <c r="Q62" s="132">
        <f t="shared" si="6"/>
        <v>0.96335630591630605</v>
      </c>
      <c r="R62" s="619"/>
      <c r="S62" s="31"/>
      <c r="T62" s="31"/>
      <c r="U62" s="13"/>
      <c r="V62" s="137"/>
      <c r="W62" s="13"/>
      <c r="X62" s="13"/>
      <c r="Y62" s="24">
        <f>SUM(Y57:Y61)</f>
        <v>0</v>
      </c>
      <c r="Z62" s="24">
        <f>SUM(Z57:Z61)</f>
        <v>0</v>
      </c>
      <c r="AA62" s="609"/>
      <c r="AB62" s="609"/>
      <c r="AC62" s="24">
        <v>5</v>
      </c>
      <c r="AD62" s="24">
        <f>SUM(AD57:AD61)</f>
        <v>0</v>
      </c>
      <c r="AE62" s="15">
        <f t="shared" si="43"/>
        <v>-109.93108225108199</v>
      </c>
      <c r="AF62" s="132">
        <f t="shared" si="9"/>
        <v>0.96335630591630605</v>
      </c>
      <c r="AG62" s="619"/>
    </row>
    <row r="63" spans="1:33" ht="15.75" customHeight="1">
      <c r="A63" s="616" t="s">
        <v>413</v>
      </c>
      <c r="B63" s="138" t="s">
        <v>27</v>
      </c>
      <c r="C63" s="611" t="s">
        <v>50</v>
      </c>
      <c r="D63" s="611"/>
      <c r="E63" s="33">
        <v>19.02</v>
      </c>
      <c r="F63" s="138">
        <v>5300</v>
      </c>
      <c r="G63" s="131">
        <f t="shared" ref="G63:G70" si="45">E63*F63</f>
        <v>100806</v>
      </c>
      <c r="H63" s="29">
        <v>2</v>
      </c>
      <c r="I63" s="136">
        <v>14</v>
      </c>
      <c r="J63" s="30">
        <v>2400</v>
      </c>
      <c r="K63" s="13">
        <f t="shared" si="1"/>
        <v>171.42857142857142</v>
      </c>
      <c r="L63" s="136">
        <v>14</v>
      </c>
      <c r="M63" s="14">
        <f t="shared" ref="M63:M70" si="46">F63/V63*60</f>
        <v>2287.7697841726617</v>
      </c>
      <c r="N63" s="13">
        <f t="shared" si="3"/>
        <v>163.41212744090441</v>
      </c>
      <c r="O63" s="15">
        <f t="shared" si="4"/>
        <v>0</v>
      </c>
      <c r="P63" s="16">
        <f t="shared" si="5"/>
        <v>-8.0164439876670031</v>
      </c>
      <c r="Q63" s="132">
        <f t="shared" si="6"/>
        <v>0.95323741007194251</v>
      </c>
      <c r="R63" s="619">
        <f>Q71</f>
        <v>0.96104529516889203</v>
      </c>
      <c r="S63" s="31">
        <v>8.3333333333333329E-2</v>
      </c>
      <c r="T63" s="31">
        <v>0.17986111111111111</v>
      </c>
      <c r="U63" s="22"/>
      <c r="V63" s="137">
        <f t="shared" ref="V63:V70" si="47">(T63-S63)*24*60</f>
        <v>139</v>
      </c>
      <c r="W63" s="17">
        <f>T63</f>
        <v>0.17986111111111111</v>
      </c>
      <c r="X63" s="17">
        <f>S64</f>
        <v>0.19930555555555554</v>
      </c>
      <c r="Y63" s="17"/>
      <c r="Z63" s="17"/>
      <c r="AA63" s="610"/>
      <c r="AB63" s="610"/>
      <c r="AC63" s="155">
        <v>8</v>
      </c>
      <c r="AD63" s="19"/>
      <c r="AE63" s="15">
        <f t="shared" si="43"/>
        <v>-112.23021582733827</v>
      </c>
      <c r="AF63" s="132">
        <f t="shared" si="9"/>
        <v>0.9532374100719424</v>
      </c>
      <c r="AG63" s="619">
        <f>AF71</f>
        <v>0.96104529516889214</v>
      </c>
    </row>
    <row r="64" spans="1:33" ht="15.75" customHeight="1">
      <c r="A64" s="617" t="s">
        <v>414</v>
      </c>
      <c r="B64" s="138" t="s">
        <v>27</v>
      </c>
      <c r="C64" s="611" t="s">
        <v>51</v>
      </c>
      <c r="D64" s="611"/>
      <c r="E64" s="33">
        <v>20.36</v>
      </c>
      <c r="F64" s="138">
        <v>4265</v>
      </c>
      <c r="G64" s="131">
        <f t="shared" si="45"/>
        <v>86835.4</v>
      </c>
      <c r="H64" s="29" t="s">
        <v>5</v>
      </c>
      <c r="I64" s="136">
        <v>17</v>
      </c>
      <c r="J64" s="30">
        <v>2400</v>
      </c>
      <c r="K64" s="13">
        <f t="shared" si="1"/>
        <v>141.1764705882353</v>
      </c>
      <c r="L64" s="136">
        <v>17</v>
      </c>
      <c r="M64" s="14">
        <f t="shared" si="46"/>
        <v>2284.821428571428</v>
      </c>
      <c r="N64" s="13">
        <f t="shared" si="3"/>
        <v>134.40126050420164</v>
      </c>
      <c r="O64" s="15">
        <f t="shared" si="4"/>
        <v>0</v>
      </c>
      <c r="P64" s="16">
        <f t="shared" si="5"/>
        <v>-6.7752100840336595</v>
      </c>
      <c r="Q64" s="132">
        <f t="shared" si="6"/>
        <v>0.95200892857142827</v>
      </c>
      <c r="R64" s="619"/>
      <c r="S64" s="31">
        <v>0.19930555555555554</v>
      </c>
      <c r="T64" s="31">
        <v>0.27708333333333335</v>
      </c>
      <c r="U64" s="131">
        <f t="shared" ref="U64:U70" si="48">(S64-T63)*24*60</f>
        <v>27.999999999999979</v>
      </c>
      <c r="V64" s="137">
        <f t="shared" si="47"/>
        <v>112.00000000000004</v>
      </c>
      <c r="W64" s="17"/>
      <c r="X64" s="17"/>
      <c r="Y64" s="17"/>
      <c r="Z64" s="17"/>
      <c r="AA64" s="610"/>
      <c r="AB64" s="610"/>
      <c r="AC64" s="155"/>
      <c r="AD64" s="19"/>
      <c r="AE64" s="15">
        <f t="shared" si="43"/>
        <v>-115.17857142857201</v>
      </c>
      <c r="AF64" s="132">
        <f t="shared" si="9"/>
        <v>0.95200892857142838</v>
      </c>
      <c r="AG64" s="619"/>
    </row>
    <row r="65" spans="1:33" ht="15.75" customHeight="1">
      <c r="A65" s="617" t="s">
        <v>415</v>
      </c>
      <c r="B65" s="138" t="s">
        <v>27</v>
      </c>
      <c r="C65" s="611" t="s">
        <v>75</v>
      </c>
      <c r="D65" s="611"/>
      <c r="E65" s="33">
        <v>25.98</v>
      </c>
      <c r="F65" s="138">
        <v>4728</v>
      </c>
      <c r="G65" s="131">
        <f t="shared" si="45"/>
        <v>122833.44</v>
      </c>
      <c r="H65" s="29" t="s">
        <v>5</v>
      </c>
      <c r="I65" s="136">
        <v>19</v>
      </c>
      <c r="J65" s="30">
        <v>2400</v>
      </c>
      <c r="K65" s="13">
        <f t="shared" si="1"/>
        <v>126.31578947368421</v>
      </c>
      <c r="L65" s="136">
        <v>19</v>
      </c>
      <c r="M65" s="14">
        <f t="shared" si="46"/>
        <v>2287.7419354838703</v>
      </c>
      <c r="N65" s="13">
        <f t="shared" si="3"/>
        <v>120.40747028862475</v>
      </c>
      <c r="O65" s="15">
        <f t="shared" si="4"/>
        <v>0</v>
      </c>
      <c r="P65" s="16">
        <f t="shared" si="5"/>
        <v>-5.9083191850594545</v>
      </c>
      <c r="Q65" s="132">
        <f t="shared" si="6"/>
        <v>0.9532258064516127</v>
      </c>
      <c r="R65" s="619"/>
      <c r="S65" s="31">
        <v>0.28125</v>
      </c>
      <c r="T65" s="31">
        <v>0.36736111111111114</v>
      </c>
      <c r="U65" s="131">
        <f t="shared" si="48"/>
        <v>5.9999999999999787</v>
      </c>
      <c r="V65" s="137">
        <f t="shared" si="47"/>
        <v>124.00000000000004</v>
      </c>
      <c r="W65" s="17"/>
      <c r="X65" s="17"/>
      <c r="Y65" s="17"/>
      <c r="Z65" s="17"/>
      <c r="AA65" s="610"/>
      <c r="AB65" s="610"/>
      <c r="AC65" s="155"/>
      <c r="AD65" s="19"/>
      <c r="AE65" s="15">
        <f t="shared" si="43"/>
        <v>-112.25806451612971</v>
      </c>
      <c r="AF65" s="132">
        <f t="shared" si="9"/>
        <v>0.95322580645161259</v>
      </c>
      <c r="AG65" s="619"/>
    </row>
    <row r="66" spans="1:33" ht="15.75" customHeight="1">
      <c r="A66" s="617" t="s">
        <v>416</v>
      </c>
      <c r="B66" s="138" t="s">
        <v>27</v>
      </c>
      <c r="C66" s="611" t="s">
        <v>31</v>
      </c>
      <c r="D66" s="611"/>
      <c r="E66" s="33">
        <v>25.99</v>
      </c>
      <c r="F66" s="138">
        <v>1139</v>
      </c>
      <c r="G66" s="131">
        <f t="shared" si="45"/>
        <v>29602.609999999997</v>
      </c>
      <c r="H66" s="29" t="s">
        <v>5</v>
      </c>
      <c r="I66" s="136">
        <v>18</v>
      </c>
      <c r="J66" s="30">
        <v>2400</v>
      </c>
      <c r="K66" s="13">
        <f t="shared" si="1"/>
        <v>133.33333333333334</v>
      </c>
      <c r="L66" s="136">
        <v>18</v>
      </c>
      <c r="M66" s="14">
        <f t="shared" si="46"/>
        <v>2356.5517241379325</v>
      </c>
      <c r="N66" s="13">
        <f t="shared" si="3"/>
        <v>130.91954022988514</v>
      </c>
      <c r="O66" s="15">
        <f t="shared" si="4"/>
        <v>0</v>
      </c>
      <c r="P66" s="16">
        <f t="shared" si="5"/>
        <v>-2.4137931034481994</v>
      </c>
      <c r="Q66" s="132">
        <f t="shared" si="6"/>
        <v>0.98189655172413848</v>
      </c>
      <c r="R66" s="619"/>
      <c r="S66" s="31">
        <v>0.37222222222222223</v>
      </c>
      <c r="T66" s="31">
        <v>0.3923611111111111</v>
      </c>
      <c r="U66" s="131">
        <f t="shared" si="48"/>
        <v>6.9999999999999751</v>
      </c>
      <c r="V66" s="137">
        <f t="shared" si="47"/>
        <v>28.999999999999979</v>
      </c>
      <c r="W66" s="17"/>
      <c r="X66" s="17"/>
      <c r="Y66" s="17"/>
      <c r="Z66" s="17"/>
      <c r="AA66" s="610"/>
      <c r="AB66" s="610"/>
      <c r="AC66" s="155"/>
      <c r="AD66" s="19"/>
      <c r="AE66" s="15">
        <f t="shared" si="43"/>
        <v>-43.448275862067476</v>
      </c>
      <c r="AF66" s="132">
        <f t="shared" si="9"/>
        <v>0.98189655172413859</v>
      </c>
      <c r="AG66" s="619"/>
    </row>
    <row r="67" spans="1:33" ht="15.75" customHeight="1">
      <c r="A67" s="617" t="s">
        <v>414</v>
      </c>
      <c r="B67" s="138" t="s">
        <v>27</v>
      </c>
      <c r="C67" s="611" t="s">
        <v>55</v>
      </c>
      <c r="D67" s="611"/>
      <c r="E67" s="33">
        <v>23.89</v>
      </c>
      <c r="F67" s="138">
        <v>1097</v>
      </c>
      <c r="G67" s="131">
        <f t="shared" si="45"/>
        <v>26207.33</v>
      </c>
      <c r="H67" s="29" t="s">
        <v>5</v>
      </c>
      <c r="I67" s="136">
        <v>13</v>
      </c>
      <c r="J67" s="30">
        <v>2400</v>
      </c>
      <c r="K67" s="13">
        <f t="shared" si="1"/>
        <v>184.61538461538461</v>
      </c>
      <c r="L67" s="136">
        <v>13</v>
      </c>
      <c r="M67" s="14">
        <f t="shared" si="46"/>
        <v>2350.7142857142876</v>
      </c>
      <c r="N67" s="13">
        <f t="shared" si="3"/>
        <v>180.82417582417597</v>
      </c>
      <c r="O67" s="15">
        <f t="shared" si="4"/>
        <v>0</v>
      </c>
      <c r="P67" s="16">
        <f t="shared" si="5"/>
        <v>-3.7912087912086463</v>
      </c>
      <c r="Q67" s="132">
        <f t="shared" si="6"/>
        <v>0.97946428571428645</v>
      </c>
      <c r="R67" s="619"/>
      <c r="S67" s="31">
        <v>0.39583333333333331</v>
      </c>
      <c r="T67" s="31">
        <v>0.41527777777777775</v>
      </c>
      <c r="U67" s="131">
        <f t="shared" si="48"/>
        <v>4.9999999999999822</v>
      </c>
      <c r="V67" s="137">
        <f t="shared" si="47"/>
        <v>27.999999999999979</v>
      </c>
      <c r="W67" s="17"/>
      <c r="X67" s="17"/>
      <c r="Y67" s="17"/>
      <c r="Z67" s="17"/>
      <c r="AA67" s="610"/>
      <c r="AB67" s="610"/>
      <c r="AC67" s="155"/>
      <c r="AD67" s="19"/>
      <c r="AE67" s="15">
        <f t="shared" si="43"/>
        <v>-49.285714285712402</v>
      </c>
      <c r="AF67" s="132">
        <f t="shared" si="9"/>
        <v>0.97946428571428645</v>
      </c>
      <c r="AG67" s="619"/>
    </row>
    <row r="68" spans="1:33" ht="15.75" customHeight="1">
      <c r="A68" s="617" t="s">
        <v>200</v>
      </c>
      <c r="B68" s="138" t="s">
        <v>27</v>
      </c>
      <c r="C68" s="611" t="s">
        <v>197</v>
      </c>
      <c r="D68" s="611"/>
      <c r="E68" s="33">
        <v>23.89</v>
      </c>
      <c r="F68" s="138">
        <v>3900</v>
      </c>
      <c r="G68" s="131">
        <f t="shared" si="45"/>
        <v>93171</v>
      </c>
      <c r="H68" s="29">
        <v>2</v>
      </c>
      <c r="I68" s="136">
        <v>17</v>
      </c>
      <c r="J68" s="30">
        <v>2400</v>
      </c>
      <c r="K68" s="13">
        <f t="shared" si="1"/>
        <v>141.1764705882353</v>
      </c>
      <c r="L68" s="136">
        <v>17</v>
      </c>
      <c r="M68" s="14">
        <f t="shared" si="46"/>
        <v>2294.1176470588243</v>
      </c>
      <c r="N68" s="13">
        <f t="shared" si="3"/>
        <v>134.94809688581319</v>
      </c>
      <c r="O68" s="15">
        <f t="shared" si="4"/>
        <v>0</v>
      </c>
      <c r="P68" s="16">
        <f t="shared" si="5"/>
        <v>-6.2283737024221182</v>
      </c>
      <c r="Q68" s="132">
        <f t="shared" si="6"/>
        <v>0.95588235294117663</v>
      </c>
      <c r="R68" s="619"/>
      <c r="S68" s="31">
        <v>0.41874999999999996</v>
      </c>
      <c r="T68" s="31">
        <v>0.48958333333333326</v>
      </c>
      <c r="U68" s="131">
        <f t="shared" si="48"/>
        <v>4.9999999999999822</v>
      </c>
      <c r="V68" s="137">
        <f t="shared" si="47"/>
        <v>101.99999999999996</v>
      </c>
      <c r="W68" s="17">
        <f>T68</f>
        <v>0.48958333333333326</v>
      </c>
      <c r="X68" s="17">
        <f>S69</f>
        <v>0.53124999999999989</v>
      </c>
      <c r="Y68" s="17"/>
      <c r="Z68" s="17"/>
      <c r="AA68" s="610"/>
      <c r="AB68" s="610"/>
      <c r="AC68" s="155"/>
      <c r="AD68" s="19"/>
      <c r="AE68" s="15">
        <f t="shared" si="43"/>
        <v>-105.88235294117567</v>
      </c>
      <c r="AF68" s="132">
        <f t="shared" si="9"/>
        <v>0.95588235294117685</v>
      </c>
      <c r="AG68" s="619"/>
    </row>
    <row r="69" spans="1:33" ht="15.75" customHeight="1">
      <c r="A69" s="617" t="s">
        <v>200</v>
      </c>
      <c r="B69" s="138" t="s">
        <v>27</v>
      </c>
      <c r="C69" s="612" t="s">
        <v>197</v>
      </c>
      <c r="D69" s="613"/>
      <c r="E69" s="33">
        <v>23.89</v>
      </c>
      <c r="F69" s="138">
        <v>3014</v>
      </c>
      <c r="G69" s="131">
        <f t="shared" si="45"/>
        <v>72004.460000000006</v>
      </c>
      <c r="H69" s="29" t="s">
        <v>5</v>
      </c>
      <c r="I69" s="136">
        <v>17</v>
      </c>
      <c r="J69" s="30">
        <v>2400</v>
      </c>
      <c r="K69" s="13">
        <f t="shared" ref="K69:K71" si="49">J69/I69</f>
        <v>141.1764705882353</v>
      </c>
      <c r="L69" s="136">
        <v>17</v>
      </c>
      <c r="M69" s="14">
        <f t="shared" si="46"/>
        <v>2289.1139240506318</v>
      </c>
      <c r="N69" s="13">
        <f t="shared" ref="N69:N71" si="50">M69/L69</f>
        <v>134.65376023827247</v>
      </c>
      <c r="O69" s="15">
        <f t="shared" ref="O69:O71" si="51">L69-I69</f>
        <v>0</v>
      </c>
      <c r="P69" s="16">
        <f t="shared" ref="P69:P71" si="52">N69-K69</f>
        <v>-6.5227103499628356</v>
      </c>
      <c r="Q69" s="132">
        <f t="shared" ref="Q69:Q71" si="53">N69/K69</f>
        <v>0.95379746835442991</v>
      </c>
      <c r="R69" s="619"/>
      <c r="S69" s="31">
        <v>0.53124999999999989</v>
      </c>
      <c r="T69" s="31">
        <v>0.58611111111111103</v>
      </c>
      <c r="U69" s="131">
        <f t="shared" si="48"/>
        <v>59.999999999999943</v>
      </c>
      <c r="V69" s="137">
        <f t="shared" si="47"/>
        <v>79.000000000000043</v>
      </c>
      <c r="W69" s="17"/>
      <c r="X69" s="17"/>
      <c r="Y69" s="20"/>
      <c r="Z69" s="20"/>
      <c r="AA69" s="614"/>
      <c r="AB69" s="615"/>
      <c r="AC69" s="155"/>
      <c r="AD69" s="19"/>
      <c r="AE69" s="15">
        <f t="shared" si="43"/>
        <v>-110.88607594936821</v>
      </c>
      <c r="AF69" s="132">
        <f t="shared" ref="AF69:AF71" si="54">M69/J69</f>
        <v>0.95379746835442991</v>
      </c>
      <c r="AG69" s="619"/>
    </row>
    <row r="70" spans="1:33" ht="15.75" customHeight="1">
      <c r="A70" s="617" t="s">
        <v>200</v>
      </c>
      <c r="B70" s="138" t="s">
        <v>27</v>
      </c>
      <c r="C70" s="612" t="s">
        <v>50</v>
      </c>
      <c r="D70" s="613"/>
      <c r="E70" s="33">
        <v>19.02</v>
      </c>
      <c r="F70" s="138">
        <v>4334</v>
      </c>
      <c r="G70" s="131">
        <f t="shared" si="45"/>
        <v>82432.679999999993</v>
      </c>
      <c r="H70" s="29" t="s">
        <v>5</v>
      </c>
      <c r="I70" s="136">
        <v>14</v>
      </c>
      <c r="J70" s="30">
        <v>2400</v>
      </c>
      <c r="K70" s="13">
        <f t="shared" si="49"/>
        <v>171.42857142857142</v>
      </c>
      <c r="L70" s="136">
        <v>14</v>
      </c>
      <c r="M70" s="14">
        <f t="shared" si="46"/>
        <v>2301.2389380530958</v>
      </c>
      <c r="N70" s="13">
        <f t="shared" si="50"/>
        <v>164.37420986093542</v>
      </c>
      <c r="O70" s="15">
        <f t="shared" si="51"/>
        <v>0</v>
      </c>
      <c r="P70" s="16">
        <f t="shared" si="52"/>
        <v>-7.0543615676359934</v>
      </c>
      <c r="Q70" s="132">
        <f t="shared" si="53"/>
        <v>0.95884955752212342</v>
      </c>
      <c r="R70" s="619"/>
      <c r="S70" s="31">
        <v>0.59027777777777768</v>
      </c>
      <c r="T70" s="31">
        <v>0.66874999999999996</v>
      </c>
      <c r="U70" s="131">
        <f t="shared" si="48"/>
        <v>5.9999999999999787</v>
      </c>
      <c r="V70" s="137">
        <f t="shared" si="47"/>
        <v>113.00000000000009</v>
      </c>
      <c r="W70" s="17"/>
      <c r="X70" s="17"/>
      <c r="Y70" s="20"/>
      <c r="Z70" s="20"/>
      <c r="AA70" s="614"/>
      <c r="AB70" s="615"/>
      <c r="AC70" s="155"/>
      <c r="AD70" s="19"/>
      <c r="AE70" s="15">
        <f t="shared" si="43"/>
        <v>-98.761061946904192</v>
      </c>
      <c r="AF70" s="132">
        <f t="shared" si="54"/>
        <v>0.95884955752212331</v>
      </c>
      <c r="AG70" s="619"/>
    </row>
    <row r="71" spans="1:33" ht="16.5" customHeight="1">
      <c r="A71" s="618" t="s">
        <v>417</v>
      </c>
      <c r="B71" s="33" t="s">
        <v>80</v>
      </c>
      <c r="C71" s="607"/>
      <c r="D71" s="608"/>
      <c r="E71" s="133"/>
      <c r="F71" s="34"/>
      <c r="G71" s="13"/>
      <c r="H71" s="138"/>
      <c r="I71" s="23">
        <v>16.125</v>
      </c>
      <c r="J71" s="30">
        <v>2400</v>
      </c>
      <c r="K71" s="13">
        <f t="shared" si="49"/>
        <v>148.83720930232559</v>
      </c>
      <c r="L71" s="23">
        <v>16.125</v>
      </c>
      <c r="M71" s="14">
        <f>AVERAGE(M63:M70)</f>
        <v>2306.5087084053412</v>
      </c>
      <c r="N71" s="13">
        <f t="shared" si="50"/>
        <v>143.03929974606766</v>
      </c>
      <c r="O71" s="15">
        <f t="shared" si="51"/>
        <v>0</v>
      </c>
      <c r="P71" s="16">
        <f t="shared" si="52"/>
        <v>-5.7979095562579346</v>
      </c>
      <c r="Q71" s="132">
        <f t="shared" si="53"/>
        <v>0.96104529516889203</v>
      </c>
      <c r="R71" s="619"/>
      <c r="S71" s="31"/>
      <c r="T71" s="31"/>
      <c r="U71" s="13"/>
      <c r="V71" s="137"/>
      <c r="W71" s="13"/>
      <c r="X71" s="13"/>
      <c r="Y71" s="24">
        <f>SUM(Y63:Y70)</f>
        <v>0</v>
      </c>
      <c r="Z71" s="24">
        <f>SUM(Z63:Z70)</f>
        <v>0</v>
      </c>
      <c r="AA71" s="609"/>
      <c r="AB71" s="609"/>
      <c r="AC71" s="24">
        <v>8</v>
      </c>
      <c r="AD71" s="24">
        <f>SUM(AD63:AD70)</f>
        <v>0</v>
      </c>
      <c r="AE71" s="15">
        <f t="shared" si="43"/>
        <v>-93.491291594658833</v>
      </c>
      <c r="AF71" s="132">
        <f t="shared" si="54"/>
        <v>0.96104529516889214</v>
      </c>
      <c r="AG71" s="619"/>
    </row>
    <row r="72" spans="1:33">
      <c r="D72" s="25"/>
      <c r="E72" s="25"/>
    </row>
  </sheetData>
  <mergeCells count="191">
    <mergeCell ref="A63:A71"/>
    <mergeCell ref="C63:D63"/>
    <mergeCell ref="R63:R71"/>
    <mergeCell ref="AA63:AB63"/>
    <mergeCell ref="AG63:AG71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AA66:AB66"/>
    <mergeCell ref="C67:D67"/>
    <mergeCell ref="AA67:AB67"/>
    <mergeCell ref="C68:D68"/>
    <mergeCell ref="AA68:AB68"/>
    <mergeCell ref="C69:D69"/>
    <mergeCell ref="AA69:AB69"/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57:A62"/>
    <mergeCell ref="C57:D57"/>
    <mergeCell ref="R57:R62"/>
    <mergeCell ref="AA57:AB57"/>
    <mergeCell ref="AA62:AB62"/>
    <mergeCell ref="AA52:AB52"/>
    <mergeCell ref="C53:D53"/>
    <mergeCell ref="AA53:AB53"/>
    <mergeCell ref="C54:D54"/>
    <mergeCell ref="AA54:AB54"/>
    <mergeCell ref="C55:D55"/>
    <mergeCell ref="AA55:AB55"/>
    <mergeCell ref="A48:A56"/>
    <mergeCell ref="C48:D48"/>
    <mergeCell ref="R48:R56"/>
    <mergeCell ref="AA48:AB48"/>
    <mergeCell ref="AG48:AG56"/>
    <mergeCell ref="C49:D49"/>
    <mergeCell ref="AA49:AB49"/>
    <mergeCell ref="C50:D50"/>
    <mergeCell ref="AA50:AB50"/>
    <mergeCell ref="AA51:AB51"/>
    <mergeCell ref="AG44:AG47"/>
    <mergeCell ref="C45:D45"/>
    <mergeCell ref="AA45:AB45"/>
    <mergeCell ref="C46:D46"/>
    <mergeCell ref="AA46:AB46"/>
    <mergeCell ref="C47:D47"/>
    <mergeCell ref="AA47:AB47"/>
    <mergeCell ref="C56:D56"/>
    <mergeCell ref="AA56:AB56"/>
    <mergeCell ref="A44:A47"/>
    <mergeCell ref="C44:D44"/>
    <mergeCell ref="R44:R47"/>
    <mergeCell ref="AA44:AB44"/>
    <mergeCell ref="C39:D39"/>
    <mergeCell ref="AA39:AB39"/>
    <mergeCell ref="C40:D40"/>
    <mergeCell ref="AA40:AB40"/>
    <mergeCell ref="C41:D41"/>
    <mergeCell ref="AA41:AB41"/>
    <mergeCell ref="AG36:AG43"/>
    <mergeCell ref="C37:D37"/>
    <mergeCell ref="AA37:AB37"/>
    <mergeCell ref="C38:D38"/>
    <mergeCell ref="AA38:AB38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42:D42"/>
    <mergeCell ref="AA42:AB42"/>
    <mergeCell ref="C43:D43"/>
    <mergeCell ref="AA43:AB43"/>
    <mergeCell ref="A29:A35"/>
    <mergeCell ref="C29:D29"/>
    <mergeCell ref="R29:R35"/>
    <mergeCell ref="AA29:AB29"/>
    <mergeCell ref="AA34:AB34"/>
    <mergeCell ref="C35:D35"/>
    <mergeCell ref="AA35:AB35"/>
    <mergeCell ref="A36:A43"/>
    <mergeCell ref="C36:D36"/>
    <mergeCell ref="R36:R43"/>
    <mergeCell ref="AA36:AB36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60:O68 O56:O57 O71 O5:O9 O12:O14 O20:O53">
    <cfRule type="cellIs" dxfId="317" priority="63" operator="greaterThan">
      <formula>0</formula>
    </cfRule>
  </conditionalFormatting>
  <conditionalFormatting sqref="P5:P7 P60:P61 AE60:AE61 P63:P68 P29:P34 P57 P9 P12:P14 P21:P27 P48:P53 P36:P46 AE5:AE57 AE63:AE71">
    <cfRule type="cellIs" dxfId="316" priority="67" operator="lessThan">
      <formula>0</formula>
    </cfRule>
  </conditionalFormatting>
  <conditionalFormatting sqref="AF60:AF61 Q60:Q68 Q56:Q57 Q71 Q5:Q9 Q12:Q14 Q20:Q53 AF5:AF57 AF63:AF71">
    <cfRule type="cellIs" dxfId="315" priority="64" operator="greaterThan">
      <formula>1</formula>
    </cfRule>
    <cfRule type="cellIs" dxfId="314" priority="65" operator="lessThan">
      <formula>0.8</formula>
    </cfRule>
  </conditionalFormatting>
  <conditionalFormatting sqref="AG13:AG14 R13:R14 AG60 R60:R68 R20:R26 AG20:AG26 AG56:AG57 R56:R57 R71 AG5:AG9 R5:R9 AG28:AG53 R28:R53">
    <cfRule type="cellIs" dxfId="313" priority="69" operator="lessThan">
      <formula>0.8</formula>
    </cfRule>
  </conditionalFormatting>
  <conditionalFormatting sqref="AG44">
    <cfRule type="cellIs" dxfId="312" priority="71" operator="lessThan">
      <formula>0.8</formula>
    </cfRule>
  </conditionalFormatting>
  <conditionalFormatting sqref="AG21:AG26">
    <cfRule type="cellIs" dxfId="311" priority="68" operator="lessThan">
      <formula>0.8</formula>
    </cfRule>
  </conditionalFormatting>
  <conditionalFormatting sqref="AG29">
    <cfRule type="cellIs" dxfId="310" priority="70" operator="lessThan">
      <formula>0.8</formula>
    </cfRule>
  </conditionalFormatting>
  <conditionalFormatting sqref="AG36:AG42">
    <cfRule type="cellIs" dxfId="309" priority="66" operator="lessThan">
      <formula>0.8</formula>
    </cfRule>
  </conditionalFormatting>
  <conditionalFormatting sqref="AE62">
    <cfRule type="cellIs" dxfId="308" priority="62" operator="lessThan">
      <formula>0</formula>
    </cfRule>
  </conditionalFormatting>
  <conditionalFormatting sqref="AF62">
    <cfRule type="cellIs" dxfId="307" priority="60" operator="greaterThan">
      <formula>1</formula>
    </cfRule>
    <cfRule type="cellIs" dxfId="306" priority="61" operator="lessThan">
      <formula>0.8</formula>
    </cfRule>
  </conditionalFormatting>
  <conditionalFormatting sqref="O15:O16">
    <cfRule type="cellIs" dxfId="305" priority="55" operator="greaterThan">
      <formula>0</formula>
    </cfRule>
  </conditionalFormatting>
  <conditionalFormatting sqref="P15:P16">
    <cfRule type="cellIs" dxfId="304" priority="58" operator="lessThan">
      <formula>0</formula>
    </cfRule>
  </conditionalFormatting>
  <conditionalFormatting sqref="Q15:Q16">
    <cfRule type="cellIs" dxfId="303" priority="56" operator="greaterThan">
      <formula>1</formula>
    </cfRule>
    <cfRule type="cellIs" dxfId="302" priority="57" operator="lessThan">
      <formula>0.8</formula>
    </cfRule>
  </conditionalFormatting>
  <conditionalFormatting sqref="R15:R16 AG15:AG16">
    <cfRule type="cellIs" dxfId="301" priority="59" operator="lessThan">
      <formula>0.8</formula>
    </cfRule>
  </conditionalFormatting>
  <conditionalFormatting sqref="O10:O11">
    <cfRule type="cellIs" dxfId="300" priority="51" operator="greaterThan">
      <formula>0</formula>
    </cfRule>
  </conditionalFormatting>
  <conditionalFormatting sqref="P10:P11">
    <cfRule type="cellIs" dxfId="299" priority="54" operator="lessThan">
      <formula>0</formula>
    </cfRule>
  </conditionalFormatting>
  <conditionalFormatting sqref="Q10:Q11">
    <cfRule type="cellIs" dxfId="298" priority="52" operator="greaterThan">
      <formula>1</formula>
    </cfRule>
    <cfRule type="cellIs" dxfId="297" priority="53" operator="lessThan">
      <formula>0.8</formula>
    </cfRule>
  </conditionalFormatting>
  <conditionalFormatting sqref="O54">
    <cfRule type="cellIs" dxfId="296" priority="46" operator="greaterThan">
      <formula>0</formula>
    </cfRule>
  </conditionalFormatting>
  <conditionalFormatting sqref="P54">
    <cfRule type="cellIs" dxfId="295" priority="49" operator="lessThan">
      <formula>0</formula>
    </cfRule>
  </conditionalFormatting>
  <conditionalFormatting sqref="Q54">
    <cfRule type="cellIs" dxfId="294" priority="47" operator="greaterThan">
      <formula>1</formula>
    </cfRule>
    <cfRule type="cellIs" dxfId="293" priority="48" operator="lessThan">
      <formula>0.8</formula>
    </cfRule>
  </conditionalFormatting>
  <conditionalFormatting sqref="R54 AG54">
    <cfRule type="cellIs" dxfId="292" priority="50" operator="lessThan">
      <formula>0.8</formula>
    </cfRule>
  </conditionalFormatting>
  <conditionalFormatting sqref="O59">
    <cfRule type="cellIs" dxfId="291" priority="41" operator="greaterThan">
      <formula>0</formula>
    </cfRule>
  </conditionalFormatting>
  <conditionalFormatting sqref="P59 AE59">
    <cfRule type="cellIs" dxfId="290" priority="44" operator="lessThan">
      <formula>0</formula>
    </cfRule>
  </conditionalFormatting>
  <conditionalFormatting sqref="Q59 AF59">
    <cfRule type="cellIs" dxfId="289" priority="42" operator="greaterThan">
      <formula>1</formula>
    </cfRule>
    <cfRule type="cellIs" dxfId="288" priority="43" operator="lessThan">
      <formula>0.8</formula>
    </cfRule>
  </conditionalFormatting>
  <conditionalFormatting sqref="R59 AG59">
    <cfRule type="cellIs" dxfId="287" priority="45" operator="lessThan">
      <formula>0.8</formula>
    </cfRule>
  </conditionalFormatting>
  <conditionalFormatting sqref="O69">
    <cfRule type="cellIs" dxfId="286" priority="36" operator="greaterThan">
      <formula>0</formula>
    </cfRule>
  </conditionalFormatting>
  <conditionalFormatting sqref="P69">
    <cfRule type="cellIs" dxfId="285" priority="39" operator="lessThan">
      <formula>0</formula>
    </cfRule>
  </conditionalFormatting>
  <conditionalFormatting sqref="Q69">
    <cfRule type="cellIs" dxfId="284" priority="37" operator="greaterThan">
      <formula>1</formula>
    </cfRule>
    <cfRule type="cellIs" dxfId="283" priority="38" operator="lessThan">
      <formula>0.8</formula>
    </cfRule>
  </conditionalFormatting>
  <conditionalFormatting sqref="R69">
    <cfRule type="cellIs" dxfId="282" priority="40" operator="lessThan">
      <formula>0.8</formula>
    </cfRule>
  </conditionalFormatting>
  <conditionalFormatting sqref="O17:O18">
    <cfRule type="cellIs" dxfId="281" priority="31" operator="greaterThan">
      <formula>0</formula>
    </cfRule>
  </conditionalFormatting>
  <conditionalFormatting sqref="P17:P18">
    <cfRule type="cellIs" dxfId="280" priority="34" operator="lessThan">
      <formula>0</formula>
    </cfRule>
  </conditionalFormatting>
  <conditionalFormatting sqref="Q17:Q18">
    <cfRule type="cellIs" dxfId="279" priority="32" operator="greaterThan">
      <formula>1</formula>
    </cfRule>
    <cfRule type="cellIs" dxfId="278" priority="33" operator="lessThan">
      <formula>0.8</formula>
    </cfRule>
  </conditionalFormatting>
  <conditionalFormatting sqref="R17:R18 AG17:AG18">
    <cfRule type="cellIs" dxfId="277" priority="35" operator="lessThan">
      <formula>0.8</formula>
    </cfRule>
  </conditionalFormatting>
  <conditionalFormatting sqref="O55">
    <cfRule type="cellIs" dxfId="276" priority="26" operator="greaterThan">
      <formula>0</formula>
    </cfRule>
  </conditionalFormatting>
  <conditionalFormatting sqref="P55">
    <cfRule type="cellIs" dxfId="275" priority="29" operator="lessThan">
      <formula>0</formula>
    </cfRule>
  </conditionalFormatting>
  <conditionalFormatting sqref="Q55">
    <cfRule type="cellIs" dxfId="274" priority="27" operator="greaterThan">
      <formula>1</formula>
    </cfRule>
    <cfRule type="cellIs" dxfId="273" priority="28" operator="lessThan">
      <formula>0.8</formula>
    </cfRule>
  </conditionalFormatting>
  <conditionalFormatting sqref="AG55 R55">
    <cfRule type="cellIs" dxfId="272" priority="30" operator="lessThan">
      <formula>0.8</formula>
    </cfRule>
  </conditionalFormatting>
  <conditionalFormatting sqref="R27 AG27">
    <cfRule type="cellIs" dxfId="271" priority="25" operator="lessThan">
      <formula>0.8</formula>
    </cfRule>
  </conditionalFormatting>
  <conditionalFormatting sqref="AG27">
    <cfRule type="cellIs" dxfId="270" priority="24" operator="lessThan">
      <formula>0.8</formula>
    </cfRule>
  </conditionalFormatting>
  <conditionalFormatting sqref="O58">
    <cfRule type="cellIs" dxfId="269" priority="19" operator="greaterThan">
      <formula>0</formula>
    </cfRule>
  </conditionalFormatting>
  <conditionalFormatting sqref="P58 AE58">
    <cfRule type="cellIs" dxfId="268" priority="22" operator="lessThan">
      <formula>0</formula>
    </cfRule>
  </conditionalFormatting>
  <conditionalFormatting sqref="Q58 AF58">
    <cfRule type="cellIs" dxfId="267" priority="20" operator="greaterThan">
      <formula>1</formula>
    </cfRule>
    <cfRule type="cellIs" dxfId="266" priority="21" operator="lessThan">
      <formula>0.8</formula>
    </cfRule>
  </conditionalFormatting>
  <conditionalFormatting sqref="R58 AG58">
    <cfRule type="cellIs" dxfId="265" priority="23" operator="lessThan">
      <formula>0.8</formula>
    </cfRule>
  </conditionalFormatting>
  <conditionalFormatting sqref="O19">
    <cfRule type="cellIs" dxfId="264" priority="14" operator="greaterThan">
      <formula>0</formula>
    </cfRule>
  </conditionalFormatting>
  <conditionalFormatting sqref="P19">
    <cfRule type="cellIs" dxfId="263" priority="17" operator="lessThan">
      <formula>0</formula>
    </cfRule>
  </conditionalFormatting>
  <conditionalFormatting sqref="Q19">
    <cfRule type="cellIs" dxfId="262" priority="15" operator="greaterThan">
      <formula>1</formula>
    </cfRule>
    <cfRule type="cellIs" dxfId="261" priority="16" operator="lessThan">
      <formula>0.8</formula>
    </cfRule>
  </conditionalFormatting>
  <conditionalFormatting sqref="AG19 R19">
    <cfRule type="cellIs" dxfId="260" priority="18" operator="lessThan">
      <formula>0.8</formula>
    </cfRule>
  </conditionalFormatting>
  <conditionalFormatting sqref="P8">
    <cfRule type="cellIs" dxfId="259" priority="13" operator="lessThan">
      <formula>0</formula>
    </cfRule>
  </conditionalFormatting>
  <conditionalFormatting sqref="P20">
    <cfRule type="cellIs" dxfId="258" priority="12" operator="lessThan">
      <formula>0</formula>
    </cfRule>
  </conditionalFormatting>
  <conditionalFormatting sqref="P28">
    <cfRule type="cellIs" dxfId="257" priority="11" operator="lessThan">
      <formula>0</formula>
    </cfRule>
  </conditionalFormatting>
  <conditionalFormatting sqref="P35">
    <cfRule type="cellIs" dxfId="256" priority="10" operator="lessThan">
      <formula>0</formula>
    </cfRule>
  </conditionalFormatting>
  <conditionalFormatting sqref="P47">
    <cfRule type="cellIs" dxfId="255" priority="9" operator="lessThan">
      <formula>0</formula>
    </cfRule>
  </conditionalFormatting>
  <conditionalFormatting sqref="P56">
    <cfRule type="cellIs" dxfId="254" priority="8" operator="lessThan">
      <formula>0</formula>
    </cfRule>
  </conditionalFormatting>
  <conditionalFormatting sqref="P62">
    <cfRule type="cellIs" dxfId="253" priority="7" operator="lessThan">
      <formula>0</formula>
    </cfRule>
  </conditionalFormatting>
  <conditionalFormatting sqref="P71">
    <cfRule type="cellIs" dxfId="252" priority="6" operator="lessThan">
      <formula>0</formula>
    </cfRule>
  </conditionalFormatting>
  <conditionalFormatting sqref="O70">
    <cfRule type="cellIs" dxfId="251" priority="1" operator="greaterThan">
      <formula>0</formula>
    </cfRule>
  </conditionalFormatting>
  <conditionalFormatting sqref="P70">
    <cfRule type="cellIs" dxfId="250" priority="4" operator="lessThan">
      <formula>0</formula>
    </cfRule>
  </conditionalFormatting>
  <conditionalFormatting sqref="Q70">
    <cfRule type="cellIs" dxfId="249" priority="2" operator="greaterThan">
      <formula>1</formula>
    </cfRule>
    <cfRule type="cellIs" dxfId="248" priority="3" operator="lessThan">
      <formula>0.8</formula>
    </cfRule>
  </conditionalFormatting>
  <conditionalFormatting sqref="R70">
    <cfRule type="cellIs" dxfId="247" priority="5" operator="lessThan">
      <formula>0.8</formula>
    </cfRule>
  </conditionalFormatting>
  <dataValidations count="1">
    <dataValidation type="list" allowBlank="1" showInputMessage="1" showErrorMessage="1" sqref="AB8 AA5:AB7 AB61 AA8:AA61 AB10:AB57 AA62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C26" sqref="C26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202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596" t="str">
        <f>TEXT('0902 4度C'!A2,"yyyy.mm.ddaaaa")</f>
        <v>2026.09.02星期三</v>
      </c>
      <c r="D3" s="597"/>
      <c r="E3" s="39" t="s">
        <v>204</v>
      </c>
      <c r="F3" s="598">
        <f>'0902 4度C'!D1</f>
        <v>173834</v>
      </c>
      <c r="G3" s="599"/>
      <c r="H3" s="39" t="s">
        <v>205</v>
      </c>
      <c r="I3" s="600">
        <f>'0902 4度C'!F1</f>
        <v>6053515.0299999984</v>
      </c>
      <c r="J3" s="601"/>
      <c r="K3" s="40"/>
      <c r="L3" s="41"/>
      <c r="M3" s="42"/>
      <c r="N3" s="42"/>
    </row>
    <row r="4" spans="2:17" ht="28.5" customHeight="1">
      <c r="B4" s="602" t="s">
        <v>206</v>
      </c>
      <c r="C4" s="588" t="s">
        <v>207</v>
      </c>
      <c r="D4" s="589"/>
      <c r="E4" s="605" t="s">
        <v>208</v>
      </c>
      <c r="F4" s="606"/>
      <c r="G4" s="605" t="s">
        <v>209</v>
      </c>
      <c r="H4" s="606"/>
      <c r="I4" s="605" t="s">
        <v>210</v>
      </c>
      <c r="J4" s="606"/>
      <c r="K4" s="586" t="s">
        <v>211</v>
      </c>
      <c r="L4" s="587"/>
      <c r="M4" s="587" t="s">
        <v>212</v>
      </c>
      <c r="N4" s="587"/>
    </row>
    <row r="5" spans="2:17" ht="28.5" customHeight="1">
      <c r="B5" s="603"/>
      <c r="C5" s="588" t="s">
        <v>213</v>
      </c>
      <c r="D5" s="589"/>
      <c r="E5" s="588" t="s">
        <v>214</v>
      </c>
      <c r="F5" s="589"/>
      <c r="G5" s="590" t="s">
        <v>215</v>
      </c>
      <c r="H5" s="591"/>
      <c r="I5" s="592" t="s">
        <v>216</v>
      </c>
      <c r="J5" s="593"/>
      <c r="K5" s="43" t="s">
        <v>217</v>
      </c>
      <c r="L5" s="44" t="s">
        <v>218</v>
      </c>
      <c r="M5" s="43" t="s">
        <v>217</v>
      </c>
      <c r="N5" s="44" t="s">
        <v>219</v>
      </c>
    </row>
    <row r="6" spans="2:17" ht="28.5" customHeight="1">
      <c r="B6" s="603"/>
      <c r="C6" s="588" t="s">
        <v>56</v>
      </c>
      <c r="D6" s="589"/>
      <c r="E6" s="580">
        <f>AVERAGE(D13:M13)</f>
        <v>155.59436754013817</v>
      </c>
      <c r="F6" s="581">
        <f>AVERAGE(D31:O31,D13:J13)</f>
        <v>162.80532387372264</v>
      </c>
      <c r="G6" s="582">
        <f>AVERAGE(D13:J13)</f>
        <v>162.80532387372264</v>
      </c>
      <c r="H6" s="583"/>
      <c r="I6" s="582">
        <f>AVERAGE(K13:M13)</f>
        <v>138.76880276177442</v>
      </c>
      <c r="J6" s="583"/>
      <c r="K6" s="584">
        <f>'0902 4度C'!Y2</f>
        <v>0</v>
      </c>
      <c r="L6" s="569">
        <f>'0902 4度C'!Z2</f>
        <v>0</v>
      </c>
      <c r="M6" s="585">
        <f>'0902 4度C'!AC2</f>
        <v>61</v>
      </c>
      <c r="N6" s="569">
        <f>'0902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149.3047369863983</v>
      </c>
      <c r="F7" s="573">
        <f>AVERAGE(D32:O32,D14:J14)</f>
        <v>156.45527115779228</v>
      </c>
      <c r="G7" s="574">
        <f>AVERAGE(D14:J14)</f>
        <v>156.45527115779228</v>
      </c>
      <c r="H7" s="575"/>
      <c r="I7" s="574">
        <f>AVERAGE(K14:M14)</f>
        <v>132.62015725314578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0.95866949041781024</v>
      </c>
      <c r="F8" s="577">
        <f>AVERAGE(D15:J15,D33:O33)</f>
        <v>0.95996661113709136</v>
      </c>
      <c r="G8" s="578">
        <f>AVERAGE(D15:J15)</f>
        <v>0.95996661113709136</v>
      </c>
      <c r="H8" s="579"/>
      <c r="I8" s="578">
        <f>AVERAGE(K15:M15)</f>
        <v>0.95564287540615489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105</v>
      </c>
      <c r="N9" s="42"/>
      <c r="O9" s="42"/>
      <c r="P9" s="42"/>
      <c r="Q9" s="42"/>
    </row>
    <row r="10" spans="2:17" ht="30" customHeight="1">
      <c r="B10" s="552" t="s">
        <v>220</v>
      </c>
      <c r="C10" s="553"/>
      <c r="D10" s="554" t="s">
        <v>221</v>
      </c>
      <c r="E10" s="555"/>
      <c r="F10" s="555"/>
      <c r="G10" s="555"/>
      <c r="H10" s="555"/>
      <c r="I10" s="555"/>
      <c r="J10" s="556"/>
      <c r="K10" s="557" t="s">
        <v>222</v>
      </c>
      <c r="L10" s="558"/>
      <c r="M10" s="559"/>
      <c r="P10" s="48"/>
      <c r="Q10" s="48"/>
    </row>
    <row r="11" spans="2:17" ht="17.25" customHeight="1">
      <c r="B11" s="560" t="s">
        <v>223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224</v>
      </c>
      <c r="C13" s="55" t="s">
        <v>225</v>
      </c>
      <c r="D13" s="56">
        <f>SUMIFS('0902 4度C'!$K:$K,'0902 4度C'!$A:$A,"新豐6線",'0902 4度C'!$B:$B,"平均")</f>
        <v>130.43478260869566</v>
      </c>
      <c r="E13" s="57">
        <f>SUMIFS('0902 4度C'!$K:$K,'0902 4度C'!$A:$A,"新豐2線",'0902 4度C'!$B:$B,"平均")</f>
        <v>81.818181818181827</v>
      </c>
      <c r="F13" s="58">
        <f>SUMIFS('0902 4度C'!$K:$K,'0902 4度C'!$A:$A,"新豐5線",'0902 4度C'!$B:$B,"平均")</f>
        <v>104.16666666666667</v>
      </c>
      <c r="G13" s="58">
        <f>SUMIFS('0902 4度C'!$K:$K,'0902 4度C'!$A:$A,"新豐7線",'0902 4度C'!$B:$B,"平均")</f>
        <v>125</v>
      </c>
      <c r="H13" s="58">
        <f>SUMIFS('0902 4度C'!$K:$K,'0902 4度C'!$A:$A,"新豐3線",'0902 4度C'!$B:$B,"平均")</f>
        <v>300</v>
      </c>
      <c r="I13" s="58">
        <f>SUMIFS('0902 4度C'!$K:$K,'0902 4度C'!$A:$A,"新豐1線",'0902 4度C'!$B:$B,"平均")</f>
        <v>109.75609756097562</v>
      </c>
      <c r="J13" s="59">
        <f>SUMIFS('0902 4度C'!$K:$K,'0902 4度C'!$A:$A,"新豐10線",'0902 4度C'!$B:$B,"平均")</f>
        <v>288.46153846153845</v>
      </c>
      <c r="K13" s="60">
        <f>SUMIFS('0902 4度C'!$K:$K,'0902 4度C'!$A:$A,"新豐8線",'0902 4度C'!$B:$B,"平均")</f>
        <v>131.0344827586207</v>
      </c>
      <c r="L13" s="61">
        <f>SUMIFS('0902 4度C'!$K:$K,'0902 4度C'!$A:$A,"新豐9線",'0902 4度C'!$B:$B,"平均")</f>
        <v>147.69230769230768</v>
      </c>
      <c r="M13" s="59">
        <f>SUMIFS('0902 4度C'!$K:$K,'0902 4度C'!$A:$A,"新豐4線",'0902 4度C'!$B:$B,"平均")</f>
        <v>137.57961783439492</v>
      </c>
    </row>
    <row r="14" spans="2:17" ht="39.6" customHeight="1">
      <c r="B14" s="565"/>
      <c r="C14" s="62" t="s">
        <v>226</v>
      </c>
      <c r="D14" s="63">
        <f>SUMIFS('0902 4度C'!$N:$N,'0902 4度C'!$A:$A,"新豐6線",'0902 4度C'!$B:$B,"平均")</f>
        <v>124.90468559465616</v>
      </c>
      <c r="E14" s="64">
        <f>SUMIFS('0902 4度C'!$N:$N,'0902 4度C'!$A:$A,"新豐2線",'0902 4度C'!$B:$B,"平均")</f>
        <v>78.392300500467485</v>
      </c>
      <c r="F14" s="64">
        <f>SUMIFS('0902 4度C'!$N:$N,'0902 4度C'!$A:$A,"新豐5線",'0902 4度C'!$B:$B,"平均")</f>
        <v>99.93599651762834</v>
      </c>
      <c r="G14" s="64">
        <f>SUMIFS('0902 4度C'!$N:$N,'0902 4度C'!$A:$A,"新豐7線",'0902 4度C'!$B:$B,"平均")</f>
        <v>120.05917521268164</v>
      </c>
      <c r="H14" s="64">
        <f>SUMIFS('0902 4度C'!$N:$N,'0902 4度C'!$A:$A,"新豐3線",'0902 4度C'!$B:$B,"平均")</f>
        <v>286.80595325823776</v>
      </c>
      <c r="I14" s="64">
        <f>SUMIFS('0902 4度C'!$N:$N,'0902 4度C'!$A:$A,"新豐1線",'0902 4度C'!$B:$B,"平均")</f>
        <v>105.09135183699749</v>
      </c>
      <c r="J14" s="65">
        <f>SUMIFS('0902 4度C'!$N:$N,'0902 4度C'!$A:$A,"新豐10線",'0902 4度C'!$B:$B,"平均")</f>
        <v>279.99743518387703</v>
      </c>
      <c r="K14" s="66">
        <f>SUMIFS('0902 4度C'!$N:$N,'0902 4度C'!$A:$A,"新豐8線",'0902 4度C'!$B:$B,"平均")</f>
        <v>124.96541644243563</v>
      </c>
      <c r="L14" s="67">
        <f>SUMIFS('0902 4度C'!$N:$N,'0902 4度C'!$A:$A,"新豐9線",'0902 4度C'!$B:$B,"平均")</f>
        <v>141.24908743337377</v>
      </c>
      <c r="M14" s="65">
        <f>SUMIFS('0902 4度C'!$N:$N,'0902 4度C'!$A:$A,"新豐4線",'0902 4度C'!$B:$B,"平均")</f>
        <v>131.64596788362795</v>
      </c>
    </row>
    <row r="15" spans="2:17" ht="40.15" customHeight="1">
      <c r="B15" s="566"/>
      <c r="C15" s="68" t="s">
        <v>227</v>
      </c>
      <c r="D15" s="69">
        <f t="shared" ref="D15:M15" si="0">D14/D13</f>
        <v>0.95760258955903055</v>
      </c>
      <c r="E15" s="70">
        <f t="shared" si="0"/>
        <v>0.95812811722793578</v>
      </c>
      <c r="F15" s="70">
        <f t="shared" si="0"/>
        <v>0.95938556656923202</v>
      </c>
      <c r="G15" s="70">
        <f t="shared" si="0"/>
        <v>0.96047340170145312</v>
      </c>
      <c r="H15" s="70">
        <f t="shared" si="0"/>
        <v>0.95601984419412589</v>
      </c>
      <c r="I15" s="70">
        <f t="shared" si="0"/>
        <v>0.95749898340375483</v>
      </c>
      <c r="J15" s="71">
        <f t="shared" si="0"/>
        <v>0.97065777530410702</v>
      </c>
      <c r="K15" s="69">
        <f t="shared" si="0"/>
        <v>0.95368344127121918</v>
      </c>
      <c r="L15" s="70">
        <f t="shared" si="0"/>
        <v>0.95637402949680173</v>
      </c>
      <c r="M15" s="71">
        <f t="shared" si="0"/>
        <v>0.95687115545044377</v>
      </c>
    </row>
    <row r="16" spans="2:17" ht="17.25" customHeight="1">
      <c r="B16" s="567" t="s">
        <v>228</v>
      </c>
      <c r="C16" s="72" t="s">
        <v>115</v>
      </c>
      <c r="D16" s="73">
        <f>VLOOKUP("新豐6線",'0902 4度C'!$A:$T,19,0)</f>
        <v>0.70833333333333337</v>
      </c>
      <c r="E16" s="74">
        <f>VLOOKUP("新豐2線",'0902 4度C'!$A:$T,19,0)</f>
        <v>8.3333333333333329E-2</v>
      </c>
      <c r="F16" s="74">
        <f>VLOOKUP("新豐5線",'0902 4度C'!$A:$T,19,0)</f>
        <v>0.20833333333333334</v>
      </c>
      <c r="G16" s="74">
        <f>VLOOKUP("新豐7線",'0902 4度C'!$A:$T,19,0)</f>
        <v>0.20833333333333334</v>
      </c>
      <c r="H16" s="74">
        <f>VLOOKUP("新豐3線",'0902 4度C'!$A:$T,19,0)</f>
        <v>0.20833333333333334</v>
      </c>
      <c r="I16" s="74">
        <f>VLOOKUP("新豐1線",'0902 4度C'!$A:$T,19,0)</f>
        <v>0.20833333333333334</v>
      </c>
      <c r="J16" s="75">
        <f>VLOOKUP("新豐10線",'0902 4度C'!$A:$T,19,0)</f>
        <v>0.20833333333333334</v>
      </c>
      <c r="K16" s="76">
        <f>VLOOKUP("新豐8線",'0902 4度C'!$A:$T,19,0)</f>
        <v>8.3333333333333329E-2</v>
      </c>
      <c r="L16" s="77">
        <f>VLOOKUP("新豐9線",'0902 4度C'!$A:$T,19,0)</f>
        <v>8.3333333333333329E-2</v>
      </c>
      <c r="M16" s="78">
        <f>VLOOKUP("新豐4線",'0902 4度C'!$A:$T,19,0)</f>
        <v>8.3333333333333329E-2</v>
      </c>
    </row>
    <row r="17" spans="2:13" ht="17.25" customHeight="1">
      <c r="B17" s="568"/>
      <c r="C17" s="72" t="s">
        <v>116</v>
      </c>
      <c r="D17" s="76">
        <f>LOOKUP(2,1/(('0902 4度C'!$A:$A="新豐6線")*('0902 4度C'!$T:$T&lt;&gt;"")),'0902 4度C'!$T:$T)</f>
        <v>0.84930555555555554</v>
      </c>
      <c r="E17" s="74">
        <f>LOOKUP(2,1/(('0902 4度C'!$A:$A="新豐2線")*('0902 4度C'!$T:$T&lt;&gt;"")),'0902 4度C'!$T:$T)</f>
        <v>0.46319444444444446</v>
      </c>
      <c r="F17" s="74">
        <f>LOOKUP(2,1/(('0902 4度C'!$A:$A="新豐5線")*('0902 4度C'!$T:$T&lt;&gt;"")),'0902 4度C'!$T:$T)</f>
        <v>0.84583333333333333</v>
      </c>
      <c r="G17" s="74">
        <f>LOOKUP(2,1/(('0902 4度C'!$A:$A="新豐7線")*('0902 4度C'!$T:$T&lt;&gt;"")),'0902 4度C'!$T:$T)</f>
        <v>0.83333333333333326</v>
      </c>
      <c r="H17" s="74">
        <f>LOOKUP(2,1/(('0902 4度C'!$A:$A="新豐3線")*('0902 4度C'!$T:$T&lt;&gt;"")),'0902 4度C'!$T:$T)</f>
        <v>0.42638888888888882</v>
      </c>
      <c r="I17" s="74">
        <f>LOOKUP(2,1/(('0902 4度C'!$A:$A="新豐1線")*('0902 4度C'!$T:$T&lt;&gt;"")),'0902 4度C'!$T:$T)</f>
        <v>0.94722222222222219</v>
      </c>
      <c r="J17" s="75">
        <f>LOOKUP(2,1/(('0902 4度C'!$A:$A="新豐10線")*('0902 4度C'!$T:$T&lt;&gt;"")),'0902 4度C'!$T:$T)</f>
        <v>0.42569444444444432</v>
      </c>
      <c r="K17" s="73">
        <f>LOOKUP(2,1/(('0902 4度C'!$A:$A="新豐8線")*('0902 4度C'!$T:$T&lt;&gt;"")),'0902 4度C'!$T:$T)</f>
        <v>0.73472222222222205</v>
      </c>
      <c r="L17" s="74">
        <f>LOOKUP(2,1/(('0902 4度C'!$A:$A="新豐9線")*('0902 4度C'!$T:$T&lt;&gt;"")),'0902 4度C'!$T:$T)</f>
        <v>0.68402777777777779</v>
      </c>
      <c r="M17" s="75">
        <f>LOOKUP(2,1/(('0902 4度C'!$A:$A="新豐4線")*('0902 4度C'!$T:$T&lt;&gt;"")),'0902 4度C'!$T:$T)</f>
        <v>0.66111111111111087</v>
      </c>
    </row>
    <row r="18" spans="2:13" ht="17.25" customHeight="1">
      <c r="B18" s="546" t="s">
        <v>229</v>
      </c>
      <c r="C18" s="79" t="s">
        <v>230</v>
      </c>
      <c r="D18" s="80">
        <f>SUMIFS('0902 4度C'!$Y:$Y,'0902 4度C'!$A:$A,"新豐6線",'0902 4度C'!$B:$B,"平均")</f>
        <v>0</v>
      </c>
      <c r="E18" s="81">
        <f>SUMIFS('0902 4度C'!$Y:$Y,'0902 4度C'!$A:$A,"新豐2線",'0902 4度C'!$B:$B,"平均")</f>
        <v>0</v>
      </c>
      <c r="F18" s="81">
        <f>SUMIFS('0902 4度C'!$Y:$Y,'0902 4度C'!$A:$A,"新豐5線",'0902 4度C'!$B:$B,"平均")</f>
        <v>0</v>
      </c>
      <c r="G18" s="81">
        <f>SUMIFS('0902 4度C'!$Y:$Y,'0902 4度C'!$A:$A,"新豐7線",'0902 4度C'!$B:$B,"平均")</f>
        <v>0</v>
      </c>
      <c r="H18" s="81">
        <f>SUMIFS('0902 4度C'!$Y:$Y,'0902 4度C'!$A:$A,"新豐3線",'0902 4度C'!$B:$B,"平均")</f>
        <v>0</v>
      </c>
      <c r="I18" s="81">
        <f>SUMIFS('0902 4度C'!$Y:$Y,'0902 4度C'!$A:$A,"新豐1線",'0902 4度C'!$B:$B,"平均")</f>
        <v>0</v>
      </c>
      <c r="J18" s="82">
        <f>SUMIFS('0902 4度C'!$Y:$Y,'0902 4度C'!$A:$A,"新豐10線",'0902 4度C'!$B:$B,"平均")</f>
        <v>0</v>
      </c>
      <c r="K18" s="83">
        <f>SUMIFS('0902 4度C'!$Y:$Y,'0902 4度C'!$A:$A,"新豐8線",'0902 4度C'!$B:$B,"平均")</f>
        <v>0</v>
      </c>
      <c r="L18" s="81">
        <f>SUMIFS('0902 4度C'!$Y:$Y,'0902 4度C'!$A:$A,"新豐9線",'0902 4度C'!$B:$B,"平均")</f>
        <v>0</v>
      </c>
      <c r="M18" s="82">
        <f>SUMIFS('0902 4度C'!$Y:$Y,'0902 4度C'!$A:$A,"新豐4線",'0902 4度C'!$B:$B,"平均")</f>
        <v>0</v>
      </c>
    </row>
    <row r="19" spans="2:13" ht="17.25" customHeight="1">
      <c r="B19" s="547"/>
      <c r="C19" s="79" t="s">
        <v>231</v>
      </c>
      <c r="D19" s="80">
        <f>SUMIFS('0902 4度C'!$Z:$Z,'0902 4度C'!$A:$A,"新豐6線",'0902 4度C'!$B:$B,"平均")</f>
        <v>0</v>
      </c>
      <c r="E19" s="81">
        <f>SUMIFS('0902 4度C'!$Z:$Z,'0902 4度C'!$A:$A,"新豐2線",'0902 4度C'!$B:$B,"平均")</f>
        <v>0</v>
      </c>
      <c r="F19" s="81">
        <f>SUMIFS('0902 4度C'!$Z:$Z,'0902 4度C'!$A:$A,"新豐5線",'0902 4度C'!$B:$B,"平均")</f>
        <v>0</v>
      </c>
      <c r="G19" s="81">
        <f>SUMIFS('0902 4度C'!$Z:$Z,'0902 4度C'!$A:$A,"新豐7線",'0902 4度C'!$B:$B,"平均")</f>
        <v>0</v>
      </c>
      <c r="H19" s="81">
        <f>SUMIFS('0902 4度C'!$Z:$Z,'0902 4度C'!$A:$A,"新豐3線",'0902 4度C'!$B:$B,"平均")</f>
        <v>0</v>
      </c>
      <c r="I19" s="81">
        <f>SUMIFS('0902 4度C'!$Z:$Z,'0902 4度C'!$A:$A,"新豐1線",'0902 4度C'!$B:$B,"平均")</f>
        <v>0</v>
      </c>
      <c r="J19" s="82">
        <f>SUMIFS('0902 4度C'!$Z:$Z,'0902 4度C'!$A:$A,"新豐10線",'0902 4度C'!$B:$B,"平均")</f>
        <v>0</v>
      </c>
      <c r="K19" s="83">
        <f>SUMIFS('0902 4度C'!$Z:$Z,'0902 4度C'!$A:$A,"新豐8線",'0902 4度C'!$B:$B,"平均")</f>
        <v>0</v>
      </c>
      <c r="L19" s="81">
        <f>SUMIFS('0902 4度C'!$Z:$Z,'0902 4度C'!$A:$A,"新豐9線",'0902 4度C'!$B:$B,"平均")</f>
        <v>0</v>
      </c>
      <c r="M19" s="82">
        <f>SUMIFS('0902 4度C'!$Z:$Z,'0902 4度C'!$A:$A,"新豐4線",'0902 4度C'!$B:$B,"平均")</f>
        <v>0</v>
      </c>
    </row>
    <row r="20" spans="2:13" ht="17.25" customHeight="1">
      <c r="B20" s="546" t="s">
        <v>232</v>
      </c>
      <c r="C20" s="79" t="s">
        <v>230</v>
      </c>
      <c r="D20" s="80">
        <f>SUMIFS('0902 4度C'!$AC:$AC,'0902 4度C'!$A:$A,"新豐6線",'0902 4度C'!$B:$B,"平均")</f>
        <v>3</v>
      </c>
      <c r="E20" s="81">
        <f>SUMIFS('0902 4度C'!$AC:$AC,'0902 4度C'!$A:$A,"新豐2線",'0902 4度C'!$B:$B,"平均")</f>
        <v>3</v>
      </c>
      <c r="F20" s="81">
        <f>SUMIFS('0902 4度C'!$AC:$AC,'0902 4度C'!$A:$A,"新豐5線",'0902 4度C'!$B:$B,"平均")</f>
        <v>7</v>
      </c>
      <c r="G20" s="81">
        <f>SUMIFS('0902 4度C'!$AC:$AC,'0902 4度C'!$A:$A,"新豐7線",'0902 4度C'!$B:$B,"平均")</f>
        <v>7</v>
      </c>
      <c r="H20" s="81">
        <f>SUMIFS('0902 4度C'!$AC:$AC,'0902 4度C'!$A:$A,"新豐3線",'0902 4度C'!$B:$B,"平均")</f>
        <v>3</v>
      </c>
      <c r="I20" s="81">
        <f>SUMIFS('0902 4度C'!$AC:$AC,'0902 4度C'!$A:$A,"新豐1線",'0902 4度C'!$B:$B,"平均")</f>
        <v>9</v>
      </c>
      <c r="J20" s="82">
        <f>SUMIFS('0902 4度C'!$AC:$AC,'0902 4度C'!$A:$A,"新豐10線",'0902 4度C'!$B:$B,"平均")</f>
        <v>5</v>
      </c>
      <c r="K20" s="83">
        <f>SUMIFS('0902 4度C'!$AC:$AC,'0902 4度C'!$A:$A,"新豐8線",'0902 4度C'!$B:$B,"平均")</f>
        <v>7</v>
      </c>
      <c r="L20" s="81">
        <f>SUMIFS('0902 4度C'!$AC:$AC,'0902 4度C'!$A:$A,"新豐9線",'0902 4度C'!$B:$B,"平均")</f>
        <v>8</v>
      </c>
      <c r="M20" s="82">
        <f>SUMIFS('0902 4度C'!$AC:$AC,'0902 4度C'!$A:$A,"新豐4線",'0902 4度C'!$B:$B,"平均")</f>
        <v>9</v>
      </c>
    </row>
    <row r="21" spans="2:13" ht="17.25" customHeight="1">
      <c r="B21" s="547"/>
      <c r="C21" s="79" t="s">
        <v>233</v>
      </c>
      <c r="D21" s="80">
        <f>SUMIFS('0902 4度C'!$AD:$AD,'0902 4度C'!$A:$A,"新豐6線",'0902 4度C'!$B:$B,"平均")</f>
        <v>0</v>
      </c>
      <c r="E21" s="81">
        <f>SUMIFS('0902 4度C'!$AD:$AD,'0902 4度C'!$A:$A,"新豐2線",'0902 4度C'!$B:$B,"平均")</f>
        <v>0</v>
      </c>
      <c r="F21" s="81">
        <f>SUMIFS('0902 4度C'!$AD:$AD,'0902 4度C'!$A:$A,"新豐5線",'0902 4度C'!$B:$B,"平均")</f>
        <v>0</v>
      </c>
      <c r="G21" s="81">
        <f>SUMIFS('0902 4度C'!$AD:$AD,'0902 4度C'!$A:$A,"新豐7線",'0902 4度C'!$B:$B,"平均")</f>
        <v>0</v>
      </c>
      <c r="H21" s="81">
        <f>SUMIFS('0902 4度C'!$AD:$AD,'0902 4度C'!$A:$A,"新豐3線",'0902 4度C'!$B:$B,"平均")</f>
        <v>0</v>
      </c>
      <c r="I21" s="81">
        <f>SUMIFS('0902 4度C'!$AD:$AD,'0902 4度C'!$A:$A,"新豐1線",'0902 4度C'!$B:$B,"平均")</f>
        <v>0</v>
      </c>
      <c r="J21" s="82">
        <f>SUMIFS('0902 4度C'!$AD:$AD,'0902 4度C'!$A:$A,"新豐10線",'0902 4度C'!$B:$B,"平均")</f>
        <v>0</v>
      </c>
      <c r="K21" s="83">
        <f>SUMIFS('0902 4度C'!$AD:$AD,'0902 4度C'!$A:$A,"新豐8線",'0902 4度C'!$B:$B,"平均")</f>
        <v>0</v>
      </c>
      <c r="L21" s="81">
        <f>SUMIFS('0902 4度C'!$AD:$AD,'0902 4度C'!$A:$A,"新豐9線",'0902 4度C'!$B:$B,"平均")</f>
        <v>0</v>
      </c>
      <c r="M21" s="82">
        <f>SUMIFS('0902 4度C'!$AD:$AD,'0902 4度C'!$A:$A,"新豐4線",'0902 4度C'!$B:$B,"平均")</f>
        <v>0</v>
      </c>
    </row>
    <row r="22" spans="2:13" ht="17.25" customHeight="1">
      <c r="B22" s="548" t="s">
        <v>234</v>
      </c>
      <c r="C22" s="549"/>
      <c r="D22" s="84">
        <f>SUMIFS('0902 4度C'!$I:$I,'0902 4度C'!$A:$A,"新豐6線",'0902 4度C'!$B:$B,"平均")</f>
        <v>15.333333333333334</v>
      </c>
      <c r="E22" s="85">
        <f>SUMIFS('0902 4度C'!$I:$I,'0902 4度C'!$A:$A,"新豐2線",'0902 4度C'!$B:$B,"平均")</f>
        <v>18.333333333333332</v>
      </c>
      <c r="F22" s="85">
        <f>SUMIFS('0902 4度C'!$I:$I,'0902 4度C'!$A:$A,"新豐5線",'0902 4度C'!$B:$B,"平均")</f>
        <v>17.142857142857142</v>
      </c>
      <c r="G22" s="85">
        <f>SUMIFS('0902 4度C'!$I:$I,'0902 4度C'!$A:$A,"新豐7線",'0902 4度C'!$B:$B,"平均")</f>
        <v>16</v>
      </c>
      <c r="H22" s="85">
        <f>SUMIFS('0902 4度C'!$I:$I,'0902 4度C'!$A:$A,"新豐3線",'0902 4度C'!$B:$B,"平均")</f>
        <v>10</v>
      </c>
      <c r="I22" s="85">
        <f>SUMIFS('0902 4度C'!$I:$I,'0902 4度C'!$A:$A,"新豐1線",'0902 4度C'!$B:$B,"平均")</f>
        <v>18.222222222222221</v>
      </c>
      <c r="J22" s="86">
        <f>SUMIFS('0902 4度C'!$I:$I,'0902 4度C'!$A:$A,"新豐10線",'0902 4度C'!$B:$B,"平均")</f>
        <v>10.4</v>
      </c>
      <c r="K22" s="84">
        <f>SUMIFS('0902 4度C'!$I:$I,'0902 4度C'!$A:$A,"新豐8線",'0902 4度C'!$B:$B,"平均")</f>
        <v>16.571428571428573</v>
      </c>
      <c r="L22" s="85">
        <f>SUMIFS('0902 4度C'!$I:$I,'0902 4度C'!$A:$A,"新豐9線",'0902 4度C'!$B:$B,"平均")</f>
        <v>16.25</v>
      </c>
      <c r="M22" s="86">
        <f>SUMIFS('0902 4度C'!$I:$I,'0902 4度C'!$A:$A,"新豐4線",'0902 4度C'!$B:$B,"平均")</f>
        <v>17.444444444444443</v>
      </c>
    </row>
    <row r="23" spans="2:13" ht="17.25" customHeight="1">
      <c r="B23" s="548" t="s">
        <v>235</v>
      </c>
      <c r="C23" s="549"/>
      <c r="D23" s="87" t="s">
        <v>69</v>
      </c>
      <c r="E23" s="88" t="s">
        <v>70</v>
      </c>
      <c r="F23" s="88" t="s">
        <v>237</v>
      </c>
      <c r="G23" s="88" t="s">
        <v>236</v>
      </c>
      <c r="H23" s="88" t="s">
        <v>71</v>
      </c>
      <c r="I23" s="88" t="s">
        <v>69</v>
      </c>
      <c r="J23" s="89" t="s">
        <v>71</v>
      </c>
      <c r="K23" s="87" t="s">
        <v>238</v>
      </c>
      <c r="L23" s="88" t="s">
        <v>238</v>
      </c>
      <c r="M23" s="89" t="s">
        <v>238</v>
      </c>
    </row>
    <row r="24" spans="2:13" ht="17.25" customHeight="1">
      <c r="B24" s="548" t="s">
        <v>239</v>
      </c>
      <c r="C24" s="549"/>
      <c r="D24" s="87"/>
      <c r="E24" s="88"/>
      <c r="F24" s="88" t="s">
        <v>240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241</v>
      </c>
      <c r="C25" s="551"/>
      <c r="D25" s="90"/>
      <c r="E25" s="91" t="s">
        <v>242</v>
      </c>
      <c r="F25" s="544" t="s">
        <v>243</v>
      </c>
      <c r="G25" s="545"/>
      <c r="H25" s="91" t="s">
        <v>244</v>
      </c>
      <c r="I25" s="91" t="s">
        <v>245</v>
      </c>
      <c r="J25" s="92" t="s">
        <v>246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4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6"/>
  <sheetViews>
    <sheetView zoomScale="80" zoomScaleNormal="80" workbookViewId="0">
      <pane ySplit="4" topLeftCell="A44" activePane="bottomLeft" state="frozen"/>
      <selection activeCell="U11" sqref="U11"/>
      <selection pane="bottomLeft" activeCell="U72" sqref="U7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247</v>
      </c>
      <c r="B1" s="1"/>
      <c r="C1" s="2" t="s">
        <v>248</v>
      </c>
      <c r="D1" s="3">
        <f>SUM(F5:F75)</f>
        <v>173834</v>
      </c>
      <c r="E1" s="116" t="s">
        <v>249</v>
      </c>
      <c r="F1" s="1">
        <f>SUM(G5:G75)</f>
        <v>6053515.0299999984</v>
      </c>
      <c r="G1" s="1" t="s">
        <v>250</v>
      </c>
      <c r="H1" s="4">
        <f>L8+L12+L49+L59+L20+L65+L36+L45+L28+L75</f>
        <v>155.69761904761907</v>
      </c>
      <c r="I1" s="660" t="s">
        <v>251</v>
      </c>
      <c r="J1" s="660"/>
      <c r="K1" s="660"/>
      <c r="L1" s="660" t="s">
        <v>252</v>
      </c>
      <c r="M1" s="660"/>
      <c r="N1" s="660"/>
      <c r="O1" s="660" t="s">
        <v>253</v>
      </c>
      <c r="P1" s="660"/>
      <c r="Q1" s="660"/>
      <c r="R1" s="660"/>
      <c r="S1" s="660" t="s">
        <v>254</v>
      </c>
      <c r="T1" s="660"/>
      <c r="U1" s="660"/>
      <c r="V1" s="660"/>
      <c r="W1" s="660"/>
      <c r="X1" s="660"/>
      <c r="Y1" s="5" t="s">
        <v>255</v>
      </c>
      <c r="Z1" s="6" t="s">
        <v>256</v>
      </c>
      <c r="AA1" s="661" t="s">
        <v>257</v>
      </c>
      <c r="AB1" s="661"/>
      <c r="AC1" s="7" t="s">
        <v>255</v>
      </c>
      <c r="AD1" s="6" t="s">
        <v>258</v>
      </c>
      <c r="AE1" s="660" t="s">
        <v>259</v>
      </c>
      <c r="AF1" s="662"/>
      <c r="AG1" s="662"/>
    </row>
    <row r="2" spans="1:33" ht="26.25" customHeight="1">
      <c r="A2" s="27">
        <v>46267</v>
      </c>
      <c r="B2" s="28" t="s">
        <v>260</v>
      </c>
      <c r="C2" s="2" t="s">
        <v>261</v>
      </c>
      <c r="D2" s="9">
        <f>AVERAGE(N8,N12,N49,N59,N20,N65,N28,N36,N45,N75)</f>
        <v>149.3047369863983</v>
      </c>
      <c r="E2" s="10" t="s">
        <v>0</v>
      </c>
      <c r="F2" s="11">
        <f>F1/D1</f>
        <v>34.823538720848617</v>
      </c>
      <c r="G2" s="1" t="s">
        <v>262</v>
      </c>
      <c r="H2" s="124">
        <f>COUNT(H5:H75)</f>
        <v>9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SUM(Y8+Y12+Y20+Y28+Y36+Y45+Y49+Y59+Y65+Y75)</f>
        <v>0</v>
      </c>
      <c r="Z2" s="12">
        <f>SUM(Z8+Z12+Z20+Z28+Z36+Z45+Z49+Z59+Z65+Z75)</f>
        <v>0</v>
      </c>
      <c r="AA2" s="661"/>
      <c r="AB2" s="661"/>
      <c r="AC2" s="12">
        <v>61</v>
      </c>
      <c r="AD2" s="12">
        <f>SUM(AD8+AD12+AD20+AD28+AD36+AD45+AD49+AD59+AD65+AD75)</f>
        <v>0</v>
      </c>
      <c r="AE2" s="662"/>
      <c r="AF2" s="662"/>
      <c r="AG2" s="662"/>
    </row>
    <row r="3" spans="1:33" ht="40.5" customHeight="1">
      <c r="A3" s="610" t="s">
        <v>263</v>
      </c>
      <c r="B3" s="610" t="s">
        <v>264</v>
      </c>
      <c r="C3" s="610" t="s">
        <v>265</v>
      </c>
      <c r="D3" s="610"/>
      <c r="E3" s="658" t="s">
        <v>266</v>
      </c>
      <c r="F3" s="610" t="s">
        <v>267</v>
      </c>
      <c r="G3" s="658" t="s">
        <v>268</v>
      </c>
      <c r="H3" s="651" t="s">
        <v>269</v>
      </c>
      <c r="I3" s="649" t="s">
        <v>270</v>
      </c>
      <c r="J3" s="646" t="s">
        <v>271</v>
      </c>
      <c r="K3" s="656" t="s">
        <v>261</v>
      </c>
      <c r="L3" s="649" t="s">
        <v>270</v>
      </c>
      <c r="M3" s="646" t="s">
        <v>271</v>
      </c>
      <c r="N3" s="656" t="s">
        <v>261</v>
      </c>
      <c r="O3" s="649" t="s">
        <v>270</v>
      </c>
      <c r="P3" s="656" t="s">
        <v>261</v>
      </c>
      <c r="Q3" s="647" t="s">
        <v>272</v>
      </c>
      <c r="R3" s="623" t="s">
        <v>273</v>
      </c>
      <c r="S3" s="657" t="s">
        <v>1</v>
      </c>
      <c r="T3" s="657"/>
      <c r="U3" s="651" t="s">
        <v>2</v>
      </c>
      <c r="V3" s="651" t="s">
        <v>274</v>
      </c>
      <c r="W3" s="610" t="s">
        <v>275</v>
      </c>
      <c r="X3" s="610"/>
      <c r="Y3" s="652" t="s">
        <v>276</v>
      </c>
      <c r="Z3" s="609"/>
      <c r="AA3" s="653" t="s">
        <v>277</v>
      </c>
      <c r="AB3" s="654"/>
      <c r="AC3" s="652" t="s">
        <v>278</v>
      </c>
      <c r="AD3" s="609"/>
      <c r="AE3" s="646" t="s">
        <v>271</v>
      </c>
      <c r="AF3" s="647" t="s">
        <v>279</v>
      </c>
      <c r="AG3" s="623" t="s">
        <v>273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123" t="s">
        <v>3</v>
      </c>
      <c r="T4" s="123" t="s">
        <v>4</v>
      </c>
      <c r="U4" s="651"/>
      <c r="V4" s="651"/>
      <c r="W4" s="116" t="s">
        <v>280</v>
      </c>
      <c r="X4" s="116" t="s">
        <v>281</v>
      </c>
      <c r="Y4" s="115" t="s">
        <v>282</v>
      </c>
      <c r="Z4" s="115" t="s">
        <v>283</v>
      </c>
      <c r="AA4" s="655"/>
      <c r="AB4" s="654"/>
      <c r="AC4" s="115" t="s">
        <v>284</v>
      </c>
      <c r="AD4" s="115" t="s">
        <v>285</v>
      </c>
      <c r="AE4" s="646"/>
      <c r="AF4" s="647"/>
      <c r="AG4" s="623"/>
    </row>
    <row r="5" spans="1:33">
      <c r="A5" s="648" t="s">
        <v>286</v>
      </c>
      <c r="B5" s="33" t="s">
        <v>6</v>
      </c>
      <c r="C5" s="650" t="s">
        <v>7</v>
      </c>
      <c r="D5" s="650"/>
      <c r="E5" s="33">
        <v>50.92</v>
      </c>
      <c r="F5" s="123">
        <v>2175</v>
      </c>
      <c r="G5" s="116">
        <f t="shared" ref="G5:G7" si="0">E5*F5</f>
        <v>110751</v>
      </c>
      <c r="H5" s="29" t="s">
        <v>5</v>
      </c>
      <c r="I5" s="121">
        <v>15</v>
      </c>
      <c r="J5" s="30">
        <v>2000</v>
      </c>
      <c r="K5" s="13">
        <f t="shared" ref="K5:K68" si="1">J5/I5</f>
        <v>133.33333333333334</v>
      </c>
      <c r="L5" s="121">
        <v>15</v>
      </c>
      <c r="M5" s="14">
        <f t="shared" ref="M5:M7" si="2">F5/V5*60</f>
        <v>1919.1176470588262</v>
      </c>
      <c r="N5" s="13">
        <f t="shared" ref="N5:N68" si="3">M5/L5</f>
        <v>127.94117647058842</v>
      </c>
      <c r="O5" s="15">
        <f t="shared" ref="O5:O68" si="4">L5-I5</f>
        <v>0</v>
      </c>
      <c r="P5" s="16">
        <f t="shared" ref="P5:P68" si="5">N5-K5</f>
        <v>-5.3921568627449261</v>
      </c>
      <c r="Q5" s="117">
        <f t="shared" ref="Q5:Q68" si="6">N5/K5</f>
        <v>0.95955882352941302</v>
      </c>
      <c r="R5" s="619">
        <f>Q8</f>
        <v>0.95760258955903055</v>
      </c>
      <c r="S5" s="31">
        <v>0.70833333333333337</v>
      </c>
      <c r="T5" s="31">
        <v>0.75555555555555554</v>
      </c>
      <c r="U5" s="116"/>
      <c r="V5" s="122">
        <f t="shared" ref="V5:V7" si="7">(T5-S5)*24*60</f>
        <v>67.999999999999915</v>
      </c>
      <c r="W5" s="17"/>
      <c r="X5" s="17"/>
      <c r="Y5" s="18"/>
      <c r="Z5" s="18"/>
      <c r="AA5" s="610"/>
      <c r="AB5" s="610"/>
      <c r="AC5" s="19">
        <v>3</v>
      </c>
      <c r="AD5" s="19"/>
      <c r="AE5" s="15">
        <f t="shared" ref="AE5:AE58" si="8">M5-J5</f>
        <v>-80.882352941173849</v>
      </c>
      <c r="AF5" s="117">
        <f t="shared" ref="AF5:AF68" si="9">M5/J5</f>
        <v>0.95955882352941313</v>
      </c>
      <c r="AG5" s="619">
        <f>AF8</f>
        <v>0.95760258955903055</v>
      </c>
    </row>
    <row r="6" spans="1:33">
      <c r="A6" s="649" t="s">
        <v>287</v>
      </c>
      <c r="B6" s="33" t="s">
        <v>6</v>
      </c>
      <c r="C6" s="650" t="s">
        <v>8</v>
      </c>
      <c r="D6" s="650"/>
      <c r="E6" s="33">
        <v>50.98</v>
      </c>
      <c r="F6" s="123">
        <v>2519</v>
      </c>
      <c r="G6" s="116">
        <f t="shared" si="0"/>
        <v>128418.62</v>
      </c>
      <c r="H6" s="29" t="s">
        <v>5</v>
      </c>
      <c r="I6" s="121">
        <v>16</v>
      </c>
      <c r="J6" s="30">
        <v>2000</v>
      </c>
      <c r="K6" s="13">
        <f t="shared" si="1"/>
        <v>125</v>
      </c>
      <c r="L6" s="121">
        <v>16</v>
      </c>
      <c r="M6" s="14">
        <f t="shared" si="2"/>
        <v>1913.1645569620243</v>
      </c>
      <c r="N6" s="13">
        <f t="shared" si="3"/>
        <v>119.57278481012652</v>
      </c>
      <c r="O6" s="15">
        <f t="shared" si="4"/>
        <v>0</v>
      </c>
      <c r="P6" s="16">
        <f t="shared" si="5"/>
        <v>-5.4272151898734791</v>
      </c>
      <c r="Q6" s="117">
        <f t="shared" si="6"/>
        <v>0.95658227848101218</v>
      </c>
      <c r="R6" s="619"/>
      <c r="S6" s="31">
        <v>0.75902777777777775</v>
      </c>
      <c r="T6" s="31">
        <v>0.81388888888888888</v>
      </c>
      <c r="U6" s="116">
        <f t="shared" ref="U6:U7" si="10">IF(S6=TIME(17,0,0),"",(S6-T5)*24*60)</f>
        <v>4.9999999999999822</v>
      </c>
      <c r="V6" s="122">
        <f t="shared" si="7"/>
        <v>79.000000000000043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-86.835443037975665</v>
      </c>
      <c r="AF6" s="117">
        <f t="shared" si="9"/>
        <v>0.95658227848101218</v>
      </c>
      <c r="AG6" s="619"/>
    </row>
    <row r="7" spans="1:33">
      <c r="A7" s="649" t="s">
        <v>286</v>
      </c>
      <c r="B7" s="33" t="s">
        <v>6</v>
      </c>
      <c r="C7" s="641" t="s">
        <v>9</v>
      </c>
      <c r="D7" s="642"/>
      <c r="E7" s="33">
        <v>50.67</v>
      </c>
      <c r="F7" s="123">
        <v>1435</v>
      </c>
      <c r="G7" s="116">
        <f t="shared" si="0"/>
        <v>72711.45</v>
      </c>
      <c r="H7" s="29" t="s">
        <v>5</v>
      </c>
      <c r="I7" s="121">
        <v>15</v>
      </c>
      <c r="J7" s="30">
        <v>2000</v>
      </c>
      <c r="K7" s="13">
        <f t="shared" si="1"/>
        <v>133.33333333333334</v>
      </c>
      <c r="L7" s="121">
        <v>15</v>
      </c>
      <c r="M7" s="14">
        <f t="shared" si="2"/>
        <v>1913.3333333333333</v>
      </c>
      <c r="N7" s="13">
        <f t="shared" si="3"/>
        <v>127.55555555555556</v>
      </c>
      <c r="O7" s="15">
        <f t="shared" si="4"/>
        <v>0</v>
      </c>
      <c r="P7" s="16">
        <f t="shared" si="5"/>
        <v>-5.7777777777777857</v>
      </c>
      <c r="Q7" s="117">
        <f t="shared" si="6"/>
        <v>0.95666666666666667</v>
      </c>
      <c r="R7" s="619"/>
      <c r="S7" s="31">
        <v>0.81805555555555554</v>
      </c>
      <c r="T7" s="31">
        <v>0.84930555555555554</v>
      </c>
      <c r="U7" s="116">
        <f t="shared" si="10"/>
        <v>5.9999999999999787</v>
      </c>
      <c r="V7" s="122">
        <f t="shared" si="7"/>
        <v>45</v>
      </c>
      <c r="W7" s="17"/>
      <c r="X7" s="17"/>
      <c r="Y7" s="20"/>
      <c r="Z7" s="20"/>
      <c r="AA7" s="614"/>
      <c r="AB7" s="615"/>
      <c r="AC7" s="21"/>
      <c r="AD7" s="21"/>
      <c r="AE7" s="15">
        <f t="shared" si="8"/>
        <v>-86.666666666666742</v>
      </c>
      <c r="AF7" s="117">
        <f t="shared" si="9"/>
        <v>0.95666666666666667</v>
      </c>
      <c r="AG7" s="619"/>
    </row>
    <row r="8" spans="1:33">
      <c r="A8" s="649" t="s">
        <v>287</v>
      </c>
      <c r="B8" s="33" t="s">
        <v>288</v>
      </c>
      <c r="C8" s="620"/>
      <c r="D8" s="620"/>
      <c r="E8" s="118"/>
      <c r="F8" s="34"/>
      <c r="G8" s="13"/>
      <c r="H8" s="123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1915.2051791180611</v>
      </c>
      <c r="N8" s="13">
        <f t="shared" si="3"/>
        <v>124.90468559465616</v>
      </c>
      <c r="O8" s="15">
        <f t="shared" si="4"/>
        <v>0</v>
      </c>
      <c r="P8" s="16">
        <f t="shared" si="5"/>
        <v>-5.530097014039498</v>
      </c>
      <c r="Q8" s="117">
        <f t="shared" si="6"/>
        <v>0.95760258955903055</v>
      </c>
      <c r="R8" s="619"/>
      <c r="S8" s="31"/>
      <c r="T8" s="31"/>
      <c r="U8" s="116"/>
      <c r="V8" s="122"/>
      <c r="W8" s="13"/>
      <c r="X8" s="13"/>
      <c r="Y8" s="24">
        <f>SUM(Y5:Y7)</f>
        <v>0</v>
      </c>
      <c r="Z8" s="24">
        <f>SUM(Z5:Z7)</f>
        <v>0</v>
      </c>
      <c r="AA8" s="609"/>
      <c r="AB8" s="609"/>
      <c r="AC8" s="24">
        <v>3</v>
      </c>
      <c r="AD8" s="24">
        <f>SUM(AD5:AD7)</f>
        <v>0</v>
      </c>
      <c r="AE8" s="15">
        <f t="shared" si="8"/>
        <v>-84.794820881938904</v>
      </c>
      <c r="AF8" s="117">
        <f t="shared" si="9"/>
        <v>0.95760258955903055</v>
      </c>
      <c r="AG8" s="619"/>
    </row>
    <row r="9" spans="1:33" ht="15.75" customHeight="1">
      <c r="A9" s="645" t="s">
        <v>289</v>
      </c>
      <c r="B9" s="33" t="s">
        <v>10</v>
      </c>
      <c r="C9" s="641" t="s">
        <v>14</v>
      </c>
      <c r="D9" s="642"/>
      <c r="E9" s="33">
        <v>39.619999999999997</v>
      </c>
      <c r="F9" s="123">
        <v>4091</v>
      </c>
      <c r="G9" s="116">
        <f t="shared" ref="G9:G11" si="11">E9*F9</f>
        <v>162085.41999999998</v>
      </c>
      <c r="H9" s="29" t="s">
        <v>5</v>
      </c>
      <c r="I9" s="121">
        <v>19</v>
      </c>
      <c r="J9" s="30">
        <v>1500</v>
      </c>
      <c r="K9" s="13">
        <f t="shared" si="1"/>
        <v>78.94736842105263</v>
      </c>
      <c r="L9" s="121">
        <v>19</v>
      </c>
      <c r="M9" s="14">
        <f t="shared" ref="M9:M11" si="12">F9/V9*60</f>
        <v>1435.4385964912281</v>
      </c>
      <c r="N9" s="13">
        <f t="shared" si="3"/>
        <v>75.549399815327789</v>
      </c>
      <c r="O9" s="15">
        <f t="shared" si="4"/>
        <v>0</v>
      </c>
      <c r="P9" s="16">
        <f t="shared" si="5"/>
        <v>-3.3979686057248415</v>
      </c>
      <c r="Q9" s="117">
        <f t="shared" si="6"/>
        <v>0.95695906432748534</v>
      </c>
      <c r="R9" s="619">
        <f>Q12</f>
        <v>0.95812811722793578</v>
      </c>
      <c r="S9" s="31">
        <v>8.3333333333333329E-2</v>
      </c>
      <c r="T9" s="31">
        <v>0.20208333333333334</v>
      </c>
      <c r="U9" s="116"/>
      <c r="V9" s="122">
        <f t="shared" ref="V9:V11" si="13">(T9-S9)*24*60</f>
        <v>171</v>
      </c>
      <c r="W9" s="17">
        <f>T9</f>
        <v>0.20208333333333334</v>
      </c>
      <c r="X9" s="17">
        <f>S10</f>
        <v>0.22222222222222224</v>
      </c>
      <c r="Y9" s="17"/>
      <c r="Z9" s="17"/>
      <c r="AA9" s="610"/>
      <c r="AB9" s="610"/>
      <c r="AC9" s="19">
        <v>3</v>
      </c>
      <c r="AD9" s="19"/>
      <c r="AE9" s="15">
        <f t="shared" si="8"/>
        <v>-64.561403508771946</v>
      </c>
      <c r="AF9" s="117">
        <f t="shared" si="9"/>
        <v>0.95695906432748534</v>
      </c>
      <c r="AG9" s="619">
        <f>AF12</f>
        <v>0.95812811722793578</v>
      </c>
    </row>
    <row r="10" spans="1:33" ht="15.75" customHeight="1">
      <c r="A10" s="645" t="s">
        <v>289</v>
      </c>
      <c r="B10" s="33" t="s">
        <v>10</v>
      </c>
      <c r="C10" s="641" t="s">
        <v>11</v>
      </c>
      <c r="D10" s="642"/>
      <c r="E10" s="33">
        <v>39.799999999999997</v>
      </c>
      <c r="F10" s="123">
        <v>6086</v>
      </c>
      <c r="G10" s="116">
        <f t="shared" si="11"/>
        <v>242222.8</v>
      </c>
      <c r="H10" s="29" t="s">
        <v>5</v>
      </c>
      <c r="I10" s="121">
        <v>17</v>
      </c>
      <c r="J10" s="30">
        <v>1500</v>
      </c>
      <c r="K10" s="13">
        <f t="shared" si="1"/>
        <v>88.235294117647058</v>
      </c>
      <c r="L10" s="121">
        <v>17</v>
      </c>
      <c r="M10" s="14">
        <f t="shared" si="12"/>
        <v>1432</v>
      </c>
      <c r="N10" s="13">
        <f t="shared" si="3"/>
        <v>84.235294117647058</v>
      </c>
      <c r="O10" s="15">
        <f t="shared" si="4"/>
        <v>0</v>
      </c>
      <c r="P10" s="16">
        <f t="shared" si="5"/>
        <v>-4</v>
      </c>
      <c r="Q10" s="117">
        <f t="shared" si="6"/>
        <v>0.95466666666666666</v>
      </c>
      <c r="R10" s="619"/>
      <c r="S10" s="31">
        <v>0.22222222222222224</v>
      </c>
      <c r="T10" s="31">
        <v>0.39930555555555558</v>
      </c>
      <c r="U10" s="116">
        <f t="shared" ref="U10:U11" si="14">IF(S10=TIME(17,0,0),"",(S10-T9)*24*60)</f>
        <v>29.000000000000018</v>
      </c>
      <c r="V10" s="122">
        <f t="shared" si="13"/>
        <v>255</v>
      </c>
      <c r="W10" s="17"/>
      <c r="X10" s="17"/>
      <c r="Y10" s="17"/>
      <c r="Z10" s="17"/>
      <c r="AA10" s="610"/>
      <c r="AB10" s="610"/>
      <c r="AC10" s="19"/>
      <c r="AD10" s="19"/>
      <c r="AE10" s="15">
        <f t="shared" si="8"/>
        <v>-68</v>
      </c>
      <c r="AF10" s="117">
        <f t="shared" si="9"/>
        <v>0.95466666666666666</v>
      </c>
      <c r="AG10" s="619"/>
    </row>
    <row r="11" spans="1:33" ht="15.75" customHeight="1">
      <c r="A11" s="645" t="s">
        <v>289</v>
      </c>
      <c r="B11" s="33" t="s">
        <v>10</v>
      </c>
      <c r="C11" s="641" t="s">
        <v>13</v>
      </c>
      <c r="D11" s="642"/>
      <c r="E11" s="33">
        <v>39.520000000000003</v>
      </c>
      <c r="F11" s="123">
        <v>2094</v>
      </c>
      <c r="G11" s="116">
        <f t="shared" si="11"/>
        <v>82754.880000000005</v>
      </c>
      <c r="H11" s="29" t="s">
        <v>5</v>
      </c>
      <c r="I11" s="121">
        <v>19</v>
      </c>
      <c r="J11" s="30">
        <v>1500</v>
      </c>
      <c r="K11" s="13">
        <f t="shared" si="1"/>
        <v>78.94736842105263</v>
      </c>
      <c r="L11" s="121">
        <v>19</v>
      </c>
      <c r="M11" s="14">
        <f t="shared" si="12"/>
        <v>1444.1379310344823</v>
      </c>
      <c r="N11" s="13">
        <f t="shared" si="3"/>
        <v>76.007259528130646</v>
      </c>
      <c r="O11" s="15">
        <f t="shared" si="4"/>
        <v>0</v>
      </c>
      <c r="P11" s="16">
        <f t="shared" si="5"/>
        <v>-2.9401088929219839</v>
      </c>
      <c r="Q11" s="117">
        <f t="shared" si="6"/>
        <v>0.9627586206896549</v>
      </c>
      <c r="R11" s="619"/>
      <c r="S11" s="31">
        <v>0.40277777777777779</v>
      </c>
      <c r="T11" s="31">
        <v>0.46319444444444446</v>
      </c>
      <c r="U11" s="116">
        <f t="shared" si="14"/>
        <v>4.9999999999999822</v>
      </c>
      <c r="V11" s="122">
        <f t="shared" si="13"/>
        <v>87.000000000000014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-55.862068965517665</v>
      </c>
      <c r="AF11" s="117">
        <f t="shared" si="9"/>
        <v>0.9627586206896549</v>
      </c>
      <c r="AG11" s="619"/>
    </row>
    <row r="12" spans="1:33" ht="16.5" customHeight="1">
      <c r="A12" s="645" t="s">
        <v>289</v>
      </c>
      <c r="B12" s="33" t="s">
        <v>288</v>
      </c>
      <c r="C12" s="620"/>
      <c r="D12" s="620"/>
      <c r="E12" s="118"/>
      <c r="F12" s="30"/>
      <c r="G12" s="14"/>
      <c r="H12" s="123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1437.1921758419037</v>
      </c>
      <c r="N12" s="13">
        <f t="shared" si="3"/>
        <v>78.392300500467485</v>
      </c>
      <c r="O12" s="15">
        <f t="shared" si="4"/>
        <v>0</v>
      </c>
      <c r="P12" s="16">
        <f t="shared" si="5"/>
        <v>-3.4258813177143423</v>
      </c>
      <c r="Q12" s="117">
        <f t="shared" si="6"/>
        <v>0.95812811722793578</v>
      </c>
      <c r="R12" s="619"/>
      <c r="S12" s="31"/>
      <c r="T12" s="31"/>
      <c r="U12" s="13"/>
      <c r="V12" s="122"/>
      <c r="W12" s="13"/>
      <c r="X12" s="13"/>
      <c r="Y12" s="24">
        <f>SUM(Y9:Y11)</f>
        <v>0</v>
      </c>
      <c r="Z12" s="24">
        <f>SUM(Z9:Z11)</f>
        <v>0</v>
      </c>
      <c r="AA12" s="609"/>
      <c r="AB12" s="609"/>
      <c r="AC12" s="24">
        <v>3</v>
      </c>
      <c r="AD12" s="24">
        <f>SUM(AD9:AD11)</f>
        <v>0</v>
      </c>
      <c r="AE12" s="15">
        <f t="shared" si="8"/>
        <v>-62.807824158096309</v>
      </c>
      <c r="AF12" s="117">
        <f t="shared" si="9"/>
        <v>0.95812811722793578</v>
      </c>
      <c r="AG12" s="619"/>
    </row>
    <row r="13" spans="1:33" ht="16.5" customHeight="1">
      <c r="A13" s="643" t="s">
        <v>290</v>
      </c>
      <c r="B13" s="123" t="s">
        <v>15</v>
      </c>
      <c r="C13" s="635" t="s">
        <v>16</v>
      </c>
      <c r="D13" s="635"/>
      <c r="E13" s="33">
        <v>31.11</v>
      </c>
      <c r="F13" s="123">
        <v>2602</v>
      </c>
      <c r="G13" s="116">
        <f t="shared" ref="G13:G19" si="15">E13*F13</f>
        <v>80948.22</v>
      </c>
      <c r="H13" s="29" t="s">
        <v>5</v>
      </c>
      <c r="I13" s="121">
        <v>14</v>
      </c>
      <c r="J13" s="30">
        <v>2000</v>
      </c>
      <c r="K13" s="13">
        <f t="shared" si="1"/>
        <v>142.85714285714286</v>
      </c>
      <c r="L13" s="121">
        <v>14</v>
      </c>
      <c r="M13" s="14">
        <f t="shared" ref="M13:M19" si="16">F13/V13*60</f>
        <v>1927.4074074074078</v>
      </c>
      <c r="N13" s="13">
        <f t="shared" si="3"/>
        <v>137.6719576719577</v>
      </c>
      <c r="O13" s="15">
        <f t="shared" si="4"/>
        <v>0</v>
      </c>
      <c r="P13" s="16">
        <f t="shared" si="5"/>
        <v>-5.185185185185162</v>
      </c>
      <c r="Q13" s="117">
        <f t="shared" si="6"/>
        <v>0.96370370370370384</v>
      </c>
      <c r="R13" s="619">
        <f>Q20</f>
        <v>0.95938556656923202</v>
      </c>
      <c r="S13" s="31">
        <v>0.20833333333333334</v>
      </c>
      <c r="T13" s="31">
        <v>0.26458333333333334</v>
      </c>
      <c r="U13" s="116"/>
      <c r="V13" s="122">
        <f t="shared" ref="V13:V19" si="17">(T13-S13)*24*60</f>
        <v>80.999999999999986</v>
      </c>
      <c r="W13" s="17"/>
      <c r="X13" s="17"/>
      <c r="Y13" s="22"/>
      <c r="Z13" s="22"/>
      <c r="AA13" s="610"/>
      <c r="AB13" s="610"/>
      <c r="AC13" s="19">
        <v>7</v>
      </c>
      <c r="AD13" s="19"/>
      <c r="AE13" s="15">
        <f t="shared" si="8"/>
        <v>-72.592592592592155</v>
      </c>
      <c r="AF13" s="117">
        <f t="shared" si="9"/>
        <v>0.96370370370370395</v>
      </c>
      <c r="AG13" s="619">
        <f>AF20</f>
        <v>0.95938556656923202</v>
      </c>
    </row>
    <row r="14" spans="1:33" ht="16.5" customHeight="1">
      <c r="A14" s="644" t="s">
        <v>291</v>
      </c>
      <c r="B14" s="123" t="s">
        <v>17</v>
      </c>
      <c r="C14" s="635" t="s">
        <v>18</v>
      </c>
      <c r="D14" s="635"/>
      <c r="E14" s="33">
        <v>41</v>
      </c>
      <c r="F14" s="123">
        <v>1737</v>
      </c>
      <c r="G14" s="116">
        <f t="shared" si="15"/>
        <v>71217</v>
      </c>
      <c r="H14" s="29" t="s">
        <v>5</v>
      </c>
      <c r="I14" s="121">
        <v>26</v>
      </c>
      <c r="J14" s="30">
        <v>1500</v>
      </c>
      <c r="K14" s="13">
        <f t="shared" si="1"/>
        <v>57.692307692307693</v>
      </c>
      <c r="L14" s="121">
        <v>26</v>
      </c>
      <c r="M14" s="14">
        <f t="shared" si="16"/>
        <v>1427.6712328767126</v>
      </c>
      <c r="N14" s="13">
        <f t="shared" si="3"/>
        <v>54.910432033719715</v>
      </c>
      <c r="O14" s="15">
        <f t="shared" si="4"/>
        <v>0</v>
      </c>
      <c r="P14" s="16">
        <f t="shared" si="5"/>
        <v>-2.7818756585879783</v>
      </c>
      <c r="Q14" s="117">
        <f t="shared" si="6"/>
        <v>0.95178082191780833</v>
      </c>
      <c r="R14" s="619"/>
      <c r="S14" s="31">
        <v>0.27013888888888887</v>
      </c>
      <c r="T14" s="31">
        <v>0.3208333333333333</v>
      </c>
      <c r="U14" s="116">
        <f t="shared" ref="U14:U19" si="18">IF(S14=TIME(17,0,0),"",(S14-T13)*24*60)</f>
        <v>7.9999999999999716</v>
      </c>
      <c r="V14" s="122">
        <f t="shared" si="17"/>
        <v>72.999999999999986</v>
      </c>
      <c r="W14" s="17"/>
      <c r="X14" s="17"/>
      <c r="Y14" s="17"/>
      <c r="Z14" s="17"/>
      <c r="AA14" s="610"/>
      <c r="AB14" s="610"/>
      <c r="AC14" s="19"/>
      <c r="AD14" s="19"/>
      <c r="AE14" s="15">
        <f t="shared" si="8"/>
        <v>-72.328767123287435</v>
      </c>
      <c r="AF14" s="117">
        <f t="shared" si="9"/>
        <v>0.95178082191780833</v>
      </c>
      <c r="AG14" s="619"/>
    </row>
    <row r="15" spans="1:33" ht="16.5" customHeight="1">
      <c r="A15" s="644" t="s">
        <v>291</v>
      </c>
      <c r="B15" s="123" t="s">
        <v>15</v>
      </c>
      <c r="C15" s="635" t="s">
        <v>76</v>
      </c>
      <c r="D15" s="635"/>
      <c r="E15" s="33">
        <v>68.88</v>
      </c>
      <c r="F15" s="123">
        <v>1633</v>
      </c>
      <c r="G15" s="116">
        <f t="shared" si="15"/>
        <v>112481.04</v>
      </c>
      <c r="H15" s="29" t="s">
        <v>5</v>
      </c>
      <c r="I15" s="121">
        <v>16</v>
      </c>
      <c r="J15" s="30">
        <v>2000</v>
      </c>
      <c r="K15" s="13">
        <f t="shared" si="1"/>
        <v>125</v>
      </c>
      <c r="L15" s="121">
        <v>16</v>
      </c>
      <c r="M15" s="14">
        <f t="shared" si="16"/>
        <v>1921.176470588236</v>
      </c>
      <c r="N15" s="13">
        <f t="shared" si="3"/>
        <v>120.07352941176475</v>
      </c>
      <c r="O15" s="15">
        <f t="shared" si="4"/>
        <v>0</v>
      </c>
      <c r="P15" s="16">
        <f t="shared" si="5"/>
        <v>-4.9264705882352473</v>
      </c>
      <c r="Q15" s="117">
        <f t="shared" si="6"/>
        <v>0.96058823529411808</v>
      </c>
      <c r="R15" s="619"/>
      <c r="S15" s="31">
        <v>0.32499999999999996</v>
      </c>
      <c r="T15" s="31">
        <v>0.36041666666666661</v>
      </c>
      <c r="U15" s="116">
        <f t="shared" si="18"/>
        <v>5.9999999999999787</v>
      </c>
      <c r="V15" s="122">
        <f t="shared" si="17"/>
        <v>50.999999999999979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-78.823529411763957</v>
      </c>
      <c r="AF15" s="117">
        <f t="shared" si="9"/>
        <v>0.96058823529411808</v>
      </c>
      <c r="AG15" s="619"/>
    </row>
    <row r="16" spans="1:33" ht="16.5" customHeight="1">
      <c r="A16" s="644" t="s">
        <v>291</v>
      </c>
      <c r="B16" s="123" t="s">
        <v>10</v>
      </c>
      <c r="C16" s="635" t="s">
        <v>12</v>
      </c>
      <c r="D16" s="635"/>
      <c r="E16" s="33">
        <v>39.46</v>
      </c>
      <c r="F16" s="123">
        <v>2113</v>
      </c>
      <c r="G16" s="116">
        <f t="shared" si="15"/>
        <v>83378.98</v>
      </c>
      <c r="H16" s="29" t="s">
        <v>5</v>
      </c>
      <c r="I16" s="121">
        <v>15</v>
      </c>
      <c r="J16" s="30">
        <v>1500</v>
      </c>
      <c r="K16" s="13">
        <f t="shared" si="1"/>
        <v>100</v>
      </c>
      <c r="L16" s="121">
        <v>15</v>
      </c>
      <c r="M16" s="14">
        <f t="shared" si="16"/>
        <v>1440.6818181818182</v>
      </c>
      <c r="N16" s="13">
        <f t="shared" si="3"/>
        <v>96.045454545454547</v>
      </c>
      <c r="O16" s="15">
        <f t="shared" si="4"/>
        <v>0</v>
      </c>
      <c r="P16" s="16">
        <f t="shared" si="5"/>
        <v>-3.9545454545454533</v>
      </c>
      <c r="Q16" s="117">
        <f t="shared" si="6"/>
        <v>0.96045454545454545</v>
      </c>
      <c r="R16" s="619"/>
      <c r="S16" s="31">
        <v>0.36388888888888882</v>
      </c>
      <c r="T16" s="31">
        <v>0.42499999999999993</v>
      </c>
      <c r="U16" s="116">
        <f t="shared" si="18"/>
        <v>4.9999999999999822</v>
      </c>
      <c r="V16" s="122">
        <f t="shared" si="17"/>
        <v>88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-59.318181818181756</v>
      </c>
      <c r="AF16" s="117">
        <f t="shared" si="9"/>
        <v>0.96045454545454545</v>
      </c>
      <c r="AG16" s="619"/>
    </row>
    <row r="17" spans="1:33" ht="16.5" customHeight="1">
      <c r="A17" s="644" t="s">
        <v>291</v>
      </c>
      <c r="B17" s="123" t="s">
        <v>6</v>
      </c>
      <c r="C17" s="635" t="s">
        <v>20</v>
      </c>
      <c r="D17" s="635"/>
      <c r="E17" s="33">
        <v>54.5</v>
      </c>
      <c r="F17" s="123">
        <v>1168</v>
      </c>
      <c r="G17" s="116">
        <f t="shared" si="15"/>
        <v>63656</v>
      </c>
      <c r="H17" s="29" t="s">
        <v>5</v>
      </c>
      <c r="I17" s="121">
        <v>19</v>
      </c>
      <c r="J17" s="30">
        <v>1500</v>
      </c>
      <c r="K17" s="13">
        <f t="shared" si="1"/>
        <v>78.94736842105263</v>
      </c>
      <c r="L17" s="121">
        <v>19</v>
      </c>
      <c r="M17" s="14">
        <f t="shared" si="16"/>
        <v>1430.2040816326535</v>
      </c>
      <c r="N17" s="13">
        <f t="shared" si="3"/>
        <v>75.273899033297553</v>
      </c>
      <c r="O17" s="15">
        <f t="shared" si="4"/>
        <v>0</v>
      </c>
      <c r="P17" s="16">
        <f t="shared" si="5"/>
        <v>-3.6734693877550768</v>
      </c>
      <c r="Q17" s="117">
        <f t="shared" si="6"/>
        <v>0.95346938775510237</v>
      </c>
      <c r="R17" s="619"/>
      <c r="S17" s="31">
        <v>0.70833333333333337</v>
      </c>
      <c r="T17" s="31">
        <v>0.74236111111111114</v>
      </c>
      <c r="U17" s="116" t="str">
        <f t="shared" si="18"/>
        <v/>
      </c>
      <c r="V17" s="122">
        <f t="shared" si="17"/>
        <v>48.999999999999986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-69.79591836734653</v>
      </c>
      <c r="AF17" s="117">
        <f t="shared" si="9"/>
        <v>0.95346938775510226</v>
      </c>
      <c r="AG17" s="619"/>
    </row>
    <row r="18" spans="1:33" ht="16.5" customHeight="1">
      <c r="A18" s="644" t="s">
        <v>291</v>
      </c>
      <c r="B18" s="123" t="s">
        <v>6</v>
      </c>
      <c r="C18" s="119" t="s">
        <v>19</v>
      </c>
      <c r="D18" s="120"/>
      <c r="E18" s="33">
        <v>50.67</v>
      </c>
      <c r="F18" s="123">
        <v>1547</v>
      </c>
      <c r="G18" s="116">
        <f t="shared" si="15"/>
        <v>78386.490000000005</v>
      </c>
      <c r="H18" s="29" t="s">
        <v>5</v>
      </c>
      <c r="I18" s="121">
        <v>17</v>
      </c>
      <c r="J18" s="30">
        <v>2000</v>
      </c>
      <c r="K18" s="13">
        <f t="shared" si="1"/>
        <v>117.64705882352941</v>
      </c>
      <c r="L18" s="121">
        <v>17</v>
      </c>
      <c r="M18" s="14">
        <f t="shared" si="16"/>
        <v>1933.7500000000007</v>
      </c>
      <c r="N18" s="13">
        <f t="shared" si="3"/>
        <v>113.75000000000004</v>
      </c>
      <c r="O18" s="15">
        <f t="shared" si="4"/>
        <v>0</v>
      </c>
      <c r="P18" s="16">
        <f t="shared" si="5"/>
        <v>-3.8970588235293633</v>
      </c>
      <c r="Q18" s="117">
        <f t="shared" si="6"/>
        <v>0.96687500000000037</v>
      </c>
      <c r="R18" s="619"/>
      <c r="S18" s="31">
        <v>0.74583333333333335</v>
      </c>
      <c r="T18" s="31">
        <v>0.77916666666666667</v>
      </c>
      <c r="U18" s="116">
        <f t="shared" si="18"/>
        <v>4.9999999999999822</v>
      </c>
      <c r="V18" s="122">
        <f t="shared" si="17"/>
        <v>47.999999999999986</v>
      </c>
      <c r="W18" s="17"/>
      <c r="X18" s="17"/>
      <c r="Y18" s="20"/>
      <c r="Z18" s="20"/>
      <c r="AA18" s="112"/>
      <c r="AB18" s="113"/>
      <c r="AC18" s="19"/>
      <c r="AD18" s="19"/>
      <c r="AE18" s="15">
        <f t="shared" si="8"/>
        <v>-66.249999999999318</v>
      </c>
      <c r="AF18" s="117">
        <f t="shared" si="9"/>
        <v>0.96687500000000037</v>
      </c>
      <c r="AG18" s="619"/>
    </row>
    <row r="19" spans="1:33" ht="16.5" customHeight="1">
      <c r="A19" s="644" t="s">
        <v>291</v>
      </c>
      <c r="B19" s="123" t="s">
        <v>6</v>
      </c>
      <c r="C19" s="119" t="s">
        <v>45</v>
      </c>
      <c r="D19" s="120"/>
      <c r="E19" s="33">
        <v>51.06</v>
      </c>
      <c r="F19" s="123">
        <v>2899</v>
      </c>
      <c r="G19" s="116">
        <f t="shared" si="15"/>
        <v>148022.94</v>
      </c>
      <c r="H19" s="29" t="s">
        <v>5</v>
      </c>
      <c r="I19" s="121">
        <v>13</v>
      </c>
      <c r="J19" s="30">
        <v>2000</v>
      </c>
      <c r="K19" s="13">
        <f t="shared" si="1"/>
        <v>153.84615384615384</v>
      </c>
      <c r="L19" s="121">
        <v>13</v>
      </c>
      <c r="M19" s="14">
        <f t="shared" si="16"/>
        <v>1911.4285714285716</v>
      </c>
      <c r="N19" s="13">
        <f t="shared" si="3"/>
        <v>147.03296703296704</v>
      </c>
      <c r="O19" s="15">
        <f t="shared" si="4"/>
        <v>0</v>
      </c>
      <c r="P19" s="16">
        <f t="shared" si="5"/>
        <v>-6.8131868131868032</v>
      </c>
      <c r="Q19" s="117">
        <f t="shared" si="6"/>
        <v>0.95571428571428574</v>
      </c>
      <c r="R19" s="619"/>
      <c r="S19" s="31">
        <v>0.78263888888888888</v>
      </c>
      <c r="T19" s="31">
        <v>0.84583333333333333</v>
      </c>
      <c r="U19" s="116">
        <f t="shared" si="18"/>
        <v>4.9999999999999822</v>
      </c>
      <c r="V19" s="122">
        <f t="shared" si="17"/>
        <v>91</v>
      </c>
      <c r="W19" s="17"/>
      <c r="X19" s="17"/>
      <c r="Y19" s="20"/>
      <c r="Z19" s="20"/>
      <c r="AA19" s="112"/>
      <c r="AB19" s="113"/>
      <c r="AC19" s="19"/>
      <c r="AD19" s="19"/>
      <c r="AE19" s="15">
        <f t="shared" si="8"/>
        <v>-88.571428571428442</v>
      </c>
      <c r="AF19" s="117">
        <f t="shared" si="9"/>
        <v>0.95571428571428574</v>
      </c>
      <c r="AG19" s="619"/>
    </row>
    <row r="20" spans="1:33" ht="16.5" customHeight="1">
      <c r="A20" s="644" t="s">
        <v>291</v>
      </c>
      <c r="B20" s="33" t="s">
        <v>292</v>
      </c>
      <c r="C20" s="620"/>
      <c r="D20" s="620"/>
      <c r="E20" s="118"/>
      <c r="F20" s="34"/>
      <c r="G20" s="13"/>
      <c r="H20" s="123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1713.1885117307716</v>
      </c>
      <c r="N20" s="13">
        <f t="shared" si="3"/>
        <v>99.93599651762834</v>
      </c>
      <c r="O20" s="15">
        <f t="shared" si="4"/>
        <v>0</v>
      </c>
      <c r="P20" s="16">
        <f t="shared" si="5"/>
        <v>-4.2306701490383318</v>
      </c>
      <c r="Q20" s="117">
        <f t="shared" si="6"/>
        <v>0.95938556656923202</v>
      </c>
      <c r="R20" s="619"/>
      <c r="S20" s="31"/>
      <c r="T20" s="31"/>
      <c r="U20" s="116"/>
      <c r="V20" s="122"/>
      <c r="W20" s="13"/>
      <c r="X20" s="13"/>
      <c r="Y20" s="24">
        <f>SUM(Y13:Y19)</f>
        <v>0</v>
      </c>
      <c r="Z20" s="24">
        <f>SUM(Z13:Z19)</f>
        <v>0</v>
      </c>
      <c r="AA20" s="609"/>
      <c r="AB20" s="609"/>
      <c r="AC20" s="24">
        <v>7</v>
      </c>
      <c r="AD20" s="24">
        <f>SUM(AD13:AD19)</f>
        <v>0</v>
      </c>
      <c r="AE20" s="15">
        <f t="shared" si="8"/>
        <v>-72.525773983514227</v>
      </c>
      <c r="AF20" s="117">
        <f t="shared" si="9"/>
        <v>0.95938556656923202</v>
      </c>
      <c r="AG20" s="619"/>
    </row>
    <row r="21" spans="1:33" ht="15.75" customHeight="1">
      <c r="A21" s="637" t="s">
        <v>293</v>
      </c>
      <c r="B21" s="33" t="s">
        <v>6</v>
      </c>
      <c r="C21" s="635" t="s">
        <v>22</v>
      </c>
      <c r="D21" s="635"/>
      <c r="E21" s="33">
        <v>50.67</v>
      </c>
      <c r="F21" s="123">
        <v>1655</v>
      </c>
      <c r="G21" s="116">
        <f t="shared" ref="G21:G27" si="19">E21*F21</f>
        <v>83858.850000000006</v>
      </c>
      <c r="H21" s="29" t="s">
        <v>5</v>
      </c>
      <c r="I21" s="121">
        <v>17</v>
      </c>
      <c r="J21" s="30">
        <v>2000</v>
      </c>
      <c r="K21" s="13">
        <f t="shared" si="1"/>
        <v>117.64705882352941</v>
      </c>
      <c r="L21" s="121">
        <v>17</v>
      </c>
      <c r="M21" s="14">
        <f t="shared" ref="M21:M27" si="20">F21/V21*60</f>
        <v>1909.6153846153841</v>
      </c>
      <c r="N21" s="13">
        <f t="shared" si="3"/>
        <v>112.33031674208142</v>
      </c>
      <c r="O21" s="15">
        <f t="shared" si="4"/>
        <v>0</v>
      </c>
      <c r="P21" s="16">
        <f t="shared" si="5"/>
        <v>-5.316742081447984</v>
      </c>
      <c r="Q21" s="117">
        <f t="shared" si="6"/>
        <v>0.95480769230769214</v>
      </c>
      <c r="R21" s="619">
        <f>Q28</f>
        <v>0.96047340170145312</v>
      </c>
      <c r="S21" s="31">
        <v>0.20833333333333334</v>
      </c>
      <c r="T21" s="31">
        <v>0.24444444444444446</v>
      </c>
      <c r="U21" s="116"/>
      <c r="V21" s="122">
        <f t="shared" ref="V21:V27" si="21">(T21-S21)*24*60</f>
        <v>52.000000000000014</v>
      </c>
      <c r="W21" s="17"/>
      <c r="X21" s="17"/>
      <c r="Y21" s="22"/>
      <c r="Z21" s="22"/>
      <c r="AA21" s="610"/>
      <c r="AB21" s="610"/>
      <c r="AC21" s="19">
        <v>7</v>
      </c>
      <c r="AD21" s="19"/>
      <c r="AE21" s="15">
        <f t="shared" si="8"/>
        <v>-90.384615384615927</v>
      </c>
      <c r="AF21" s="117">
        <f t="shared" si="9"/>
        <v>0.95480769230769202</v>
      </c>
      <c r="AG21" s="619">
        <f>AF28</f>
        <v>0.96047340170145312</v>
      </c>
    </row>
    <row r="22" spans="1:33" ht="15.75" customHeight="1">
      <c r="A22" s="638" t="s">
        <v>293</v>
      </c>
      <c r="B22" s="33" t="s">
        <v>6</v>
      </c>
      <c r="C22" s="635" t="s">
        <v>23</v>
      </c>
      <c r="D22" s="635"/>
      <c r="E22" s="33">
        <v>57.73</v>
      </c>
      <c r="F22" s="123">
        <v>2675</v>
      </c>
      <c r="G22" s="116">
        <f t="shared" si="19"/>
        <v>154427.75</v>
      </c>
      <c r="H22" s="29" t="s">
        <v>5</v>
      </c>
      <c r="I22" s="121">
        <v>14</v>
      </c>
      <c r="J22" s="30">
        <v>2000</v>
      </c>
      <c r="K22" s="13">
        <f t="shared" si="1"/>
        <v>142.85714285714286</v>
      </c>
      <c r="L22" s="121">
        <v>14</v>
      </c>
      <c r="M22" s="14">
        <f t="shared" si="20"/>
        <v>1910.7142857142862</v>
      </c>
      <c r="N22" s="13">
        <f t="shared" si="3"/>
        <v>136.47959183673473</v>
      </c>
      <c r="O22" s="15">
        <f t="shared" si="4"/>
        <v>0</v>
      </c>
      <c r="P22" s="16">
        <f t="shared" si="5"/>
        <v>-6.3775510204081343</v>
      </c>
      <c r="Q22" s="117">
        <f t="shared" si="6"/>
        <v>0.95535714285714302</v>
      </c>
      <c r="R22" s="619"/>
      <c r="S22" s="31">
        <v>0.24930555555555559</v>
      </c>
      <c r="T22" s="31">
        <v>0.30763888888888891</v>
      </c>
      <c r="U22" s="116">
        <f t="shared" ref="U22:U27" si="22">IF(S22=TIME(17,0,0),"",(S22-T21)*24*60)</f>
        <v>7.0000000000000151</v>
      </c>
      <c r="V22" s="122">
        <f t="shared" si="21"/>
        <v>83.999999999999986</v>
      </c>
      <c r="W22" s="17"/>
      <c r="X22" s="116"/>
      <c r="Y22" s="116"/>
      <c r="Z22" s="116"/>
      <c r="AA22" s="610"/>
      <c r="AB22" s="610"/>
      <c r="AC22" s="19"/>
      <c r="AD22" s="19"/>
      <c r="AE22" s="15">
        <f t="shared" si="8"/>
        <v>-89.285714285713766</v>
      </c>
      <c r="AF22" s="117">
        <f t="shared" si="9"/>
        <v>0.95535714285714313</v>
      </c>
      <c r="AG22" s="619"/>
    </row>
    <row r="23" spans="1:33" ht="15.75" customHeight="1">
      <c r="A23" s="638" t="s">
        <v>293</v>
      </c>
      <c r="B23" s="33" t="s">
        <v>6</v>
      </c>
      <c r="C23" s="635" t="s">
        <v>24</v>
      </c>
      <c r="D23" s="635"/>
      <c r="E23" s="33">
        <v>53.27</v>
      </c>
      <c r="F23" s="123">
        <v>1818</v>
      </c>
      <c r="G23" s="116">
        <f t="shared" si="19"/>
        <v>96844.86</v>
      </c>
      <c r="H23" s="29" t="s">
        <v>5</v>
      </c>
      <c r="I23" s="121">
        <v>16</v>
      </c>
      <c r="J23" s="30">
        <v>2000</v>
      </c>
      <c r="K23" s="13">
        <f t="shared" si="1"/>
        <v>125</v>
      </c>
      <c r="L23" s="121">
        <v>16</v>
      </c>
      <c r="M23" s="14">
        <f t="shared" si="20"/>
        <v>1913.6842105263172</v>
      </c>
      <c r="N23" s="13">
        <f t="shared" si="3"/>
        <v>119.60526315789483</v>
      </c>
      <c r="O23" s="15">
        <f t="shared" si="4"/>
        <v>0</v>
      </c>
      <c r="P23" s="16">
        <f t="shared" si="5"/>
        <v>-5.3947368421051749</v>
      </c>
      <c r="Q23" s="117">
        <f t="shared" si="6"/>
        <v>0.9568421052631586</v>
      </c>
      <c r="R23" s="619"/>
      <c r="S23" s="31">
        <v>0.3125</v>
      </c>
      <c r="T23" s="31">
        <v>0.3520833333333333</v>
      </c>
      <c r="U23" s="116">
        <f t="shared" si="22"/>
        <v>6.9999999999999751</v>
      </c>
      <c r="V23" s="122">
        <f t="shared" si="21"/>
        <v>56.999999999999957</v>
      </c>
      <c r="W23" s="17"/>
      <c r="X23" s="116"/>
      <c r="Y23" s="116"/>
      <c r="Z23" s="116"/>
      <c r="AA23" s="610"/>
      <c r="AB23" s="610"/>
      <c r="AC23" s="19"/>
      <c r="AD23" s="19"/>
      <c r="AE23" s="15">
        <f t="shared" si="8"/>
        <v>-86.315789473682798</v>
      </c>
      <c r="AF23" s="117">
        <f t="shared" si="9"/>
        <v>0.9568421052631586</v>
      </c>
      <c r="AG23" s="619"/>
    </row>
    <row r="24" spans="1:33" ht="15.75" customHeight="1">
      <c r="A24" s="638" t="s">
        <v>293</v>
      </c>
      <c r="B24" s="33" t="s">
        <v>6</v>
      </c>
      <c r="C24" s="635" t="s">
        <v>40</v>
      </c>
      <c r="D24" s="635"/>
      <c r="E24" s="33">
        <v>59.04</v>
      </c>
      <c r="F24" s="123">
        <v>1330</v>
      </c>
      <c r="G24" s="116">
        <f t="shared" si="19"/>
        <v>78523.199999999997</v>
      </c>
      <c r="H24" s="29" t="s">
        <v>5</v>
      </c>
      <c r="I24" s="121">
        <v>19</v>
      </c>
      <c r="J24" s="30">
        <v>2000</v>
      </c>
      <c r="K24" s="13">
        <f t="shared" si="1"/>
        <v>105.26315789473684</v>
      </c>
      <c r="L24" s="121">
        <v>19</v>
      </c>
      <c r="M24" s="14">
        <f t="shared" si="20"/>
        <v>1946.3414634146336</v>
      </c>
      <c r="N24" s="13">
        <f t="shared" si="3"/>
        <v>102.43902439024387</v>
      </c>
      <c r="O24" s="15">
        <f t="shared" si="4"/>
        <v>0</v>
      </c>
      <c r="P24" s="16">
        <f t="shared" si="5"/>
        <v>-2.8241335044929627</v>
      </c>
      <c r="Q24" s="117">
        <f t="shared" si="6"/>
        <v>0.97317073170731683</v>
      </c>
      <c r="R24" s="619"/>
      <c r="S24" s="31">
        <v>0.35763888888888884</v>
      </c>
      <c r="T24" s="31">
        <v>0.38611111111111107</v>
      </c>
      <c r="U24" s="116">
        <f t="shared" si="22"/>
        <v>7.9999999999999716</v>
      </c>
      <c r="V24" s="122">
        <f t="shared" si="21"/>
        <v>41.000000000000014</v>
      </c>
      <c r="W24" s="17"/>
      <c r="X24" s="116"/>
      <c r="Y24" s="116"/>
      <c r="Z24" s="116"/>
      <c r="AA24" s="610"/>
      <c r="AB24" s="610"/>
      <c r="AC24" s="19"/>
      <c r="AD24" s="19"/>
      <c r="AE24" s="15">
        <f t="shared" si="8"/>
        <v>-53.658536585366392</v>
      </c>
      <c r="AF24" s="117">
        <f t="shared" si="9"/>
        <v>0.97317073170731683</v>
      </c>
      <c r="AG24" s="619"/>
    </row>
    <row r="25" spans="1:33" ht="15.75" customHeight="1">
      <c r="A25" s="638" t="s">
        <v>293</v>
      </c>
      <c r="B25" s="33" t="s">
        <v>6</v>
      </c>
      <c r="C25" s="635" t="s">
        <v>21</v>
      </c>
      <c r="D25" s="635"/>
      <c r="E25" s="33">
        <v>50.49</v>
      </c>
      <c r="F25" s="123">
        <v>2070</v>
      </c>
      <c r="G25" s="116">
        <f t="shared" si="19"/>
        <v>104514.3</v>
      </c>
      <c r="H25" s="29" t="s">
        <v>5</v>
      </c>
      <c r="I25" s="121">
        <v>15</v>
      </c>
      <c r="J25" s="30">
        <v>2000</v>
      </c>
      <c r="K25" s="13">
        <f t="shared" si="1"/>
        <v>133.33333333333334</v>
      </c>
      <c r="L25" s="121">
        <v>15</v>
      </c>
      <c r="M25" s="14">
        <f t="shared" si="20"/>
        <v>1910.769230769233</v>
      </c>
      <c r="N25" s="13">
        <f t="shared" si="3"/>
        <v>127.38461538461553</v>
      </c>
      <c r="O25" s="15">
        <f t="shared" si="4"/>
        <v>0</v>
      </c>
      <c r="P25" s="16">
        <f t="shared" si="5"/>
        <v>-5.9487179487178139</v>
      </c>
      <c r="Q25" s="117">
        <f t="shared" si="6"/>
        <v>0.95538461538461639</v>
      </c>
      <c r="R25" s="619"/>
      <c r="S25" s="31">
        <v>0.70833333333333337</v>
      </c>
      <c r="T25" s="31">
        <v>0.75347222222222221</v>
      </c>
      <c r="U25" s="116" t="str">
        <f t="shared" si="22"/>
        <v/>
      </c>
      <c r="V25" s="122">
        <f t="shared" si="21"/>
        <v>64.999999999999929</v>
      </c>
      <c r="W25" s="17"/>
      <c r="X25" s="17"/>
      <c r="Y25" s="116"/>
      <c r="Z25" s="116"/>
      <c r="AA25" s="610"/>
      <c r="AB25" s="610"/>
      <c r="AC25" s="19"/>
      <c r="AD25" s="19"/>
      <c r="AE25" s="15">
        <f t="shared" si="8"/>
        <v>-89.23076923076701</v>
      </c>
      <c r="AF25" s="117">
        <f t="shared" si="9"/>
        <v>0.9553846153846165</v>
      </c>
      <c r="AG25" s="619"/>
    </row>
    <row r="26" spans="1:33" ht="15.75" customHeight="1">
      <c r="A26" s="638" t="s">
        <v>293</v>
      </c>
      <c r="B26" s="33" t="s">
        <v>6</v>
      </c>
      <c r="C26" s="635" t="s">
        <v>26</v>
      </c>
      <c r="D26" s="635"/>
      <c r="E26" s="33">
        <v>54.09</v>
      </c>
      <c r="F26" s="123">
        <v>2038</v>
      </c>
      <c r="G26" s="116">
        <f t="shared" si="19"/>
        <v>110235.42000000001</v>
      </c>
      <c r="H26" s="29" t="s">
        <v>5</v>
      </c>
      <c r="I26" s="121">
        <v>18</v>
      </c>
      <c r="J26" s="30">
        <v>2000</v>
      </c>
      <c r="K26" s="13">
        <f t="shared" si="1"/>
        <v>111.11111111111111</v>
      </c>
      <c r="L26" s="121">
        <v>18</v>
      </c>
      <c r="M26" s="14">
        <f t="shared" si="20"/>
        <v>1910.625000000002</v>
      </c>
      <c r="N26" s="13">
        <f t="shared" si="3"/>
        <v>106.14583333333344</v>
      </c>
      <c r="O26" s="15">
        <f t="shared" si="4"/>
        <v>0</v>
      </c>
      <c r="P26" s="16">
        <f t="shared" si="5"/>
        <v>-4.965277777777672</v>
      </c>
      <c r="Q26" s="117">
        <f t="shared" si="6"/>
        <v>0.95531250000000101</v>
      </c>
      <c r="R26" s="619"/>
      <c r="S26" s="31">
        <v>0.75694444444444442</v>
      </c>
      <c r="T26" s="31">
        <v>0.80138888888888882</v>
      </c>
      <c r="U26" s="116">
        <f t="shared" si="22"/>
        <v>4.9999999999999822</v>
      </c>
      <c r="V26" s="122">
        <f t="shared" si="21"/>
        <v>63.999999999999929</v>
      </c>
      <c r="W26" s="17"/>
      <c r="X26" s="22"/>
      <c r="Y26" s="22"/>
      <c r="Z26" s="22"/>
      <c r="AA26" s="610"/>
      <c r="AB26" s="610"/>
      <c r="AC26" s="19"/>
      <c r="AD26" s="19"/>
      <c r="AE26" s="15">
        <f t="shared" si="8"/>
        <v>-89.374999999997954</v>
      </c>
      <c r="AF26" s="117">
        <f t="shared" si="9"/>
        <v>0.95531250000000101</v>
      </c>
      <c r="AG26" s="619"/>
    </row>
    <row r="27" spans="1:33" ht="15.75" customHeight="1">
      <c r="A27" s="638" t="s">
        <v>293</v>
      </c>
      <c r="B27" s="33" t="s">
        <v>6</v>
      </c>
      <c r="C27" s="639" t="s">
        <v>25</v>
      </c>
      <c r="D27" s="640"/>
      <c r="E27" s="33">
        <v>56.43</v>
      </c>
      <c r="F27" s="123">
        <v>1329</v>
      </c>
      <c r="G27" s="116">
        <f t="shared" si="19"/>
        <v>74995.47</v>
      </c>
      <c r="H27" s="29" t="s">
        <v>5</v>
      </c>
      <c r="I27" s="121">
        <v>13</v>
      </c>
      <c r="J27" s="30">
        <v>2000</v>
      </c>
      <c r="K27" s="13">
        <f t="shared" si="1"/>
        <v>153.84615384615384</v>
      </c>
      <c r="L27" s="121">
        <v>13</v>
      </c>
      <c r="M27" s="14">
        <f t="shared" si="20"/>
        <v>1944.878048780487</v>
      </c>
      <c r="N27" s="13">
        <f t="shared" si="3"/>
        <v>149.60600375234515</v>
      </c>
      <c r="O27" s="15">
        <f t="shared" si="4"/>
        <v>0</v>
      </c>
      <c r="P27" s="16">
        <f t="shared" si="5"/>
        <v>-4.240150093808694</v>
      </c>
      <c r="Q27" s="117">
        <f t="shared" si="6"/>
        <v>0.97243902439024343</v>
      </c>
      <c r="R27" s="619"/>
      <c r="S27" s="31">
        <v>0.80486111111111103</v>
      </c>
      <c r="T27" s="31">
        <v>0.83333333333333326</v>
      </c>
      <c r="U27" s="116">
        <f t="shared" si="22"/>
        <v>4.9999999999999822</v>
      </c>
      <c r="V27" s="122">
        <f t="shared" si="21"/>
        <v>41.000000000000014</v>
      </c>
      <c r="W27" s="17"/>
      <c r="X27" s="22"/>
      <c r="Y27" s="94"/>
      <c r="Z27" s="94"/>
      <c r="AA27" s="614"/>
      <c r="AB27" s="615"/>
      <c r="AC27" s="19"/>
      <c r="AD27" s="19"/>
      <c r="AE27" s="15">
        <f t="shared" si="8"/>
        <v>-55.121951219512994</v>
      </c>
      <c r="AF27" s="117">
        <f t="shared" si="9"/>
        <v>0.97243902439024354</v>
      </c>
      <c r="AG27" s="619"/>
    </row>
    <row r="28" spans="1:33" ht="15.75" customHeight="1">
      <c r="A28" s="638" t="s">
        <v>293</v>
      </c>
      <c r="B28" s="33" t="s">
        <v>292</v>
      </c>
      <c r="C28" s="620"/>
      <c r="D28" s="620"/>
      <c r="E28" s="118"/>
      <c r="F28" s="123"/>
      <c r="G28" s="116"/>
      <c r="H28" s="123"/>
      <c r="I28" s="23">
        <v>16</v>
      </c>
      <c r="J28" s="30">
        <v>2000</v>
      </c>
      <c r="K28" s="13">
        <f t="shared" si="1"/>
        <v>125</v>
      </c>
      <c r="L28" s="23">
        <v>16</v>
      </c>
      <c r="M28" s="14">
        <f>AVERAGE(M21:M27)</f>
        <v>1920.9468034029062</v>
      </c>
      <c r="N28" s="13">
        <f t="shared" si="3"/>
        <v>120.05917521268164</v>
      </c>
      <c r="O28" s="15">
        <f t="shared" si="4"/>
        <v>0</v>
      </c>
      <c r="P28" s="16">
        <f t="shared" si="5"/>
        <v>-4.9408247873183626</v>
      </c>
      <c r="Q28" s="117">
        <f t="shared" si="6"/>
        <v>0.96047340170145312</v>
      </c>
      <c r="R28" s="619"/>
      <c r="S28" s="31"/>
      <c r="T28" s="31"/>
      <c r="U28" s="13"/>
      <c r="V28" s="122"/>
      <c r="W28" s="13"/>
      <c r="X28" s="13"/>
      <c r="Y28" s="24">
        <f>SUM(Y21:Y27)</f>
        <v>0</v>
      </c>
      <c r="Z28" s="24">
        <f>SUM(Z21:Z27)</f>
        <v>0</v>
      </c>
      <c r="AA28" s="609"/>
      <c r="AB28" s="609"/>
      <c r="AC28" s="24">
        <v>7</v>
      </c>
      <c r="AD28" s="24">
        <f>SUM(AD21:AD27)</f>
        <v>0</v>
      </c>
      <c r="AE28" s="15">
        <f t="shared" si="8"/>
        <v>-79.053196597093802</v>
      </c>
      <c r="AF28" s="117">
        <f t="shared" si="9"/>
        <v>0.96047340170145312</v>
      </c>
      <c r="AG28" s="619"/>
    </row>
    <row r="29" spans="1:33" ht="15.75" customHeight="1">
      <c r="A29" s="636" t="s">
        <v>294</v>
      </c>
      <c r="B29" s="33" t="s">
        <v>27</v>
      </c>
      <c r="C29" s="635" t="s">
        <v>28</v>
      </c>
      <c r="D29" s="635"/>
      <c r="E29" s="33">
        <v>31.29</v>
      </c>
      <c r="F29" s="123">
        <v>4900</v>
      </c>
      <c r="G29" s="116">
        <f t="shared" ref="G29:G35" si="23">E29*F29</f>
        <v>153321</v>
      </c>
      <c r="H29" s="29">
        <v>2</v>
      </c>
      <c r="I29" s="121">
        <v>18</v>
      </c>
      <c r="J29" s="30">
        <v>2400</v>
      </c>
      <c r="K29" s="13">
        <f t="shared" si="1"/>
        <v>133.33333333333334</v>
      </c>
      <c r="L29" s="121">
        <v>18</v>
      </c>
      <c r="M29" s="14">
        <f t="shared" ref="M29:M35" si="24">F29/V29*60</f>
        <v>2296.875</v>
      </c>
      <c r="N29" s="13">
        <f t="shared" si="3"/>
        <v>127.60416666666667</v>
      </c>
      <c r="O29" s="15">
        <f t="shared" si="4"/>
        <v>0</v>
      </c>
      <c r="P29" s="16">
        <f t="shared" si="5"/>
        <v>-5.7291666666666714</v>
      </c>
      <c r="Q29" s="117">
        <f t="shared" si="6"/>
        <v>0.95703125</v>
      </c>
      <c r="R29" s="619">
        <f>Q36</f>
        <v>0.95368344127121918</v>
      </c>
      <c r="S29" s="31">
        <v>8.3333333333333329E-2</v>
      </c>
      <c r="T29" s="31">
        <v>0.17222222222222222</v>
      </c>
      <c r="U29" s="116"/>
      <c r="V29" s="122">
        <f t="shared" ref="V29:V35" si="25">(T29-S29)*24*60</f>
        <v>128</v>
      </c>
      <c r="W29" s="17">
        <f>T29</f>
        <v>0.17222222222222222</v>
      </c>
      <c r="X29" s="17">
        <f>S30</f>
        <v>0.19166666666666665</v>
      </c>
      <c r="Y29" s="17"/>
      <c r="Z29" s="17"/>
      <c r="AA29" s="610"/>
      <c r="AB29" s="610"/>
      <c r="AC29" s="19">
        <v>7</v>
      </c>
      <c r="AD29" s="19"/>
      <c r="AE29" s="15">
        <f t="shared" si="8"/>
        <v>-103.125</v>
      </c>
      <c r="AF29" s="117">
        <f t="shared" si="9"/>
        <v>0.95703125</v>
      </c>
      <c r="AG29" s="619">
        <f>AF36</f>
        <v>0.95368344127121929</v>
      </c>
    </row>
    <row r="30" spans="1:33" ht="15.75" customHeight="1">
      <c r="A30" s="636" t="s">
        <v>294</v>
      </c>
      <c r="B30" s="33" t="s">
        <v>27</v>
      </c>
      <c r="C30" s="635" t="s">
        <v>29</v>
      </c>
      <c r="D30" s="635"/>
      <c r="E30" s="33">
        <v>26.37</v>
      </c>
      <c r="F30" s="123">
        <v>6520</v>
      </c>
      <c r="G30" s="116">
        <f t="shared" si="23"/>
        <v>171932.4</v>
      </c>
      <c r="H30" s="29" t="s">
        <v>5</v>
      </c>
      <c r="I30" s="121">
        <v>18</v>
      </c>
      <c r="J30" s="30">
        <v>2400</v>
      </c>
      <c r="K30" s="13">
        <f t="shared" si="1"/>
        <v>133.33333333333334</v>
      </c>
      <c r="L30" s="121">
        <v>18</v>
      </c>
      <c r="M30" s="14">
        <f t="shared" si="24"/>
        <v>2287.719298245614</v>
      </c>
      <c r="N30" s="13">
        <f t="shared" si="3"/>
        <v>127.09551656920078</v>
      </c>
      <c r="O30" s="15">
        <f t="shared" si="4"/>
        <v>0</v>
      </c>
      <c r="P30" s="16">
        <f t="shared" si="5"/>
        <v>-6.2378167641325604</v>
      </c>
      <c r="Q30" s="117">
        <f t="shared" si="6"/>
        <v>0.95321637426900585</v>
      </c>
      <c r="R30" s="619"/>
      <c r="S30" s="31">
        <v>0.19166666666666665</v>
      </c>
      <c r="T30" s="31">
        <v>0.31041666666666667</v>
      </c>
      <c r="U30" s="116">
        <f t="shared" ref="U30:U35" si="26">(S30-T29)*24*60</f>
        <v>27.999999999999979</v>
      </c>
      <c r="V30" s="122">
        <f t="shared" si="25"/>
        <v>171.00000000000003</v>
      </c>
      <c r="W30" s="17"/>
      <c r="X30" s="17"/>
      <c r="Y30" s="17"/>
      <c r="Z30" s="17"/>
      <c r="AA30" s="610"/>
      <c r="AB30" s="610"/>
      <c r="AC30" s="19"/>
      <c r="AD30" s="19"/>
      <c r="AE30" s="15">
        <f t="shared" si="8"/>
        <v>-112.28070175438597</v>
      </c>
      <c r="AF30" s="117">
        <f t="shared" si="9"/>
        <v>0.95321637426900585</v>
      </c>
      <c r="AG30" s="619"/>
    </row>
    <row r="31" spans="1:33" ht="15.75" customHeight="1">
      <c r="A31" s="636" t="s">
        <v>294</v>
      </c>
      <c r="B31" s="33" t="s">
        <v>27</v>
      </c>
      <c r="C31" s="635" t="s">
        <v>34</v>
      </c>
      <c r="D31" s="635"/>
      <c r="E31" s="33">
        <v>24.43</v>
      </c>
      <c r="F31" s="123">
        <v>3800</v>
      </c>
      <c r="G31" s="116">
        <f t="shared" si="23"/>
        <v>92834</v>
      </c>
      <c r="H31" s="29">
        <v>2</v>
      </c>
      <c r="I31" s="121">
        <v>14</v>
      </c>
      <c r="J31" s="30">
        <v>2400</v>
      </c>
      <c r="K31" s="13">
        <f t="shared" si="1"/>
        <v>171.42857142857142</v>
      </c>
      <c r="L31" s="121">
        <v>14</v>
      </c>
      <c r="M31" s="14">
        <f t="shared" si="24"/>
        <v>2280.0000000000009</v>
      </c>
      <c r="N31" s="13">
        <f t="shared" si="3"/>
        <v>162.85714285714292</v>
      </c>
      <c r="O31" s="15">
        <f t="shared" si="4"/>
        <v>0</v>
      </c>
      <c r="P31" s="16">
        <f t="shared" si="5"/>
        <v>-8.5714285714284983</v>
      </c>
      <c r="Q31" s="117">
        <f t="shared" si="6"/>
        <v>0.9500000000000004</v>
      </c>
      <c r="R31" s="619"/>
      <c r="S31" s="31">
        <v>0.31458333333333333</v>
      </c>
      <c r="T31" s="31">
        <v>0.38402777777777775</v>
      </c>
      <c r="U31" s="116">
        <f t="shared" si="26"/>
        <v>5.9999999999999787</v>
      </c>
      <c r="V31" s="122">
        <f t="shared" si="25"/>
        <v>99.999999999999972</v>
      </c>
      <c r="W31" s="17"/>
      <c r="X31" s="17"/>
      <c r="Y31" s="17"/>
      <c r="Z31" s="17"/>
      <c r="AA31" s="610"/>
      <c r="AB31" s="610"/>
      <c r="AC31" s="19"/>
      <c r="AD31" s="19"/>
      <c r="AE31" s="15">
        <f t="shared" si="8"/>
        <v>-119.99999999999909</v>
      </c>
      <c r="AF31" s="117">
        <f t="shared" si="9"/>
        <v>0.9500000000000004</v>
      </c>
      <c r="AG31" s="619"/>
    </row>
    <row r="32" spans="1:33" ht="15.75" customHeight="1">
      <c r="A32" s="636" t="s">
        <v>294</v>
      </c>
      <c r="B32" s="33" t="s">
        <v>27</v>
      </c>
      <c r="C32" s="635" t="s">
        <v>35</v>
      </c>
      <c r="D32" s="635"/>
      <c r="E32" s="33">
        <v>34.1</v>
      </c>
      <c r="F32" s="123">
        <v>3400</v>
      </c>
      <c r="G32" s="116">
        <f t="shared" si="23"/>
        <v>115940</v>
      </c>
      <c r="H32" s="29">
        <v>2</v>
      </c>
      <c r="I32" s="121">
        <v>17</v>
      </c>
      <c r="J32" s="30">
        <v>1600</v>
      </c>
      <c r="K32" s="13">
        <f t="shared" si="1"/>
        <v>94.117647058823536</v>
      </c>
      <c r="L32" s="121">
        <v>17</v>
      </c>
      <c r="M32" s="14">
        <f t="shared" si="24"/>
        <v>1522.3880597014925</v>
      </c>
      <c r="N32" s="13">
        <f t="shared" si="3"/>
        <v>89.552238805970148</v>
      </c>
      <c r="O32" s="15">
        <f t="shared" si="4"/>
        <v>0</v>
      </c>
      <c r="P32" s="16">
        <f t="shared" si="5"/>
        <v>-4.5654082528533877</v>
      </c>
      <c r="Q32" s="117">
        <f t="shared" si="6"/>
        <v>0.95149253731343275</v>
      </c>
      <c r="R32" s="619"/>
      <c r="S32" s="31">
        <v>0.3881944444444444</v>
      </c>
      <c r="T32" s="31">
        <v>0.48124999999999996</v>
      </c>
      <c r="U32" s="116">
        <f t="shared" si="26"/>
        <v>5.9999999999999787</v>
      </c>
      <c r="V32" s="122">
        <f t="shared" si="25"/>
        <v>134</v>
      </c>
      <c r="W32" s="17">
        <f>T32</f>
        <v>0.48124999999999996</v>
      </c>
      <c r="X32" s="17">
        <f>S33</f>
        <v>0.52013888888888882</v>
      </c>
      <c r="Y32" s="17"/>
      <c r="Z32" s="17"/>
      <c r="AA32" s="610"/>
      <c r="AB32" s="610"/>
      <c r="AC32" s="19"/>
      <c r="AD32" s="19"/>
      <c r="AE32" s="15">
        <f t="shared" si="8"/>
        <v>-77.611940298507534</v>
      </c>
      <c r="AF32" s="117">
        <f t="shared" si="9"/>
        <v>0.95149253731343275</v>
      </c>
      <c r="AG32" s="619"/>
    </row>
    <row r="33" spans="1:33" ht="15.75" customHeight="1">
      <c r="A33" s="636" t="s">
        <v>294</v>
      </c>
      <c r="B33" s="33" t="s">
        <v>27</v>
      </c>
      <c r="C33" s="635" t="s">
        <v>28</v>
      </c>
      <c r="D33" s="635"/>
      <c r="E33" s="33">
        <v>31.29</v>
      </c>
      <c r="F33" s="123">
        <v>3842</v>
      </c>
      <c r="G33" s="116">
        <f t="shared" si="23"/>
        <v>120216.18</v>
      </c>
      <c r="H33" s="29" t="s">
        <v>5</v>
      </c>
      <c r="I33" s="121">
        <v>18</v>
      </c>
      <c r="J33" s="30">
        <v>2400</v>
      </c>
      <c r="K33" s="13">
        <f t="shared" si="1"/>
        <v>133.33333333333334</v>
      </c>
      <c r="L33" s="121">
        <v>18</v>
      </c>
      <c r="M33" s="14">
        <f t="shared" si="24"/>
        <v>2282.3762376237632</v>
      </c>
      <c r="N33" s="13">
        <f t="shared" si="3"/>
        <v>126.79867986798685</v>
      </c>
      <c r="O33" s="15">
        <f t="shared" si="4"/>
        <v>0</v>
      </c>
      <c r="P33" s="16">
        <f t="shared" si="5"/>
        <v>-6.5346534653464943</v>
      </c>
      <c r="Q33" s="117">
        <f t="shared" si="6"/>
        <v>0.95099009900990128</v>
      </c>
      <c r="R33" s="619"/>
      <c r="S33" s="31">
        <v>0.52013888888888882</v>
      </c>
      <c r="T33" s="31">
        <v>0.59027777777777768</v>
      </c>
      <c r="U33" s="116">
        <f t="shared" si="26"/>
        <v>55.999999999999957</v>
      </c>
      <c r="V33" s="122">
        <f t="shared" si="25"/>
        <v>100.99999999999996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-117.62376237623675</v>
      </c>
      <c r="AF33" s="117">
        <f t="shared" si="9"/>
        <v>0.95099009900990139</v>
      </c>
      <c r="AG33" s="619"/>
    </row>
    <row r="34" spans="1:33" ht="15.75" customHeight="1">
      <c r="A34" s="636" t="s">
        <v>294</v>
      </c>
      <c r="B34" s="33" t="s">
        <v>27</v>
      </c>
      <c r="C34" s="635" t="s">
        <v>34</v>
      </c>
      <c r="D34" s="635"/>
      <c r="E34" s="33">
        <v>24.43</v>
      </c>
      <c r="F34" s="123">
        <v>3135</v>
      </c>
      <c r="G34" s="116">
        <f t="shared" si="23"/>
        <v>76588.05</v>
      </c>
      <c r="H34" s="29" t="s">
        <v>5</v>
      </c>
      <c r="I34" s="121">
        <v>14</v>
      </c>
      <c r="J34" s="30">
        <v>2400</v>
      </c>
      <c r="K34" s="13">
        <f t="shared" si="1"/>
        <v>171.42857142857142</v>
      </c>
      <c r="L34" s="121">
        <v>14</v>
      </c>
      <c r="M34" s="14">
        <f t="shared" si="24"/>
        <v>2293.9024390243894</v>
      </c>
      <c r="N34" s="13">
        <f t="shared" si="3"/>
        <v>163.85017421602782</v>
      </c>
      <c r="O34" s="15">
        <f t="shared" si="4"/>
        <v>0</v>
      </c>
      <c r="P34" s="16">
        <f t="shared" si="5"/>
        <v>-7.5783972125435923</v>
      </c>
      <c r="Q34" s="117">
        <f t="shared" si="6"/>
        <v>0.95579268292682906</v>
      </c>
      <c r="R34" s="619"/>
      <c r="S34" s="31">
        <v>0.59583333333333321</v>
      </c>
      <c r="T34" s="31">
        <v>0.65277777777777768</v>
      </c>
      <c r="U34" s="116">
        <f t="shared" si="26"/>
        <v>7.9999999999999716</v>
      </c>
      <c r="V34" s="122">
        <f t="shared" si="25"/>
        <v>82.000000000000028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-106.09756097561058</v>
      </c>
      <c r="AF34" s="117">
        <f t="shared" si="9"/>
        <v>0.95579268292682895</v>
      </c>
      <c r="AG34" s="619"/>
    </row>
    <row r="35" spans="1:33" ht="15.75" customHeight="1">
      <c r="A35" s="636" t="s">
        <v>294</v>
      </c>
      <c r="B35" s="33" t="s">
        <v>27</v>
      </c>
      <c r="C35" s="635" t="s">
        <v>35</v>
      </c>
      <c r="D35" s="635"/>
      <c r="E35" s="33">
        <v>34.1</v>
      </c>
      <c r="F35" s="123">
        <v>2810</v>
      </c>
      <c r="G35" s="116">
        <f t="shared" si="23"/>
        <v>95821</v>
      </c>
      <c r="H35" s="29" t="s">
        <v>5</v>
      </c>
      <c r="I35" s="121">
        <v>17</v>
      </c>
      <c r="J35" s="30">
        <v>1600</v>
      </c>
      <c r="K35" s="13">
        <f t="shared" si="1"/>
        <v>94.117647058823536</v>
      </c>
      <c r="L35" s="121">
        <v>17</v>
      </c>
      <c r="M35" s="14">
        <f t="shared" si="24"/>
        <v>1532.7272727272737</v>
      </c>
      <c r="N35" s="13">
        <f t="shared" si="3"/>
        <v>90.160427807486684</v>
      </c>
      <c r="O35" s="15">
        <f t="shared" si="4"/>
        <v>0</v>
      </c>
      <c r="P35" s="16">
        <f t="shared" si="5"/>
        <v>-3.957219251336852</v>
      </c>
      <c r="Q35" s="117">
        <f t="shared" si="6"/>
        <v>0.95795454545454595</v>
      </c>
      <c r="R35" s="619"/>
      <c r="S35" s="31">
        <v>0.65833333333333321</v>
      </c>
      <c r="T35" s="31">
        <v>0.73472222222222205</v>
      </c>
      <c r="U35" s="116">
        <f t="shared" si="26"/>
        <v>7.9999999999999716</v>
      </c>
      <c r="V35" s="122">
        <f t="shared" si="25"/>
        <v>109.99999999999993</v>
      </c>
      <c r="W35" s="17"/>
      <c r="X35" s="17"/>
      <c r="Y35" s="17"/>
      <c r="Z35" s="17"/>
      <c r="AA35" s="610"/>
      <c r="AB35" s="610"/>
      <c r="AC35" s="19"/>
      <c r="AD35" s="19"/>
      <c r="AE35" s="15">
        <f t="shared" si="8"/>
        <v>-67.272727272726343</v>
      </c>
      <c r="AF35" s="117">
        <f t="shared" si="9"/>
        <v>0.95795454545454606</v>
      </c>
      <c r="AG35" s="619"/>
    </row>
    <row r="36" spans="1:33" ht="15.75" customHeight="1">
      <c r="A36" s="636" t="s">
        <v>294</v>
      </c>
      <c r="B36" s="33" t="s">
        <v>292</v>
      </c>
      <c r="C36" s="620"/>
      <c r="D36" s="620"/>
      <c r="E36" s="118"/>
      <c r="F36" s="123"/>
      <c r="G36" s="116"/>
      <c r="H36" s="123"/>
      <c r="I36" s="23">
        <v>16.571428571428573</v>
      </c>
      <c r="J36" s="30">
        <v>2171.4285714285716</v>
      </c>
      <c r="K36" s="13">
        <f t="shared" si="1"/>
        <v>131.0344827586207</v>
      </c>
      <c r="L36" s="23">
        <v>16.571428571428573</v>
      </c>
      <c r="M36" s="14">
        <f>AVERAGE(M29:M35)</f>
        <v>2070.8554724746477</v>
      </c>
      <c r="N36" s="13">
        <f t="shared" si="3"/>
        <v>124.96541644243563</v>
      </c>
      <c r="O36" s="15">
        <f t="shared" si="4"/>
        <v>0</v>
      </c>
      <c r="P36" s="16">
        <f t="shared" si="5"/>
        <v>-6.0690663161850722</v>
      </c>
      <c r="Q36" s="117">
        <f t="shared" si="6"/>
        <v>0.95368344127121918</v>
      </c>
      <c r="R36" s="619"/>
      <c r="S36" s="31"/>
      <c r="T36" s="31"/>
      <c r="U36" s="116"/>
      <c r="V36" s="122"/>
      <c r="W36" s="116"/>
      <c r="X36" s="116"/>
      <c r="Y36" s="24">
        <f>SUM(Y29:Y35)</f>
        <v>0</v>
      </c>
      <c r="Z36" s="24">
        <f>SUM(Z29:Z35)</f>
        <v>0</v>
      </c>
      <c r="AA36" s="609"/>
      <c r="AB36" s="609"/>
      <c r="AC36" s="24">
        <v>7</v>
      </c>
      <c r="AD36" s="24">
        <f>SUM(AD29:AD35)</f>
        <v>0</v>
      </c>
      <c r="AE36" s="15">
        <f t="shared" si="8"/>
        <v>-100.57309895392382</v>
      </c>
      <c r="AF36" s="117">
        <f t="shared" si="9"/>
        <v>0.95368344127121929</v>
      </c>
      <c r="AG36" s="619"/>
    </row>
    <row r="37" spans="1:33" ht="15.75" customHeight="1">
      <c r="A37" s="633" t="s">
        <v>295</v>
      </c>
      <c r="B37" s="33" t="s">
        <v>27</v>
      </c>
      <c r="C37" s="611" t="s">
        <v>33</v>
      </c>
      <c r="D37" s="611"/>
      <c r="E37" s="33">
        <v>26.18</v>
      </c>
      <c r="F37" s="123">
        <v>6048</v>
      </c>
      <c r="G37" s="116">
        <f t="shared" ref="G37:G44" si="27">E37*F37</f>
        <v>158336.63999999998</v>
      </c>
      <c r="H37" s="29" t="s">
        <v>5</v>
      </c>
      <c r="I37" s="121">
        <v>20</v>
      </c>
      <c r="J37" s="30">
        <v>2400</v>
      </c>
      <c r="K37" s="13">
        <f t="shared" si="1"/>
        <v>120</v>
      </c>
      <c r="L37" s="121">
        <v>20</v>
      </c>
      <c r="M37" s="14">
        <f t="shared" ref="M37:M44" si="28">F37/V37*60</f>
        <v>2296.7088607594942</v>
      </c>
      <c r="N37" s="13">
        <f t="shared" si="3"/>
        <v>114.83544303797471</v>
      </c>
      <c r="O37" s="15">
        <f t="shared" si="4"/>
        <v>0</v>
      </c>
      <c r="P37" s="16">
        <f t="shared" si="5"/>
        <v>-5.1645569620252871</v>
      </c>
      <c r="Q37" s="117">
        <f t="shared" si="6"/>
        <v>0.95696202531645591</v>
      </c>
      <c r="R37" s="619">
        <f>Q45</f>
        <v>0.95637402949680173</v>
      </c>
      <c r="S37" s="31">
        <v>8.3333333333333329E-2</v>
      </c>
      <c r="T37" s="31">
        <v>0.19305555555555554</v>
      </c>
      <c r="U37" s="116"/>
      <c r="V37" s="122">
        <f t="shared" ref="V37:V44" si="29">(T37-S37)*24*60</f>
        <v>157.99999999999997</v>
      </c>
      <c r="W37" s="22">
        <f>T37</f>
        <v>0.19305555555555554</v>
      </c>
      <c r="X37" s="22">
        <f>S38</f>
        <v>0.21319444444444444</v>
      </c>
      <c r="Y37" s="22"/>
      <c r="Z37" s="22"/>
      <c r="AA37" s="610"/>
      <c r="AB37" s="610"/>
      <c r="AC37" s="19">
        <v>8</v>
      </c>
      <c r="AD37" s="19"/>
      <c r="AE37" s="15">
        <f t="shared" si="8"/>
        <v>-103.2911392405058</v>
      </c>
      <c r="AF37" s="117">
        <f t="shared" si="9"/>
        <v>0.95696202531645591</v>
      </c>
      <c r="AG37" s="619">
        <f>AF45</f>
        <v>0.95637402949680161</v>
      </c>
    </row>
    <row r="38" spans="1:33" ht="15.75" customHeight="1">
      <c r="A38" s="633" t="s">
        <v>295</v>
      </c>
      <c r="B38" s="33" t="s">
        <v>27</v>
      </c>
      <c r="C38" s="611" t="s">
        <v>55</v>
      </c>
      <c r="D38" s="611"/>
      <c r="E38" s="33">
        <v>23.89</v>
      </c>
      <c r="F38" s="123">
        <v>1183</v>
      </c>
      <c r="G38" s="116">
        <f t="shared" si="27"/>
        <v>28261.87</v>
      </c>
      <c r="H38" s="29" t="s">
        <v>5</v>
      </c>
      <c r="I38" s="121">
        <v>13</v>
      </c>
      <c r="J38" s="30">
        <v>2400</v>
      </c>
      <c r="K38" s="13">
        <f t="shared" si="1"/>
        <v>184.61538461538461</v>
      </c>
      <c r="L38" s="121">
        <v>13</v>
      </c>
      <c r="M38" s="14">
        <f t="shared" si="28"/>
        <v>2289.6774193548381</v>
      </c>
      <c r="N38" s="13">
        <f t="shared" si="3"/>
        <v>176.12903225806446</v>
      </c>
      <c r="O38" s="15">
        <f t="shared" si="4"/>
        <v>0</v>
      </c>
      <c r="P38" s="16">
        <f t="shared" si="5"/>
        <v>-8.4863523573201576</v>
      </c>
      <c r="Q38" s="117">
        <f t="shared" si="6"/>
        <v>0.95403225806451586</v>
      </c>
      <c r="R38" s="619"/>
      <c r="S38" s="31">
        <v>0.21319444444444444</v>
      </c>
      <c r="T38" s="31">
        <v>0.23472222222222222</v>
      </c>
      <c r="U38" s="116">
        <f t="shared" ref="U38:U44" si="30">(S38-T37)*24*60</f>
        <v>29.000000000000018</v>
      </c>
      <c r="V38" s="122">
        <f t="shared" si="29"/>
        <v>31.000000000000011</v>
      </c>
      <c r="W38" s="116"/>
      <c r="X38" s="116"/>
      <c r="Y38" s="116"/>
      <c r="Z38" s="116"/>
      <c r="AA38" s="610"/>
      <c r="AB38" s="610"/>
      <c r="AC38" s="19"/>
      <c r="AD38" s="19"/>
      <c r="AE38" s="15">
        <f t="shared" si="8"/>
        <v>-110.32258064516191</v>
      </c>
      <c r="AF38" s="117">
        <f t="shared" si="9"/>
        <v>0.95403225806451586</v>
      </c>
      <c r="AG38" s="619"/>
    </row>
    <row r="39" spans="1:33">
      <c r="A39" s="634" t="s">
        <v>295</v>
      </c>
      <c r="B39" s="33" t="s">
        <v>27</v>
      </c>
      <c r="C39" s="611" t="s">
        <v>30</v>
      </c>
      <c r="D39" s="611"/>
      <c r="E39" s="33">
        <v>26.18</v>
      </c>
      <c r="F39" s="123">
        <v>4500</v>
      </c>
      <c r="G39" s="116">
        <f t="shared" si="27"/>
        <v>117810</v>
      </c>
      <c r="H39" s="29">
        <v>2</v>
      </c>
      <c r="I39" s="121">
        <v>18</v>
      </c>
      <c r="J39" s="30">
        <v>2400</v>
      </c>
      <c r="K39" s="13">
        <f t="shared" si="1"/>
        <v>133.33333333333334</v>
      </c>
      <c r="L39" s="121">
        <v>18</v>
      </c>
      <c r="M39" s="14">
        <f t="shared" si="28"/>
        <v>2288.1355932203387</v>
      </c>
      <c r="N39" s="13">
        <f t="shared" si="3"/>
        <v>127.11864406779659</v>
      </c>
      <c r="O39" s="15">
        <f t="shared" si="4"/>
        <v>0</v>
      </c>
      <c r="P39" s="16">
        <f t="shared" si="5"/>
        <v>-6.2146892655367481</v>
      </c>
      <c r="Q39" s="117">
        <f t="shared" si="6"/>
        <v>0.95338983050847437</v>
      </c>
      <c r="R39" s="619"/>
      <c r="S39" s="31">
        <v>0.2388888888888889</v>
      </c>
      <c r="T39" s="31">
        <v>0.32083333333333336</v>
      </c>
      <c r="U39" s="116">
        <f t="shared" si="30"/>
        <v>6.0000000000000187</v>
      </c>
      <c r="V39" s="122">
        <f t="shared" si="29"/>
        <v>118.00000000000001</v>
      </c>
      <c r="W39" s="116"/>
      <c r="X39" s="116"/>
      <c r="Y39" s="116"/>
      <c r="Z39" s="116"/>
      <c r="AA39" s="610"/>
      <c r="AB39" s="610"/>
      <c r="AC39" s="19"/>
      <c r="AD39" s="19"/>
      <c r="AE39" s="15">
        <f t="shared" si="8"/>
        <v>-111.86440677966129</v>
      </c>
      <c r="AF39" s="117">
        <f t="shared" si="9"/>
        <v>0.95338983050847448</v>
      </c>
      <c r="AG39" s="619"/>
    </row>
    <row r="40" spans="1:33">
      <c r="A40" s="634" t="s">
        <v>295</v>
      </c>
      <c r="B40" s="33" t="s">
        <v>27</v>
      </c>
      <c r="C40" s="611" t="s">
        <v>32</v>
      </c>
      <c r="D40" s="611"/>
      <c r="E40" s="33">
        <v>25.99</v>
      </c>
      <c r="F40" s="123">
        <v>3766</v>
      </c>
      <c r="G40" s="116">
        <f t="shared" si="27"/>
        <v>97878.34</v>
      </c>
      <c r="H40" s="29" t="s">
        <v>5</v>
      </c>
      <c r="I40" s="121">
        <v>14</v>
      </c>
      <c r="J40" s="30">
        <v>2400</v>
      </c>
      <c r="K40" s="13">
        <f t="shared" si="1"/>
        <v>171.42857142857142</v>
      </c>
      <c r="L40" s="121">
        <v>14</v>
      </c>
      <c r="M40" s="14">
        <f t="shared" si="28"/>
        <v>2305.7142857142862</v>
      </c>
      <c r="N40" s="13">
        <f t="shared" si="3"/>
        <v>164.69387755102045</v>
      </c>
      <c r="O40" s="15">
        <f t="shared" si="4"/>
        <v>0</v>
      </c>
      <c r="P40" s="16">
        <f t="shared" si="5"/>
        <v>-6.734693877550967</v>
      </c>
      <c r="Q40" s="117">
        <f t="shared" si="6"/>
        <v>0.96071428571428608</v>
      </c>
      <c r="R40" s="619"/>
      <c r="S40" s="31">
        <v>0.32500000000000001</v>
      </c>
      <c r="T40" s="31">
        <v>0.39305555555555555</v>
      </c>
      <c r="U40" s="116">
        <f t="shared" si="30"/>
        <v>5.9999999999999787</v>
      </c>
      <c r="V40" s="122">
        <f t="shared" si="29"/>
        <v>97.999999999999972</v>
      </c>
      <c r="W40" s="17"/>
      <c r="X40" s="17"/>
      <c r="Y40" s="17"/>
      <c r="Z40" s="17"/>
      <c r="AA40" s="610"/>
      <c r="AB40" s="610"/>
      <c r="AC40" s="19"/>
      <c r="AD40" s="19"/>
      <c r="AE40" s="15">
        <f t="shared" si="8"/>
        <v>-94.285714285713766</v>
      </c>
      <c r="AF40" s="117">
        <f t="shared" si="9"/>
        <v>0.96071428571428596</v>
      </c>
      <c r="AG40" s="619"/>
    </row>
    <row r="41" spans="1:33">
      <c r="A41" s="634" t="s">
        <v>295</v>
      </c>
      <c r="B41" s="33" t="s">
        <v>27</v>
      </c>
      <c r="C41" s="611" t="s">
        <v>52</v>
      </c>
      <c r="D41" s="611"/>
      <c r="E41" s="33">
        <v>25.98</v>
      </c>
      <c r="F41" s="123">
        <v>2237</v>
      </c>
      <c r="G41" s="116">
        <f t="shared" si="27"/>
        <v>58117.26</v>
      </c>
      <c r="H41" s="29" t="s">
        <v>5</v>
      </c>
      <c r="I41" s="121">
        <v>17</v>
      </c>
      <c r="J41" s="30">
        <v>2400</v>
      </c>
      <c r="K41" s="13">
        <f t="shared" si="1"/>
        <v>141.1764705882353</v>
      </c>
      <c r="L41" s="121">
        <v>17</v>
      </c>
      <c r="M41" s="14">
        <f t="shared" si="28"/>
        <v>2314.137931034481</v>
      </c>
      <c r="N41" s="13">
        <f t="shared" si="3"/>
        <v>136.12576064908711</v>
      </c>
      <c r="O41" s="15">
        <f t="shared" si="4"/>
        <v>0</v>
      </c>
      <c r="P41" s="16">
        <f t="shared" si="5"/>
        <v>-5.0507099391481916</v>
      </c>
      <c r="Q41" s="117">
        <f t="shared" si="6"/>
        <v>0.96422413793103368</v>
      </c>
      <c r="R41" s="619"/>
      <c r="S41" s="31">
        <v>0.39861111111111108</v>
      </c>
      <c r="T41" s="31">
        <v>0.43888888888888888</v>
      </c>
      <c r="U41" s="116">
        <f t="shared" si="30"/>
        <v>7.9999999999999716</v>
      </c>
      <c r="V41" s="122">
        <f t="shared" si="29"/>
        <v>58.000000000000036</v>
      </c>
      <c r="W41" s="17"/>
      <c r="X41" s="17"/>
      <c r="Y41" s="17"/>
      <c r="Z41" s="17"/>
      <c r="AA41" s="610"/>
      <c r="AB41" s="610"/>
      <c r="AC41" s="19"/>
      <c r="AD41" s="19"/>
      <c r="AE41" s="15">
        <f t="shared" si="8"/>
        <v>-85.862068965519029</v>
      </c>
      <c r="AF41" s="117">
        <f t="shared" si="9"/>
        <v>0.96422413793103379</v>
      </c>
      <c r="AG41" s="619"/>
    </row>
    <row r="42" spans="1:33">
      <c r="A42" s="634" t="s">
        <v>295</v>
      </c>
      <c r="B42" s="33" t="s">
        <v>27</v>
      </c>
      <c r="C42" s="611" t="s">
        <v>54</v>
      </c>
      <c r="D42" s="611"/>
      <c r="E42" s="33">
        <v>24.25</v>
      </c>
      <c r="F42" s="123">
        <v>2409</v>
      </c>
      <c r="G42" s="116">
        <f t="shared" si="27"/>
        <v>58418.25</v>
      </c>
      <c r="H42" s="29" t="s">
        <v>5</v>
      </c>
      <c r="I42" s="121">
        <v>16</v>
      </c>
      <c r="J42" s="30">
        <v>2400</v>
      </c>
      <c r="K42" s="13">
        <f t="shared" si="1"/>
        <v>150</v>
      </c>
      <c r="L42" s="121">
        <v>16</v>
      </c>
      <c r="M42" s="14">
        <f t="shared" si="28"/>
        <v>2294.2857142857138</v>
      </c>
      <c r="N42" s="13">
        <f t="shared" si="3"/>
        <v>143.39285714285711</v>
      </c>
      <c r="O42" s="15">
        <f t="shared" si="4"/>
        <v>0</v>
      </c>
      <c r="P42" s="16">
        <f t="shared" si="5"/>
        <v>-6.6071428571428896</v>
      </c>
      <c r="Q42" s="117">
        <f t="shared" si="6"/>
        <v>0.95595238095238078</v>
      </c>
      <c r="R42" s="619"/>
      <c r="S42" s="31">
        <v>0.44374999999999998</v>
      </c>
      <c r="T42" s="31">
        <v>0.48749999999999999</v>
      </c>
      <c r="U42" s="116">
        <f t="shared" si="30"/>
        <v>6.9999999999999751</v>
      </c>
      <c r="V42" s="122">
        <f t="shared" si="29"/>
        <v>63.000000000000014</v>
      </c>
      <c r="W42" s="17">
        <f>T42</f>
        <v>0.48749999999999999</v>
      </c>
      <c r="X42" s="17">
        <f>S43</f>
        <v>0.52638888888888891</v>
      </c>
      <c r="Y42" s="17"/>
      <c r="Z42" s="17"/>
      <c r="AA42" s="610"/>
      <c r="AB42" s="610"/>
      <c r="AC42" s="19"/>
      <c r="AD42" s="19"/>
      <c r="AE42" s="15">
        <f t="shared" si="8"/>
        <v>-105.71428571428623</v>
      </c>
      <c r="AF42" s="117">
        <f t="shared" si="9"/>
        <v>0.95595238095238078</v>
      </c>
      <c r="AG42" s="619"/>
    </row>
    <row r="43" spans="1:33">
      <c r="A43" s="634" t="s">
        <v>295</v>
      </c>
      <c r="B43" s="33" t="s">
        <v>27</v>
      </c>
      <c r="C43" s="611" t="s">
        <v>30</v>
      </c>
      <c r="D43" s="611"/>
      <c r="E43" s="33">
        <v>26.18</v>
      </c>
      <c r="F43" s="123">
        <v>3621</v>
      </c>
      <c r="G43" s="116">
        <f t="shared" si="27"/>
        <v>94797.78</v>
      </c>
      <c r="H43" s="29" t="s">
        <v>5</v>
      </c>
      <c r="I43" s="121">
        <v>18</v>
      </c>
      <c r="J43" s="30">
        <v>2400</v>
      </c>
      <c r="K43" s="13">
        <f t="shared" si="1"/>
        <v>133.33333333333334</v>
      </c>
      <c r="L43" s="121">
        <v>18</v>
      </c>
      <c r="M43" s="14">
        <f t="shared" si="28"/>
        <v>2286.9473684210529</v>
      </c>
      <c r="N43" s="13">
        <f t="shared" si="3"/>
        <v>127.05263157894738</v>
      </c>
      <c r="O43" s="15">
        <f t="shared" si="4"/>
        <v>0</v>
      </c>
      <c r="P43" s="16">
        <f t="shared" si="5"/>
        <v>-6.2807017543859587</v>
      </c>
      <c r="Q43" s="117">
        <f t="shared" si="6"/>
        <v>0.95289473684210535</v>
      </c>
      <c r="R43" s="619"/>
      <c r="S43" s="31">
        <v>0.52638888888888891</v>
      </c>
      <c r="T43" s="31">
        <v>0.59236111111111112</v>
      </c>
      <c r="U43" s="116">
        <f t="shared" si="30"/>
        <v>56.000000000000043</v>
      </c>
      <c r="V43" s="122">
        <f t="shared" si="29"/>
        <v>94.999999999999986</v>
      </c>
      <c r="W43" s="17"/>
      <c r="X43" s="17"/>
      <c r="Y43" s="20"/>
      <c r="Z43" s="20"/>
      <c r="AA43" s="614"/>
      <c r="AB43" s="615"/>
      <c r="AC43" s="19"/>
      <c r="AD43" s="19"/>
      <c r="AE43" s="15">
        <f t="shared" si="8"/>
        <v>-113.05263157894706</v>
      </c>
      <c r="AF43" s="117">
        <f t="shared" si="9"/>
        <v>0.95289473684210535</v>
      </c>
      <c r="AG43" s="619"/>
    </row>
    <row r="44" spans="1:33">
      <c r="A44" s="634" t="s">
        <v>295</v>
      </c>
      <c r="B44" s="33" t="s">
        <v>27</v>
      </c>
      <c r="C44" s="611" t="s">
        <v>50</v>
      </c>
      <c r="D44" s="611"/>
      <c r="E44" s="33">
        <v>19.02</v>
      </c>
      <c r="F44" s="123">
        <v>4726</v>
      </c>
      <c r="G44" s="116">
        <f t="shared" si="27"/>
        <v>89888.52</v>
      </c>
      <c r="H44" s="29" t="s">
        <v>5</v>
      </c>
      <c r="I44" s="121">
        <v>14</v>
      </c>
      <c r="J44" s="30">
        <v>2400</v>
      </c>
      <c r="K44" s="13">
        <f t="shared" si="1"/>
        <v>171.42857142857142</v>
      </c>
      <c r="L44" s="121">
        <v>14</v>
      </c>
      <c r="M44" s="14">
        <f t="shared" si="28"/>
        <v>2286.7741935483864</v>
      </c>
      <c r="N44" s="13">
        <f t="shared" si="3"/>
        <v>163.34101382488475</v>
      </c>
      <c r="O44" s="15">
        <f t="shared" si="4"/>
        <v>0</v>
      </c>
      <c r="P44" s="16">
        <f t="shared" si="5"/>
        <v>-8.0875576036866619</v>
      </c>
      <c r="Q44" s="117">
        <f t="shared" si="6"/>
        <v>0.95282258064516112</v>
      </c>
      <c r="R44" s="619"/>
      <c r="S44" s="31">
        <v>0.59791666666666665</v>
      </c>
      <c r="T44" s="31">
        <v>0.68402777777777779</v>
      </c>
      <c r="U44" s="116">
        <f t="shared" si="30"/>
        <v>7.9999999999999716</v>
      </c>
      <c r="V44" s="122">
        <f t="shared" si="29"/>
        <v>124.00000000000004</v>
      </c>
      <c r="W44" s="17"/>
      <c r="X44" s="17"/>
      <c r="Y44" s="20"/>
      <c r="Z44" s="20"/>
      <c r="AA44" s="614"/>
      <c r="AB44" s="615"/>
      <c r="AC44" s="19"/>
      <c r="AD44" s="19"/>
      <c r="AE44" s="15">
        <f t="shared" si="8"/>
        <v>-113.22580645161361</v>
      </c>
      <c r="AF44" s="117">
        <f t="shared" si="9"/>
        <v>0.95282258064516101</v>
      </c>
      <c r="AG44" s="619"/>
    </row>
    <row r="45" spans="1:33">
      <c r="A45" s="634" t="s">
        <v>295</v>
      </c>
      <c r="B45" s="34" t="s">
        <v>292</v>
      </c>
      <c r="C45" s="620"/>
      <c r="D45" s="620"/>
      <c r="E45" s="118"/>
      <c r="F45" s="34"/>
      <c r="G45" s="13"/>
      <c r="H45" s="123"/>
      <c r="I45" s="23">
        <v>16.25</v>
      </c>
      <c r="J45" s="30">
        <v>2400</v>
      </c>
      <c r="K45" s="13">
        <f t="shared" si="1"/>
        <v>147.69230769230768</v>
      </c>
      <c r="L45" s="23">
        <v>16.25</v>
      </c>
      <c r="M45" s="14">
        <f>AVERAGE(M37:M44)</f>
        <v>2295.297670792324</v>
      </c>
      <c r="N45" s="13">
        <f t="shared" si="3"/>
        <v>141.24908743337377</v>
      </c>
      <c r="O45" s="15">
        <f t="shared" si="4"/>
        <v>0</v>
      </c>
      <c r="P45" s="16">
        <f t="shared" si="5"/>
        <v>-6.4432202589339056</v>
      </c>
      <c r="Q45" s="117">
        <f t="shared" si="6"/>
        <v>0.95637402949680173</v>
      </c>
      <c r="R45" s="619"/>
      <c r="S45" s="31"/>
      <c r="T45" s="31"/>
      <c r="U45" s="13"/>
      <c r="V45" s="122"/>
      <c r="W45" s="13"/>
      <c r="X45" s="13"/>
      <c r="Y45" s="24">
        <f>SUM(Y37:Y44)</f>
        <v>0</v>
      </c>
      <c r="Z45" s="24">
        <f>SUM(Z37:Z44)</f>
        <v>0</v>
      </c>
      <c r="AA45" s="609"/>
      <c r="AB45" s="609"/>
      <c r="AC45" s="24">
        <v>8</v>
      </c>
      <c r="AD45" s="24">
        <f>SUM(AD37:AD44)</f>
        <v>0</v>
      </c>
      <c r="AE45" s="15">
        <f t="shared" si="8"/>
        <v>-104.70232920767603</v>
      </c>
      <c r="AF45" s="117">
        <f t="shared" si="9"/>
        <v>0.95637402949680161</v>
      </c>
      <c r="AG45" s="619"/>
    </row>
    <row r="46" spans="1:33" ht="15.75" customHeight="1">
      <c r="A46" s="630" t="s">
        <v>296</v>
      </c>
      <c r="B46" s="33" t="s">
        <v>36</v>
      </c>
      <c r="C46" s="612" t="s">
        <v>37</v>
      </c>
      <c r="D46" s="613"/>
      <c r="E46" s="33">
        <v>21.13</v>
      </c>
      <c r="F46" s="123">
        <v>5366</v>
      </c>
      <c r="G46" s="116">
        <f t="shared" ref="G46:G48" si="31">E46*F46</f>
        <v>113383.58</v>
      </c>
      <c r="H46" s="29" t="s">
        <v>5</v>
      </c>
      <c r="I46" s="121">
        <v>10</v>
      </c>
      <c r="J46" s="30">
        <v>3000</v>
      </c>
      <c r="K46" s="13">
        <f t="shared" si="1"/>
        <v>300</v>
      </c>
      <c r="L46" s="121">
        <v>10</v>
      </c>
      <c r="M46" s="14">
        <f t="shared" ref="M46:M48" si="32">F46/V46*60</f>
        <v>2874.6428571428582</v>
      </c>
      <c r="N46" s="14">
        <f t="shared" si="3"/>
        <v>287.46428571428584</v>
      </c>
      <c r="O46" s="15">
        <f t="shared" si="4"/>
        <v>0</v>
      </c>
      <c r="P46" s="16">
        <f t="shared" si="5"/>
        <v>-12.535714285714164</v>
      </c>
      <c r="Q46" s="117">
        <f t="shared" si="6"/>
        <v>0.95821428571428613</v>
      </c>
      <c r="R46" s="625">
        <f>Q49</f>
        <v>0.95601984419412589</v>
      </c>
      <c r="S46" s="31">
        <v>0.20833333333333334</v>
      </c>
      <c r="T46" s="31">
        <v>0.28611111111111109</v>
      </c>
      <c r="U46" s="22"/>
      <c r="V46" s="122">
        <f t="shared" ref="V46:V48" si="33">(T46-S46)*24*60</f>
        <v>111.99999999999996</v>
      </c>
      <c r="W46" s="17"/>
      <c r="X46" s="17"/>
      <c r="Y46" s="20"/>
      <c r="Z46" s="20"/>
      <c r="AA46" s="614"/>
      <c r="AB46" s="615"/>
      <c r="AC46" s="19">
        <v>3</v>
      </c>
      <c r="AD46" s="19"/>
      <c r="AE46" s="15">
        <f t="shared" si="8"/>
        <v>-125.35714285714175</v>
      </c>
      <c r="AF46" s="117">
        <f t="shared" si="9"/>
        <v>0.95821428571428613</v>
      </c>
      <c r="AG46" s="625">
        <f>AF49</f>
        <v>0.956019844194126</v>
      </c>
    </row>
    <row r="47" spans="1:33" ht="15.75" customHeight="1">
      <c r="A47" s="631" t="s">
        <v>296</v>
      </c>
      <c r="B47" s="33" t="s">
        <v>36</v>
      </c>
      <c r="C47" s="612" t="s">
        <v>38</v>
      </c>
      <c r="D47" s="613"/>
      <c r="E47" s="33">
        <v>27.17</v>
      </c>
      <c r="F47" s="123">
        <v>5640</v>
      </c>
      <c r="G47" s="116">
        <f t="shared" si="31"/>
        <v>153238.80000000002</v>
      </c>
      <c r="H47" s="29" t="s">
        <v>5</v>
      </c>
      <c r="I47" s="121">
        <v>10</v>
      </c>
      <c r="J47" s="30">
        <v>3000</v>
      </c>
      <c r="K47" s="13">
        <f t="shared" si="1"/>
        <v>300</v>
      </c>
      <c r="L47" s="121">
        <v>10</v>
      </c>
      <c r="M47" s="14">
        <f t="shared" si="32"/>
        <v>2867.7966101694919</v>
      </c>
      <c r="N47" s="14">
        <f t="shared" si="3"/>
        <v>286.77966101694921</v>
      </c>
      <c r="O47" s="15">
        <f t="shared" si="4"/>
        <v>0</v>
      </c>
      <c r="P47" s="16">
        <f t="shared" si="5"/>
        <v>-13.220338983050794</v>
      </c>
      <c r="Q47" s="117">
        <f t="shared" si="6"/>
        <v>0.95593220338983065</v>
      </c>
      <c r="R47" s="626"/>
      <c r="S47" s="31">
        <v>0.29166666666666663</v>
      </c>
      <c r="T47" s="31">
        <v>0.37361111111111106</v>
      </c>
      <c r="U47" s="116">
        <f t="shared" ref="U47:U48" si="34">(S47-T46)*24*60</f>
        <v>7.9999999999999716</v>
      </c>
      <c r="V47" s="122">
        <f t="shared" si="33"/>
        <v>117.99999999999999</v>
      </c>
      <c r="W47" s="17"/>
      <c r="X47" s="17"/>
      <c r="Y47" s="20"/>
      <c r="Z47" s="20"/>
      <c r="AA47" s="614"/>
      <c r="AB47" s="615"/>
      <c r="AC47" s="19"/>
      <c r="AD47" s="19"/>
      <c r="AE47" s="15">
        <f t="shared" si="8"/>
        <v>-132.20338983050806</v>
      </c>
      <c r="AF47" s="117">
        <f t="shared" si="9"/>
        <v>0.95593220338983065</v>
      </c>
      <c r="AG47" s="626"/>
    </row>
    <row r="48" spans="1:33" ht="15.75" customHeight="1">
      <c r="A48" s="631" t="s">
        <v>296</v>
      </c>
      <c r="B48" s="33" t="s">
        <v>36</v>
      </c>
      <c r="C48" s="612" t="s">
        <v>49</v>
      </c>
      <c r="D48" s="613"/>
      <c r="E48" s="33">
        <v>35.869999999999997</v>
      </c>
      <c r="F48" s="123">
        <v>3291</v>
      </c>
      <c r="G48" s="116">
        <f t="shared" si="31"/>
        <v>118048.17</v>
      </c>
      <c r="H48" s="29" t="s">
        <v>5</v>
      </c>
      <c r="I48" s="121">
        <v>10</v>
      </c>
      <c r="J48" s="30">
        <v>3000</v>
      </c>
      <c r="K48" s="13">
        <f t="shared" si="1"/>
        <v>300</v>
      </c>
      <c r="L48" s="121">
        <v>10</v>
      </c>
      <c r="M48" s="14">
        <f t="shared" si="32"/>
        <v>2861.739130434783</v>
      </c>
      <c r="N48" s="14">
        <f t="shared" si="3"/>
        <v>286.17391304347831</v>
      </c>
      <c r="O48" s="15">
        <f t="shared" si="4"/>
        <v>0</v>
      </c>
      <c r="P48" s="16">
        <f t="shared" si="5"/>
        <v>-13.826086956521692</v>
      </c>
      <c r="Q48" s="117">
        <f t="shared" si="6"/>
        <v>0.953913043478261</v>
      </c>
      <c r="R48" s="626"/>
      <c r="S48" s="31">
        <v>0.37847222222222215</v>
      </c>
      <c r="T48" s="31">
        <v>0.42638888888888882</v>
      </c>
      <c r="U48" s="116">
        <f t="shared" si="34"/>
        <v>6.9999999999999751</v>
      </c>
      <c r="V48" s="122">
        <f t="shared" si="33"/>
        <v>69</v>
      </c>
      <c r="W48" s="17"/>
      <c r="X48" s="17"/>
      <c r="Y48" s="20"/>
      <c r="Z48" s="20"/>
      <c r="AA48" s="614"/>
      <c r="AB48" s="615"/>
      <c r="AC48" s="19"/>
      <c r="AD48" s="19"/>
      <c r="AE48" s="15">
        <f t="shared" si="8"/>
        <v>-138.26086956521704</v>
      </c>
      <c r="AF48" s="117">
        <f t="shared" si="9"/>
        <v>0.953913043478261</v>
      </c>
      <c r="AG48" s="626"/>
    </row>
    <row r="49" spans="1:33" ht="15.75" customHeight="1">
      <c r="A49" s="632" t="s">
        <v>296</v>
      </c>
      <c r="B49" s="33" t="s">
        <v>292</v>
      </c>
      <c r="C49" s="607"/>
      <c r="D49" s="608"/>
      <c r="E49" s="114"/>
      <c r="F49" s="123"/>
      <c r="G49" s="116"/>
      <c r="H49" s="123"/>
      <c r="I49" s="23">
        <v>10</v>
      </c>
      <c r="J49" s="30">
        <v>3000</v>
      </c>
      <c r="K49" s="13">
        <f t="shared" si="1"/>
        <v>300</v>
      </c>
      <c r="L49" s="23">
        <v>10</v>
      </c>
      <c r="M49" s="14">
        <f>AVERAGE(M46:M48)</f>
        <v>2868.0595325823779</v>
      </c>
      <c r="N49" s="13">
        <f t="shared" si="3"/>
        <v>286.80595325823776</v>
      </c>
      <c r="O49" s="15">
        <f t="shared" si="4"/>
        <v>0</v>
      </c>
      <c r="P49" s="16">
        <f t="shared" si="5"/>
        <v>-13.194046741762236</v>
      </c>
      <c r="Q49" s="117">
        <f t="shared" si="6"/>
        <v>0.95601984419412589</v>
      </c>
      <c r="R49" s="627"/>
      <c r="S49" s="31"/>
      <c r="T49" s="31"/>
      <c r="U49" s="116"/>
      <c r="V49" s="122"/>
      <c r="W49" s="17"/>
      <c r="X49" s="17"/>
      <c r="Y49" s="24">
        <f>SUM(Y46:Y48)</f>
        <v>0</v>
      </c>
      <c r="Z49" s="24">
        <f>SUM(Z46:Z48)</f>
        <v>0</v>
      </c>
      <c r="AA49" s="628"/>
      <c r="AB49" s="629"/>
      <c r="AC49" s="24">
        <v>3</v>
      </c>
      <c r="AD49" s="24">
        <f>SUM(AD46:AD48)</f>
        <v>0</v>
      </c>
      <c r="AE49" s="15">
        <f t="shared" si="8"/>
        <v>-131.94046741762213</v>
      </c>
      <c r="AF49" s="117">
        <f t="shared" si="9"/>
        <v>0.956019844194126</v>
      </c>
      <c r="AG49" s="627"/>
    </row>
    <row r="50" spans="1:33" ht="15.75" customHeight="1">
      <c r="A50" s="623" t="s">
        <v>297</v>
      </c>
      <c r="B50" s="33" t="s">
        <v>6</v>
      </c>
      <c r="C50" s="611" t="s">
        <v>41</v>
      </c>
      <c r="D50" s="611"/>
      <c r="E50" s="33">
        <v>51.44</v>
      </c>
      <c r="F50" s="35">
        <v>1433</v>
      </c>
      <c r="G50" s="116">
        <f t="shared" ref="G50:G58" si="35">E50*F50</f>
        <v>73713.51999999999</v>
      </c>
      <c r="H50" s="29" t="s">
        <v>5</v>
      </c>
      <c r="I50" s="121">
        <v>25</v>
      </c>
      <c r="J50" s="30">
        <v>2000</v>
      </c>
      <c r="K50" s="13">
        <f t="shared" si="1"/>
        <v>80</v>
      </c>
      <c r="L50" s="121">
        <v>25</v>
      </c>
      <c r="M50" s="14">
        <f t="shared" ref="M50" si="36">F50/V50*60</f>
        <v>1910.6666666666667</v>
      </c>
      <c r="N50" s="14">
        <f t="shared" si="3"/>
        <v>76.426666666666677</v>
      </c>
      <c r="O50" s="15">
        <f t="shared" si="4"/>
        <v>0</v>
      </c>
      <c r="P50" s="16">
        <f t="shared" si="5"/>
        <v>-3.5733333333333235</v>
      </c>
      <c r="Q50" s="117">
        <f t="shared" si="6"/>
        <v>0.95533333333333348</v>
      </c>
      <c r="R50" s="619">
        <f>Q59</f>
        <v>0.95749898340375483</v>
      </c>
      <c r="S50" s="31">
        <v>0.20833333333333334</v>
      </c>
      <c r="T50" s="31">
        <v>0.23958333333333334</v>
      </c>
      <c r="U50" s="22"/>
      <c r="V50" s="122">
        <f t="shared" ref="V50:V58" si="37">(T50-S50)*24*60</f>
        <v>45</v>
      </c>
      <c r="W50" s="17"/>
      <c r="X50" s="17"/>
      <c r="Y50" s="22"/>
      <c r="Z50" s="22"/>
      <c r="AA50" s="610"/>
      <c r="AB50" s="610"/>
      <c r="AC50" s="19">
        <v>9</v>
      </c>
      <c r="AD50" s="19"/>
      <c r="AE50" s="15">
        <f t="shared" si="8"/>
        <v>-89.333333333333258</v>
      </c>
      <c r="AF50" s="117">
        <f t="shared" si="9"/>
        <v>0.95533333333333337</v>
      </c>
      <c r="AG50" s="619">
        <f>AF59</f>
        <v>0.95749898340375494</v>
      </c>
    </row>
    <row r="51" spans="1:33" ht="15.75" customHeight="1">
      <c r="A51" s="623" t="s">
        <v>297</v>
      </c>
      <c r="B51" s="33" t="s">
        <v>6</v>
      </c>
      <c r="C51" s="611" t="s">
        <v>77</v>
      </c>
      <c r="D51" s="611"/>
      <c r="E51" s="33">
        <v>56.43</v>
      </c>
      <c r="F51" s="35">
        <v>2198</v>
      </c>
      <c r="G51" s="116">
        <f t="shared" si="35"/>
        <v>124033.14</v>
      </c>
      <c r="H51" s="29" t="s">
        <v>5</v>
      </c>
      <c r="I51" s="121">
        <v>23</v>
      </c>
      <c r="J51" s="30">
        <v>2000</v>
      </c>
      <c r="K51" s="13">
        <f t="shared" si="1"/>
        <v>86.956521739130437</v>
      </c>
      <c r="L51" s="121">
        <v>23</v>
      </c>
      <c r="M51" s="14">
        <f>F51/V51*60</f>
        <v>1911.3043478260881</v>
      </c>
      <c r="N51" s="14">
        <f t="shared" si="3"/>
        <v>83.10018903591687</v>
      </c>
      <c r="O51" s="15">
        <f t="shared" si="4"/>
        <v>0</v>
      </c>
      <c r="P51" s="16">
        <f t="shared" si="5"/>
        <v>-3.8563327032135675</v>
      </c>
      <c r="Q51" s="117">
        <f t="shared" si="6"/>
        <v>0.95565217391304402</v>
      </c>
      <c r="R51" s="619"/>
      <c r="S51" s="31">
        <v>0.24305555555555555</v>
      </c>
      <c r="T51" s="31">
        <v>0.29097222222222219</v>
      </c>
      <c r="U51" s="116">
        <f t="shared" ref="U51:U58" si="38">IF(S51=TIME(17,0,0),"",(S51-T50)*24*60)</f>
        <v>4.9999999999999822</v>
      </c>
      <c r="V51" s="122">
        <f t="shared" si="37"/>
        <v>68.999999999999957</v>
      </c>
      <c r="W51" s="17"/>
      <c r="X51" s="17"/>
      <c r="Y51" s="17"/>
      <c r="Z51" s="17"/>
      <c r="AA51" s="610"/>
      <c r="AB51" s="610"/>
      <c r="AC51" s="19"/>
      <c r="AD51" s="19"/>
      <c r="AE51" s="15">
        <f t="shared" si="8"/>
        <v>-88.695652173911867</v>
      </c>
      <c r="AF51" s="117">
        <f t="shared" si="9"/>
        <v>0.95565217391304402</v>
      </c>
      <c r="AG51" s="619"/>
    </row>
    <row r="52" spans="1:33" ht="15.75" customHeight="1">
      <c r="A52" s="623" t="s">
        <v>297</v>
      </c>
      <c r="B52" s="33" t="s">
        <v>6</v>
      </c>
      <c r="C52" s="612" t="s">
        <v>73</v>
      </c>
      <c r="D52" s="613"/>
      <c r="E52" s="33">
        <v>56.43</v>
      </c>
      <c r="F52" s="35">
        <v>1817</v>
      </c>
      <c r="G52" s="116">
        <f t="shared" si="35"/>
        <v>102533.31</v>
      </c>
      <c r="H52" s="29" t="s">
        <v>5</v>
      </c>
      <c r="I52" s="121">
        <v>25</v>
      </c>
      <c r="J52" s="30">
        <v>2000</v>
      </c>
      <c r="K52" s="13">
        <f t="shared" si="1"/>
        <v>80</v>
      </c>
      <c r="L52" s="121">
        <v>25</v>
      </c>
      <c r="M52" s="14">
        <f t="shared" ref="M52:M58" si="39">F52/V52*60</f>
        <v>1912.6315789473699</v>
      </c>
      <c r="N52" s="14">
        <f t="shared" si="3"/>
        <v>76.505263157894802</v>
      </c>
      <c r="O52" s="15">
        <f t="shared" si="4"/>
        <v>0</v>
      </c>
      <c r="P52" s="16">
        <f t="shared" si="5"/>
        <v>-3.4947368421051976</v>
      </c>
      <c r="Q52" s="117">
        <f t="shared" si="6"/>
        <v>0.95631578947368501</v>
      </c>
      <c r="R52" s="619"/>
      <c r="S52" s="31">
        <v>0.29652777777777772</v>
      </c>
      <c r="T52" s="31">
        <v>0.33611111111111103</v>
      </c>
      <c r="U52" s="116">
        <f t="shared" si="38"/>
        <v>7.9999999999999716</v>
      </c>
      <c r="V52" s="122">
        <f t="shared" si="37"/>
        <v>56.999999999999957</v>
      </c>
      <c r="W52" s="17"/>
      <c r="X52" s="17"/>
      <c r="Y52" s="20"/>
      <c r="Z52" s="20"/>
      <c r="AA52" s="610"/>
      <c r="AB52" s="610"/>
      <c r="AC52" s="19"/>
      <c r="AD52" s="19"/>
      <c r="AE52" s="15">
        <f t="shared" si="8"/>
        <v>-87.368421052630083</v>
      </c>
      <c r="AF52" s="117">
        <f t="shared" si="9"/>
        <v>0.95631578947368501</v>
      </c>
      <c r="AG52" s="619"/>
    </row>
    <row r="53" spans="1:33" ht="15.75" customHeight="1">
      <c r="A53" s="623" t="s">
        <v>298</v>
      </c>
      <c r="B53" s="33" t="s">
        <v>10</v>
      </c>
      <c r="C53" s="110" t="s">
        <v>42</v>
      </c>
      <c r="D53" s="111"/>
      <c r="E53" s="33">
        <v>46</v>
      </c>
      <c r="F53" s="35">
        <v>1239</v>
      </c>
      <c r="G53" s="116">
        <f t="shared" si="35"/>
        <v>56994</v>
      </c>
      <c r="H53" s="29" t="s">
        <v>5</v>
      </c>
      <c r="I53" s="121">
        <v>16</v>
      </c>
      <c r="J53" s="30">
        <v>2000</v>
      </c>
      <c r="K53" s="13">
        <f t="shared" si="1"/>
        <v>125</v>
      </c>
      <c r="L53" s="121">
        <v>16</v>
      </c>
      <c r="M53" s="14">
        <f t="shared" si="39"/>
        <v>1906.1538461538451</v>
      </c>
      <c r="N53" s="14">
        <f t="shared" si="3"/>
        <v>119.13461538461532</v>
      </c>
      <c r="O53" s="15">
        <f t="shared" si="4"/>
        <v>0</v>
      </c>
      <c r="P53" s="16">
        <f t="shared" si="5"/>
        <v>-5.8653846153846843</v>
      </c>
      <c r="Q53" s="117">
        <f t="shared" si="6"/>
        <v>0.95307692307692249</v>
      </c>
      <c r="R53" s="619"/>
      <c r="S53" s="31">
        <v>0.34097222222222212</v>
      </c>
      <c r="T53" s="31">
        <v>0.36805555555555547</v>
      </c>
      <c r="U53" s="116">
        <f t="shared" si="38"/>
        <v>6.9999999999999751</v>
      </c>
      <c r="V53" s="122">
        <f t="shared" si="37"/>
        <v>39.000000000000021</v>
      </c>
      <c r="W53" s="17"/>
      <c r="X53" s="17"/>
      <c r="Y53" s="20"/>
      <c r="Z53" s="20"/>
      <c r="AA53" s="610"/>
      <c r="AB53" s="610"/>
      <c r="AC53" s="19"/>
      <c r="AD53" s="19"/>
      <c r="AE53" s="15">
        <f t="shared" si="8"/>
        <v>-93.846153846154948</v>
      </c>
      <c r="AF53" s="117">
        <f t="shared" si="9"/>
        <v>0.95307692307692249</v>
      </c>
      <c r="AG53" s="619"/>
    </row>
    <row r="54" spans="1:33" ht="15.75" customHeight="1">
      <c r="A54" s="623" t="s">
        <v>298</v>
      </c>
      <c r="B54" s="33" t="s">
        <v>10</v>
      </c>
      <c r="C54" s="110" t="s">
        <v>43</v>
      </c>
      <c r="D54" s="111"/>
      <c r="E54" s="33">
        <v>46</v>
      </c>
      <c r="F54" s="35">
        <v>1373</v>
      </c>
      <c r="G54" s="116">
        <f t="shared" si="35"/>
        <v>63158</v>
      </c>
      <c r="H54" s="29" t="s">
        <v>5</v>
      </c>
      <c r="I54" s="121">
        <v>17</v>
      </c>
      <c r="J54" s="30">
        <v>2000</v>
      </c>
      <c r="K54" s="13">
        <f t="shared" si="1"/>
        <v>117.64705882352941</v>
      </c>
      <c r="L54" s="121">
        <v>17</v>
      </c>
      <c r="M54" s="14">
        <f t="shared" si="39"/>
        <v>1915.8139534883717</v>
      </c>
      <c r="N54" s="14">
        <f t="shared" si="3"/>
        <v>112.69493844049245</v>
      </c>
      <c r="O54" s="15">
        <f t="shared" si="4"/>
        <v>0</v>
      </c>
      <c r="P54" s="16">
        <f t="shared" si="5"/>
        <v>-4.9521203830369558</v>
      </c>
      <c r="Q54" s="117">
        <f t="shared" si="6"/>
        <v>0.9579069767441859</v>
      </c>
      <c r="R54" s="619"/>
      <c r="S54" s="31">
        <v>0.37291666666666656</v>
      </c>
      <c r="T54" s="31">
        <v>0.40277777777777768</v>
      </c>
      <c r="U54" s="116">
        <f t="shared" si="38"/>
        <v>6.9999999999999751</v>
      </c>
      <c r="V54" s="122">
        <f t="shared" si="37"/>
        <v>43.000000000000007</v>
      </c>
      <c r="W54" s="17"/>
      <c r="X54" s="17"/>
      <c r="Y54" s="20"/>
      <c r="Z54" s="20"/>
      <c r="AA54" s="610"/>
      <c r="AB54" s="610"/>
      <c r="AC54" s="19"/>
      <c r="AD54" s="19"/>
      <c r="AE54" s="15">
        <f t="shared" si="8"/>
        <v>-84.186046511628319</v>
      </c>
      <c r="AF54" s="117">
        <f t="shared" si="9"/>
        <v>0.95790697674418579</v>
      </c>
      <c r="AG54" s="619"/>
    </row>
    <row r="55" spans="1:33" ht="15.75" customHeight="1">
      <c r="A55" s="623" t="s">
        <v>298</v>
      </c>
      <c r="B55" s="33" t="s">
        <v>6</v>
      </c>
      <c r="C55" s="612" t="s">
        <v>44</v>
      </c>
      <c r="D55" s="613"/>
      <c r="E55" s="33">
        <v>55.56</v>
      </c>
      <c r="F55" s="35">
        <v>2261</v>
      </c>
      <c r="G55" s="116">
        <f t="shared" si="35"/>
        <v>125621.16</v>
      </c>
      <c r="H55" s="29" t="s">
        <v>5</v>
      </c>
      <c r="I55" s="121">
        <v>17</v>
      </c>
      <c r="J55" s="30">
        <v>2000</v>
      </c>
      <c r="K55" s="13">
        <f t="shared" si="1"/>
        <v>117.64705882352941</v>
      </c>
      <c r="L55" s="121">
        <v>17</v>
      </c>
      <c r="M55" s="14">
        <f t="shared" si="39"/>
        <v>1910.7042253521108</v>
      </c>
      <c r="N55" s="14">
        <f t="shared" si="3"/>
        <v>112.39436619718299</v>
      </c>
      <c r="O55" s="15">
        <f t="shared" si="4"/>
        <v>0</v>
      </c>
      <c r="P55" s="16">
        <f t="shared" si="5"/>
        <v>-5.2526926263464162</v>
      </c>
      <c r="Q55" s="117">
        <f t="shared" si="6"/>
        <v>0.95535211267605546</v>
      </c>
      <c r="R55" s="619"/>
      <c r="S55" s="31">
        <v>0.70833333333333337</v>
      </c>
      <c r="T55" s="31">
        <v>0.75763888888888897</v>
      </c>
      <c r="U55" s="116" t="str">
        <f t="shared" si="38"/>
        <v/>
      </c>
      <c r="V55" s="122">
        <f t="shared" si="37"/>
        <v>71.000000000000071</v>
      </c>
      <c r="W55" s="17"/>
      <c r="X55" s="17"/>
      <c r="Y55" s="20"/>
      <c r="Z55" s="20"/>
      <c r="AA55" s="614"/>
      <c r="AB55" s="615"/>
      <c r="AC55" s="19"/>
      <c r="AD55" s="19"/>
      <c r="AE55" s="15">
        <f t="shared" si="8"/>
        <v>-89.295774647889175</v>
      </c>
      <c r="AF55" s="117">
        <f t="shared" si="9"/>
        <v>0.95535211267605546</v>
      </c>
      <c r="AG55" s="619"/>
    </row>
    <row r="56" spans="1:33" ht="15.75" customHeight="1">
      <c r="A56" s="623" t="s">
        <v>298</v>
      </c>
      <c r="B56" s="33" t="s">
        <v>6</v>
      </c>
      <c r="C56" s="612" t="s">
        <v>72</v>
      </c>
      <c r="D56" s="613"/>
      <c r="E56" s="33">
        <v>58.17</v>
      </c>
      <c r="F56" s="35">
        <v>2166</v>
      </c>
      <c r="G56" s="116">
        <f t="shared" si="35"/>
        <v>125996.22</v>
      </c>
      <c r="H56" s="29" t="s">
        <v>5</v>
      </c>
      <c r="I56" s="121">
        <v>13</v>
      </c>
      <c r="J56" s="30">
        <v>2000</v>
      </c>
      <c r="K56" s="13">
        <f t="shared" si="1"/>
        <v>153.84615384615384</v>
      </c>
      <c r="L56" s="121">
        <v>13</v>
      </c>
      <c r="M56" s="14">
        <f t="shared" si="39"/>
        <v>1911.1764705882379</v>
      </c>
      <c r="N56" s="14">
        <f t="shared" si="3"/>
        <v>147.01357466063368</v>
      </c>
      <c r="O56" s="15">
        <f t="shared" si="4"/>
        <v>0</v>
      </c>
      <c r="P56" s="16">
        <f t="shared" si="5"/>
        <v>-6.8325791855201601</v>
      </c>
      <c r="Q56" s="117">
        <f t="shared" si="6"/>
        <v>0.95558823529411896</v>
      </c>
      <c r="R56" s="619"/>
      <c r="S56" s="31">
        <v>0.76111111111111118</v>
      </c>
      <c r="T56" s="31">
        <v>0.80833333333333335</v>
      </c>
      <c r="U56" s="116">
        <f t="shared" si="38"/>
        <v>4.9999999999999822</v>
      </c>
      <c r="V56" s="122">
        <f t="shared" si="37"/>
        <v>67.999999999999915</v>
      </c>
      <c r="W56" s="17"/>
      <c r="X56" s="17"/>
      <c r="Y56" s="20"/>
      <c r="Z56" s="20"/>
      <c r="AA56" s="614"/>
      <c r="AB56" s="615"/>
      <c r="AC56" s="19"/>
      <c r="AD56" s="19"/>
      <c r="AE56" s="15">
        <f t="shared" si="8"/>
        <v>-88.823529411762138</v>
      </c>
      <c r="AF56" s="117">
        <f t="shared" si="9"/>
        <v>0.95558823529411896</v>
      </c>
      <c r="AG56" s="619"/>
    </row>
    <row r="57" spans="1:33" ht="15.75" customHeight="1">
      <c r="A57" s="623" t="s">
        <v>84</v>
      </c>
      <c r="B57" s="33" t="s">
        <v>6</v>
      </c>
      <c r="C57" s="612" t="s">
        <v>82</v>
      </c>
      <c r="D57" s="613"/>
      <c r="E57" s="33">
        <v>54.09</v>
      </c>
      <c r="F57" s="35">
        <v>1300</v>
      </c>
      <c r="G57" s="116">
        <f t="shared" si="35"/>
        <v>70317</v>
      </c>
      <c r="H57" s="29">
        <v>2</v>
      </c>
      <c r="I57" s="121">
        <v>14</v>
      </c>
      <c r="J57" s="30">
        <v>2000</v>
      </c>
      <c r="K57" s="13">
        <f t="shared" si="1"/>
        <v>142.85714285714286</v>
      </c>
      <c r="L57" s="121">
        <v>14</v>
      </c>
      <c r="M57" s="14">
        <f t="shared" si="39"/>
        <v>1949.9999999999991</v>
      </c>
      <c r="N57" s="14">
        <f t="shared" si="3"/>
        <v>139.28571428571422</v>
      </c>
      <c r="O57" s="15">
        <f t="shared" si="4"/>
        <v>0</v>
      </c>
      <c r="P57" s="16">
        <f t="shared" si="5"/>
        <v>-3.5714285714286405</v>
      </c>
      <c r="Q57" s="117">
        <f t="shared" si="6"/>
        <v>0.97499999999999953</v>
      </c>
      <c r="R57" s="619"/>
      <c r="S57" s="31">
        <v>0.81180555555555556</v>
      </c>
      <c r="T57" s="31">
        <v>0.83958333333333335</v>
      </c>
      <c r="U57" s="116">
        <f t="shared" si="38"/>
        <v>4.9999999999999822</v>
      </c>
      <c r="V57" s="122">
        <f t="shared" si="37"/>
        <v>40.000000000000014</v>
      </c>
      <c r="W57" s="17">
        <f>T57</f>
        <v>0.83958333333333335</v>
      </c>
      <c r="X57" s="17">
        <f>S58</f>
        <v>0.87916666666666665</v>
      </c>
      <c r="Y57" s="20"/>
      <c r="Z57" s="20"/>
      <c r="AA57" s="614"/>
      <c r="AB57" s="615"/>
      <c r="AC57" s="19"/>
      <c r="AD57" s="19"/>
      <c r="AE57" s="15">
        <f t="shared" si="8"/>
        <v>-50.000000000000909</v>
      </c>
      <c r="AF57" s="117">
        <f t="shared" si="9"/>
        <v>0.97499999999999953</v>
      </c>
      <c r="AG57" s="619"/>
    </row>
    <row r="58" spans="1:33">
      <c r="A58" s="623" t="s">
        <v>298</v>
      </c>
      <c r="B58" s="33" t="s">
        <v>6</v>
      </c>
      <c r="C58" s="110" t="s">
        <v>82</v>
      </c>
      <c r="D58" s="111"/>
      <c r="E58" s="33">
        <v>54.09</v>
      </c>
      <c r="F58" s="35">
        <v>3114</v>
      </c>
      <c r="G58" s="116">
        <f t="shared" si="35"/>
        <v>168436.26</v>
      </c>
      <c r="H58" s="29" t="s">
        <v>5</v>
      </c>
      <c r="I58" s="121">
        <v>14</v>
      </c>
      <c r="J58" s="30">
        <v>2000</v>
      </c>
      <c r="K58" s="13">
        <f t="shared" si="1"/>
        <v>142.85714285714286</v>
      </c>
      <c r="L58" s="121">
        <v>14</v>
      </c>
      <c r="M58" s="14">
        <f t="shared" si="39"/>
        <v>1906.5306122448985</v>
      </c>
      <c r="N58" s="14">
        <f t="shared" si="3"/>
        <v>136.18075801749276</v>
      </c>
      <c r="O58" s="15">
        <f t="shared" si="4"/>
        <v>0</v>
      </c>
      <c r="P58" s="16">
        <f t="shared" si="5"/>
        <v>-6.6763848396500975</v>
      </c>
      <c r="Q58" s="117">
        <f t="shared" si="6"/>
        <v>0.95326530612244931</v>
      </c>
      <c r="R58" s="619"/>
      <c r="S58" s="31">
        <v>0.87916666666666665</v>
      </c>
      <c r="T58" s="31">
        <v>0.94722222222222219</v>
      </c>
      <c r="U58" s="116">
        <f t="shared" si="38"/>
        <v>56.999999999999957</v>
      </c>
      <c r="V58" s="122">
        <f t="shared" si="37"/>
        <v>97.999999999999972</v>
      </c>
      <c r="W58" s="17"/>
      <c r="X58" s="17"/>
      <c r="Y58" s="20"/>
      <c r="Z58" s="20"/>
      <c r="AA58" s="112"/>
      <c r="AB58" s="113"/>
      <c r="AC58" s="19"/>
      <c r="AD58" s="19"/>
      <c r="AE58" s="15">
        <f t="shared" si="8"/>
        <v>-93.469387755101479</v>
      </c>
      <c r="AF58" s="117">
        <f t="shared" si="9"/>
        <v>0.95326530612244931</v>
      </c>
      <c r="AG58" s="619"/>
    </row>
    <row r="59" spans="1:33">
      <c r="A59" s="624" t="s">
        <v>298</v>
      </c>
      <c r="B59" s="33" t="s">
        <v>299</v>
      </c>
      <c r="C59" s="620"/>
      <c r="D59" s="620"/>
      <c r="E59" s="118"/>
      <c r="F59" s="34"/>
      <c r="G59" s="13"/>
      <c r="H59" s="123"/>
      <c r="I59" s="23">
        <v>18.222222222222221</v>
      </c>
      <c r="J59" s="30">
        <v>2000</v>
      </c>
      <c r="K59" s="13">
        <f t="shared" si="1"/>
        <v>109.75609756097562</v>
      </c>
      <c r="L59" s="23">
        <v>18.222222222222221</v>
      </c>
      <c r="M59" s="14">
        <f>AVERAGE(M50:M58)</f>
        <v>1914.9979668075098</v>
      </c>
      <c r="N59" s="13">
        <f t="shared" si="3"/>
        <v>105.09135183699749</v>
      </c>
      <c r="O59" s="15">
        <f t="shared" si="4"/>
        <v>0</v>
      </c>
      <c r="P59" s="16">
        <f t="shared" si="5"/>
        <v>-4.6647457239781289</v>
      </c>
      <c r="Q59" s="117">
        <f t="shared" si="6"/>
        <v>0.95749898340375483</v>
      </c>
      <c r="R59" s="619"/>
      <c r="S59" s="31"/>
      <c r="T59" s="31"/>
      <c r="U59" s="116"/>
      <c r="V59" s="122"/>
      <c r="W59" s="13"/>
      <c r="X59" s="13"/>
      <c r="Y59" s="24">
        <f>SUM(Y50:Y58)</f>
        <v>0</v>
      </c>
      <c r="Z59" s="24">
        <f>SUM(Z50:Z58)</f>
        <v>0</v>
      </c>
      <c r="AA59" s="609"/>
      <c r="AB59" s="609"/>
      <c r="AC59" s="24">
        <v>9</v>
      </c>
      <c r="AD59" s="24">
        <f>SUM(AD50:AD58)</f>
        <v>0</v>
      </c>
      <c r="AE59" s="15">
        <f>M59-J59</f>
        <v>-85.002033192490217</v>
      </c>
      <c r="AF59" s="117">
        <f t="shared" si="9"/>
        <v>0.95749898340375494</v>
      </c>
      <c r="AG59" s="619"/>
    </row>
    <row r="60" spans="1:33" ht="15.75" customHeight="1">
      <c r="A60" s="621" t="s">
        <v>199</v>
      </c>
      <c r="B60" s="123" t="s">
        <v>36</v>
      </c>
      <c r="C60" s="611" t="s">
        <v>46</v>
      </c>
      <c r="D60" s="611"/>
      <c r="E60" s="33">
        <v>35.119999999999997</v>
      </c>
      <c r="F60" s="35">
        <v>5413</v>
      </c>
      <c r="G60" s="116">
        <f t="shared" ref="G60:G64" si="40">E60*F60</f>
        <v>190104.56</v>
      </c>
      <c r="H60" s="29" t="s">
        <v>5</v>
      </c>
      <c r="I60" s="121">
        <v>10</v>
      </c>
      <c r="J60" s="30">
        <v>3000</v>
      </c>
      <c r="K60" s="13">
        <f t="shared" si="1"/>
        <v>300</v>
      </c>
      <c r="L60" s="121">
        <v>10</v>
      </c>
      <c r="M60" s="14">
        <f t="shared" ref="M60:M64" si="41">F60/V60*60</f>
        <v>2874.1592920353996</v>
      </c>
      <c r="N60" s="13">
        <f t="shared" si="3"/>
        <v>287.41592920353997</v>
      </c>
      <c r="O60" s="15">
        <f t="shared" si="4"/>
        <v>0</v>
      </c>
      <c r="P60" s="16">
        <f t="shared" si="5"/>
        <v>-12.584070796460026</v>
      </c>
      <c r="Q60" s="117">
        <f t="shared" si="6"/>
        <v>0.95805309734513322</v>
      </c>
      <c r="R60" s="619">
        <f>Q65</f>
        <v>0.97065777530410702</v>
      </c>
      <c r="S60" s="31">
        <v>0.20833333333333334</v>
      </c>
      <c r="T60" s="31">
        <v>0.28680555555555554</v>
      </c>
      <c r="U60" s="116"/>
      <c r="V60" s="122">
        <f t="shared" ref="V60:V64" si="42">(T60-S60)*24*60</f>
        <v>112.99999999999996</v>
      </c>
      <c r="W60" s="17"/>
      <c r="X60" s="17"/>
      <c r="Y60" s="22"/>
      <c r="Z60" s="22"/>
      <c r="AA60" s="610"/>
      <c r="AB60" s="610"/>
      <c r="AC60" s="19">
        <v>5</v>
      </c>
      <c r="AD60" s="19"/>
      <c r="AE60" s="15">
        <f t="shared" ref="AE60:AE75" si="43">M60-J60</f>
        <v>-125.84070796460037</v>
      </c>
      <c r="AF60" s="117">
        <f t="shared" si="9"/>
        <v>0.95805309734513322</v>
      </c>
      <c r="AG60" s="619">
        <f>AF65</f>
        <v>0.97065777530410713</v>
      </c>
    </row>
    <row r="61" spans="1:33" ht="15.75" customHeight="1">
      <c r="A61" s="621" t="s">
        <v>300</v>
      </c>
      <c r="B61" s="123" t="s">
        <v>36</v>
      </c>
      <c r="C61" s="611" t="s">
        <v>47</v>
      </c>
      <c r="D61" s="611"/>
      <c r="E61" s="33">
        <v>26.78</v>
      </c>
      <c r="F61" s="35">
        <v>2547</v>
      </c>
      <c r="G61" s="116">
        <f t="shared" si="40"/>
        <v>68208.66</v>
      </c>
      <c r="H61" s="29" t="s">
        <v>5</v>
      </c>
      <c r="I61" s="121">
        <v>10</v>
      </c>
      <c r="J61" s="30">
        <v>3000</v>
      </c>
      <c r="K61" s="13">
        <f t="shared" si="1"/>
        <v>300</v>
      </c>
      <c r="L61" s="121">
        <v>10</v>
      </c>
      <c r="M61" s="14">
        <f t="shared" si="41"/>
        <v>2883.396226415096</v>
      </c>
      <c r="N61" s="13">
        <f t="shared" si="3"/>
        <v>288.33962264150961</v>
      </c>
      <c r="O61" s="15">
        <f t="shared" si="4"/>
        <v>0</v>
      </c>
      <c r="P61" s="16">
        <f t="shared" si="5"/>
        <v>-11.660377358490393</v>
      </c>
      <c r="Q61" s="117">
        <f t="shared" si="6"/>
        <v>0.96113207547169865</v>
      </c>
      <c r="R61" s="619"/>
      <c r="S61" s="31">
        <v>0.29236111111111107</v>
      </c>
      <c r="T61" s="31">
        <v>0.32916666666666661</v>
      </c>
      <c r="U61" s="116">
        <f t="shared" ref="U61:U64" si="44">(S61-T60)*24*60</f>
        <v>7.9999999999999716</v>
      </c>
      <c r="V61" s="122">
        <f t="shared" si="42"/>
        <v>52.999999999999972</v>
      </c>
      <c r="W61" s="116"/>
      <c r="X61" s="116"/>
      <c r="Y61" s="116"/>
      <c r="Z61" s="116"/>
      <c r="AA61" s="610"/>
      <c r="AB61" s="610"/>
      <c r="AC61" s="19"/>
      <c r="AD61" s="19"/>
      <c r="AE61" s="15">
        <f t="shared" si="43"/>
        <v>-116.60377358490405</v>
      </c>
      <c r="AF61" s="117">
        <f t="shared" si="9"/>
        <v>0.96113207547169865</v>
      </c>
      <c r="AG61" s="619"/>
    </row>
    <row r="62" spans="1:33" ht="15.75" customHeight="1">
      <c r="A62" s="621" t="s">
        <v>300</v>
      </c>
      <c r="B62" s="123" t="s">
        <v>36</v>
      </c>
      <c r="C62" s="611" t="s">
        <v>48</v>
      </c>
      <c r="D62" s="611"/>
      <c r="E62" s="33">
        <v>36.14</v>
      </c>
      <c r="F62" s="35">
        <v>898</v>
      </c>
      <c r="G62" s="116">
        <f t="shared" si="40"/>
        <v>32453.72</v>
      </c>
      <c r="H62" s="29" t="s">
        <v>5</v>
      </c>
      <c r="I62" s="121">
        <v>11</v>
      </c>
      <c r="J62" s="30">
        <v>3000</v>
      </c>
      <c r="K62" s="13">
        <f t="shared" si="1"/>
        <v>272.72727272727275</v>
      </c>
      <c r="L62" s="121">
        <v>11</v>
      </c>
      <c r="M62" s="14">
        <f t="shared" si="41"/>
        <v>2993.3333333333312</v>
      </c>
      <c r="N62" s="13">
        <f t="shared" si="3"/>
        <v>272.12121212121195</v>
      </c>
      <c r="O62" s="15">
        <f t="shared" si="4"/>
        <v>0</v>
      </c>
      <c r="P62" s="16">
        <f t="shared" si="5"/>
        <v>-0.60606060606079382</v>
      </c>
      <c r="Q62" s="117">
        <f t="shared" si="6"/>
        <v>0.9977777777777771</v>
      </c>
      <c r="R62" s="619"/>
      <c r="S62" s="31">
        <v>0.33263888888888882</v>
      </c>
      <c r="T62" s="31">
        <v>0.34513888888888883</v>
      </c>
      <c r="U62" s="116">
        <f t="shared" si="44"/>
        <v>4.9999999999999822</v>
      </c>
      <c r="V62" s="122">
        <f t="shared" si="42"/>
        <v>18.000000000000014</v>
      </c>
      <c r="W62" s="116"/>
      <c r="X62" s="116"/>
      <c r="Y62" s="116"/>
      <c r="Z62" s="116"/>
      <c r="AA62" s="610"/>
      <c r="AB62" s="610"/>
      <c r="AC62" s="19"/>
      <c r="AD62" s="19"/>
      <c r="AE62" s="15">
        <f t="shared" si="43"/>
        <v>-6.6666666666687888</v>
      </c>
      <c r="AF62" s="117">
        <f t="shared" si="9"/>
        <v>0.9977777777777771</v>
      </c>
      <c r="AG62" s="619"/>
    </row>
    <row r="63" spans="1:33" ht="15.75" customHeight="1">
      <c r="A63" s="621" t="s">
        <v>300</v>
      </c>
      <c r="B63" s="123" t="s">
        <v>36</v>
      </c>
      <c r="C63" s="611" t="s">
        <v>39</v>
      </c>
      <c r="D63" s="611"/>
      <c r="E63" s="33">
        <v>35.869999999999997</v>
      </c>
      <c r="F63" s="35">
        <v>1322</v>
      </c>
      <c r="G63" s="116">
        <f t="shared" si="40"/>
        <v>47420.14</v>
      </c>
      <c r="H63" s="29" t="s">
        <v>5</v>
      </c>
      <c r="I63" s="121">
        <v>9</v>
      </c>
      <c r="J63" s="30">
        <v>3000</v>
      </c>
      <c r="K63" s="13">
        <f t="shared" si="1"/>
        <v>333.33333333333331</v>
      </c>
      <c r="L63" s="121">
        <v>9</v>
      </c>
      <c r="M63" s="14">
        <f t="shared" si="41"/>
        <v>2937.7777777777792</v>
      </c>
      <c r="N63" s="13">
        <f t="shared" si="3"/>
        <v>326.41975308641992</v>
      </c>
      <c r="O63" s="15">
        <f t="shared" si="4"/>
        <v>0</v>
      </c>
      <c r="P63" s="16">
        <f t="shared" si="5"/>
        <v>-6.9135802469133978</v>
      </c>
      <c r="Q63" s="117">
        <f t="shared" si="6"/>
        <v>0.97925925925925983</v>
      </c>
      <c r="R63" s="619"/>
      <c r="S63" s="31">
        <v>0.34999999999999992</v>
      </c>
      <c r="T63" s="31">
        <v>0.36874999999999991</v>
      </c>
      <c r="U63" s="116">
        <f t="shared" si="44"/>
        <v>6.9999999999999751</v>
      </c>
      <c r="V63" s="122">
        <f t="shared" si="42"/>
        <v>26.999999999999986</v>
      </c>
      <c r="W63" s="116"/>
      <c r="X63" s="116"/>
      <c r="Y63" s="116"/>
      <c r="Z63" s="116"/>
      <c r="AA63" s="610"/>
      <c r="AB63" s="610"/>
      <c r="AC63" s="19"/>
      <c r="AD63" s="19"/>
      <c r="AE63" s="15">
        <f t="shared" si="43"/>
        <v>-62.222222222220807</v>
      </c>
      <c r="AF63" s="117">
        <f t="shared" si="9"/>
        <v>0.97925925925925972</v>
      </c>
      <c r="AG63" s="619"/>
    </row>
    <row r="64" spans="1:33">
      <c r="A64" s="622" t="s">
        <v>300</v>
      </c>
      <c r="B64" s="123" t="s">
        <v>36</v>
      </c>
      <c r="C64" s="611" t="s">
        <v>74</v>
      </c>
      <c r="D64" s="611"/>
      <c r="E64" s="33">
        <v>33.770000000000003</v>
      </c>
      <c r="F64" s="35">
        <v>3589</v>
      </c>
      <c r="G64" s="116">
        <f t="shared" si="40"/>
        <v>121200.53000000001</v>
      </c>
      <c r="H64" s="29" t="s">
        <v>5</v>
      </c>
      <c r="I64" s="121">
        <v>12</v>
      </c>
      <c r="J64" s="30">
        <v>3000</v>
      </c>
      <c r="K64" s="13">
        <f t="shared" si="1"/>
        <v>250</v>
      </c>
      <c r="L64" s="121">
        <v>12</v>
      </c>
      <c r="M64" s="14">
        <f t="shared" si="41"/>
        <v>2871.2000000000012</v>
      </c>
      <c r="N64" s="13">
        <f t="shared" si="3"/>
        <v>239.26666666666677</v>
      </c>
      <c r="O64" s="15">
        <f t="shared" si="4"/>
        <v>0</v>
      </c>
      <c r="P64" s="16">
        <f t="shared" si="5"/>
        <v>-10.733333333333235</v>
      </c>
      <c r="Q64" s="117">
        <f t="shared" si="6"/>
        <v>0.95706666666666707</v>
      </c>
      <c r="R64" s="619"/>
      <c r="S64" s="31">
        <v>0.37361111111111101</v>
      </c>
      <c r="T64" s="31">
        <v>0.42569444444444432</v>
      </c>
      <c r="U64" s="116">
        <f t="shared" si="44"/>
        <v>6.9999999999999751</v>
      </c>
      <c r="V64" s="122">
        <f t="shared" si="42"/>
        <v>74.999999999999972</v>
      </c>
      <c r="W64" s="17"/>
      <c r="X64" s="17"/>
      <c r="Y64" s="17"/>
      <c r="Z64" s="17"/>
      <c r="AA64" s="610"/>
      <c r="AB64" s="610"/>
      <c r="AC64" s="19"/>
      <c r="AD64" s="19"/>
      <c r="AE64" s="15">
        <f t="shared" si="43"/>
        <v>-128.79999999999882</v>
      </c>
      <c r="AF64" s="117">
        <f t="shared" si="9"/>
        <v>0.95706666666666707</v>
      </c>
      <c r="AG64" s="619"/>
    </row>
    <row r="65" spans="1:33">
      <c r="A65" s="622" t="s">
        <v>300</v>
      </c>
      <c r="B65" s="33" t="s">
        <v>301</v>
      </c>
      <c r="C65" s="620"/>
      <c r="D65" s="620"/>
      <c r="E65" s="118"/>
      <c r="F65" s="34"/>
      <c r="G65" s="13"/>
      <c r="H65" s="123"/>
      <c r="I65" s="23">
        <v>10.4</v>
      </c>
      <c r="J65" s="30">
        <v>3000</v>
      </c>
      <c r="K65" s="13">
        <f t="shared" si="1"/>
        <v>288.46153846153845</v>
      </c>
      <c r="L65" s="23">
        <v>10.4</v>
      </c>
      <c r="M65" s="14">
        <f>AVERAGE(M60:M64)</f>
        <v>2911.9733259123213</v>
      </c>
      <c r="N65" s="13">
        <f t="shared" si="3"/>
        <v>279.99743518387703</v>
      </c>
      <c r="O65" s="15">
        <f t="shared" si="4"/>
        <v>0</v>
      </c>
      <c r="P65" s="16">
        <f t="shared" si="5"/>
        <v>-8.4641032776614225</v>
      </c>
      <c r="Q65" s="117">
        <f t="shared" si="6"/>
        <v>0.97065777530410702</v>
      </c>
      <c r="R65" s="619"/>
      <c r="S65" s="31"/>
      <c r="T65" s="31"/>
      <c r="U65" s="13"/>
      <c r="V65" s="122"/>
      <c r="W65" s="13"/>
      <c r="X65" s="13"/>
      <c r="Y65" s="24">
        <f>SUM(Y60:Y64)</f>
        <v>0</v>
      </c>
      <c r="Z65" s="24">
        <f>SUM(Z60:Z64)</f>
        <v>0</v>
      </c>
      <c r="AA65" s="609"/>
      <c r="AB65" s="609"/>
      <c r="AC65" s="24">
        <v>5</v>
      </c>
      <c r="AD65" s="24">
        <f>SUM(AD60:AD64)</f>
        <v>0</v>
      </c>
      <c r="AE65" s="15">
        <f t="shared" si="43"/>
        <v>-88.026674087678657</v>
      </c>
      <c r="AF65" s="117">
        <f t="shared" si="9"/>
        <v>0.97065777530410713</v>
      </c>
      <c r="AG65" s="619"/>
    </row>
    <row r="66" spans="1:33" ht="15.75" customHeight="1">
      <c r="A66" s="616" t="s">
        <v>302</v>
      </c>
      <c r="B66" s="123" t="s">
        <v>27</v>
      </c>
      <c r="C66" s="611" t="s">
        <v>50</v>
      </c>
      <c r="D66" s="611"/>
      <c r="E66" s="33">
        <v>19.02</v>
      </c>
      <c r="F66" s="123">
        <v>5600</v>
      </c>
      <c r="G66" s="116">
        <f t="shared" ref="G66:G74" si="45">E66*F66</f>
        <v>106512</v>
      </c>
      <c r="H66" s="29">
        <v>2</v>
      </c>
      <c r="I66" s="121">
        <v>14</v>
      </c>
      <c r="J66" s="30">
        <v>2400</v>
      </c>
      <c r="K66" s="13">
        <f t="shared" si="1"/>
        <v>171.42857142857142</v>
      </c>
      <c r="L66" s="121">
        <v>14</v>
      </c>
      <c r="M66" s="14">
        <f t="shared" ref="M66:M74" si="46">F66/V66*60</f>
        <v>2285.7142857142858</v>
      </c>
      <c r="N66" s="13">
        <f t="shared" si="3"/>
        <v>163.26530612244898</v>
      </c>
      <c r="O66" s="15">
        <f t="shared" si="4"/>
        <v>0</v>
      </c>
      <c r="P66" s="16">
        <f t="shared" si="5"/>
        <v>-8.1632653061224403</v>
      </c>
      <c r="Q66" s="117">
        <f t="shared" si="6"/>
        <v>0.95238095238095244</v>
      </c>
      <c r="R66" s="619">
        <f>Q75</f>
        <v>0.95687115545044377</v>
      </c>
      <c r="S66" s="31">
        <v>8.3333333333333329E-2</v>
      </c>
      <c r="T66" s="31">
        <v>0.18541666666666667</v>
      </c>
      <c r="U66" s="22"/>
      <c r="V66" s="122">
        <f t="shared" ref="V66:V74" si="47">(T66-S66)*24*60</f>
        <v>147</v>
      </c>
      <c r="W66" s="17">
        <f>T66</f>
        <v>0.18541666666666667</v>
      </c>
      <c r="X66" s="17">
        <f>S67</f>
        <v>0.20486111111111113</v>
      </c>
      <c r="Y66" s="17"/>
      <c r="Z66" s="17"/>
      <c r="AA66" s="610"/>
      <c r="AB66" s="610"/>
      <c r="AC66" s="19">
        <v>9</v>
      </c>
      <c r="AD66" s="19"/>
      <c r="AE66" s="15">
        <f t="shared" si="43"/>
        <v>-114.28571428571422</v>
      </c>
      <c r="AF66" s="117">
        <f t="shared" si="9"/>
        <v>0.95238095238095244</v>
      </c>
      <c r="AG66" s="619">
        <f>AF75</f>
        <v>0.95687115545044377</v>
      </c>
    </row>
    <row r="67" spans="1:33" ht="15.75" customHeight="1">
      <c r="A67" s="617" t="s">
        <v>303</v>
      </c>
      <c r="B67" s="123" t="s">
        <v>27</v>
      </c>
      <c r="C67" s="611" t="s">
        <v>51</v>
      </c>
      <c r="D67" s="611"/>
      <c r="E67" s="33">
        <v>20.36</v>
      </c>
      <c r="F67" s="123">
        <v>2500</v>
      </c>
      <c r="G67" s="116">
        <f t="shared" si="45"/>
        <v>50900</v>
      </c>
      <c r="H67" s="29">
        <v>2</v>
      </c>
      <c r="I67" s="121">
        <v>17</v>
      </c>
      <c r="J67" s="30">
        <v>2400</v>
      </c>
      <c r="K67" s="13">
        <f t="shared" si="1"/>
        <v>141.1764705882353</v>
      </c>
      <c r="L67" s="121">
        <v>17</v>
      </c>
      <c r="M67" s="14">
        <f t="shared" si="46"/>
        <v>2307.692307692309</v>
      </c>
      <c r="N67" s="13">
        <f t="shared" si="3"/>
        <v>135.74660633484172</v>
      </c>
      <c r="O67" s="15">
        <f t="shared" si="4"/>
        <v>0</v>
      </c>
      <c r="P67" s="16">
        <f t="shared" si="5"/>
        <v>-5.429864253393589</v>
      </c>
      <c r="Q67" s="117">
        <f t="shared" si="6"/>
        <v>0.96153846153846212</v>
      </c>
      <c r="R67" s="619"/>
      <c r="S67" s="31">
        <v>0.20486111111111113</v>
      </c>
      <c r="T67" s="31">
        <v>0.25</v>
      </c>
      <c r="U67" s="116">
        <f t="shared" ref="U67:U74" si="48">(S67-T66)*24*60</f>
        <v>28.000000000000021</v>
      </c>
      <c r="V67" s="122">
        <f t="shared" si="47"/>
        <v>64.999999999999972</v>
      </c>
      <c r="W67" s="17"/>
      <c r="X67" s="17"/>
      <c r="Y67" s="17"/>
      <c r="Z67" s="17"/>
      <c r="AA67" s="610"/>
      <c r="AB67" s="610"/>
      <c r="AC67" s="19"/>
      <c r="AD67" s="19"/>
      <c r="AE67" s="15">
        <f t="shared" si="43"/>
        <v>-92.307692307691013</v>
      </c>
      <c r="AF67" s="117">
        <f t="shared" si="9"/>
        <v>0.96153846153846212</v>
      </c>
      <c r="AG67" s="619"/>
    </row>
    <row r="68" spans="1:33" ht="15.75" customHeight="1">
      <c r="A68" s="617" t="s">
        <v>303</v>
      </c>
      <c r="B68" s="123" t="s">
        <v>27</v>
      </c>
      <c r="C68" s="611" t="s">
        <v>53</v>
      </c>
      <c r="D68" s="611"/>
      <c r="E68" s="33">
        <v>28.29</v>
      </c>
      <c r="F68" s="123">
        <v>3126</v>
      </c>
      <c r="G68" s="116">
        <f t="shared" si="45"/>
        <v>88434.54</v>
      </c>
      <c r="H68" s="29" t="s">
        <v>5</v>
      </c>
      <c r="I68" s="121">
        <v>19</v>
      </c>
      <c r="J68" s="30">
        <v>2400</v>
      </c>
      <c r="K68" s="13">
        <f t="shared" si="1"/>
        <v>126.31578947368421</v>
      </c>
      <c r="L68" s="121">
        <v>19</v>
      </c>
      <c r="M68" s="14">
        <f t="shared" si="46"/>
        <v>2287.317073170731</v>
      </c>
      <c r="N68" s="13">
        <f t="shared" si="3"/>
        <v>120.385109114249</v>
      </c>
      <c r="O68" s="15">
        <f t="shared" si="4"/>
        <v>0</v>
      </c>
      <c r="P68" s="16">
        <f t="shared" si="5"/>
        <v>-5.9306803594352004</v>
      </c>
      <c r="Q68" s="117">
        <f t="shared" si="6"/>
        <v>0.95304878048780461</v>
      </c>
      <c r="R68" s="619"/>
      <c r="S68" s="31">
        <v>0.25486111111111109</v>
      </c>
      <c r="T68" s="31">
        <v>0.31180555555555556</v>
      </c>
      <c r="U68" s="116">
        <f t="shared" si="48"/>
        <v>6.9999999999999751</v>
      </c>
      <c r="V68" s="122">
        <f t="shared" si="47"/>
        <v>82.000000000000028</v>
      </c>
      <c r="W68" s="17"/>
      <c r="X68" s="17"/>
      <c r="Y68" s="17"/>
      <c r="Z68" s="17"/>
      <c r="AA68" s="610"/>
      <c r="AB68" s="610"/>
      <c r="AC68" s="19"/>
      <c r="AD68" s="19"/>
      <c r="AE68" s="15">
        <f t="shared" si="43"/>
        <v>-112.68292682926904</v>
      </c>
      <c r="AF68" s="117">
        <f t="shared" si="9"/>
        <v>0.95304878048780461</v>
      </c>
      <c r="AG68" s="619"/>
    </row>
    <row r="69" spans="1:33" ht="15.75" customHeight="1">
      <c r="A69" s="617" t="s">
        <v>303</v>
      </c>
      <c r="B69" s="123" t="s">
        <v>27</v>
      </c>
      <c r="C69" s="611" t="s">
        <v>75</v>
      </c>
      <c r="D69" s="611"/>
      <c r="E69" s="33">
        <v>25.98</v>
      </c>
      <c r="F69" s="123">
        <v>2900</v>
      </c>
      <c r="G69" s="116">
        <f t="shared" si="45"/>
        <v>75342</v>
      </c>
      <c r="H69" s="29">
        <v>2</v>
      </c>
      <c r="I69" s="121">
        <v>19</v>
      </c>
      <c r="J69" s="30">
        <v>2400</v>
      </c>
      <c r="K69" s="13">
        <f t="shared" ref="K69:K75" si="49">J69/I69</f>
        <v>126.31578947368421</v>
      </c>
      <c r="L69" s="121">
        <v>19</v>
      </c>
      <c r="M69" s="14">
        <f t="shared" si="46"/>
        <v>2289.4736842105272</v>
      </c>
      <c r="N69" s="13">
        <f t="shared" ref="N69:N75" si="50">M69/L69</f>
        <v>120.4986149584488</v>
      </c>
      <c r="O69" s="15">
        <f t="shared" ref="O69:O75" si="51">L69-I69</f>
        <v>0</v>
      </c>
      <c r="P69" s="16">
        <f t="shared" ref="P69:P75" si="52">N69-K69</f>
        <v>-5.8171745152354077</v>
      </c>
      <c r="Q69" s="117">
        <f t="shared" ref="Q69:Q75" si="53">N69/K69</f>
        <v>0.95394736842105299</v>
      </c>
      <c r="R69" s="619"/>
      <c r="S69" s="31">
        <v>0.31527777777777777</v>
      </c>
      <c r="T69" s="31">
        <v>0.36805555555555552</v>
      </c>
      <c r="U69" s="116">
        <f t="shared" si="48"/>
        <v>4.9999999999999822</v>
      </c>
      <c r="V69" s="122">
        <f t="shared" si="47"/>
        <v>75.999999999999972</v>
      </c>
      <c r="W69" s="17"/>
      <c r="X69" s="17"/>
      <c r="Y69" s="17"/>
      <c r="Z69" s="17"/>
      <c r="AA69" s="610"/>
      <c r="AB69" s="610"/>
      <c r="AC69" s="19"/>
      <c r="AD69" s="19"/>
      <c r="AE69" s="15">
        <f t="shared" si="43"/>
        <v>-110.52631578947285</v>
      </c>
      <c r="AF69" s="117">
        <f t="shared" ref="AF69:AF75" si="54">M69/J69</f>
        <v>0.95394736842105299</v>
      </c>
      <c r="AG69" s="619"/>
    </row>
    <row r="70" spans="1:33" ht="15.75" customHeight="1">
      <c r="A70" s="617" t="s">
        <v>303</v>
      </c>
      <c r="B70" s="123" t="s">
        <v>27</v>
      </c>
      <c r="C70" s="611" t="s">
        <v>31</v>
      </c>
      <c r="D70" s="611"/>
      <c r="E70" s="33">
        <v>25.99</v>
      </c>
      <c r="F70" s="123">
        <v>1262</v>
      </c>
      <c r="G70" s="116">
        <f t="shared" si="45"/>
        <v>32799.379999999997</v>
      </c>
      <c r="H70" s="29" t="s">
        <v>5</v>
      </c>
      <c r="I70" s="121">
        <v>18</v>
      </c>
      <c r="J70" s="30">
        <v>2400</v>
      </c>
      <c r="K70" s="13">
        <f t="shared" si="49"/>
        <v>133.33333333333334</v>
      </c>
      <c r="L70" s="121">
        <v>18</v>
      </c>
      <c r="M70" s="14">
        <f t="shared" si="46"/>
        <v>2294.5454545454572</v>
      </c>
      <c r="N70" s="13">
        <f t="shared" si="50"/>
        <v>127.47474747474763</v>
      </c>
      <c r="O70" s="15">
        <f t="shared" si="51"/>
        <v>0</v>
      </c>
      <c r="P70" s="16">
        <f t="shared" si="52"/>
        <v>-5.8585858585857125</v>
      </c>
      <c r="Q70" s="117">
        <f t="shared" si="53"/>
        <v>0.95606060606060717</v>
      </c>
      <c r="R70" s="619"/>
      <c r="S70" s="31">
        <v>0.37361111111111106</v>
      </c>
      <c r="T70" s="31">
        <v>0.3965277777777777</v>
      </c>
      <c r="U70" s="116">
        <f t="shared" si="48"/>
        <v>7.9999999999999716</v>
      </c>
      <c r="V70" s="122">
        <f t="shared" si="47"/>
        <v>32.999999999999964</v>
      </c>
      <c r="W70" s="17"/>
      <c r="X70" s="17"/>
      <c r="Y70" s="17"/>
      <c r="Z70" s="17"/>
      <c r="AA70" s="610"/>
      <c r="AB70" s="610"/>
      <c r="AC70" s="19"/>
      <c r="AD70" s="19"/>
      <c r="AE70" s="15">
        <f t="shared" si="43"/>
        <v>-105.45454545454277</v>
      </c>
      <c r="AF70" s="117">
        <f t="shared" si="54"/>
        <v>0.95606060606060717</v>
      </c>
      <c r="AG70" s="619"/>
    </row>
    <row r="71" spans="1:33" ht="15.75" customHeight="1">
      <c r="A71" s="617" t="s">
        <v>303</v>
      </c>
      <c r="B71" s="123" t="s">
        <v>27</v>
      </c>
      <c r="C71" s="611" t="s">
        <v>197</v>
      </c>
      <c r="D71" s="611"/>
      <c r="E71" s="33">
        <v>23.89</v>
      </c>
      <c r="F71" s="123">
        <v>4300</v>
      </c>
      <c r="G71" s="116">
        <f t="shared" si="45"/>
        <v>102727</v>
      </c>
      <c r="H71" s="29">
        <v>2</v>
      </c>
      <c r="I71" s="121">
        <v>17</v>
      </c>
      <c r="J71" s="30">
        <v>2400</v>
      </c>
      <c r="K71" s="13">
        <f t="shared" si="49"/>
        <v>141.1764705882353</v>
      </c>
      <c r="L71" s="121">
        <v>17</v>
      </c>
      <c r="M71" s="14">
        <f t="shared" si="46"/>
        <v>2283.1858407079644</v>
      </c>
      <c r="N71" s="13">
        <f t="shared" si="50"/>
        <v>134.30504945340968</v>
      </c>
      <c r="O71" s="15">
        <f t="shared" si="51"/>
        <v>0</v>
      </c>
      <c r="P71" s="16">
        <f t="shared" si="52"/>
        <v>-6.8714211348256242</v>
      </c>
      <c r="Q71" s="117">
        <f t="shared" si="53"/>
        <v>0.95132743362831851</v>
      </c>
      <c r="R71" s="619"/>
      <c r="S71" s="31">
        <v>0.39999999999999991</v>
      </c>
      <c r="T71" s="31">
        <v>0.47847222222222213</v>
      </c>
      <c r="U71" s="116">
        <f t="shared" si="48"/>
        <v>4.9999999999999822</v>
      </c>
      <c r="V71" s="122">
        <f t="shared" si="47"/>
        <v>113</v>
      </c>
      <c r="W71" s="17">
        <f>T71</f>
        <v>0.47847222222222213</v>
      </c>
      <c r="X71" s="17">
        <f>S72</f>
        <v>0.51944444444444426</v>
      </c>
      <c r="Y71" s="17"/>
      <c r="Z71" s="17"/>
      <c r="AA71" s="610"/>
      <c r="AB71" s="610"/>
      <c r="AC71" s="19"/>
      <c r="AD71" s="19"/>
      <c r="AE71" s="15">
        <f t="shared" si="43"/>
        <v>-116.81415929203558</v>
      </c>
      <c r="AF71" s="117">
        <f t="shared" si="54"/>
        <v>0.95132743362831851</v>
      </c>
      <c r="AG71" s="619"/>
    </row>
    <row r="72" spans="1:33" ht="15.75" customHeight="1">
      <c r="A72" s="617" t="s">
        <v>303</v>
      </c>
      <c r="B72" s="123" t="s">
        <v>27</v>
      </c>
      <c r="C72" s="612" t="s">
        <v>51</v>
      </c>
      <c r="D72" s="613"/>
      <c r="E72" s="33">
        <v>20.36</v>
      </c>
      <c r="F72" s="123">
        <v>1909</v>
      </c>
      <c r="G72" s="116">
        <f t="shared" si="45"/>
        <v>38867.24</v>
      </c>
      <c r="H72" s="29" t="s">
        <v>5</v>
      </c>
      <c r="I72" s="121">
        <v>17</v>
      </c>
      <c r="J72" s="30">
        <v>2400</v>
      </c>
      <c r="K72" s="13">
        <f t="shared" si="49"/>
        <v>141.1764705882353</v>
      </c>
      <c r="L72" s="121">
        <v>17</v>
      </c>
      <c r="M72" s="14">
        <f t="shared" si="46"/>
        <v>2290.8000000000006</v>
      </c>
      <c r="N72" s="13">
        <f t="shared" si="50"/>
        <v>134.75294117647061</v>
      </c>
      <c r="O72" s="15">
        <f t="shared" si="51"/>
        <v>0</v>
      </c>
      <c r="P72" s="16">
        <f t="shared" si="52"/>
        <v>-6.4235294117646902</v>
      </c>
      <c r="Q72" s="117">
        <f t="shared" si="53"/>
        <v>0.95450000000000013</v>
      </c>
      <c r="R72" s="619"/>
      <c r="S72" s="31">
        <v>0.51944444444444426</v>
      </c>
      <c r="T72" s="31">
        <v>0.55416666666666647</v>
      </c>
      <c r="U72" s="116">
        <f t="shared" si="48"/>
        <v>58.999999999999872</v>
      </c>
      <c r="V72" s="122">
        <f t="shared" si="47"/>
        <v>49.999999999999986</v>
      </c>
      <c r="W72" s="17"/>
      <c r="X72" s="17"/>
      <c r="Y72" s="20"/>
      <c r="Z72" s="20"/>
      <c r="AA72" s="614"/>
      <c r="AB72" s="615"/>
      <c r="AC72" s="19"/>
      <c r="AD72" s="19"/>
      <c r="AE72" s="15">
        <f t="shared" si="43"/>
        <v>-109.19999999999936</v>
      </c>
      <c r="AF72" s="117">
        <f t="shared" si="54"/>
        <v>0.95450000000000024</v>
      </c>
      <c r="AG72" s="619"/>
    </row>
    <row r="73" spans="1:33" ht="15.75" customHeight="1">
      <c r="A73" s="617" t="s">
        <v>303</v>
      </c>
      <c r="B73" s="123" t="s">
        <v>27</v>
      </c>
      <c r="C73" s="612" t="s">
        <v>197</v>
      </c>
      <c r="D73" s="613"/>
      <c r="E73" s="33">
        <v>23.89</v>
      </c>
      <c r="F73" s="123">
        <v>3230</v>
      </c>
      <c r="G73" s="116">
        <f t="shared" si="45"/>
        <v>77164.7</v>
      </c>
      <c r="H73" s="29" t="s">
        <v>5</v>
      </c>
      <c r="I73" s="121">
        <v>17</v>
      </c>
      <c r="J73" s="30">
        <v>2400</v>
      </c>
      <c r="K73" s="13">
        <f t="shared" si="49"/>
        <v>141.1764705882353</v>
      </c>
      <c r="L73" s="121">
        <v>17</v>
      </c>
      <c r="M73" s="14">
        <f t="shared" si="46"/>
        <v>2307.1428571428564</v>
      </c>
      <c r="N73" s="13">
        <f t="shared" si="50"/>
        <v>135.71428571428567</v>
      </c>
      <c r="O73" s="15">
        <f t="shared" si="51"/>
        <v>0</v>
      </c>
      <c r="P73" s="16">
        <f t="shared" si="52"/>
        <v>-5.4621848739496386</v>
      </c>
      <c r="Q73" s="117">
        <f t="shared" si="53"/>
        <v>0.96130952380952339</v>
      </c>
      <c r="R73" s="619"/>
      <c r="S73" s="31">
        <v>0.55902777777777757</v>
      </c>
      <c r="T73" s="31">
        <v>0.61736111111111092</v>
      </c>
      <c r="U73" s="116">
        <f t="shared" si="48"/>
        <v>6.9999999999999751</v>
      </c>
      <c r="V73" s="122">
        <f t="shared" si="47"/>
        <v>84.000000000000028</v>
      </c>
      <c r="W73" s="17"/>
      <c r="X73" s="17"/>
      <c r="Y73" s="20"/>
      <c r="Z73" s="20"/>
      <c r="AA73" s="614"/>
      <c r="AB73" s="615"/>
      <c r="AC73" s="19"/>
      <c r="AD73" s="19"/>
      <c r="AE73" s="15">
        <f t="shared" si="43"/>
        <v>-92.857142857143572</v>
      </c>
      <c r="AF73" s="117">
        <f t="shared" si="54"/>
        <v>0.9613095238095235</v>
      </c>
      <c r="AG73" s="619"/>
    </row>
    <row r="74" spans="1:33" ht="15.75" customHeight="1">
      <c r="A74" s="617" t="s">
        <v>303</v>
      </c>
      <c r="B74" s="123" t="s">
        <v>27</v>
      </c>
      <c r="C74" s="612" t="s">
        <v>75</v>
      </c>
      <c r="D74" s="613"/>
      <c r="E74" s="33">
        <v>25.98</v>
      </c>
      <c r="F74" s="123">
        <v>2129</v>
      </c>
      <c r="G74" s="116">
        <f t="shared" si="45"/>
        <v>55311.42</v>
      </c>
      <c r="H74" s="29" t="s">
        <v>5</v>
      </c>
      <c r="I74" s="121">
        <v>19</v>
      </c>
      <c r="J74" s="30">
        <v>2400</v>
      </c>
      <c r="K74" s="13">
        <f t="shared" si="49"/>
        <v>126.31578947368421</v>
      </c>
      <c r="L74" s="121">
        <v>19</v>
      </c>
      <c r="M74" s="14">
        <f t="shared" si="46"/>
        <v>2322.5454545454559</v>
      </c>
      <c r="N74" s="13">
        <f t="shared" si="50"/>
        <v>122.23923444976083</v>
      </c>
      <c r="O74" s="15">
        <f t="shared" si="51"/>
        <v>0</v>
      </c>
      <c r="P74" s="16">
        <f t="shared" si="52"/>
        <v>-4.0765550239233761</v>
      </c>
      <c r="Q74" s="117">
        <f t="shared" si="53"/>
        <v>0.96772727272727332</v>
      </c>
      <c r="R74" s="619"/>
      <c r="S74" s="31">
        <v>0.62291666666666645</v>
      </c>
      <c r="T74" s="31">
        <v>0.66111111111111087</v>
      </c>
      <c r="U74" s="116">
        <f t="shared" si="48"/>
        <v>7.9999999999999716</v>
      </c>
      <c r="V74" s="122">
        <f t="shared" si="47"/>
        <v>54.999999999999964</v>
      </c>
      <c r="W74" s="17"/>
      <c r="X74" s="17"/>
      <c r="Y74" s="20"/>
      <c r="Z74" s="20"/>
      <c r="AA74" s="614"/>
      <c r="AB74" s="615"/>
      <c r="AC74" s="19"/>
      <c r="AD74" s="19"/>
      <c r="AE74" s="15">
        <f t="shared" si="43"/>
        <v>-77.454545454544132</v>
      </c>
      <c r="AF74" s="117">
        <f t="shared" si="54"/>
        <v>0.96772727272727332</v>
      </c>
      <c r="AG74" s="619"/>
    </row>
    <row r="75" spans="1:33" ht="16.5" customHeight="1">
      <c r="A75" s="618" t="s">
        <v>303</v>
      </c>
      <c r="B75" s="33" t="s">
        <v>304</v>
      </c>
      <c r="C75" s="607"/>
      <c r="D75" s="608"/>
      <c r="E75" s="118"/>
      <c r="F75" s="34"/>
      <c r="G75" s="13"/>
      <c r="H75" s="123"/>
      <c r="I75" s="23">
        <v>17.444444444444443</v>
      </c>
      <c r="J75" s="30">
        <v>2400</v>
      </c>
      <c r="K75" s="13">
        <f t="shared" si="49"/>
        <v>137.57961783439492</v>
      </c>
      <c r="L75" s="23">
        <v>17.444444444444443</v>
      </c>
      <c r="M75" s="14">
        <f>AVERAGE(M66:M74)</f>
        <v>2296.4907730810651</v>
      </c>
      <c r="N75" s="13">
        <f t="shared" si="50"/>
        <v>131.64596788362795</v>
      </c>
      <c r="O75" s="15">
        <f t="shared" si="51"/>
        <v>0</v>
      </c>
      <c r="P75" s="16">
        <f t="shared" si="52"/>
        <v>-5.9336499507669771</v>
      </c>
      <c r="Q75" s="117">
        <f t="shared" si="53"/>
        <v>0.95687115545044377</v>
      </c>
      <c r="R75" s="619"/>
      <c r="S75" s="31"/>
      <c r="T75" s="31"/>
      <c r="U75" s="13"/>
      <c r="V75" s="122"/>
      <c r="W75" s="13"/>
      <c r="X75" s="13"/>
      <c r="Y75" s="24">
        <f>SUM(Y66:Y74)</f>
        <v>0</v>
      </c>
      <c r="Z75" s="24">
        <f>SUM(Z66:Z74)</f>
        <v>0</v>
      </c>
      <c r="AA75" s="609"/>
      <c r="AB75" s="609"/>
      <c r="AC75" s="24">
        <v>9</v>
      </c>
      <c r="AD75" s="24">
        <f>SUM(AD66:AD74)</f>
        <v>0</v>
      </c>
      <c r="AE75" s="15">
        <f t="shared" si="43"/>
        <v>-103.50922691893493</v>
      </c>
      <c r="AF75" s="117">
        <f t="shared" si="54"/>
        <v>0.95687115545044377</v>
      </c>
      <c r="AG75" s="619"/>
    </row>
    <row r="76" spans="1:33">
      <c r="D76" s="25"/>
      <c r="E76" s="25"/>
    </row>
  </sheetData>
  <mergeCells count="197">
    <mergeCell ref="A66:A75"/>
    <mergeCell ref="C66:D66"/>
    <mergeCell ref="R66:R75"/>
    <mergeCell ref="AA66:AB66"/>
    <mergeCell ref="AG66:AG75"/>
    <mergeCell ref="C67:D67"/>
    <mergeCell ref="AA67:AB67"/>
    <mergeCell ref="C68:D68"/>
    <mergeCell ref="AA68:AB68"/>
    <mergeCell ref="C69:D69"/>
    <mergeCell ref="C73:D73"/>
    <mergeCell ref="AA73:AB73"/>
    <mergeCell ref="C74:D74"/>
    <mergeCell ref="AA74:AB74"/>
    <mergeCell ref="C75:D75"/>
    <mergeCell ref="AA75:AB75"/>
    <mergeCell ref="AA69:AB69"/>
    <mergeCell ref="C70:D70"/>
    <mergeCell ref="AA70:AB70"/>
    <mergeCell ref="C71:D71"/>
    <mergeCell ref="AA71:AB71"/>
    <mergeCell ref="C72:D72"/>
    <mergeCell ref="AA72:AB72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60:A65"/>
    <mergeCell ref="C60:D60"/>
    <mergeCell ref="R60:R65"/>
    <mergeCell ref="AA60:AB60"/>
    <mergeCell ref="AA65:AB65"/>
    <mergeCell ref="AA54:AB54"/>
    <mergeCell ref="C55:D55"/>
    <mergeCell ref="AA55:AB55"/>
    <mergeCell ref="C56:D56"/>
    <mergeCell ref="AA56:AB56"/>
    <mergeCell ref="C57:D57"/>
    <mergeCell ref="AA57:AB57"/>
    <mergeCell ref="A50:A59"/>
    <mergeCell ref="C50:D50"/>
    <mergeCell ref="R50:R59"/>
    <mergeCell ref="AA50:AB50"/>
    <mergeCell ref="AG50:AG59"/>
    <mergeCell ref="C51:D51"/>
    <mergeCell ref="AA51:AB51"/>
    <mergeCell ref="C52:D52"/>
    <mergeCell ref="AA52:AB52"/>
    <mergeCell ref="AA53:AB53"/>
    <mergeCell ref="AG46:AG49"/>
    <mergeCell ref="C47:D47"/>
    <mergeCell ref="AA47:AB47"/>
    <mergeCell ref="C48:D48"/>
    <mergeCell ref="AA48:AB48"/>
    <mergeCell ref="C49:D49"/>
    <mergeCell ref="AA49:AB49"/>
    <mergeCell ref="C59:D59"/>
    <mergeCell ref="AA59:AB59"/>
    <mergeCell ref="A46:A49"/>
    <mergeCell ref="C46:D46"/>
    <mergeCell ref="R46:R49"/>
    <mergeCell ref="AA46:AB46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37:A45"/>
    <mergeCell ref="C37:D37"/>
    <mergeCell ref="R37:R45"/>
    <mergeCell ref="AA37:AB37"/>
    <mergeCell ref="AA42:AB42"/>
    <mergeCell ref="C43:D43"/>
    <mergeCell ref="AA43:AB43"/>
    <mergeCell ref="C44:D44"/>
    <mergeCell ref="AA44:AB44"/>
    <mergeCell ref="C45:D45"/>
    <mergeCell ref="AA45:AB45"/>
    <mergeCell ref="A29:A36"/>
    <mergeCell ref="C29:D29"/>
    <mergeCell ref="R29:R36"/>
    <mergeCell ref="AA29:AB29"/>
    <mergeCell ref="AA34:AB34"/>
    <mergeCell ref="C35:D35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6:D36"/>
    <mergeCell ref="AA36:AB36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63:O71 O59:O60 O75 O5:O9 O12:O14 O20:O55">
    <cfRule type="cellIs" dxfId="245" priority="73" operator="greaterThan">
      <formula>0</formula>
    </cfRule>
  </conditionalFormatting>
  <conditionalFormatting sqref="P5:P7 P63:P64 AE63:AE64 P66:P71 P29:P35 P60 P9 P12:P14 P21:P27 P50:P55 P37:P48 AE5:AE60 AE66:AE75">
    <cfRule type="cellIs" dxfId="244" priority="77" operator="lessThan">
      <formula>0</formula>
    </cfRule>
  </conditionalFormatting>
  <conditionalFormatting sqref="AF63:AF64 Q63:Q71 Q59:Q60 Q75 Q5:Q9 Q12:Q14 Q20:Q55 AF5:AF60 AF66:AF75">
    <cfRule type="cellIs" dxfId="243" priority="74" operator="greaterThan">
      <formula>1</formula>
    </cfRule>
    <cfRule type="cellIs" dxfId="242" priority="75" operator="lessThan">
      <formula>0.8</formula>
    </cfRule>
  </conditionalFormatting>
  <conditionalFormatting sqref="AG13:AG14 R13:R14 AG63 R63:R71 R20:R26 AG20:AG26 AG59:AG60 R59:R60 R75 AG5:AG9 R5:R9 AG28:AG55 R28:R55">
    <cfRule type="cellIs" dxfId="241" priority="79" operator="lessThan">
      <formula>0.8</formula>
    </cfRule>
  </conditionalFormatting>
  <conditionalFormatting sqref="AG46">
    <cfRule type="cellIs" dxfId="240" priority="81" operator="lessThan">
      <formula>0.8</formula>
    </cfRule>
  </conditionalFormatting>
  <conditionalFormatting sqref="AG21:AG26">
    <cfRule type="cellIs" dxfId="239" priority="78" operator="lessThan">
      <formula>0.8</formula>
    </cfRule>
  </conditionalFormatting>
  <conditionalFormatting sqref="AG29">
    <cfRule type="cellIs" dxfId="238" priority="80" operator="lessThan">
      <formula>0.8</formula>
    </cfRule>
  </conditionalFormatting>
  <conditionalFormatting sqref="AG37:AG44">
    <cfRule type="cellIs" dxfId="237" priority="76" operator="lessThan">
      <formula>0.8</formula>
    </cfRule>
  </conditionalFormatting>
  <conditionalFormatting sqref="AE65">
    <cfRule type="cellIs" dxfId="236" priority="72" operator="lessThan">
      <formula>0</formula>
    </cfRule>
  </conditionalFormatting>
  <conditionalFormatting sqref="AF65">
    <cfRule type="cellIs" dxfId="235" priority="70" operator="greaterThan">
      <formula>1</formula>
    </cfRule>
    <cfRule type="cellIs" dxfId="234" priority="71" operator="lessThan">
      <formula>0.8</formula>
    </cfRule>
  </conditionalFormatting>
  <conditionalFormatting sqref="O15:O16">
    <cfRule type="cellIs" dxfId="233" priority="65" operator="greaterThan">
      <formula>0</formula>
    </cfRule>
  </conditionalFormatting>
  <conditionalFormatting sqref="P15:P16">
    <cfRule type="cellIs" dxfId="232" priority="68" operator="lessThan">
      <formula>0</formula>
    </cfRule>
  </conditionalFormatting>
  <conditionalFormatting sqref="Q15:Q16">
    <cfRule type="cellIs" dxfId="231" priority="66" operator="greaterThan">
      <formula>1</formula>
    </cfRule>
    <cfRule type="cellIs" dxfId="230" priority="67" operator="lessThan">
      <formula>0.8</formula>
    </cfRule>
  </conditionalFormatting>
  <conditionalFormatting sqref="R15:R16 AG15:AG16">
    <cfRule type="cellIs" dxfId="229" priority="69" operator="lessThan">
      <formula>0.8</formula>
    </cfRule>
  </conditionalFormatting>
  <conditionalFormatting sqref="O10:O11">
    <cfRule type="cellIs" dxfId="228" priority="61" operator="greaterThan">
      <formula>0</formula>
    </cfRule>
  </conditionalFormatting>
  <conditionalFormatting sqref="P10:P11">
    <cfRule type="cellIs" dxfId="227" priority="64" operator="lessThan">
      <formula>0</formula>
    </cfRule>
  </conditionalFormatting>
  <conditionalFormatting sqref="Q10:Q11">
    <cfRule type="cellIs" dxfId="226" priority="62" operator="greaterThan">
      <formula>1</formula>
    </cfRule>
    <cfRule type="cellIs" dxfId="225" priority="63" operator="lessThan">
      <formula>0.8</formula>
    </cfRule>
  </conditionalFormatting>
  <conditionalFormatting sqref="O56">
    <cfRule type="cellIs" dxfId="224" priority="56" operator="greaterThan">
      <formula>0</formula>
    </cfRule>
  </conditionalFormatting>
  <conditionalFormatting sqref="P56">
    <cfRule type="cellIs" dxfId="223" priority="59" operator="lessThan">
      <formula>0</formula>
    </cfRule>
  </conditionalFormatting>
  <conditionalFormatting sqref="Q56">
    <cfRule type="cellIs" dxfId="222" priority="57" operator="greaterThan">
      <formula>1</formula>
    </cfRule>
    <cfRule type="cellIs" dxfId="221" priority="58" operator="lessThan">
      <formula>0.8</formula>
    </cfRule>
  </conditionalFormatting>
  <conditionalFormatting sqref="R56 AG56">
    <cfRule type="cellIs" dxfId="220" priority="60" operator="lessThan">
      <formula>0.8</formula>
    </cfRule>
  </conditionalFormatting>
  <conditionalFormatting sqref="O62">
    <cfRule type="cellIs" dxfId="219" priority="51" operator="greaterThan">
      <formula>0</formula>
    </cfRule>
  </conditionalFormatting>
  <conditionalFormatting sqref="P62 AE62">
    <cfRule type="cellIs" dxfId="218" priority="54" operator="lessThan">
      <formula>0</formula>
    </cfRule>
  </conditionalFormatting>
  <conditionalFormatting sqref="Q62 AF62">
    <cfRule type="cellIs" dxfId="217" priority="52" operator="greaterThan">
      <formula>1</formula>
    </cfRule>
    <cfRule type="cellIs" dxfId="216" priority="53" operator="lessThan">
      <formula>0.8</formula>
    </cfRule>
  </conditionalFormatting>
  <conditionalFormatting sqref="R62 AG62">
    <cfRule type="cellIs" dxfId="215" priority="55" operator="lessThan">
      <formula>0.8</formula>
    </cfRule>
  </conditionalFormatting>
  <conditionalFormatting sqref="O72">
    <cfRule type="cellIs" dxfId="214" priority="46" operator="greaterThan">
      <formula>0</formula>
    </cfRule>
  </conditionalFormatting>
  <conditionalFormatting sqref="P72">
    <cfRule type="cellIs" dxfId="213" priority="49" operator="lessThan">
      <formula>0</formula>
    </cfRule>
  </conditionalFormatting>
  <conditionalFormatting sqref="Q72">
    <cfRule type="cellIs" dxfId="212" priority="47" operator="greaterThan">
      <formula>1</formula>
    </cfRule>
    <cfRule type="cellIs" dxfId="211" priority="48" operator="lessThan">
      <formula>0.8</formula>
    </cfRule>
  </conditionalFormatting>
  <conditionalFormatting sqref="R72">
    <cfRule type="cellIs" dxfId="210" priority="50" operator="lessThan">
      <formula>0.8</formula>
    </cfRule>
  </conditionalFormatting>
  <conditionalFormatting sqref="O17:O18">
    <cfRule type="cellIs" dxfId="209" priority="41" operator="greaterThan">
      <formula>0</formula>
    </cfRule>
  </conditionalFormatting>
  <conditionalFormatting sqref="P17:P18">
    <cfRule type="cellIs" dxfId="208" priority="44" operator="lessThan">
      <formula>0</formula>
    </cfRule>
  </conditionalFormatting>
  <conditionalFormatting sqref="Q17:Q18">
    <cfRule type="cellIs" dxfId="207" priority="42" operator="greaterThan">
      <formula>1</formula>
    </cfRule>
    <cfRule type="cellIs" dxfId="206" priority="43" operator="lessThan">
      <formula>0.8</formula>
    </cfRule>
  </conditionalFormatting>
  <conditionalFormatting sqref="R17:R18 AG17:AG18">
    <cfRule type="cellIs" dxfId="205" priority="45" operator="lessThan">
      <formula>0.8</formula>
    </cfRule>
  </conditionalFormatting>
  <conditionalFormatting sqref="O57">
    <cfRule type="cellIs" dxfId="204" priority="36" operator="greaterThan">
      <formula>0</formula>
    </cfRule>
  </conditionalFormatting>
  <conditionalFormatting sqref="P57">
    <cfRule type="cellIs" dxfId="203" priority="39" operator="lessThan">
      <formula>0</formula>
    </cfRule>
  </conditionalFormatting>
  <conditionalFormatting sqref="Q57">
    <cfRule type="cellIs" dxfId="202" priority="37" operator="greaterThan">
      <formula>1</formula>
    </cfRule>
    <cfRule type="cellIs" dxfId="201" priority="38" operator="lessThan">
      <formula>0.8</formula>
    </cfRule>
  </conditionalFormatting>
  <conditionalFormatting sqref="AG57 R57">
    <cfRule type="cellIs" dxfId="200" priority="40" operator="lessThan">
      <formula>0.8</formula>
    </cfRule>
  </conditionalFormatting>
  <conditionalFormatting sqref="R27 AG27">
    <cfRule type="cellIs" dxfId="199" priority="35" operator="lessThan">
      <formula>0.8</formula>
    </cfRule>
  </conditionalFormatting>
  <conditionalFormatting sqref="AG27">
    <cfRule type="cellIs" dxfId="198" priority="34" operator="lessThan">
      <formula>0.8</formula>
    </cfRule>
  </conditionalFormatting>
  <conditionalFormatting sqref="O61">
    <cfRule type="cellIs" dxfId="197" priority="29" operator="greaterThan">
      <formula>0</formula>
    </cfRule>
  </conditionalFormatting>
  <conditionalFormatting sqref="P61 AE61">
    <cfRule type="cellIs" dxfId="196" priority="32" operator="lessThan">
      <formula>0</formula>
    </cfRule>
  </conditionalFormatting>
  <conditionalFormatting sqref="Q61 AF61">
    <cfRule type="cellIs" dxfId="195" priority="30" operator="greaterThan">
      <formula>1</formula>
    </cfRule>
    <cfRule type="cellIs" dxfId="194" priority="31" operator="lessThan">
      <formula>0.8</formula>
    </cfRule>
  </conditionalFormatting>
  <conditionalFormatting sqref="R61 AG61">
    <cfRule type="cellIs" dxfId="193" priority="33" operator="lessThan">
      <formula>0.8</formula>
    </cfRule>
  </conditionalFormatting>
  <conditionalFormatting sqref="O19">
    <cfRule type="cellIs" dxfId="192" priority="24" operator="greaterThan">
      <formula>0</formula>
    </cfRule>
  </conditionalFormatting>
  <conditionalFormatting sqref="P19">
    <cfRule type="cellIs" dxfId="191" priority="27" operator="lessThan">
      <formula>0</formula>
    </cfRule>
  </conditionalFormatting>
  <conditionalFormatting sqref="Q19">
    <cfRule type="cellIs" dxfId="190" priority="25" operator="greaterThan">
      <formula>1</formula>
    </cfRule>
    <cfRule type="cellIs" dxfId="189" priority="26" operator="lessThan">
      <formula>0.8</formula>
    </cfRule>
  </conditionalFormatting>
  <conditionalFormatting sqref="AG19 R19">
    <cfRule type="cellIs" dxfId="188" priority="28" operator="lessThan">
      <formula>0.8</formula>
    </cfRule>
  </conditionalFormatting>
  <conditionalFormatting sqref="P8">
    <cfRule type="cellIs" dxfId="187" priority="23" operator="lessThan">
      <formula>0</formula>
    </cfRule>
  </conditionalFormatting>
  <conditionalFormatting sqref="P20">
    <cfRule type="cellIs" dxfId="186" priority="22" operator="lessThan">
      <formula>0</formula>
    </cfRule>
  </conditionalFormatting>
  <conditionalFormatting sqref="P28">
    <cfRule type="cellIs" dxfId="185" priority="21" operator="lessThan">
      <formula>0</formula>
    </cfRule>
  </conditionalFormatting>
  <conditionalFormatting sqref="P36">
    <cfRule type="cellIs" dxfId="184" priority="20" operator="lessThan">
      <formula>0</formula>
    </cfRule>
  </conditionalFormatting>
  <conditionalFormatting sqref="P49">
    <cfRule type="cellIs" dxfId="183" priority="19" operator="lessThan">
      <formula>0</formula>
    </cfRule>
  </conditionalFormatting>
  <conditionalFormatting sqref="P59">
    <cfRule type="cellIs" dxfId="182" priority="18" operator="lessThan">
      <formula>0</formula>
    </cfRule>
  </conditionalFormatting>
  <conditionalFormatting sqref="P65">
    <cfRule type="cellIs" dxfId="181" priority="17" operator="lessThan">
      <formula>0</formula>
    </cfRule>
  </conditionalFormatting>
  <conditionalFormatting sqref="P75">
    <cfRule type="cellIs" dxfId="180" priority="16" operator="lessThan">
      <formula>0</formula>
    </cfRule>
  </conditionalFormatting>
  <conditionalFormatting sqref="O73">
    <cfRule type="cellIs" dxfId="179" priority="11" operator="greaterThan">
      <formula>0</formula>
    </cfRule>
  </conditionalFormatting>
  <conditionalFormatting sqref="P73">
    <cfRule type="cellIs" dxfId="178" priority="14" operator="lessThan">
      <formula>0</formula>
    </cfRule>
  </conditionalFormatting>
  <conditionalFormatting sqref="Q73">
    <cfRule type="cellIs" dxfId="177" priority="12" operator="greaterThan">
      <formula>1</formula>
    </cfRule>
    <cfRule type="cellIs" dxfId="176" priority="13" operator="lessThan">
      <formula>0.8</formula>
    </cfRule>
  </conditionalFormatting>
  <conditionalFormatting sqref="R73">
    <cfRule type="cellIs" dxfId="175" priority="15" operator="lessThan">
      <formula>0.8</formula>
    </cfRule>
  </conditionalFormatting>
  <conditionalFormatting sqref="O74">
    <cfRule type="cellIs" dxfId="174" priority="6" operator="greaterThan">
      <formula>0</formula>
    </cfRule>
  </conditionalFormatting>
  <conditionalFormatting sqref="P74">
    <cfRule type="cellIs" dxfId="173" priority="9" operator="lessThan">
      <formula>0</formula>
    </cfRule>
  </conditionalFormatting>
  <conditionalFormatting sqref="Q74">
    <cfRule type="cellIs" dxfId="172" priority="7" operator="greaterThan">
      <formula>1</formula>
    </cfRule>
    <cfRule type="cellIs" dxfId="171" priority="8" operator="lessThan">
      <formula>0.8</formula>
    </cfRule>
  </conditionalFormatting>
  <conditionalFormatting sqref="R74">
    <cfRule type="cellIs" dxfId="170" priority="10" operator="lessThan">
      <formula>0.8</formula>
    </cfRule>
  </conditionalFormatting>
  <conditionalFormatting sqref="O58">
    <cfRule type="cellIs" dxfId="169" priority="1" operator="greaterThan">
      <formula>0</formula>
    </cfRule>
  </conditionalFormatting>
  <conditionalFormatting sqref="P58">
    <cfRule type="cellIs" dxfId="168" priority="4" operator="lessThan">
      <formula>0</formula>
    </cfRule>
  </conditionalFormatting>
  <conditionalFormatting sqref="Q58">
    <cfRule type="cellIs" dxfId="167" priority="2" operator="greaterThan">
      <formula>1</formula>
    </cfRule>
    <cfRule type="cellIs" dxfId="166" priority="3" operator="lessThan">
      <formula>0.8</formula>
    </cfRule>
  </conditionalFormatting>
  <conditionalFormatting sqref="AG58 R58">
    <cfRule type="cellIs" dxfId="165" priority="5" operator="lessThan">
      <formula>0.8</formula>
    </cfRule>
  </conditionalFormatting>
  <dataValidations count="1">
    <dataValidation type="list" allowBlank="1" showInputMessage="1" showErrorMessage="1" sqref="AB8 AA5:AB7 AB64 AA8:AA64 AB10:AB60 AA65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T6" sqref="T6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594" t="s">
        <v>86</v>
      </c>
      <c r="C1" s="594"/>
      <c r="D1" s="594"/>
      <c r="E1" s="594"/>
      <c r="F1" s="594"/>
      <c r="G1" s="594"/>
      <c r="H1" s="594"/>
      <c r="I1" s="594"/>
      <c r="J1" s="594"/>
      <c r="K1" s="36"/>
      <c r="L1" s="36"/>
      <c r="M1" s="36"/>
      <c r="N1" s="36"/>
      <c r="O1" s="36"/>
      <c r="P1" s="36"/>
    </row>
    <row r="2" spans="2:17" ht="27.75" customHeight="1">
      <c r="B2" s="595"/>
      <c r="C2" s="595"/>
      <c r="D2" s="595"/>
      <c r="E2" s="595"/>
      <c r="F2" s="595"/>
      <c r="G2" s="595"/>
      <c r="H2" s="595"/>
      <c r="I2" s="595"/>
      <c r="J2" s="595"/>
      <c r="K2" s="38"/>
      <c r="L2" s="38"/>
      <c r="M2" s="38"/>
      <c r="N2" s="36"/>
      <c r="O2" s="36"/>
      <c r="P2" s="36"/>
    </row>
    <row r="3" spans="2:17" ht="46.5" customHeight="1">
      <c r="B3" s="39" t="s">
        <v>87</v>
      </c>
      <c r="C3" s="596" t="str">
        <f>TEXT('0901 4度C'!A2,"yyyy.mm.ddaaaa")</f>
        <v>2026.09.01星期二</v>
      </c>
      <c r="D3" s="597"/>
      <c r="E3" s="39" t="s">
        <v>88</v>
      </c>
      <c r="F3" s="598">
        <f>'0901 4度C'!D1</f>
        <v>188394</v>
      </c>
      <c r="G3" s="599"/>
      <c r="H3" s="39" t="s">
        <v>89</v>
      </c>
      <c r="I3" s="600">
        <f>'0901 4度C'!F1</f>
        <v>6523011.7799999993</v>
      </c>
      <c r="J3" s="601"/>
      <c r="K3" s="40"/>
      <c r="L3" s="41"/>
      <c r="M3" s="42"/>
      <c r="N3" s="42"/>
    </row>
    <row r="4" spans="2:17" ht="28.5" customHeight="1">
      <c r="B4" s="602" t="s">
        <v>90</v>
      </c>
      <c r="C4" s="588" t="s">
        <v>91</v>
      </c>
      <c r="D4" s="589"/>
      <c r="E4" s="605" t="s">
        <v>92</v>
      </c>
      <c r="F4" s="606"/>
      <c r="G4" s="605" t="s">
        <v>93</v>
      </c>
      <c r="H4" s="606"/>
      <c r="I4" s="605" t="s">
        <v>94</v>
      </c>
      <c r="J4" s="606"/>
      <c r="K4" s="586" t="s">
        <v>95</v>
      </c>
      <c r="L4" s="587"/>
      <c r="M4" s="587" t="s">
        <v>96</v>
      </c>
      <c r="N4" s="587"/>
    </row>
    <row r="5" spans="2:17" ht="28.5" customHeight="1">
      <c r="B5" s="603"/>
      <c r="C5" s="588" t="s">
        <v>97</v>
      </c>
      <c r="D5" s="589"/>
      <c r="E5" s="588" t="s">
        <v>98</v>
      </c>
      <c r="F5" s="589"/>
      <c r="G5" s="590" t="s">
        <v>99</v>
      </c>
      <c r="H5" s="591"/>
      <c r="I5" s="592" t="s">
        <v>100</v>
      </c>
      <c r="J5" s="593"/>
      <c r="K5" s="43" t="s">
        <v>101</v>
      </c>
      <c r="L5" s="44" t="s">
        <v>102</v>
      </c>
      <c r="M5" s="43" t="s">
        <v>103</v>
      </c>
      <c r="N5" s="44" t="s">
        <v>104</v>
      </c>
    </row>
    <row r="6" spans="2:17" ht="28.5" customHeight="1">
      <c r="B6" s="603"/>
      <c r="C6" s="588" t="s">
        <v>56</v>
      </c>
      <c r="D6" s="589"/>
      <c r="E6" s="580">
        <f>AVERAGE(D13:M13)</f>
        <v>156.39301440892513</v>
      </c>
      <c r="F6" s="581">
        <f>AVERAGE(D31:O31,D13:J13)</f>
        <v>164.03928840217876</v>
      </c>
      <c r="G6" s="582">
        <f>AVERAGE(D13:J13)</f>
        <v>164.03928840217876</v>
      </c>
      <c r="H6" s="583"/>
      <c r="I6" s="582">
        <f>AVERAGE(K13:M13)</f>
        <v>138.55170842466669</v>
      </c>
      <c r="J6" s="583"/>
      <c r="K6" s="584">
        <f>'0901 4度C'!Y2</f>
        <v>0</v>
      </c>
      <c r="L6" s="569">
        <f>'0901 4度C'!Z2</f>
        <v>0</v>
      </c>
      <c r="M6" s="585">
        <f>'0901 4度C'!AC2</f>
        <v>64</v>
      </c>
      <c r="N6" s="569">
        <f>'0901 4度C'!AD2</f>
        <v>0</v>
      </c>
    </row>
    <row r="7" spans="2:17" ht="28.5" customHeight="1">
      <c r="B7" s="603"/>
      <c r="C7" s="570" t="s">
        <v>57</v>
      </c>
      <c r="D7" s="571"/>
      <c r="E7" s="572">
        <f>AVERAGE(D14:M14)</f>
        <v>149.95904609371843</v>
      </c>
      <c r="F7" s="573">
        <f>AVERAGE(D32:O32,D14:J14)</f>
        <v>157.41915912540978</v>
      </c>
      <c r="G7" s="574">
        <f>AVERAGE(D14:J14)</f>
        <v>157.41915912540978</v>
      </c>
      <c r="H7" s="575"/>
      <c r="I7" s="574">
        <f>AVERAGE(K14:M14)</f>
        <v>132.55211568643861</v>
      </c>
      <c r="J7" s="575"/>
      <c r="K7" s="584"/>
      <c r="L7" s="569"/>
      <c r="M7" s="585"/>
      <c r="N7" s="569"/>
    </row>
    <row r="8" spans="2:17" ht="28.5" customHeight="1">
      <c r="B8" s="604"/>
      <c r="C8" s="570" t="s">
        <v>58</v>
      </c>
      <c r="D8" s="571"/>
      <c r="E8" s="576">
        <f>AVERAGE(D15:M15)</f>
        <v>0.95846370134028303</v>
      </c>
      <c r="F8" s="577">
        <f>AVERAGE(D15:J15,D33:O33)</f>
        <v>0.95922999229831629</v>
      </c>
      <c r="G8" s="578">
        <f>AVERAGE(D15:J15)</f>
        <v>0.95922999229831629</v>
      </c>
      <c r="H8" s="579"/>
      <c r="I8" s="578">
        <f>AVERAGE(K15:M15)</f>
        <v>0.95667568910487188</v>
      </c>
      <c r="J8" s="579"/>
      <c r="K8" s="584"/>
      <c r="L8" s="569"/>
      <c r="M8" s="585"/>
      <c r="N8" s="569"/>
    </row>
    <row r="9" spans="2:17" ht="28.5" customHeight="1" thickBot="1">
      <c r="H9" s="46"/>
      <c r="K9" s="47" t="s">
        <v>105</v>
      </c>
      <c r="N9" s="42"/>
      <c r="O9" s="42"/>
      <c r="P9" s="42"/>
      <c r="Q9" s="42"/>
    </row>
    <row r="10" spans="2:17" ht="30" customHeight="1">
      <c r="B10" s="552" t="s">
        <v>106</v>
      </c>
      <c r="C10" s="553"/>
      <c r="D10" s="554" t="s">
        <v>107</v>
      </c>
      <c r="E10" s="555"/>
      <c r="F10" s="555"/>
      <c r="G10" s="555"/>
      <c r="H10" s="555"/>
      <c r="I10" s="555"/>
      <c r="J10" s="556"/>
      <c r="K10" s="557" t="s">
        <v>108</v>
      </c>
      <c r="L10" s="558"/>
      <c r="M10" s="559"/>
      <c r="P10" s="48"/>
      <c r="Q10" s="48"/>
    </row>
    <row r="11" spans="2:17" ht="17.25" customHeight="1">
      <c r="B11" s="560" t="s">
        <v>109</v>
      </c>
      <c r="C11" s="5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62"/>
      <c r="C12" s="5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64" t="s">
        <v>110</v>
      </c>
      <c r="C13" s="55" t="s">
        <v>111</v>
      </c>
      <c r="D13" s="56">
        <f>SUMIFS('0901 4度C'!$K:$K,'0901 4度C'!$A:$A,"新豐6線",'0901 4度C'!$B:$B,"平均")</f>
        <v>135.59322033898306</v>
      </c>
      <c r="E13" s="57">
        <f>SUMIFS('0901 4度C'!$K:$K,'0901 4度C'!$A:$A,"新豐2線",'0901 4度C'!$B:$B,"平均")</f>
        <v>81.818181818181827</v>
      </c>
      <c r="F13" s="58">
        <f>SUMIFS('0901 4度C'!$K:$K,'0901 4度C'!$A:$A,"新豐5線",'0901 4度C'!$B:$B,"平均")</f>
        <v>106.61764705882354</v>
      </c>
      <c r="G13" s="58">
        <f>SUMIFS('0901 4度C'!$K:$K,'0901 4度C'!$A:$A,"新豐7線",'0901 4度C'!$B:$B,"平均")</f>
        <v>128</v>
      </c>
      <c r="H13" s="58">
        <f>SUMIFS('0901 4度C'!$K:$K,'0901 4度C'!$A:$A,"新豐3線",'0901 4度C'!$B:$B,"平均")</f>
        <v>300</v>
      </c>
      <c r="I13" s="58">
        <f>SUMIFS('0901 4度C'!$K:$K,'0901 4度C'!$A:$A,"新豐1線",'0901 4度C'!$B:$B,"平均")</f>
        <v>107.78443113772454</v>
      </c>
      <c r="J13" s="59">
        <f>SUMIFS('0901 4度C'!$K:$K,'0901 4度C'!$A:$A,"新豐10線",'0901 4度C'!$B:$B,"平均")</f>
        <v>288.46153846153845</v>
      </c>
      <c r="K13" s="60">
        <f>SUMIFS('0901 4度C'!$K:$K,'0901 4度C'!$A:$A,"新豐8線",'0901 4度C'!$B:$B,"平均")</f>
        <v>131.0344827586207</v>
      </c>
      <c r="L13" s="61">
        <f>SUMIFS('0901 4度C'!$K:$K,'0901 4度C'!$A:$A,"新豐9線",'0901 4度C'!$B:$B,"平均")</f>
        <v>144.3609022556391</v>
      </c>
      <c r="M13" s="59">
        <f>SUMIFS('0901 4度C'!$K:$K,'0901 4度C'!$A:$A,"新豐4線",'0901 4度C'!$B:$B,"平均")</f>
        <v>140.25974025974025</v>
      </c>
    </row>
    <row r="14" spans="2:17" ht="39.6" customHeight="1">
      <c r="B14" s="565"/>
      <c r="C14" s="62" t="s">
        <v>112</v>
      </c>
      <c r="D14" s="63">
        <f>SUMIFS('0901 4度C'!$N:$N,'0901 4度C'!$A:$A,"新豐6線",'0901 4度C'!$B:$B,"平均")</f>
        <v>130.10129630178267</v>
      </c>
      <c r="E14" s="64">
        <f>SUMIFS('0901 4度C'!$N:$N,'0901 4度C'!$A:$A,"新豐2線",'0901 4度C'!$B:$B,"平均")</f>
        <v>78.158118202935285</v>
      </c>
      <c r="F14" s="64">
        <f>SUMIFS('0901 4度C'!$N:$N,'0901 4度C'!$A:$A,"新豐5線",'0901 4度C'!$B:$B,"平均")</f>
        <v>102.15445419669652</v>
      </c>
      <c r="G14" s="64">
        <f>SUMIFS('0901 4度C'!$N:$N,'0901 4度C'!$A:$A,"新豐7線",'0901 4度C'!$B:$B,"平均")</f>
        <v>122.87694625209737</v>
      </c>
      <c r="H14" s="64">
        <f>SUMIFS('0901 4度C'!$N:$N,'0901 4度C'!$A:$A,"新豐3線",'0901 4度C'!$B:$B,"平均")</f>
        <v>286.62513139527346</v>
      </c>
      <c r="I14" s="64">
        <f>SUMIFS('0901 4度C'!$N:$N,'0901 4度C'!$A:$A,"新豐1線",'0901 4度C'!$B:$B,"平均")</f>
        <v>103.59219803381266</v>
      </c>
      <c r="J14" s="65">
        <f>SUMIFS('0901 4度C'!$N:$N,'0901 4度C'!$A:$A,"新豐10線",'0901 4度C'!$B:$B,"平均")</f>
        <v>278.42596949527046</v>
      </c>
      <c r="K14" s="66">
        <f>SUMIFS('0901 4度C'!$N:$N,'0901 4度C'!$A:$A,"新豐8線",'0901 4度C'!$B:$B,"平均")</f>
        <v>125.13194237527394</v>
      </c>
      <c r="L14" s="67">
        <f>SUMIFS('0901 4度C'!$N:$N,'0901 4度C'!$A:$A,"新豐9線",'0901 4度C'!$B:$B,"平均")</f>
        <v>137.87119637830364</v>
      </c>
      <c r="M14" s="65">
        <f>SUMIFS('0901 4度C'!$N:$N,'0901 4度C'!$A:$A,"新豐4線",'0901 4度C'!$B:$B,"平均")</f>
        <v>134.6532083057383</v>
      </c>
    </row>
    <row r="15" spans="2:17" ht="40.15" customHeight="1">
      <c r="B15" s="566"/>
      <c r="C15" s="68" t="s">
        <v>113</v>
      </c>
      <c r="D15" s="69">
        <f t="shared" ref="D15:M15" si="0">D14/D13</f>
        <v>0.95949706022564707</v>
      </c>
      <c r="E15" s="70">
        <f t="shared" si="0"/>
        <v>0.95526588914698674</v>
      </c>
      <c r="F15" s="70">
        <f t="shared" si="0"/>
        <v>0.95813832901729146</v>
      </c>
      <c r="G15" s="70">
        <f t="shared" si="0"/>
        <v>0.9599761425945107</v>
      </c>
      <c r="H15" s="70">
        <f t="shared" si="0"/>
        <v>0.95541710465091156</v>
      </c>
      <c r="I15" s="70">
        <f t="shared" si="0"/>
        <v>0.961105392869262</v>
      </c>
      <c r="J15" s="71">
        <f t="shared" si="0"/>
        <v>0.9652100275836043</v>
      </c>
      <c r="K15" s="69">
        <f t="shared" si="0"/>
        <v>0.95495429707445889</v>
      </c>
      <c r="L15" s="70">
        <f t="shared" si="0"/>
        <v>0.95504526657887412</v>
      </c>
      <c r="M15" s="71">
        <f t="shared" si="0"/>
        <v>0.96002750366128242</v>
      </c>
    </row>
    <row r="16" spans="2:17" ht="17.25" customHeight="1">
      <c r="B16" s="567" t="s">
        <v>114</v>
      </c>
      <c r="C16" s="72" t="s">
        <v>115</v>
      </c>
      <c r="D16" s="73">
        <f>VLOOKUP("新豐6線",'0901 4度C'!$A:$T,19,0)</f>
        <v>0.70833333333333337</v>
      </c>
      <c r="E16" s="74">
        <f>VLOOKUP("新豐2線",'0901 4度C'!$A:$T,19,0)</f>
        <v>8.3333333333333329E-2</v>
      </c>
      <c r="F16" s="74">
        <f>VLOOKUP("新豐5線",'0901 4度C'!$A:$T,19,0)</f>
        <v>0.20833333333333334</v>
      </c>
      <c r="G16" s="74">
        <f>VLOOKUP("新豐7線",'0901 4度C'!$A:$T,19,0)</f>
        <v>0.20833333333333334</v>
      </c>
      <c r="H16" s="74">
        <f>VLOOKUP("新豐3線",'0901 4度C'!$A:$T,19,0)</f>
        <v>0.20833333333333334</v>
      </c>
      <c r="I16" s="74">
        <f>VLOOKUP("新豐1線",'0901 4度C'!$A:$T,19,0)</f>
        <v>0.20833333333333334</v>
      </c>
      <c r="J16" s="75">
        <f>VLOOKUP("新豐10線",'0901 4度C'!$A:$T,19,0)</f>
        <v>0.20833333333333334</v>
      </c>
      <c r="K16" s="76">
        <f>VLOOKUP("新豐8線",'0901 4度C'!$A:$T,19,0)</f>
        <v>8.3333333333333329E-2</v>
      </c>
      <c r="L16" s="77">
        <f>VLOOKUP("新豐9線",'0901 4度C'!$A:$T,19,0)</f>
        <v>8.3333333333333329E-2</v>
      </c>
      <c r="M16" s="78">
        <f>VLOOKUP("新豐4線",'0901 4度C'!$A:$T,19,0)</f>
        <v>8.3333333333333329E-2</v>
      </c>
    </row>
    <row r="17" spans="2:13" ht="17.25" customHeight="1">
      <c r="B17" s="568"/>
      <c r="C17" s="72" t="s">
        <v>116</v>
      </c>
      <c r="D17" s="76">
        <f>LOOKUP(2,1/(('0901 4度C'!$A:$A="新豐6線")*('0901 4度C'!$T:$T&lt;&gt;"")),'0901 4度C'!$T:$T)</f>
        <v>0.90208333333333335</v>
      </c>
      <c r="E17" s="74">
        <f>LOOKUP(2,1/(('0901 4度C'!$A:$A="新豐2線")*('0901 4度C'!$T:$T&lt;&gt;"")),'0901 4度C'!$T:$T)</f>
        <v>0.49999999999999994</v>
      </c>
      <c r="F17" s="74">
        <f>LOOKUP(2,1/(('0901 4度C'!$A:$A="新豐5線")*('0901 4度C'!$T:$T&lt;&gt;"")),'0901 4度C'!$T:$T)</f>
        <v>0.94236111111111109</v>
      </c>
      <c r="G17" s="74">
        <f>LOOKUP(2,1/(('0901 4度C'!$A:$A="新豐7線")*('0901 4度C'!$T:$T&lt;&gt;"")),'0901 4度C'!$T:$T)</f>
        <v>0.92291666666666672</v>
      </c>
      <c r="H17" s="74">
        <f>LOOKUP(2,1/(('0901 4度C'!$A:$A="新豐3線")*('0901 4度C'!$T:$T&lt;&gt;"")),'0901 4度C'!$T:$T)</f>
        <v>0.44374999999999998</v>
      </c>
      <c r="I17" s="74">
        <f>LOOKUP(2,1/(('0901 4度C'!$A:$A="新豐1線")*('0901 4度C'!$T:$T&lt;&gt;"")),'0901 4度C'!$T:$T)</f>
        <v>0.89652777777777781</v>
      </c>
      <c r="J17" s="75">
        <f>LOOKUP(2,1/(('0901 4度C'!$A:$A="新豐10線")*('0901 4度C'!$T:$T&lt;&gt;"")),'0901 4度C'!$T:$T)</f>
        <v>0.4326388888888888</v>
      </c>
      <c r="K17" s="73">
        <f>LOOKUP(2,1/(('0901 4度C'!$A:$A="新豐8線")*('0901 4度C'!$T:$T&lt;&gt;"")),'0901 4度C'!$T:$T)</f>
        <v>0.78055555555555545</v>
      </c>
      <c r="L17" s="74">
        <f>LOOKUP(2,1/(('0901 4度C'!$A:$A="新豐9線")*('0901 4度C'!$T:$T&lt;&gt;"")),'0901 4度C'!$T:$T)</f>
        <v>0.69444444444444431</v>
      </c>
      <c r="M17" s="75">
        <f>LOOKUP(2,1/(('0901 4度C'!$A:$A="新豐4線")*('0901 4度C'!$T:$T&lt;&gt;"")),'0901 4度C'!$T:$T)</f>
        <v>0.74236111111111092</v>
      </c>
    </row>
    <row r="18" spans="2:13" ht="17.25" customHeight="1">
      <c r="B18" s="546" t="s">
        <v>117</v>
      </c>
      <c r="C18" s="79" t="s">
        <v>118</v>
      </c>
      <c r="D18" s="80">
        <f>SUMIFS('0901 4度C'!$Y:$Y,'0901 4度C'!$A:$A,"新豐6線",'0901 4度C'!$B:$B,"平均")</f>
        <v>0</v>
      </c>
      <c r="E18" s="81">
        <f>SUMIFS('0901 4度C'!$Y:$Y,'0901 4度C'!$A:$A,"新豐2線",'0901 4度C'!$B:$B,"平均")</f>
        <v>0</v>
      </c>
      <c r="F18" s="81">
        <f>SUMIFS('0901 4度C'!$Y:$Y,'0901 4度C'!$A:$A,"新豐5線",'0901 4度C'!$B:$B,"平均")</f>
        <v>0</v>
      </c>
      <c r="G18" s="81">
        <f>SUMIFS('0901 4度C'!$Y:$Y,'0901 4度C'!$A:$A,"新豐7線",'0901 4度C'!$B:$B,"平均")</f>
        <v>0</v>
      </c>
      <c r="H18" s="81">
        <f>SUMIFS('0901 4度C'!$Y:$Y,'0901 4度C'!$A:$A,"新豐3線",'0901 4度C'!$B:$B,"平均")</f>
        <v>0</v>
      </c>
      <c r="I18" s="81">
        <f>SUMIFS('0901 4度C'!$Y:$Y,'0901 4度C'!$A:$A,"新豐1線",'0901 4度C'!$B:$B,"平均")</f>
        <v>0</v>
      </c>
      <c r="J18" s="82">
        <f>SUMIFS('0901 4度C'!$Y:$Y,'0901 4度C'!$A:$A,"新豐10線",'0901 4度C'!$B:$B,"平均")</f>
        <v>0</v>
      </c>
      <c r="K18" s="83">
        <f>SUMIFS('0901 4度C'!$Y:$Y,'0901 4度C'!$A:$A,"新豐8線",'0901 4度C'!$B:$B,"平均")</f>
        <v>0</v>
      </c>
      <c r="L18" s="81">
        <f>SUMIFS('0901 4度C'!$Y:$Y,'0901 4度C'!$A:$A,"新豐9線",'0901 4度C'!$B:$B,"平均")</f>
        <v>0</v>
      </c>
      <c r="M18" s="82">
        <f>SUMIFS('0901 4度C'!$Y:$Y,'0901 4度C'!$A:$A,"新豐4線",'0901 4度C'!$B:$B,"平均")</f>
        <v>0</v>
      </c>
    </row>
    <row r="19" spans="2:13" ht="17.25" customHeight="1">
      <c r="B19" s="547"/>
      <c r="C19" s="79" t="s">
        <v>78</v>
      </c>
      <c r="D19" s="80">
        <f>SUMIFS('0901 4度C'!$Z:$Z,'0901 4度C'!$A:$A,"新豐6線",'0901 4度C'!$B:$B,"平均")</f>
        <v>0</v>
      </c>
      <c r="E19" s="81">
        <f>SUMIFS('0901 4度C'!$Z:$Z,'0901 4度C'!$A:$A,"新豐2線",'0901 4度C'!$B:$B,"平均")</f>
        <v>0</v>
      </c>
      <c r="F19" s="81">
        <f>SUMIFS('0901 4度C'!$Z:$Z,'0901 4度C'!$A:$A,"新豐5線",'0901 4度C'!$B:$B,"平均")</f>
        <v>0</v>
      </c>
      <c r="G19" s="81">
        <f>SUMIFS('0901 4度C'!$Z:$Z,'0901 4度C'!$A:$A,"新豐7線",'0901 4度C'!$B:$B,"平均")</f>
        <v>0</v>
      </c>
      <c r="H19" s="81">
        <f>SUMIFS('0901 4度C'!$Z:$Z,'0901 4度C'!$A:$A,"新豐3線",'0901 4度C'!$B:$B,"平均")</f>
        <v>0</v>
      </c>
      <c r="I19" s="81">
        <f>SUMIFS('0901 4度C'!$Z:$Z,'0901 4度C'!$A:$A,"新豐1線",'0901 4度C'!$B:$B,"平均")</f>
        <v>0</v>
      </c>
      <c r="J19" s="82">
        <f>SUMIFS('0901 4度C'!$Z:$Z,'0901 4度C'!$A:$A,"新豐10線",'0901 4度C'!$B:$B,"平均")</f>
        <v>0</v>
      </c>
      <c r="K19" s="83">
        <f>SUMIFS('0901 4度C'!$Z:$Z,'0901 4度C'!$A:$A,"新豐8線",'0901 4度C'!$B:$B,"平均")</f>
        <v>0</v>
      </c>
      <c r="L19" s="81">
        <f>SUMIFS('0901 4度C'!$Z:$Z,'0901 4度C'!$A:$A,"新豐9線",'0901 4度C'!$B:$B,"平均")</f>
        <v>0</v>
      </c>
      <c r="M19" s="82">
        <f>SUMIFS('0901 4度C'!$Z:$Z,'0901 4度C'!$A:$A,"新豐4線",'0901 4度C'!$B:$B,"平均")</f>
        <v>0</v>
      </c>
    </row>
    <row r="20" spans="2:13" ht="17.25" customHeight="1">
      <c r="B20" s="546" t="s">
        <v>119</v>
      </c>
      <c r="C20" s="79" t="s">
        <v>118</v>
      </c>
      <c r="D20" s="80">
        <f>SUMIFS('0901 4度C'!$AC:$AC,'0901 4度C'!$A:$A,"新豐6線",'0901 4度C'!$B:$B,"平均")</f>
        <v>4</v>
      </c>
      <c r="E20" s="81">
        <f>SUMIFS('0901 4度C'!$AC:$AC,'0901 4度C'!$A:$A,"新豐2線",'0901 4度C'!$B:$B,"平均")</f>
        <v>3</v>
      </c>
      <c r="F20" s="81">
        <f>SUMIFS('0901 4度C'!$AC:$AC,'0901 4度C'!$A:$A,"新豐5線",'0901 4度C'!$B:$B,"平均")</f>
        <v>8</v>
      </c>
      <c r="G20" s="81">
        <f>SUMIFS('0901 4度C'!$AC:$AC,'0901 4度C'!$A:$A,"新豐7線",'0901 4度C'!$B:$B,"平均")</f>
        <v>8</v>
      </c>
      <c r="H20" s="81">
        <f>SUMIFS('0901 4度C'!$AC:$AC,'0901 4度C'!$A:$A,"新豐3線",'0901 4度C'!$B:$B,"平均")</f>
        <v>3</v>
      </c>
      <c r="I20" s="81">
        <f>SUMIFS('0901 4度C'!$AC:$AC,'0901 4度C'!$A:$A,"新豐1線",'0901 4度C'!$B:$B,"平均")</f>
        <v>9</v>
      </c>
      <c r="J20" s="82">
        <f>SUMIFS('0901 4度C'!$AC:$AC,'0901 4度C'!$A:$A,"新豐10線",'0901 4度C'!$B:$B,"平均")</f>
        <v>5</v>
      </c>
      <c r="K20" s="83">
        <f>SUMIFS('0901 4度C'!$AC:$AC,'0901 4度C'!$A:$A,"新豐8線",'0901 4度C'!$B:$B,"平均")</f>
        <v>7</v>
      </c>
      <c r="L20" s="81">
        <f>SUMIFS('0901 4度C'!$AC:$AC,'0901 4度C'!$A:$A,"新豐9線",'0901 4度C'!$B:$B,"平均")</f>
        <v>8</v>
      </c>
      <c r="M20" s="82">
        <f>SUMIFS('0901 4度C'!$AC:$AC,'0901 4度C'!$A:$A,"新豐4線",'0901 4度C'!$B:$B,"平均")</f>
        <v>9</v>
      </c>
    </row>
    <row r="21" spans="2:13" ht="17.25" customHeight="1">
      <c r="B21" s="547"/>
      <c r="C21" s="79" t="s">
        <v>120</v>
      </c>
      <c r="D21" s="80">
        <f>SUMIFS('0901 4度C'!$AD:$AD,'0901 4度C'!$A:$A,"新豐6線",'0901 4度C'!$B:$B,"平均")</f>
        <v>0</v>
      </c>
      <c r="E21" s="81">
        <f>SUMIFS('0901 4度C'!$AD:$AD,'0901 4度C'!$A:$A,"新豐2線",'0901 4度C'!$B:$B,"平均")</f>
        <v>0</v>
      </c>
      <c r="F21" s="81">
        <f>SUMIFS('0901 4度C'!$AD:$AD,'0901 4度C'!$A:$A,"新豐5線",'0901 4度C'!$B:$B,"平均")</f>
        <v>0</v>
      </c>
      <c r="G21" s="81">
        <f>SUMIFS('0901 4度C'!$AD:$AD,'0901 4度C'!$A:$A,"新豐7線",'0901 4度C'!$B:$B,"平均")</f>
        <v>0</v>
      </c>
      <c r="H21" s="81">
        <f>SUMIFS('0901 4度C'!$AD:$AD,'0901 4度C'!$A:$A,"新豐3線",'0901 4度C'!$B:$B,"平均")</f>
        <v>0</v>
      </c>
      <c r="I21" s="81">
        <f>SUMIFS('0901 4度C'!$AD:$AD,'0901 4度C'!$A:$A,"新豐1線",'0901 4度C'!$B:$B,"平均")</f>
        <v>0</v>
      </c>
      <c r="J21" s="82">
        <f>SUMIFS('0901 4度C'!$AD:$AD,'0901 4度C'!$A:$A,"新豐10線",'0901 4度C'!$B:$B,"平均")</f>
        <v>0</v>
      </c>
      <c r="K21" s="83">
        <f>SUMIFS('0901 4度C'!$AD:$AD,'0901 4度C'!$A:$A,"新豐8線",'0901 4度C'!$B:$B,"平均")</f>
        <v>0</v>
      </c>
      <c r="L21" s="81">
        <f>SUMIFS('0901 4度C'!$AD:$AD,'0901 4度C'!$A:$A,"新豐9線",'0901 4度C'!$B:$B,"平均")</f>
        <v>0</v>
      </c>
      <c r="M21" s="82">
        <f>SUMIFS('0901 4度C'!$AD:$AD,'0901 4度C'!$A:$A,"新豐4線",'0901 4度C'!$B:$B,"平均")</f>
        <v>0</v>
      </c>
    </row>
    <row r="22" spans="2:13" ht="17.25" customHeight="1">
      <c r="B22" s="548" t="s">
        <v>121</v>
      </c>
      <c r="C22" s="549"/>
      <c r="D22" s="84">
        <f>SUMIFS('0901 4度C'!$I:$I,'0901 4度C'!$A:$A,"新豐6線",'0901 4度C'!$B:$B,"平均")</f>
        <v>14.75</v>
      </c>
      <c r="E22" s="85">
        <f>SUMIFS('0901 4度C'!$I:$I,'0901 4度C'!$A:$A,"新豐2線",'0901 4度C'!$B:$B,"平均")</f>
        <v>18.333333333333332</v>
      </c>
      <c r="F22" s="85">
        <f>SUMIFS('0901 4度C'!$I:$I,'0901 4度C'!$A:$A,"新豐5線",'0901 4度C'!$B:$B,"平均")</f>
        <v>17</v>
      </c>
      <c r="G22" s="85">
        <f>SUMIFS('0901 4度C'!$I:$I,'0901 4度C'!$A:$A,"新豐7線",'0901 4度C'!$B:$B,"平均")</f>
        <v>15.625</v>
      </c>
      <c r="H22" s="85">
        <f>SUMIFS('0901 4度C'!$I:$I,'0901 4度C'!$A:$A,"新豐3線",'0901 4度C'!$B:$B,"平均")</f>
        <v>10</v>
      </c>
      <c r="I22" s="85">
        <f>SUMIFS('0901 4度C'!$I:$I,'0901 4度C'!$A:$A,"新豐1線",'0901 4度C'!$B:$B,"平均")</f>
        <v>18.555555555555557</v>
      </c>
      <c r="J22" s="86">
        <f>SUMIFS('0901 4度C'!$I:$I,'0901 4度C'!$A:$A,"新豐10線",'0901 4度C'!$B:$B,"平均")</f>
        <v>10.4</v>
      </c>
      <c r="K22" s="84">
        <f>SUMIFS('0901 4度C'!$I:$I,'0901 4度C'!$A:$A,"新豐8線",'0901 4度C'!$B:$B,"平均")</f>
        <v>16.571428571428573</v>
      </c>
      <c r="L22" s="85">
        <f>SUMIFS('0901 4度C'!$I:$I,'0901 4度C'!$A:$A,"新豐9線",'0901 4度C'!$B:$B,"平均")</f>
        <v>16.625</v>
      </c>
      <c r="M22" s="86">
        <f>SUMIFS('0901 4度C'!$I:$I,'0901 4度C'!$A:$A,"新豐4線",'0901 4度C'!$B:$B,"平均")</f>
        <v>17.111111111111111</v>
      </c>
    </row>
    <row r="23" spans="2:13" ht="17.25" customHeight="1">
      <c r="B23" s="548" t="s">
        <v>122</v>
      </c>
      <c r="C23" s="549"/>
      <c r="D23" s="87" t="s">
        <v>69</v>
      </c>
      <c r="E23" s="88" t="s">
        <v>70</v>
      </c>
      <c r="F23" s="88" t="s">
        <v>123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124</v>
      </c>
      <c r="L23" s="88" t="s">
        <v>124</v>
      </c>
      <c r="M23" s="89" t="s">
        <v>124</v>
      </c>
    </row>
    <row r="24" spans="2:13" ht="17.25" customHeight="1">
      <c r="B24" s="548" t="s">
        <v>125</v>
      </c>
      <c r="C24" s="549"/>
      <c r="D24" s="87"/>
      <c r="E24" s="88"/>
      <c r="F24" s="88" t="s">
        <v>126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50" t="s">
        <v>127</v>
      </c>
      <c r="C25" s="551"/>
      <c r="D25" s="90"/>
      <c r="E25" s="91" t="s">
        <v>128</v>
      </c>
      <c r="F25" s="544" t="s">
        <v>129</v>
      </c>
      <c r="G25" s="545"/>
      <c r="H25" s="91" t="s">
        <v>79</v>
      </c>
      <c r="I25" s="91" t="s">
        <v>130</v>
      </c>
      <c r="J25" s="92" t="s">
        <v>131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9"/>
  <sheetViews>
    <sheetView zoomScale="80" zoomScaleNormal="80" workbookViewId="0">
      <pane ySplit="4" topLeftCell="A29" activePane="bottomLeft" state="frozen"/>
      <selection activeCell="T6" sqref="T6"/>
      <selection pane="bottomLeft" activeCell="U75" sqref="U75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SUM(F5:F78)</f>
        <v>188394</v>
      </c>
      <c r="E1" s="95" t="s">
        <v>134</v>
      </c>
      <c r="F1" s="1">
        <f>SUM(G5:G78)</f>
        <v>6523011.7799999993</v>
      </c>
      <c r="G1" s="1" t="s">
        <v>135</v>
      </c>
      <c r="H1" s="4">
        <f>L9+L13+L52+L62+L22+L68+L39+L48+L31+L78</f>
        <v>154.97142857142856</v>
      </c>
      <c r="I1" s="660" t="s">
        <v>136</v>
      </c>
      <c r="J1" s="660"/>
      <c r="K1" s="660"/>
      <c r="L1" s="660" t="s">
        <v>137</v>
      </c>
      <c r="M1" s="660"/>
      <c r="N1" s="660"/>
      <c r="O1" s="660" t="s">
        <v>138</v>
      </c>
      <c r="P1" s="660"/>
      <c r="Q1" s="660"/>
      <c r="R1" s="660"/>
      <c r="S1" s="660" t="s">
        <v>139</v>
      </c>
      <c r="T1" s="660"/>
      <c r="U1" s="660"/>
      <c r="V1" s="660"/>
      <c r="W1" s="660"/>
      <c r="X1" s="660"/>
      <c r="Y1" s="5" t="s">
        <v>140</v>
      </c>
      <c r="Z1" s="6" t="s">
        <v>141</v>
      </c>
      <c r="AA1" s="661" t="s">
        <v>142</v>
      </c>
      <c r="AB1" s="661"/>
      <c r="AC1" s="7" t="s">
        <v>143</v>
      </c>
      <c r="AD1" s="6" t="s">
        <v>144</v>
      </c>
      <c r="AE1" s="660" t="s">
        <v>145</v>
      </c>
      <c r="AF1" s="662"/>
      <c r="AG1" s="662"/>
    </row>
    <row r="2" spans="1:33" ht="26.25" customHeight="1">
      <c r="A2" s="27">
        <v>46266</v>
      </c>
      <c r="B2" s="28" t="s">
        <v>146</v>
      </c>
      <c r="C2" s="2" t="s">
        <v>147</v>
      </c>
      <c r="D2" s="9">
        <f>AVERAGE(N9,N13,N52,N62,N22,N68,N31,N39,N48,N78)</f>
        <v>149.95904609371843</v>
      </c>
      <c r="E2" s="10" t="s">
        <v>0</v>
      </c>
      <c r="F2" s="11">
        <f>F1/D1</f>
        <v>34.624307462021079</v>
      </c>
      <c r="G2" s="1" t="s">
        <v>148</v>
      </c>
      <c r="H2" s="109">
        <f>COUNT(H5:H78)</f>
        <v>12</v>
      </c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12">
        <f>SUM(Y9+Y13+Y22+Y31+Y39+Y48+Y52+Y62+Y68+Y78)</f>
        <v>0</v>
      </c>
      <c r="Z2" s="12">
        <f>SUM(Z9+Z13+Z22+Z31+Z39+Z48+Z52+Z62+Z68+Z78)</f>
        <v>0</v>
      </c>
      <c r="AA2" s="661"/>
      <c r="AB2" s="661"/>
      <c r="AC2" s="12">
        <v>64</v>
      </c>
      <c r="AD2" s="12">
        <f>SUM(AD9+AD13+AD22+AD31+AD39+AD48+AD52+AD62+AD68+AD78)</f>
        <v>0</v>
      </c>
      <c r="AE2" s="662"/>
      <c r="AF2" s="662"/>
      <c r="AG2" s="662"/>
    </row>
    <row r="3" spans="1:33" ht="40.5" customHeight="1">
      <c r="A3" s="610" t="s">
        <v>149</v>
      </c>
      <c r="B3" s="610" t="s">
        <v>150</v>
      </c>
      <c r="C3" s="610" t="s">
        <v>151</v>
      </c>
      <c r="D3" s="610"/>
      <c r="E3" s="658" t="s">
        <v>152</v>
      </c>
      <c r="F3" s="610" t="s">
        <v>153</v>
      </c>
      <c r="G3" s="658" t="s">
        <v>154</v>
      </c>
      <c r="H3" s="651" t="s">
        <v>155</v>
      </c>
      <c r="I3" s="649" t="s">
        <v>156</v>
      </c>
      <c r="J3" s="646" t="s">
        <v>157</v>
      </c>
      <c r="K3" s="656" t="s">
        <v>158</v>
      </c>
      <c r="L3" s="649" t="s">
        <v>159</v>
      </c>
      <c r="M3" s="646" t="s">
        <v>157</v>
      </c>
      <c r="N3" s="656" t="s">
        <v>160</v>
      </c>
      <c r="O3" s="649" t="s">
        <v>156</v>
      </c>
      <c r="P3" s="656" t="s">
        <v>147</v>
      </c>
      <c r="Q3" s="647" t="s">
        <v>161</v>
      </c>
      <c r="R3" s="623" t="s">
        <v>162</v>
      </c>
      <c r="S3" s="657" t="s">
        <v>1</v>
      </c>
      <c r="T3" s="657"/>
      <c r="U3" s="651" t="s">
        <v>2</v>
      </c>
      <c r="V3" s="651" t="s">
        <v>163</v>
      </c>
      <c r="W3" s="610" t="s">
        <v>164</v>
      </c>
      <c r="X3" s="610"/>
      <c r="Y3" s="652" t="s">
        <v>165</v>
      </c>
      <c r="Z3" s="609"/>
      <c r="AA3" s="653" t="s">
        <v>166</v>
      </c>
      <c r="AB3" s="654"/>
      <c r="AC3" s="652" t="s">
        <v>167</v>
      </c>
      <c r="AD3" s="609"/>
      <c r="AE3" s="646" t="s">
        <v>168</v>
      </c>
      <c r="AF3" s="647" t="s">
        <v>169</v>
      </c>
      <c r="AG3" s="623" t="s">
        <v>170</v>
      </c>
    </row>
    <row r="4" spans="1:33" ht="15.75" customHeight="1">
      <c r="A4" s="610"/>
      <c r="B4" s="610"/>
      <c r="C4" s="610"/>
      <c r="D4" s="610"/>
      <c r="E4" s="659"/>
      <c r="F4" s="610"/>
      <c r="G4" s="659"/>
      <c r="H4" s="651"/>
      <c r="I4" s="649"/>
      <c r="J4" s="646"/>
      <c r="K4" s="656"/>
      <c r="L4" s="649"/>
      <c r="M4" s="646"/>
      <c r="N4" s="656"/>
      <c r="O4" s="649"/>
      <c r="P4" s="656"/>
      <c r="Q4" s="647"/>
      <c r="R4" s="623"/>
      <c r="S4" s="108" t="s">
        <v>3</v>
      </c>
      <c r="T4" s="108" t="s">
        <v>4</v>
      </c>
      <c r="U4" s="651"/>
      <c r="V4" s="651"/>
      <c r="W4" s="95" t="s">
        <v>171</v>
      </c>
      <c r="X4" s="95" t="s">
        <v>172</v>
      </c>
      <c r="Y4" s="97" t="s">
        <v>173</v>
      </c>
      <c r="Z4" s="97" t="s">
        <v>174</v>
      </c>
      <c r="AA4" s="655"/>
      <c r="AB4" s="654"/>
      <c r="AC4" s="97" t="s">
        <v>175</v>
      </c>
      <c r="AD4" s="97" t="s">
        <v>176</v>
      </c>
      <c r="AE4" s="646"/>
      <c r="AF4" s="647"/>
      <c r="AG4" s="623"/>
    </row>
    <row r="5" spans="1:33">
      <c r="A5" s="648" t="s">
        <v>177</v>
      </c>
      <c r="B5" s="33" t="s">
        <v>6</v>
      </c>
      <c r="C5" s="650" t="s">
        <v>7</v>
      </c>
      <c r="D5" s="650"/>
      <c r="E5" s="33">
        <v>50.92</v>
      </c>
      <c r="F5" s="108">
        <v>1000</v>
      </c>
      <c r="G5" s="95">
        <f t="shared" ref="G5:G8" si="0">E5*F5</f>
        <v>50920</v>
      </c>
      <c r="H5" s="29">
        <v>2</v>
      </c>
      <c r="I5" s="106">
        <v>15</v>
      </c>
      <c r="J5" s="30">
        <v>2000</v>
      </c>
      <c r="K5" s="13">
        <f t="shared" ref="K5:K68" si="1">J5/I5</f>
        <v>133.33333333333334</v>
      </c>
      <c r="L5" s="106">
        <v>15</v>
      </c>
      <c r="M5" s="14">
        <f t="shared" ref="M5:M8" si="2">F5/V5*60</f>
        <v>1935.483870967739</v>
      </c>
      <c r="N5" s="13">
        <f t="shared" ref="N5:N68" si="3">M5/L5</f>
        <v>129.03225806451593</v>
      </c>
      <c r="O5" s="15">
        <f t="shared" ref="O5:O68" si="4">L5-I5</f>
        <v>0</v>
      </c>
      <c r="P5" s="16">
        <f t="shared" ref="P5:P68" si="5">N5-K5</f>
        <v>-4.3010752688174136</v>
      </c>
      <c r="Q5" s="98">
        <f t="shared" ref="Q5:Q68" si="6">N5/K5</f>
        <v>0.96774193548386944</v>
      </c>
      <c r="R5" s="619">
        <f>Q9</f>
        <v>0.95949706022564707</v>
      </c>
      <c r="S5" s="31">
        <v>0.70833333333333337</v>
      </c>
      <c r="T5" s="31">
        <v>0.72986111111111118</v>
      </c>
      <c r="U5" s="95"/>
      <c r="V5" s="107">
        <f t="shared" ref="V5:V8" si="7">(T5-S5)*24*60</f>
        <v>31.00000000000005</v>
      </c>
      <c r="W5" s="17"/>
      <c r="X5" s="17"/>
      <c r="Y5" s="18"/>
      <c r="Z5" s="18"/>
      <c r="AA5" s="610"/>
      <c r="AB5" s="610"/>
      <c r="AC5" s="19">
        <v>4</v>
      </c>
      <c r="AD5" s="19"/>
      <c r="AE5" s="15">
        <f t="shared" ref="AE5:AE61" si="8">M5-J5</f>
        <v>-64.516129032261006</v>
      </c>
      <c r="AF5" s="98">
        <f t="shared" ref="AF5:AF68" si="9">M5/J5</f>
        <v>0.96774193548386944</v>
      </c>
      <c r="AG5" s="619">
        <f>AF9</f>
        <v>0.95949706022564718</v>
      </c>
    </row>
    <row r="6" spans="1:33">
      <c r="A6" s="649" t="s">
        <v>178</v>
      </c>
      <c r="B6" s="33" t="s">
        <v>6</v>
      </c>
      <c r="C6" s="650" t="s">
        <v>8</v>
      </c>
      <c r="D6" s="650"/>
      <c r="E6" s="33">
        <v>50.98</v>
      </c>
      <c r="F6" s="108">
        <v>2764</v>
      </c>
      <c r="G6" s="95">
        <f t="shared" si="0"/>
        <v>140908.72</v>
      </c>
      <c r="H6" s="29" t="s">
        <v>5</v>
      </c>
      <c r="I6" s="106">
        <v>16</v>
      </c>
      <c r="J6" s="30">
        <v>2000</v>
      </c>
      <c r="K6" s="13">
        <f t="shared" si="1"/>
        <v>125</v>
      </c>
      <c r="L6" s="106">
        <v>16</v>
      </c>
      <c r="M6" s="14">
        <f t="shared" si="2"/>
        <v>1906.206896551724</v>
      </c>
      <c r="N6" s="13">
        <f t="shared" si="3"/>
        <v>119.13793103448275</v>
      </c>
      <c r="O6" s="15">
        <f t="shared" si="4"/>
        <v>0</v>
      </c>
      <c r="P6" s="16">
        <f t="shared" si="5"/>
        <v>-5.8620689655172526</v>
      </c>
      <c r="Q6" s="98">
        <f t="shared" si="6"/>
        <v>0.95310344827586202</v>
      </c>
      <c r="R6" s="619"/>
      <c r="S6" s="31">
        <v>0.73472222222222228</v>
      </c>
      <c r="T6" s="31">
        <v>0.79513888888888895</v>
      </c>
      <c r="U6" s="95">
        <f t="shared" ref="U6:U8" si="10">IF(S6=TIME(17,0,0),"",(S6-T5)*24*60)</f>
        <v>6.9999999999999751</v>
      </c>
      <c r="V6" s="107">
        <f t="shared" si="7"/>
        <v>87.000000000000014</v>
      </c>
      <c r="W6" s="17"/>
      <c r="X6" s="17"/>
      <c r="Y6" s="17"/>
      <c r="Z6" s="17"/>
      <c r="AA6" s="610"/>
      <c r="AB6" s="610"/>
      <c r="AC6" s="19"/>
      <c r="AD6" s="19"/>
      <c r="AE6" s="15">
        <f t="shared" si="8"/>
        <v>-93.793103448276042</v>
      </c>
      <c r="AF6" s="98">
        <f t="shared" si="9"/>
        <v>0.95310344827586202</v>
      </c>
      <c r="AG6" s="619"/>
    </row>
    <row r="7" spans="1:33">
      <c r="A7" s="649" t="s">
        <v>178</v>
      </c>
      <c r="B7" s="33" t="s">
        <v>6</v>
      </c>
      <c r="C7" s="641" t="s">
        <v>25</v>
      </c>
      <c r="D7" s="642"/>
      <c r="E7" s="33">
        <v>56.43</v>
      </c>
      <c r="F7" s="108">
        <v>1340</v>
      </c>
      <c r="G7" s="95">
        <f t="shared" si="0"/>
        <v>75616.2</v>
      </c>
      <c r="H7" s="29" t="s">
        <v>5</v>
      </c>
      <c r="I7" s="106">
        <v>13</v>
      </c>
      <c r="J7" s="30">
        <v>2000</v>
      </c>
      <c r="K7" s="13">
        <f t="shared" si="1"/>
        <v>153.84615384615384</v>
      </c>
      <c r="L7" s="106">
        <v>13</v>
      </c>
      <c r="M7" s="14">
        <f t="shared" si="2"/>
        <v>1914.2857142857138</v>
      </c>
      <c r="N7" s="13">
        <f t="shared" si="3"/>
        <v>147.25274725274721</v>
      </c>
      <c r="O7" s="15">
        <f t="shared" si="4"/>
        <v>0</v>
      </c>
      <c r="P7" s="16">
        <f t="shared" si="5"/>
        <v>-6.5934065934066268</v>
      </c>
      <c r="Q7" s="98">
        <f t="shared" si="6"/>
        <v>0.95714285714285696</v>
      </c>
      <c r="R7" s="619"/>
      <c r="S7" s="31">
        <v>0.8</v>
      </c>
      <c r="T7" s="31">
        <v>0.82916666666666672</v>
      </c>
      <c r="U7" s="95">
        <f t="shared" si="10"/>
        <v>6.9999999999999751</v>
      </c>
      <c r="V7" s="107">
        <f t="shared" si="7"/>
        <v>42.000000000000014</v>
      </c>
      <c r="W7" s="17">
        <f>T7</f>
        <v>0.82916666666666672</v>
      </c>
      <c r="X7" s="17">
        <f>S8</f>
        <v>0.87083333333333335</v>
      </c>
      <c r="Y7" s="20"/>
      <c r="Z7" s="20"/>
      <c r="AA7" s="614"/>
      <c r="AB7" s="615"/>
      <c r="AC7" s="21"/>
      <c r="AD7" s="21"/>
      <c r="AE7" s="15">
        <f t="shared" si="8"/>
        <v>-85.714285714286234</v>
      </c>
      <c r="AF7" s="98">
        <f t="shared" si="9"/>
        <v>0.95714285714285685</v>
      </c>
      <c r="AG7" s="619"/>
    </row>
    <row r="8" spans="1:33">
      <c r="A8" s="649" t="s">
        <v>179</v>
      </c>
      <c r="B8" s="33" t="s">
        <v>6</v>
      </c>
      <c r="C8" s="641" t="s">
        <v>7</v>
      </c>
      <c r="D8" s="642"/>
      <c r="E8" s="33">
        <v>50.92</v>
      </c>
      <c r="F8" s="108">
        <v>1440</v>
      </c>
      <c r="G8" s="95">
        <f t="shared" si="0"/>
        <v>73324.800000000003</v>
      </c>
      <c r="H8" s="29" t="s">
        <v>5</v>
      </c>
      <c r="I8" s="106">
        <v>15</v>
      </c>
      <c r="J8" s="30">
        <v>2000</v>
      </c>
      <c r="K8" s="13">
        <f t="shared" si="1"/>
        <v>133.33333333333334</v>
      </c>
      <c r="L8" s="106">
        <v>15</v>
      </c>
      <c r="M8" s="14">
        <f t="shared" si="2"/>
        <v>1920</v>
      </c>
      <c r="N8" s="13">
        <f t="shared" si="3"/>
        <v>128</v>
      </c>
      <c r="O8" s="15">
        <f t="shared" si="4"/>
        <v>0</v>
      </c>
      <c r="P8" s="16">
        <f t="shared" si="5"/>
        <v>-5.3333333333333428</v>
      </c>
      <c r="Q8" s="98">
        <f t="shared" si="6"/>
        <v>0.96</v>
      </c>
      <c r="R8" s="619"/>
      <c r="S8" s="31">
        <v>0.87083333333333335</v>
      </c>
      <c r="T8" s="31">
        <v>0.90208333333333335</v>
      </c>
      <c r="U8" s="95">
        <f t="shared" si="10"/>
        <v>59.999999999999943</v>
      </c>
      <c r="V8" s="107">
        <f t="shared" si="7"/>
        <v>45</v>
      </c>
      <c r="W8" s="22"/>
      <c r="X8" s="22"/>
      <c r="Y8" s="94"/>
      <c r="Z8" s="94"/>
      <c r="AA8" s="614"/>
      <c r="AB8" s="615"/>
      <c r="AC8" s="21"/>
      <c r="AD8" s="21"/>
      <c r="AE8" s="15">
        <f t="shared" si="8"/>
        <v>-80</v>
      </c>
      <c r="AF8" s="98">
        <f t="shared" si="9"/>
        <v>0.96</v>
      </c>
      <c r="AG8" s="619"/>
    </row>
    <row r="9" spans="1:33">
      <c r="A9" s="649" t="s">
        <v>178</v>
      </c>
      <c r="B9" s="33" t="s">
        <v>180</v>
      </c>
      <c r="C9" s="620"/>
      <c r="D9" s="620"/>
      <c r="E9" s="99"/>
      <c r="F9" s="34"/>
      <c r="G9" s="13"/>
      <c r="H9" s="108"/>
      <c r="I9" s="23">
        <v>14.75</v>
      </c>
      <c r="J9" s="30">
        <v>2000</v>
      </c>
      <c r="K9" s="13">
        <f t="shared" si="1"/>
        <v>135.59322033898306</v>
      </c>
      <c r="L9" s="23">
        <v>14.75</v>
      </c>
      <c r="M9" s="14">
        <f>AVERAGE(M5:M8)</f>
        <v>1918.9941204512943</v>
      </c>
      <c r="N9" s="13">
        <f t="shared" si="3"/>
        <v>130.10129630178267</v>
      </c>
      <c r="O9" s="15">
        <f t="shared" si="4"/>
        <v>0</v>
      </c>
      <c r="P9" s="16">
        <f t="shared" si="5"/>
        <v>-5.4919240372003912</v>
      </c>
      <c r="Q9" s="98">
        <f t="shared" si="6"/>
        <v>0.95949706022564707</v>
      </c>
      <c r="R9" s="619"/>
      <c r="S9" s="31"/>
      <c r="T9" s="31"/>
      <c r="U9" s="95"/>
      <c r="V9" s="107"/>
      <c r="W9" s="13"/>
      <c r="X9" s="13"/>
      <c r="Y9" s="24">
        <f>SUM(Y5:Y8)</f>
        <v>0</v>
      </c>
      <c r="Z9" s="24">
        <f>SUM(Z5:Z8)</f>
        <v>0</v>
      </c>
      <c r="AA9" s="609"/>
      <c r="AB9" s="609"/>
      <c r="AC9" s="24">
        <v>4</v>
      </c>
      <c r="AD9" s="24">
        <f>SUM(AD5:AD8)</f>
        <v>0</v>
      </c>
      <c r="AE9" s="15">
        <f t="shared" si="8"/>
        <v>-81.005879548705707</v>
      </c>
      <c r="AF9" s="98">
        <f t="shared" si="9"/>
        <v>0.95949706022564718</v>
      </c>
      <c r="AG9" s="619"/>
    </row>
    <row r="10" spans="1:33" ht="15.75" customHeight="1">
      <c r="A10" s="645" t="s">
        <v>181</v>
      </c>
      <c r="B10" s="33" t="s">
        <v>10</v>
      </c>
      <c r="C10" s="641" t="s">
        <v>14</v>
      </c>
      <c r="D10" s="642"/>
      <c r="E10" s="33">
        <v>39.619999999999997</v>
      </c>
      <c r="F10" s="108">
        <v>4587</v>
      </c>
      <c r="G10" s="95">
        <f t="shared" ref="G10:G12" si="11">E10*F10</f>
        <v>181736.94</v>
      </c>
      <c r="H10" s="29" t="s">
        <v>5</v>
      </c>
      <c r="I10" s="106">
        <v>19</v>
      </c>
      <c r="J10" s="30">
        <v>1500</v>
      </c>
      <c r="K10" s="13">
        <f t="shared" si="1"/>
        <v>78.94736842105263</v>
      </c>
      <c r="L10" s="106">
        <v>19</v>
      </c>
      <c r="M10" s="14">
        <f t="shared" ref="M10:M12" si="12">F10/V10*60</f>
        <v>1433.4374999999998</v>
      </c>
      <c r="N10" s="13">
        <f t="shared" si="3"/>
        <v>75.444078947368411</v>
      </c>
      <c r="O10" s="15">
        <f t="shared" si="4"/>
        <v>0</v>
      </c>
      <c r="P10" s="16">
        <f t="shared" si="5"/>
        <v>-3.5032894736842195</v>
      </c>
      <c r="Q10" s="98">
        <f t="shared" si="6"/>
        <v>0.95562499999999984</v>
      </c>
      <c r="R10" s="619">
        <f>Q13</f>
        <v>0.95526588914698674</v>
      </c>
      <c r="S10" s="31">
        <v>8.3333333333333329E-2</v>
      </c>
      <c r="T10" s="31">
        <v>0.21666666666666667</v>
      </c>
      <c r="U10" s="95"/>
      <c r="V10" s="107">
        <f t="shared" ref="V10:V12" si="13">(T10-S10)*24*60</f>
        <v>192.00000000000003</v>
      </c>
      <c r="W10" s="17">
        <f>T10</f>
        <v>0.21666666666666667</v>
      </c>
      <c r="X10" s="17">
        <f>S11</f>
        <v>0.23402777777777775</v>
      </c>
      <c r="Y10" s="17"/>
      <c r="Z10" s="17"/>
      <c r="AA10" s="610"/>
      <c r="AB10" s="610"/>
      <c r="AC10" s="19">
        <v>3</v>
      </c>
      <c r="AD10" s="19"/>
      <c r="AE10" s="15">
        <f t="shared" si="8"/>
        <v>-66.562500000000227</v>
      </c>
      <c r="AF10" s="98">
        <f t="shared" si="9"/>
        <v>0.95562499999999984</v>
      </c>
      <c r="AG10" s="619">
        <f>AF13</f>
        <v>0.95526588914698674</v>
      </c>
    </row>
    <row r="11" spans="1:33" ht="15.75" customHeight="1">
      <c r="A11" s="645" t="s">
        <v>182</v>
      </c>
      <c r="B11" s="33" t="s">
        <v>10</v>
      </c>
      <c r="C11" s="641" t="s">
        <v>11</v>
      </c>
      <c r="D11" s="642"/>
      <c r="E11" s="33">
        <v>39.799999999999997</v>
      </c>
      <c r="F11" s="108">
        <v>6843</v>
      </c>
      <c r="G11" s="95">
        <f t="shared" si="11"/>
        <v>272351.39999999997</v>
      </c>
      <c r="H11" s="29" t="s">
        <v>5</v>
      </c>
      <c r="I11" s="106">
        <v>17</v>
      </c>
      <c r="J11" s="30">
        <v>1500</v>
      </c>
      <c r="K11" s="13">
        <f t="shared" si="1"/>
        <v>88.235294117647058</v>
      </c>
      <c r="L11" s="106">
        <v>17</v>
      </c>
      <c r="M11" s="14">
        <f t="shared" si="12"/>
        <v>1430.5923344947737</v>
      </c>
      <c r="N11" s="13">
        <f t="shared" si="3"/>
        <v>84.152490264398452</v>
      </c>
      <c r="O11" s="15">
        <f t="shared" si="4"/>
        <v>0</v>
      </c>
      <c r="P11" s="16">
        <f t="shared" si="5"/>
        <v>-4.0828038532486062</v>
      </c>
      <c r="Q11" s="98">
        <f t="shared" si="6"/>
        <v>0.95372822299651583</v>
      </c>
      <c r="R11" s="619"/>
      <c r="S11" s="31">
        <v>0.23402777777777775</v>
      </c>
      <c r="T11" s="31">
        <v>0.43333333333333329</v>
      </c>
      <c r="U11" s="95">
        <f t="shared" ref="U11:U12" si="14">IF(S11=TIME(17,0,0),"",(S11-T10)*24*60)</f>
        <v>24.99999999999995</v>
      </c>
      <c r="V11" s="107">
        <f t="shared" si="13"/>
        <v>287</v>
      </c>
      <c r="W11" s="17"/>
      <c r="X11" s="17"/>
      <c r="Y11" s="17"/>
      <c r="Z11" s="17"/>
      <c r="AA11" s="610"/>
      <c r="AB11" s="610"/>
      <c r="AC11" s="19"/>
      <c r="AD11" s="19"/>
      <c r="AE11" s="15">
        <f t="shared" si="8"/>
        <v>-69.407665505226305</v>
      </c>
      <c r="AF11" s="98">
        <f t="shared" si="9"/>
        <v>0.95372822299651583</v>
      </c>
      <c r="AG11" s="619"/>
    </row>
    <row r="12" spans="1:33" ht="15.75" customHeight="1">
      <c r="A12" s="645" t="s">
        <v>183</v>
      </c>
      <c r="B12" s="33" t="s">
        <v>10</v>
      </c>
      <c r="C12" s="641" t="s">
        <v>13</v>
      </c>
      <c r="D12" s="642"/>
      <c r="E12" s="33">
        <v>39.520000000000003</v>
      </c>
      <c r="F12" s="108">
        <v>2152</v>
      </c>
      <c r="G12" s="95">
        <f t="shared" si="11"/>
        <v>85047.040000000008</v>
      </c>
      <c r="H12" s="29" t="s">
        <v>5</v>
      </c>
      <c r="I12" s="106">
        <v>19</v>
      </c>
      <c r="J12" s="30">
        <v>1500</v>
      </c>
      <c r="K12" s="13">
        <f t="shared" si="1"/>
        <v>78.94736842105263</v>
      </c>
      <c r="L12" s="106">
        <v>19</v>
      </c>
      <c r="M12" s="14">
        <f t="shared" si="12"/>
        <v>1434.6666666666667</v>
      </c>
      <c r="N12" s="13">
        <f t="shared" si="3"/>
        <v>75.508771929824562</v>
      </c>
      <c r="O12" s="15">
        <f t="shared" si="4"/>
        <v>0</v>
      </c>
      <c r="P12" s="16">
        <f t="shared" si="5"/>
        <v>-3.4385964912280684</v>
      </c>
      <c r="Q12" s="98">
        <f t="shared" si="6"/>
        <v>0.95644444444444443</v>
      </c>
      <c r="R12" s="619"/>
      <c r="S12" s="31">
        <v>0.43749999999999994</v>
      </c>
      <c r="T12" s="31">
        <v>0.49999999999999994</v>
      </c>
      <c r="U12" s="95">
        <f t="shared" si="14"/>
        <v>5.9999999999999787</v>
      </c>
      <c r="V12" s="107">
        <f t="shared" si="13"/>
        <v>90</v>
      </c>
      <c r="W12" s="17"/>
      <c r="X12" s="17"/>
      <c r="Y12" s="17"/>
      <c r="Z12" s="17"/>
      <c r="AA12" s="610"/>
      <c r="AB12" s="610"/>
      <c r="AC12" s="19"/>
      <c r="AD12" s="19"/>
      <c r="AE12" s="15">
        <f t="shared" si="8"/>
        <v>-65.333333333333258</v>
      </c>
      <c r="AF12" s="98">
        <f t="shared" si="9"/>
        <v>0.95644444444444454</v>
      </c>
      <c r="AG12" s="619"/>
    </row>
    <row r="13" spans="1:33" ht="16.5" customHeight="1">
      <c r="A13" s="645" t="s">
        <v>81</v>
      </c>
      <c r="B13" s="33" t="s">
        <v>184</v>
      </c>
      <c r="C13" s="620"/>
      <c r="D13" s="620"/>
      <c r="E13" s="99"/>
      <c r="F13" s="30"/>
      <c r="G13" s="14"/>
      <c r="H13" s="108"/>
      <c r="I13" s="23">
        <v>18.333333333333332</v>
      </c>
      <c r="J13" s="30">
        <v>1500</v>
      </c>
      <c r="K13" s="13">
        <f t="shared" si="1"/>
        <v>81.818181818181827</v>
      </c>
      <c r="L13" s="23">
        <v>18.333333333333332</v>
      </c>
      <c r="M13" s="14">
        <f>AVERAGE(M10:M12)</f>
        <v>1432.8988337204801</v>
      </c>
      <c r="N13" s="13">
        <f t="shared" si="3"/>
        <v>78.158118202935285</v>
      </c>
      <c r="O13" s="15">
        <f t="shared" si="4"/>
        <v>0</v>
      </c>
      <c r="P13" s="16">
        <f t="shared" si="5"/>
        <v>-3.6600636152465427</v>
      </c>
      <c r="Q13" s="98">
        <f t="shared" si="6"/>
        <v>0.95526588914698674</v>
      </c>
      <c r="R13" s="619"/>
      <c r="S13" s="31"/>
      <c r="T13" s="31"/>
      <c r="U13" s="13"/>
      <c r="V13" s="107"/>
      <c r="W13" s="13"/>
      <c r="X13" s="13"/>
      <c r="Y13" s="24">
        <f>SUM(Y10:Y12)</f>
        <v>0</v>
      </c>
      <c r="Z13" s="24">
        <f>SUM(Z10:Z12)</f>
        <v>0</v>
      </c>
      <c r="AA13" s="609"/>
      <c r="AB13" s="609"/>
      <c r="AC13" s="24">
        <v>3</v>
      </c>
      <c r="AD13" s="24">
        <f>SUM(AD10:AD12)</f>
        <v>0</v>
      </c>
      <c r="AE13" s="15">
        <f t="shared" si="8"/>
        <v>-67.10116627951993</v>
      </c>
      <c r="AF13" s="98">
        <f t="shared" si="9"/>
        <v>0.95526588914698674</v>
      </c>
      <c r="AG13" s="619"/>
    </row>
    <row r="14" spans="1:33" ht="16.5" customHeight="1">
      <c r="A14" s="643" t="s">
        <v>185</v>
      </c>
      <c r="B14" s="108" t="s">
        <v>15</v>
      </c>
      <c r="C14" s="635" t="s">
        <v>16</v>
      </c>
      <c r="D14" s="635"/>
      <c r="E14" s="33">
        <v>31.11</v>
      </c>
      <c r="F14" s="108">
        <v>3027</v>
      </c>
      <c r="G14" s="95">
        <f t="shared" ref="G14:G21" si="15">E14*F14</f>
        <v>94169.97</v>
      </c>
      <c r="H14" s="29" t="s">
        <v>5</v>
      </c>
      <c r="I14" s="106">
        <v>14</v>
      </c>
      <c r="J14" s="30">
        <v>2000</v>
      </c>
      <c r="K14" s="13">
        <f t="shared" si="1"/>
        <v>142.85714285714286</v>
      </c>
      <c r="L14" s="106">
        <v>14</v>
      </c>
      <c r="M14" s="14">
        <f t="shared" ref="M14:M21" si="16">F14/V14*60</f>
        <v>1911.78947368421</v>
      </c>
      <c r="N14" s="13">
        <f t="shared" si="3"/>
        <v>136.55639097744356</v>
      </c>
      <c r="O14" s="15">
        <f t="shared" si="4"/>
        <v>0</v>
      </c>
      <c r="P14" s="16">
        <f t="shared" si="5"/>
        <v>-6.3007518796993054</v>
      </c>
      <c r="Q14" s="98">
        <f t="shared" si="6"/>
        <v>0.95589473684210491</v>
      </c>
      <c r="R14" s="619">
        <f>Q22</f>
        <v>0.95813832901729146</v>
      </c>
      <c r="S14" s="31">
        <v>0.20833333333333334</v>
      </c>
      <c r="T14" s="31">
        <v>0.27430555555555558</v>
      </c>
      <c r="U14" s="95"/>
      <c r="V14" s="107">
        <f t="shared" ref="V14:V21" si="17">(T14-S14)*24*60</f>
        <v>95.000000000000028</v>
      </c>
      <c r="W14" s="17"/>
      <c r="X14" s="17"/>
      <c r="Y14" s="22"/>
      <c r="Z14" s="22"/>
      <c r="AA14" s="610"/>
      <c r="AB14" s="610"/>
      <c r="AC14" s="19">
        <v>8</v>
      </c>
      <c r="AD14" s="19"/>
      <c r="AE14" s="15">
        <f t="shared" si="8"/>
        <v>-88.210526315790048</v>
      </c>
      <c r="AF14" s="98">
        <f t="shared" si="9"/>
        <v>0.95589473684210502</v>
      </c>
      <c r="AG14" s="619">
        <f>AF22</f>
        <v>0.95813832901729157</v>
      </c>
    </row>
    <row r="15" spans="1:33" ht="16.5" customHeight="1">
      <c r="A15" s="644" t="s">
        <v>185</v>
      </c>
      <c r="B15" s="108" t="s">
        <v>17</v>
      </c>
      <c r="C15" s="635" t="s">
        <v>18</v>
      </c>
      <c r="D15" s="635"/>
      <c r="E15" s="33">
        <v>41</v>
      </c>
      <c r="F15" s="108">
        <v>1789</v>
      </c>
      <c r="G15" s="95">
        <f t="shared" si="15"/>
        <v>73349</v>
      </c>
      <c r="H15" s="29" t="s">
        <v>5</v>
      </c>
      <c r="I15" s="106">
        <v>26</v>
      </c>
      <c r="J15" s="30">
        <v>1500</v>
      </c>
      <c r="K15" s="13">
        <f t="shared" si="1"/>
        <v>57.692307692307693</v>
      </c>
      <c r="L15" s="106">
        <v>26</v>
      </c>
      <c r="M15" s="14">
        <f t="shared" si="16"/>
        <v>1431.2000000000005</v>
      </c>
      <c r="N15" s="13">
        <f t="shared" si="3"/>
        <v>55.046153846153864</v>
      </c>
      <c r="O15" s="15">
        <f t="shared" si="4"/>
        <v>0</v>
      </c>
      <c r="P15" s="16">
        <f t="shared" si="5"/>
        <v>-2.6461538461538296</v>
      </c>
      <c r="Q15" s="98">
        <f t="shared" si="6"/>
        <v>0.95413333333333361</v>
      </c>
      <c r="R15" s="619"/>
      <c r="S15" s="31">
        <v>0.27986111111111112</v>
      </c>
      <c r="T15" s="31">
        <v>0.33194444444444443</v>
      </c>
      <c r="U15" s="95">
        <f t="shared" ref="U15:U21" si="18">IF(S15=TIME(17,0,0),"",(S15-T14)*24*60)</f>
        <v>7.9999999999999716</v>
      </c>
      <c r="V15" s="107">
        <f t="shared" si="17"/>
        <v>74.999999999999972</v>
      </c>
      <c r="W15" s="17"/>
      <c r="X15" s="17"/>
      <c r="Y15" s="17"/>
      <c r="Z15" s="17"/>
      <c r="AA15" s="610"/>
      <c r="AB15" s="610"/>
      <c r="AC15" s="19"/>
      <c r="AD15" s="19"/>
      <c r="AE15" s="15">
        <f t="shared" si="8"/>
        <v>-68.7999999999995</v>
      </c>
      <c r="AF15" s="98">
        <f t="shared" si="9"/>
        <v>0.95413333333333372</v>
      </c>
      <c r="AG15" s="619"/>
    </row>
    <row r="16" spans="1:33" ht="16.5" customHeight="1">
      <c r="A16" s="644" t="s">
        <v>185</v>
      </c>
      <c r="B16" s="108" t="s">
        <v>15</v>
      </c>
      <c r="C16" s="635" t="s">
        <v>76</v>
      </c>
      <c r="D16" s="635"/>
      <c r="E16" s="33">
        <v>68.88</v>
      </c>
      <c r="F16" s="108">
        <v>1454</v>
      </c>
      <c r="G16" s="95">
        <f t="shared" si="15"/>
        <v>100151.51999999999</v>
      </c>
      <c r="H16" s="29" t="s">
        <v>5</v>
      </c>
      <c r="I16" s="106">
        <v>16</v>
      </c>
      <c r="J16" s="30">
        <v>2000</v>
      </c>
      <c r="K16" s="13">
        <f t="shared" si="1"/>
        <v>125</v>
      </c>
      <c r="L16" s="106">
        <v>16</v>
      </c>
      <c r="M16" s="14">
        <f t="shared" si="16"/>
        <v>1938.6666666666665</v>
      </c>
      <c r="N16" s="13">
        <f t="shared" si="3"/>
        <v>121.16666666666666</v>
      </c>
      <c r="O16" s="15">
        <f t="shared" si="4"/>
        <v>0</v>
      </c>
      <c r="P16" s="16">
        <f t="shared" si="5"/>
        <v>-3.8333333333333428</v>
      </c>
      <c r="Q16" s="98">
        <f t="shared" si="6"/>
        <v>0.96933333333333327</v>
      </c>
      <c r="R16" s="619"/>
      <c r="S16" s="31">
        <v>0.33541666666666664</v>
      </c>
      <c r="T16" s="31">
        <v>0.36666666666666664</v>
      </c>
      <c r="U16" s="95">
        <f t="shared" si="18"/>
        <v>4.9999999999999822</v>
      </c>
      <c r="V16" s="107">
        <f t="shared" si="17"/>
        <v>45</v>
      </c>
      <c r="W16" s="17"/>
      <c r="X16" s="17"/>
      <c r="Y16" s="17"/>
      <c r="Z16" s="17"/>
      <c r="AA16" s="610"/>
      <c r="AB16" s="610"/>
      <c r="AC16" s="19"/>
      <c r="AD16" s="19"/>
      <c r="AE16" s="15">
        <f t="shared" si="8"/>
        <v>-61.333333333333485</v>
      </c>
      <c r="AF16" s="98">
        <f t="shared" si="9"/>
        <v>0.96933333333333327</v>
      </c>
      <c r="AG16" s="619"/>
    </row>
    <row r="17" spans="1:33" ht="16.5" customHeight="1">
      <c r="A17" s="644" t="s">
        <v>185</v>
      </c>
      <c r="B17" s="108" t="s">
        <v>10</v>
      </c>
      <c r="C17" s="635" t="s">
        <v>12</v>
      </c>
      <c r="D17" s="635"/>
      <c r="E17" s="33">
        <v>39.46</v>
      </c>
      <c r="F17" s="108">
        <v>2262</v>
      </c>
      <c r="G17" s="95">
        <f t="shared" si="15"/>
        <v>89258.52</v>
      </c>
      <c r="H17" s="29" t="s">
        <v>5</v>
      </c>
      <c r="I17" s="106">
        <v>15</v>
      </c>
      <c r="J17" s="30">
        <v>1500</v>
      </c>
      <c r="K17" s="13">
        <f t="shared" si="1"/>
        <v>100</v>
      </c>
      <c r="L17" s="106">
        <v>15</v>
      </c>
      <c r="M17" s="14">
        <f t="shared" si="16"/>
        <v>1443.8297872340427</v>
      </c>
      <c r="N17" s="13">
        <f t="shared" si="3"/>
        <v>96.255319148936181</v>
      </c>
      <c r="O17" s="15">
        <f t="shared" si="4"/>
        <v>0</v>
      </c>
      <c r="P17" s="16">
        <f t="shared" si="5"/>
        <v>-3.7446808510638192</v>
      </c>
      <c r="Q17" s="98">
        <f t="shared" si="6"/>
        <v>0.9625531914893618</v>
      </c>
      <c r="R17" s="619"/>
      <c r="S17" s="31">
        <v>0.37222222222222218</v>
      </c>
      <c r="T17" s="31">
        <v>0.43749999999999994</v>
      </c>
      <c r="U17" s="95">
        <f t="shared" si="18"/>
        <v>7.9999999999999716</v>
      </c>
      <c r="V17" s="107">
        <f t="shared" si="17"/>
        <v>93.999999999999986</v>
      </c>
      <c r="W17" s="17"/>
      <c r="X17" s="17"/>
      <c r="Y17" s="17"/>
      <c r="Z17" s="17"/>
      <c r="AA17" s="610"/>
      <c r="AB17" s="610"/>
      <c r="AC17" s="19"/>
      <c r="AD17" s="19"/>
      <c r="AE17" s="15">
        <f t="shared" si="8"/>
        <v>-56.170212765957331</v>
      </c>
      <c r="AF17" s="98">
        <f t="shared" si="9"/>
        <v>0.9625531914893618</v>
      </c>
      <c r="AG17" s="619"/>
    </row>
    <row r="18" spans="1:33" ht="16.5" customHeight="1">
      <c r="A18" s="644" t="s">
        <v>186</v>
      </c>
      <c r="B18" s="108" t="s">
        <v>6</v>
      </c>
      <c r="C18" s="635" t="s">
        <v>20</v>
      </c>
      <c r="D18" s="635"/>
      <c r="E18" s="33">
        <v>54.5</v>
      </c>
      <c r="F18" s="108">
        <v>1241</v>
      </c>
      <c r="G18" s="95">
        <f t="shared" si="15"/>
        <v>67634.5</v>
      </c>
      <c r="H18" s="29" t="s">
        <v>5</v>
      </c>
      <c r="I18" s="106">
        <v>19</v>
      </c>
      <c r="J18" s="30">
        <v>1500</v>
      </c>
      <c r="K18" s="13">
        <f t="shared" si="1"/>
        <v>78.94736842105263</v>
      </c>
      <c r="L18" s="106">
        <v>19</v>
      </c>
      <c r="M18" s="14">
        <f t="shared" si="16"/>
        <v>1431.9230769230776</v>
      </c>
      <c r="N18" s="13">
        <f t="shared" si="3"/>
        <v>75.364372469635668</v>
      </c>
      <c r="O18" s="15">
        <f t="shared" si="4"/>
        <v>0</v>
      </c>
      <c r="P18" s="16">
        <f t="shared" si="5"/>
        <v>-3.5829959514169616</v>
      </c>
      <c r="Q18" s="98">
        <f t="shared" si="6"/>
        <v>0.9546153846153852</v>
      </c>
      <c r="R18" s="619"/>
      <c r="S18" s="31">
        <v>0.70833333333333337</v>
      </c>
      <c r="T18" s="31">
        <v>0.74444444444444446</v>
      </c>
      <c r="U18" s="95" t="str">
        <f t="shared" si="18"/>
        <v/>
      </c>
      <c r="V18" s="107">
        <f t="shared" si="17"/>
        <v>51.999999999999972</v>
      </c>
      <c r="W18" s="17"/>
      <c r="X18" s="17"/>
      <c r="Y18" s="17"/>
      <c r="Z18" s="17"/>
      <c r="AA18" s="610"/>
      <c r="AB18" s="610"/>
      <c r="AC18" s="19"/>
      <c r="AD18" s="19"/>
      <c r="AE18" s="15">
        <f t="shared" si="8"/>
        <v>-68.076923076922412</v>
      </c>
      <c r="AF18" s="98">
        <f t="shared" si="9"/>
        <v>0.95461538461538509</v>
      </c>
      <c r="AG18" s="619"/>
    </row>
    <row r="19" spans="1:33" ht="16.5" customHeight="1">
      <c r="A19" s="644" t="s">
        <v>185</v>
      </c>
      <c r="B19" s="108" t="s">
        <v>6</v>
      </c>
      <c r="C19" s="104" t="s">
        <v>19</v>
      </c>
      <c r="D19" s="105"/>
      <c r="E19" s="33">
        <v>50.67</v>
      </c>
      <c r="F19" s="108">
        <v>1717</v>
      </c>
      <c r="G19" s="95">
        <f t="shared" si="15"/>
        <v>87000.39</v>
      </c>
      <c r="H19" s="29" t="s">
        <v>5</v>
      </c>
      <c r="I19" s="106">
        <v>17</v>
      </c>
      <c r="J19" s="30">
        <v>2000</v>
      </c>
      <c r="K19" s="13">
        <f t="shared" si="1"/>
        <v>117.64705882352941</v>
      </c>
      <c r="L19" s="106">
        <v>17</v>
      </c>
      <c r="M19" s="14">
        <f t="shared" si="16"/>
        <v>1907.7777777777787</v>
      </c>
      <c r="N19" s="13">
        <f t="shared" si="3"/>
        <v>112.22222222222229</v>
      </c>
      <c r="O19" s="15">
        <f t="shared" si="4"/>
        <v>0</v>
      </c>
      <c r="P19" s="16">
        <f t="shared" si="5"/>
        <v>-5.4248366013071205</v>
      </c>
      <c r="Q19" s="98">
        <f t="shared" si="6"/>
        <v>0.95388888888888945</v>
      </c>
      <c r="R19" s="619"/>
      <c r="S19" s="31">
        <v>0.74791666666666667</v>
      </c>
      <c r="T19" s="31">
        <v>0.78541666666666665</v>
      </c>
      <c r="U19" s="95">
        <f t="shared" si="18"/>
        <v>4.9999999999999822</v>
      </c>
      <c r="V19" s="107">
        <f t="shared" si="17"/>
        <v>53.999999999999972</v>
      </c>
      <c r="W19" s="17"/>
      <c r="X19" s="17"/>
      <c r="Y19" s="20"/>
      <c r="Z19" s="20"/>
      <c r="AA19" s="102"/>
      <c r="AB19" s="103"/>
      <c r="AC19" s="19"/>
      <c r="AD19" s="19"/>
      <c r="AE19" s="15">
        <f t="shared" si="8"/>
        <v>-92.222222222221262</v>
      </c>
      <c r="AF19" s="98">
        <f t="shared" si="9"/>
        <v>0.95388888888888934</v>
      </c>
      <c r="AG19" s="619"/>
    </row>
    <row r="20" spans="1:33" ht="16.5" customHeight="1">
      <c r="A20" s="644" t="s">
        <v>185</v>
      </c>
      <c r="B20" s="108" t="s">
        <v>6</v>
      </c>
      <c r="C20" s="104" t="s">
        <v>9</v>
      </c>
      <c r="D20" s="105"/>
      <c r="E20" s="33">
        <v>50.67</v>
      </c>
      <c r="F20" s="108">
        <v>1567</v>
      </c>
      <c r="G20" s="95">
        <f t="shared" si="15"/>
        <v>79399.89</v>
      </c>
      <c r="H20" s="29" t="s">
        <v>5</v>
      </c>
      <c r="I20" s="106">
        <v>15</v>
      </c>
      <c r="J20" s="30">
        <v>2000</v>
      </c>
      <c r="K20" s="13">
        <f t="shared" si="1"/>
        <v>133.33333333333334</v>
      </c>
      <c r="L20" s="106">
        <v>15</v>
      </c>
      <c r="M20" s="14">
        <f t="shared" si="16"/>
        <v>1918.7755102040821</v>
      </c>
      <c r="N20" s="13">
        <f t="shared" si="3"/>
        <v>127.91836734693881</v>
      </c>
      <c r="O20" s="15">
        <f t="shared" si="4"/>
        <v>0</v>
      </c>
      <c r="P20" s="16">
        <f t="shared" si="5"/>
        <v>-5.4149659863945345</v>
      </c>
      <c r="Q20" s="98">
        <f t="shared" si="6"/>
        <v>0.959387755102041</v>
      </c>
      <c r="R20" s="619"/>
      <c r="S20" s="31">
        <v>0.78888888888888886</v>
      </c>
      <c r="T20" s="31">
        <v>0.82291666666666663</v>
      </c>
      <c r="U20" s="95">
        <f t="shared" si="18"/>
        <v>4.9999999999999822</v>
      </c>
      <c r="V20" s="107">
        <f t="shared" si="17"/>
        <v>48.999999999999986</v>
      </c>
      <c r="W20" s="17">
        <f>T20</f>
        <v>0.82291666666666663</v>
      </c>
      <c r="X20" s="17">
        <f>S21</f>
        <v>0.86249999999999993</v>
      </c>
      <c r="Y20" s="20"/>
      <c r="Z20" s="20"/>
      <c r="AA20" s="102"/>
      <c r="AB20" s="103"/>
      <c r="AC20" s="19"/>
      <c r="AD20" s="19"/>
      <c r="AE20" s="15">
        <f t="shared" si="8"/>
        <v>-81.224489795917862</v>
      </c>
      <c r="AF20" s="98">
        <f t="shared" si="9"/>
        <v>0.95938775510204111</v>
      </c>
      <c r="AG20" s="619"/>
    </row>
    <row r="21" spans="1:33" ht="16.5" customHeight="1">
      <c r="A21" s="644" t="s">
        <v>187</v>
      </c>
      <c r="B21" s="108" t="s">
        <v>6</v>
      </c>
      <c r="C21" s="104" t="s">
        <v>82</v>
      </c>
      <c r="D21" s="105"/>
      <c r="E21" s="33">
        <v>54.09</v>
      </c>
      <c r="F21" s="108">
        <v>3659</v>
      </c>
      <c r="G21" s="95">
        <f t="shared" si="15"/>
        <v>197915.31000000003</v>
      </c>
      <c r="H21" s="29" t="s">
        <v>5</v>
      </c>
      <c r="I21" s="106">
        <v>14</v>
      </c>
      <c r="J21" s="30">
        <v>2000</v>
      </c>
      <c r="K21" s="13">
        <f t="shared" si="1"/>
        <v>142.85714285714286</v>
      </c>
      <c r="L21" s="106">
        <v>14</v>
      </c>
      <c r="M21" s="14">
        <f t="shared" si="16"/>
        <v>1909.0434782608686</v>
      </c>
      <c r="N21" s="13">
        <f t="shared" si="3"/>
        <v>136.3602484472049</v>
      </c>
      <c r="O21" s="15">
        <f t="shared" si="4"/>
        <v>0</v>
      </c>
      <c r="P21" s="16">
        <f t="shared" si="5"/>
        <v>-6.4968944099379655</v>
      </c>
      <c r="Q21" s="98">
        <f t="shared" si="6"/>
        <v>0.95452173913043425</v>
      </c>
      <c r="R21" s="619"/>
      <c r="S21" s="31">
        <v>0.86249999999999993</v>
      </c>
      <c r="T21" s="31">
        <v>0.94236111111111109</v>
      </c>
      <c r="U21" s="95">
        <f t="shared" si="18"/>
        <v>56.999999999999957</v>
      </c>
      <c r="V21" s="107">
        <f t="shared" si="17"/>
        <v>115.00000000000007</v>
      </c>
      <c r="W21" s="17"/>
      <c r="X21" s="17"/>
      <c r="Y21" s="20"/>
      <c r="Z21" s="20"/>
      <c r="AA21" s="102"/>
      <c r="AB21" s="103"/>
      <c r="AC21" s="19"/>
      <c r="AD21" s="19"/>
      <c r="AE21" s="15">
        <f t="shared" si="8"/>
        <v>-90.956521739131404</v>
      </c>
      <c r="AF21" s="98">
        <f t="shared" si="9"/>
        <v>0.95452173913043425</v>
      </c>
      <c r="AG21" s="619"/>
    </row>
    <row r="22" spans="1:33" ht="16.5" customHeight="1">
      <c r="A22" s="644" t="s">
        <v>187</v>
      </c>
      <c r="B22" s="33" t="s">
        <v>188</v>
      </c>
      <c r="C22" s="620"/>
      <c r="D22" s="620"/>
      <c r="E22" s="99"/>
      <c r="F22" s="34"/>
      <c r="G22" s="13"/>
      <c r="H22" s="108"/>
      <c r="I22" s="23">
        <v>17</v>
      </c>
      <c r="J22" s="30">
        <v>1812.5</v>
      </c>
      <c r="K22" s="13">
        <f t="shared" si="1"/>
        <v>106.61764705882354</v>
      </c>
      <c r="L22" s="23">
        <v>17</v>
      </c>
      <c r="M22" s="14">
        <f>AVERAGE(M14:M21)</f>
        <v>1736.625721343841</v>
      </c>
      <c r="N22" s="13">
        <f t="shared" si="3"/>
        <v>102.15445419669652</v>
      </c>
      <c r="O22" s="15">
        <f t="shared" si="4"/>
        <v>0</v>
      </c>
      <c r="P22" s="16">
        <f t="shared" si="5"/>
        <v>-4.4631928621270163</v>
      </c>
      <c r="Q22" s="98">
        <f t="shared" si="6"/>
        <v>0.95813832901729146</v>
      </c>
      <c r="R22" s="619"/>
      <c r="S22" s="31"/>
      <c r="T22" s="31"/>
      <c r="U22" s="95"/>
      <c r="V22" s="107"/>
      <c r="W22" s="13"/>
      <c r="X22" s="13"/>
      <c r="Y22" s="24">
        <f>SUM(Y14:Y21)</f>
        <v>0</v>
      </c>
      <c r="Z22" s="24">
        <f>SUM(Z14:Z21)</f>
        <v>0</v>
      </c>
      <c r="AA22" s="609"/>
      <c r="AB22" s="609"/>
      <c r="AC22" s="24">
        <v>8</v>
      </c>
      <c r="AD22" s="24">
        <f>SUM(AD14:AD21)</f>
        <v>0</v>
      </c>
      <c r="AE22" s="15">
        <f t="shared" si="8"/>
        <v>-75.874278656159049</v>
      </c>
      <c r="AF22" s="98">
        <f t="shared" si="9"/>
        <v>0.95813832901729157</v>
      </c>
      <c r="AG22" s="619"/>
    </row>
    <row r="23" spans="1:33" ht="15.75" customHeight="1">
      <c r="A23" s="637" t="s">
        <v>189</v>
      </c>
      <c r="B23" s="33" t="s">
        <v>6</v>
      </c>
      <c r="C23" s="635" t="s">
        <v>22</v>
      </c>
      <c r="D23" s="635"/>
      <c r="E23" s="33">
        <v>50.67</v>
      </c>
      <c r="F23" s="108">
        <v>1734</v>
      </c>
      <c r="G23" s="95">
        <f t="shared" ref="G23:G30" si="19">E23*F23</f>
        <v>87861.78</v>
      </c>
      <c r="H23" s="29" t="s">
        <v>5</v>
      </c>
      <c r="I23" s="106">
        <v>17</v>
      </c>
      <c r="J23" s="30">
        <v>2000</v>
      </c>
      <c r="K23" s="13">
        <f t="shared" si="1"/>
        <v>117.64705882352941</v>
      </c>
      <c r="L23" s="106">
        <v>17</v>
      </c>
      <c r="M23" s="14">
        <f t="shared" ref="M23:M30" si="20">F23/V23*60</f>
        <v>1926.6666666666665</v>
      </c>
      <c r="N23" s="13">
        <f t="shared" si="3"/>
        <v>113.33333333333333</v>
      </c>
      <c r="O23" s="15">
        <f t="shared" si="4"/>
        <v>0</v>
      </c>
      <c r="P23" s="16">
        <f t="shared" si="5"/>
        <v>-4.3137254901960773</v>
      </c>
      <c r="Q23" s="98">
        <f t="shared" si="6"/>
        <v>0.96333333333333337</v>
      </c>
      <c r="R23" s="619">
        <f>Q31</f>
        <v>0.9599761425945107</v>
      </c>
      <c r="S23" s="31">
        <v>0.20833333333333334</v>
      </c>
      <c r="T23" s="31">
        <v>0.24583333333333335</v>
      </c>
      <c r="U23" s="95"/>
      <c r="V23" s="107">
        <f t="shared" ref="V23:V30" si="21">(T23-S23)*24*60</f>
        <v>54.000000000000007</v>
      </c>
      <c r="W23" s="17"/>
      <c r="X23" s="17"/>
      <c r="Y23" s="22"/>
      <c r="Z23" s="22"/>
      <c r="AA23" s="610"/>
      <c r="AB23" s="610"/>
      <c r="AC23" s="19">
        <v>8</v>
      </c>
      <c r="AD23" s="19"/>
      <c r="AE23" s="15">
        <f t="shared" si="8"/>
        <v>-73.333333333333485</v>
      </c>
      <c r="AF23" s="98">
        <f t="shared" si="9"/>
        <v>0.96333333333333326</v>
      </c>
      <c r="AG23" s="619">
        <f>AF31</f>
        <v>0.9599761425945107</v>
      </c>
    </row>
    <row r="24" spans="1:33" ht="15.75" customHeight="1">
      <c r="A24" s="638" t="s">
        <v>190</v>
      </c>
      <c r="B24" s="33" t="s">
        <v>6</v>
      </c>
      <c r="C24" s="635" t="s">
        <v>23</v>
      </c>
      <c r="D24" s="635"/>
      <c r="E24" s="33">
        <v>57.73</v>
      </c>
      <c r="F24" s="108">
        <v>3067</v>
      </c>
      <c r="G24" s="95">
        <f t="shared" si="19"/>
        <v>177057.91</v>
      </c>
      <c r="H24" s="29" t="s">
        <v>5</v>
      </c>
      <c r="I24" s="106">
        <v>14</v>
      </c>
      <c r="J24" s="30">
        <v>2000</v>
      </c>
      <c r="K24" s="13">
        <f t="shared" si="1"/>
        <v>142.85714285714286</v>
      </c>
      <c r="L24" s="106">
        <v>14</v>
      </c>
      <c r="M24" s="14">
        <f t="shared" si="20"/>
        <v>1916.8750000000005</v>
      </c>
      <c r="N24" s="13">
        <f t="shared" si="3"/>
        <v>136.91964285714289</v>
      </c>
      <c r="O24" s="15">
        <f t="shared" si="4"/>
        <v>0</v>
      </c>
      <c r="P24" s="16">
        <f t="shared" si="5"/>
        <v>-5.9374999999999716</v>
      </c>
      <c r="Q24" s="98">
        <f t="shared" si="6"/>
        <v>0.95843750000000016</v>
      </c>
      <c r="R24" s="619"/>
      <c r="S24" s="31">
        <v>0.24930555555555556</v>
      </c>
      <c r="T24" s="31">
        <v>0.31597222222222221</v>
      </c>
      <c r="U24" s="95">
        <f t="shared" ref="U24:U30" si="22">IF(S24=TIME(17,0,0),"",(S24-T23)*24*60)</f>
        <v>4.9999999999999822</v>
      </c>
      <c r="V24" s="107">
        <f t="shared" si="21"/>
        <v>95.999999999999972</v>
      </c>
      <c r="W24" s="17"/>
      <c r="X24" s="95"/>
      <c r="Y24" s="95"/>
      <c r="Z24" s="95"/>
      <c r="AA24" s="610"/>
      <c r="AB24" s="610"/>
      <c r="AC24" s="19"/>
      <c r="AD24" s="19"/>
      <c r="AE24" s="15">
        <f t="shared" si="8"/>
        <v>-83.124999999999545</v>
      </c>
      <c r="AF24" s="98">
        <f t="shared" si="9"/>
        <v>0.95843750000000028</v>
      </c>
      <c r="AG24" s="619"/>
    </row>
    <row r="25" spans="1:33" ht="15.75" customHeight="1">
      <c r="A25" s="638" t="s">
        <v>190</v>
      </c>
      <c r="B25" s="33" t="s">
        <v>6</v>
      </c>
      <c r="C25" s="635" t="s">
        <v>24</v>
      </c>
      <c r="D25" s="635"/>
      <c r="E25" s="33">
        <v>53.27</v>
      </c>
      <c r="F25" s="108">
        <v>2007</v>
      </c>
      <c r="G25" s="95">
        <f t="shared" si="19"/>
        <v>106912.89</v>
      </c>
      <c r="H25" s="29" t="s">
        <v>5</v>
      </c>
      <c r="I25" s="106">
        <v>16</v>
      </c>
      <c r="J25" s="30">
        <v>2000</v>
      </c>
      <c r="K25" s="13">
        <f t="shared" si="1"/>
        <v>125</v>
      </c>
      <c r="L25" s="106">
        <v>16</v>
      </c>
      <c r="M25" s="14">
        <f t="shared" si="20"/>
        <v>1911.4285714285711</v>
      </c>
      <c r="N25" s="13">
        <f t="shared" si="3"/>
        <v>119.46428571428569</v>
      </c>
      <c r="O25" s="15">
        <f t="shared" si="4"/>
        <v>0</v>
      </c>
      <c r="P25" s="16">
        <f t="shared" si="5"/>
        <v>-5.535714285714306</v>
      </c>
      <c r="Q25" s="98">
        <f t="shared" si="6"/>
        <v>0.95571428571428552</v>
      </c>
      <c r="R25" s="619"/>
      <c r="S25" s="31">
        <v>0.32013888888888886</v>
      </c>
      <c r="T25" s="31">
        <v>0.36388888888888887</v>
      </c>
      <c r="U25" s="95">
        <f t="shared" si="22"/>
        <v>5.9999999999999787</v>
      </c>
      <c r="V25" s="107">
        <f t="shared" si="21"/>
        <v>63.000000000000014</v>
      </c>
      <c r="W25" s="17"/>
      <c r="X25" s="95"/>
      <c r="Y25" s="95"/>
      <c r="Z25" s="95"/>
      <c r="AA25" s="610"/>
      <c r="AB25" s="610"/>
      <c r="AC25" s="19"/>
      <c r="AD25" s="19"/>
      <c r="AE25" s="15">
        <f t="shared" si="8"/>
        <v>-88.571428571428896</v>
      </c>
      <c r="AF25" s="98">
        <f t="shared" si="9"/>
        <v>0.95571428571428552</v>
      </c>
      <c r="AG25" s="619"/>
    </row>
    <row r="26" spans="1:33" ht="15.75" customHeight="1">
      <c r="A26" s="638" t="s">
        <v>190</v>
      </c>
      <c r="B26" s="33" t="s">
        <v>6</v>
      </c>
      <c r="C26" s="635" t="s">
        <v>40</v>
      </c>
      <c r="D26" s="635"/>
      <c r="E26" s="33">
        <v>59.04</v>
      </c>
      <c r="F26" s="108">
        <v>1373</v>
      </c>
      <c r="G26" s="95">
        <f t="shared" si="19"/>
        <v>81061.919999999998</v>
      </c>
      <c r="H26" s="29" t="s">
        <v>5</v>
      </c>
      <c r="I26" s="106">
        <v>19</v>
      </c>
      <c r="J26" s="30">
        <v>2000</v>
      </c>
      <c r="K26" s="13">
        <f t="shared" si="1"/>
        <v>105.26315789473684</v>
      </c>
      <c r="L26" s="106">
        <v>19</v>
      </c>
      <c r="M26" s="14">
        <f t="shared" si="20"/>
        <v>1915.8139534883717</v>
      </c>
      <c r="N26" s="13">
        <f t="shared" si="3"/>
        <v>100.83231334149325</v>
      </c>
      <c r="O26" s="15">
        <f t="shared" si="4"/>
        <v>0</v>
      </c>
      <c r="P26" s="16">
        <f t="shared" si="5"/>
        <v>-4.4308445532435883</v>
      </c>
      <c r="Q26" s="98">
        <f t="shared" si="6"/>
        <v>0.9579069767441859</v>
      </c>
      <c r="R26" s="619"/>
      <c r="S26" s="31">
        <v>0.36874999999999997</v>
      </c>
      <c r="T26" s="31">
        <v>0.39861111111111108</v>
      </c>
      <c r="U26" s="95">
        <f t="shared" si="22"/>
        <v>6.9999999999999751</v>
      </c>
      <c r="V26" s="107">
        <f t="shared" si="21"/>
        <v>43.000000000000007</v>
      </c>
      <c r="W26" s="17"/>
      <c r="X26" s="95"/>
      <c r="Y26" s="95"/>
      <c r="Z26" s="95"/>
      <c r="AA26" s="610"/>
      <c r="AB26" s="610"/>
      <c r="AC26" s="19"/>
      <c r="AD26" s="19"/>
      <c r="AE26" s="15">
        <f t="shared" si="8"/>
        <v>-84.186046511628319</v>
      </c>
      <c r="AF26" s="98">
        <f t="shared" si="9"/>
        <v>0.95790697674418579</v>
      </c>
      <c r="AG26" s="619"/>
    </row>
    <row r="27" spans="1:33" ht="15.75" customHeight="1">
      <c r="A27" s="638" t="s">
        <v>190</v>
      </c>
      <c r="B27" s="33" t="s">
        <v>6</v>
      </c>
      <c r="C27" s="635" t="s">
        <v>21</v>
      </c>
      <c r="D27" s="635"/>
      <c r="E27" s="33">
        <v>50.49</v>
      </c>
      <c r="F27" s="108">
        <v>2243</v>
      </c>
      <c r="G27" s="95">
        <f t="shared" si="19"/>
        <v>113249.07</v>
      </c>
      <c r="H27" s="29" t="s">
        <v>5</v>
      </c>
      <c r="I27" s="106">
        <v>15</v>
      </c>
      <c r="J27" s="30">
        <v>2000</v>
      </c>
      <c r="K27" s="13">
        <f t="shared" si="1"/>
        <v>133.33333333333334</v>
      </c>
      <c r="L27" s="106">
        <v>15</v>
      </c>
      <c r="M27" s="14">
        <f t="shared" si="20"/>
        <v>1922.5714285714266</v>
      </c>
      <c r="N27" s="13">
        <f t="shared" si="3"/>
        <v>128.17142857142844</v>
      </c>
      <c r="O27" s="15">
        <f t="shared" si="4"/>
        <v>0</v>
      </c>
      <c r="P27" s="16">
        <f t="shared" si="5"/>
        <v>-5.161904761904907</v>
      </c>
      <c r="Q27" s="98">
        <f t="shared" si="6"/>
        <v>0.96128571428571319</v>
      </c>
      <c r="R27" s="619"/>
      <c r="S27" s="31">
        <v>0.70833333333333337</v>
      </c>
      <c r="T27" s="31">
        <v>0.75694444444444453</v>
      </c>
      <c r="U27" s="95" t="str">
        <f t="shared" si="22"/>
        <v/>
      </c>
      <c r="V27" s="107">
        <f t="shared" si="21"/>
        <v>70.000000000000071</v>
      </c>
      <c r="W27" s="17"/>
      <c r="X27" s="17"/>
      <c r="Y27" s="95"/>
      <c r="Z27" s="95"/>
      <c r="AA27" s="610"/>
      <c r="AB27" s="610"/>
      <c r="AC27" s="19"/>
      <c r="AD27" s="19"/>
      <c r="AE27" s="15">
        <f t="shared" si="8"/>
        <v>-77.428571428573377</v>
      </c>
      <c r="AF27" s="98">
        <f t="shared" si="9"/>
        <v>0.9612857142857133</v>
      </c>
      <c r="AG27" s="619"/>
    </row>
    <row r="28" spans="1:33" ht="15.75" customHeight="1">
      <c r="A28" s="638" t="s">
        <v>190</v>
      </c>
      <c r="B28" s="33" t="s">
        <v>6</v>
      </c>
      <c r="C28" s="635" t="s">
        <v>26</v>
      </c>
      <c r="D28" s="635"/>
      <c r="E28" s="33">
        <v>54.09</v>
      </c>
      <c r="F28" s="108">
        <v>2178</v>
      </c>
      <c r="G28" s="95">
        <f t="shared" si="19"/>
        <v>117808.02</v>
      </c>
      <c r="H28" s="29" t="s">
        <v>5</v>
      </c>
      <c r="I28" s="106">
        <v>18</v>
      </c>
      <c r="J28" s="30">
        <v>2000</v>
      </c>
      <c r="K28" s="13">
        <f t="shared" si="1"/>
        <v>111.11111111111111</v>
      </c>
      <c r="L28" s="106">
        <v>18</v>
      </c>
      <c r="M28" s="14">
        <f t="shared" si="20"/>
        <v>1921.7647058823552</v>
      </c>
      <c r="N28" s="13">
        <f t="shared" si="3"/>
        <v>106.76470588235307</v>
      </c>
      <c r="O28" s="15">
        <f t="shared" si="4"/>
        <v>0</v>
      </c>
      <c r="P28" s="16">
        <f t="shared" si="5"/>
        <v>-4.3464052287580444</v>
      </c>
      <c r="Q28" s="98">
        <f t="shared" si="6"/>
        <v>0.96088235294117763</v>
      </c>
      <c r="R28" s="619"/>
      <c r="S28" s="31">
        <v>0.76111111111111118</v>
      </c>
      <c r="T28" s="31">
        <v>0.80833333333333335</v>
      </c>
      <c r="U28" s="95">
        <f t="shared" si="22"/>
        <v>5.9999999999999787</v>
      </c>
      <c r="V28" s="107">
        <f t="shared" si="21"/>
        <v>67.999999999999915</v>
      </c>
      <c r="W28" s="17"/>
      <c r="X28" s="22"/>
      <c r="Y28" s="22"/>
      <c r="Z28" s="22"/>
      <c r="AA28" s="610"/>
      <c r="AB28" s="610"/>
      <c r="AC28" s="19"/>
      <c r="AD28" s="19"/>
      <c r="AE28" s="15">
        <f t="shared" si="8"/>
        <v>-78.235294117644798</v>
      </c>
      <c r="AF28" s="98">
        <f t="shared" si="9"/>
        <v>0.96088235294117763</v>
      </c>
      <c r="AG28" s="619"/>
    </row>
    <row r="29" spans="1:33" ht="15.75" customHeight="1">
      <c r="A29" s="638" t="s">
        <v>190</v>
      </c>
      <c r="B29" s="33" t="s">
        <v>6</v>
      </c>
      <c r="C29" s="639" t="s">
        <v>45</v>
      </c>
      <c r="D29" s="640"/>
      <c r="E29" s="33">
        <v>51.06</v>
      </c>
      <c r="F29" s="108">
        <v>1000</v>
      </c>
      <c r="G29" s="95">
        <f t="shared" si="19"/>
        <v>51060</v>
      </c>
      <c r="H29" s="29">
        <v>2</v>
      </c>
      <c r="I29" s="106">
        <v>13</v>
      </c>
      <c r="J29" s="30">
        <v>2000</v>
      </c>
      <c r="K29" s="13">
        <f t="shared" si="1"/>
        <v>153.84615384615384</v>
      </c>
      <c r="L29" s="106">
        <v>13</v>
      </c>
      <c r="M29" s="14">
        <f t="shared" si="20"/>
        <v>1935.483870967739</v>
      </c>
      <c r="N29" s="13">
        <f t="shared" si="3"/>
        <v>148.88337468982607</v>
      </c>
      <c r="O29" s="15">
        <f t="shared" si="4"/>
        <v>0</v>
      </c>
      <c r="P29" s="16">
        <f t="shared" si="5"/>
        <v>-4.9627791563277697</v>
      </c>
      <c r="Q29" s="98">
        <f t="shared" si="6"/>
        <v>0.96774193548386944</v>
      </c>
      <c r="R29" s="619"/>
      <c r="S29" s="31">
        <v>0.81180555555555556</v>
      </c>
      <c r="T29" s="31">
        <v>0.83333333333333337</v>
      </c>
      <c r="U29" s="95">
        <f t="shared" si="22"/>
        <v>4.9999999999999822</v>
      </c>
      <c r="V29" s="107">
        <f t="shared" si="21"/>
        <v>31.00000000000005</v>
      </c>
      <c r="W29" s="17">
        <f>T29</f>
        <v>0.83333333333333337</v>
      </c>
      <c r="X29" s="17">
        <f>S30</f>
        <v>0.87361111111111112</v>
      </c>
      <c r="Y29" s="94"/>
      <c r="Z29" s="94"/>
      <c r="AA29" s="614"/>
      <c r="AB29" s="615"/>
      <c r="AC29" s="19"/>
      <c r="AD29" s="19"/>
      <c r="AE29" s="15">
        <f t="shared" si="8"/>
        <v>-64.516129032261006</v>
      </c>
      <c r="AF29" s="98">
        <f t="shared" si="9"/>
        <v>0.96774193548386944</v>
      </c>
      <c r="AG29" s="619"/>
    </row>
    <row r="30" spans="1:33" ht="15.75" customHeight="1">
      <c r="A30" s="638" t="s">
        <v>191</v>
      </c>
      <c r="B30" s="33" t="s">
        <v>6</v>
      </c>
      <c r="C30" s="104" t="s">
        <v>45</v>
      </c>
      <c r="D30" s="105"/>
      <c r="E30" s="33">
        <v>51.06</v>
      </c>
      <c r="F30" s="108">
        <v>2259</v>
      </c>
      <c r="G30" s="95">
        <f t="shared" si="19"/>
        <v>115344.54000000001</v>
      </c>
      <c r="H30" s="29" t="s">
        <v>5</v>
      </c>
      <c r="I30" s="106">
        <v>13</v>
      </c>
      <c r="J30" s="30">
        <v>2000</v>
      </c>
      <c r="K30" s="13">
        <f t="shared" si="1"/>
        <v>153.84615384615384</v>
      </c>
      <c r="L30" s="106">
        <v>13</v>
      </c>
      <c r="M30" s="14">
        <f t="shared" si="20"/>
        <v>1909.0140845070403</v>
      </c>
      <c r="N30" s="13">
        <f t="shared" si="3"/>
        <v>146.84723726977234</v>
      </c>
      <c r="O30" s="15">
        <f t="shared" si="4"/>
        <v>0</v>
      </c>
      <c r="P30" s="16">
        <f t="shared" si="5"/>
        <v>-6.9989165763815038</v>
      </c>
      <c r="Q30" s="98">
        <f t="shared" si="6"/>
        <v>0.95450704225352023</v>
      </c>
      <c r="R30" s="619"/>
      <c r="S30" s="31">
        <v>0.87361111111111112</v>
      </c>
      <c r="T30" s="31">
        <v>0.92291666666666672</v>
      </c>
      <c r="U30" s="95">
        <f t="shared" si="22"/>
        <v>57.999999999999957</v>
      </c>
      <c r="V30" s="107">
        <f t="shared" si="21"/>
        <v>71.000000000000071</v>
      </c>
      <c r="W30" s="17"/>
      <c r="X30" s="17"/>
      <c r="Y30" s="20"/>
      <c r="Z30" s="20"/>
      <c r="AA30" s="102"/>
      <c r="AB30" s="103"/>
      <c r="AC30" s="19"/>
      <c r="AD30" s="19"/>
      <c r="AE30" s="15">
        <f t="shared" si="8"/>
        <v>-90.985915492959748</v>
      </c>
      <c r="AF30" s="98">
        <f t="shared" si="9"/>
        <v>0.95450704225352012</v>
      </c>
      <c r="AG30" s="619"/>
    </row>
    <row r="31" spans="1:33" ht="15.75" customHeight="1">
      <c r="A31" s="638" t="s">
        <v>191</v>
      </c>
      <c r="B31" s="33" t="s">
        <v>184</v>
      </c>
      <c r="C31" s="620"/>
      <c r="D31" s="620"/>
      <c r="E31" s="99"/>
      <c r="F31" s="108"/>
      <c r="G31" s="95"/>
      <c r="H31" s="108"/>
      <c r="I31" s="23">
        <v>15.625</v>
      </c>
      <c r="J31" s="30">
        <v>2000</v>
      </c>
      <c r="K31" s="13">
        <f t="shared" si="1"/>
        <v>128</v>
      </c>
      <c r="L31" s="23">
        <v>15.625</v>
      </c>
      <c r="M31" s="14">
        <f>AVERAGE(M23:M30)</f>
        <v>1919.9522851890215</v>
      </c>
      <c r="N31" s="13">
        <f t="shared" si="3"/>
        <v>122.87694625209737</v>
      </c>
      <c r="O31" s="15">
        <f t="shared" si="4"/>
        <v>0</v>
      </c>
      <c r="P31" s="16">
        <f t="shared" si="5"/>
        <v>-5.123053747902631</v>
      </c>
      <c r="Q31" s="98">
        <f t="shared" si="6"/>
        <v>0.9599761425945107</v>
      </c>
      <c r="R31" s="619"/>
      <c r="S31" s="31"/>
      <c r="T31" s="31"/>
      <c r="U31" s="13"/>
      <c r="V31" s="107"/>
      <c r="W31" s="13"/>
      <c r="X31" s="13"/>
      <c r="Y31" s="24">
        <f>SUM(Y23:Y30)</f>
        <v>0</v>
      </c>
      <c r="Z31" s="24">
        <f>SUM(Z23:Z30)</f>
        <v>0</v>
      </c>
      <c r="AA31" s="609"/>
      <c r="AB31" s="609"/>
      <c r="AC31" s="24">
        <v>8</v>
      </c>
      <c r="AD31" s="24">
        <f>SUM(AD23:AD30)</f>
        <v>0</v>
      </c>
      <c r="AE31" s="15">
        <f t="shared" si="8"/>
        <v>-80.047714810978505</v>
      </c>
      <c r="AF31" s="98">
        <f t="shared" si="9"/>
        <v>0.9599761425945107</v>
      </c>
      <c r="AG31" s="619"/>
    </row>
    <row r="32" spans="1:33" ht="15.75" customHeight="1">
      <c r="A32" s="636" t="s">
        <v>192</v>
      </c>
      <c r="B32" s="33" t="s">
        <v>27</v>
      </c>
      <c r="C32" s="635" t="s">
        <v>28</v>
      </c>
      <c r="D32" s="635"/>
      <c r="E32" s="33">
        <v>31.29</v>
      </c>
      <c r="F32" s="108">
        <v>5300</v>
      </c>
      <c r="G32" s="95">
        <f t="shared" ref="G32:G38" si="23">E32*F32</f>
        <v>165837</v>
      </c>
      <c r="H32" s="29">
        <v>2</v>
      </c>
      <c r="I32" s="106">
        <v>18</v>
      </c>
      <c r="J32" s="30">
        <v>2400</v>
      </c>
      <c r="K32" s="13">
        <f t="shared" si="1"/>
        <v>133.33333333333334</v>
      </c>
      <c r="L32" s="106">
        <v>18</v>
      </c>
      <c r="M32" s="14">
        <f t="shared" ref="M32:M38" si="24">F32/V32*60</f>
        <v>2287.7697841726617</v>
      </c>
      <c r="N32" s="13">
        <f t="shared" si="3"/>
        <v>127.09832134292566</v>
      </c>
      <c r="O32" s="15">
        <f t="shared" si="4"/>
        <v>0</v>
      </c>
      <c r="P32" s="16">
        <f t="shared" si="5"/>
        <v>-6.2350119904076848</v>
      </c>
      <c r="Q32" s="98">
        <f t="shared" si="6"/>
        <v>0.9532374100719424</v>
      </c>
      <c r="R32" s="619">
        <f>Q39</f>
        <v>0.95495429707445889</v>
      </c>
      <c r="S32" s="31">
        <v>8.3333333333333329E-2</v>
      </c>
      <c r="T32" s="31">
        <v>0.17986111111111111</v>
      </c>
      <c r="U32" s="95"/>
      <c r="V32" s="107">
        <f t="shared" ref="V32:V38" si="25">(T32-S32)*24*60</f>
        <v>139</v>
      </c>
      <c r="W32" s="17">
        <f>T32</f>
        <v>0.17986111111111111</v>
      </c>
      <c r="X32" s="17">
        <f>S33</f>
        <v>0.19861111111111113</v>
      </c>
      <c r="Y32" s="17"/>
      <c r="Z32" s="17"/>
      <c r="AA32" s="610"/>
      <c r="AB32" s="610"/>
      <c r="AC32" s="19">
        <v>7</v>
      </c>
      <c r="AD32" s="19"/>
      <c r="AE32" s="15">
        <f t="shared" si="8"/>
        <v>-112.23021582733827</v>
      </c>
      <c r="AF32" s="98">
        <f t="shared" si="9"/>
        <v>0.9532374100719424</v>
      </c>
      <c r="AG32" s="619">
        <f>AF39</f>
        <v>0.954954297074459</v>
      </c>
    </row>
    <row r="33" spans="1:33" ht="15.75" customHeight="1">
      <c r="A33" s="636" t="s">
        <v>193</v>
      </c>
      <c r="B33" s="33" t="s">
        <v>27</v>
      </c>
      <c r="C33" s="635" t="s">
        <v>29</v>
      </c>
      <c r="D33" s="635"/>
      <c r="E33" s="33">
        <v>26.37</v>
      </c>
      <c r="F33" s="108">
        <v>6894</v>
      </c>
      <c r="G33" s="95">
        <f t="shared" si="23"/>
        <v>181794.78</v>
      </c>
      <c r="H33" s="29" t="s">
        <v>5</v>
      </c>
      <c r="I33" s="106">
        <v>18</v>
      </c>
      <c r="J33" s="30">
        <v>2400</v>
      </c>
      <c r="K33" s="13">
        <f t="shared" si="1"/>
        <v>133.33333333333334</v>
      </c>
      <c r="L33" s="106">
        <v>18</v>
      </c>
      <c r="M33" s="14">
        <f t="shared" si="24"/>
        <v>2285.3038674033146</v>
      </c>
      <c r="N33" s="13">
        <f t="shared" si="3"/>
        <v>126.96132596685081</v>
      </c>
      <c r="O33" s="15">
        <f t="shared" si="4"/>
        <v>0</v>
      </c>
      <c r="P33" s="16">
        <f t="shared" si="5"/>
        <v>-6.372007366482535</v>
      </c>
      <c r="Q33" s="98">
        <f t="shared" si="6"/>
        <v>0.95220994475138099</v>
      </c>
      <c r="R33" s="619"/>
      <c r="S33" s="31">
        <v>0.19861111111111113</v>
      </c>
      <c r="T33" s="31">
        <v>0.32430555555555557</v>
      </c>
      <c r="U33" s="95">
        <f t="shared" ref="U33:U38" si="26">(S33-T32)*24*60</f>
        <v>27.000000000000025</v>
      </c>
      <c r="V33" s="107">
        <f t="shared" si="25"/>
        <v>181</v>
      </c>
      <c r="W33" s="17"/>
      <c r="X33" s="17"/>
      <c r="Y33" s="17"/>
      <c r="Z33" s="17"/>
      <c r="AA33" s="610"/>
      <c r="AB33" s="610"/>
      <c r="AC33" s="19"/>
      <c r="AD33" s="19"/>
      <c r="AE33" s="15">
        <f t="shared" si="8"/>
        <v>-114.6961325966854</v>
      </c>
      <c r="AF33" s="98">
        <f t="shared" si="9"/>
        <v>0.9522099447513811</v>
      </c>
      <c r="AG33" s="619"/>
    </row>
    <row r="34" spans="1:33" ht="15.75" customHeight="1">
      <c r="A34" s="636" t="s">
        <v>193</v>
      </c>
      <c r="B34" s="33" t="s">
        <v>27</v>
      </c>
      <c r="C34" s="635" t="s">
        <v>34</v>
      </c>
      <c r="D34" s="635"/>
      <c r="E34" s="33">
        <v>24.43</v>
      </c>
      <c r="F34" s="108">
        <v>4200</v>
      </c>
      <c r="G34" s="95">
        <f t="shared" si="23"/>
        <v>102606</v>
      </c>
      <c r="H34" s="29">
        <v>2</v>
      </c>
      <c r="I34" s="106">
        <v>14</v>
      </c>
      <c r="J34" s="30">
        <v>2400</v>
      </c>
      <c r="K34" s="13">
        <f t="shared" si="1"/>
        <v>171.42857142857142</v>
      </c>
      <c r="L34" s="106">
        <v>14</v>
      </c>
      <c r="M34" s="14">
        <f t="shared" si="24"/>
        <v>2290.909090909091</v>
      </c>
      <c r="N34" s="13">
        <f t="shared" si="3"/>
        <v>163.63636363636365</v>
      </c>
      <c r="O34" s="15">
        <f t="shared" si="4"/>
        <v>0</v>
      </c>
      <c r="P34" s="16">
        <f t="shared" si="5"/>
        <v>-7.7922077922077619</v>
      </c>
      <c r="Q34" s="98">
        <f t="shared" si="6"/>
        <v>0.9545454545454547</v>
      </c>
      <c r="R34" s="619"/>
      <c r="S34" s="31">
        <v>0.32777777777777778</v>
      </c>
      <c r="T34" s="31">
        <v>0.40416666666666667</v>
      </c>
      <c r="U34" s="95">
        <f t="shared" si="26"/>
        <v>4.9999999999999822</v>
      </c>
      <c r="V34" s="107">
        <f t="shared" si="25"/>
        <v>110.00000000000001</v>
      </c>
      <c r="W34" s="17"/>
      <c r="X34" s="17"/>
      <c r="Y34" s="17"/>
      <c r="Z34" s="17"/>
      <c r="AA34" s="610"/>
      <c r="AB34" s="610"/>
      <c r="AC34" s="19"/>
      <c r="AD34" s="19"/>
      <c r="AE34" s="15">
        <f t="shared" si="8"/>
        <v>-109.09090909090901</v>
      </c>
      <c r="AF34" s="98">
        <f t="shared" si="9"/>
        <v>0.95454545454545459</v>
      </c>
      <c r="AG34" s="619"/>
    </row>
    <row r="35" spans="1:33" ht="15.75" customHeight="1">
      <c r="A35" s="636" t="s">
        <v>193</v>
      </c>
      <c r="B35" s="33" t="s">
        <v>27</v>
      </c>
      <c r="C35" s="635" t="s">
        <v>35</v>
      </c>
      <c r="D35" s="635"/>
      <c r="E35" s="33">
        <v>34.1</v>
      </c>
      <c r="F35" s="108">
        <v>3700</v>
      </c>
      <c r="G35" s="95">
        <f t="shared" si="23"/>
        <v>126170</v>
      </c>
      <c r="H35" s="29">
        <v>2</v>
      </c>
      <c r="I35" s="106">
        <v>17</v>
      </c>
      <c r="J35" s="30">
        <v>1600</v>
      </c>
      <c r="K35" s="13">
        <f t="shared" si="1"/>
        <v>94.117647058823536</v>
      </c>
      <c r="L35" s="106">
        <v>17</v>
      </c>
      <c r="M35" s="14">
        <f t="shared" si="24"/>
        <v>1531.0344827586209</v>
      </c>
      <c r="N35" s="13">
        <f t="shared" si="3"/>
        <v>90.060851926977705</v>
      </c>
      <c r="O35" s="15">
        <f t="shared" si="4"/>
        <v>0</v>
      </c>
      <c r="P35" s="16">
        <f t="shared" si="5"/>
        <v>-4.0567951318458313</v>
      </c>
      <c r="Q35" s="98">
        <f t="shared" si="6"/>
        <v>0.95689655172413801</v>
      </c>
      <c r="R35" s="619"/>
      <c r="S35" s="31">
        <v>0.40833333333333333</v>
      </c>
      <c r="T35" s="31">
        <v>0.50902777777777775</v>
      </c>
      <c r="U35" s="95">
        <f t="shared" si="26"/>
        <v>5.9999999999999787</v>
      </c>
      <c r="V35" s="107">
        <f t="shared" si="25"/>
        <v>144.99999999999997</v>
      </c>
      <c r="W35" s="17">
        <f>T35</f>
        <v>0.50902777777777775</v>
      </c>
      <c r="X35" s="17">
        <f>S36</f>
        <v>0.54861111111111105</v>
      </c>
      <c r="Y35" s="17"/>
      <c r="Z35" s="17"/>
      <c r="AA35" s="610"/>
      <c r="AB35" s="610"/>
      <c r="AC35" s="19"/>
      <c r="AD35" s="19"/>
      <c r="AE35" s="15">
        <f t="shared" si="8"/>
        <v>-68.965517241379075</v>
      </c>
      <c r="AF35" s="98">
        <f t="shared" si="9"/>
        <v>0.95689655172413812</v>
      </c>
      <c r="AG35" s="619"/>
    </row>
    <row r="36" spans="1:33" ht="15.75" customHeight="1">
      <c r="A36" s="636" t="s">
        <v>193</v>
      </c>
      <c r="B36" s="33" t="s">
        <v>27</v>
      </c>
      <c r="C36" s="635" t="s">
        <v>28</v>
      </c>
      <c r="D36" s="635"/>
      <c r="E36" s="33">
        <v>31.29</v>
      </c>
      <c r="F36" s="108">
        <v>4235</v>
      </c>
      <c r="G36" s="95">
        <f t="shared" si="23"/>
        <v>132513.15</v>
      </c>
      <c r="H36" s="29" t="s">
        <v>5</v>
      </c>
      <c r="I36" s="106">
        <v>18</v>
      </c>
      <c r="J36" s="30">
        <v>2400</v>
      </c>
      <c r="K36" s="13">
        <f t="shared" si="1"/>
        <v>133.33333333333334</v>
      </c>
      <c r="L36" s="106">
        <v>18</v>
      </c>
      <c r="M36" s="14">
        <f t="shared" si="24"/>
        <v>2289.1891891891905</v>
      </c>
      <c r="N36" s="13">
        <f t="shared" si="3"/>
        <v>127.17717717717726</v>
      </c>
      <c r="O36" s="15">
        <f t="shared" si="4"/>
        <v>0</v>
      </c>
      <c r="P36" s="16">
        <f t="shared" si="5"/>
        <v>-6.1561561561560865</v>
      </c>
      <c r="Q36" s="98">
        <f t="shared" si="6"/>
        <v>0.95382882882882936</v>
      </c>
      <c r="R36" s="619"/>
      <c r="S36" s="31">
        <v>0.54861111111111105</v>
      </c>
      <c r="T36" s="31">
        <v>0.62569444444444433</v>
      </c>
      <c r="U36" s="95">
        <f t="shared" si="26"/>
        <v>56.999999999999957</v>
      </c>
      <c r="V36" s="107">
        <f t="shared" si="25"/>
        <v>110.99999999999993</v>
      </c>
      <c r="W36" s="17"/>
      <c r="X36" s="17"/>
      <c r="Y36" s="17"/>
      <c r="Z36" s="17"/>
      <c r="AA36" s="610"/>
      <c r="AB36" s="610"/>
      <c r="AC36" s="19"/>
      <c r="AD36" s="19"/>
      <c r="AE36" s="15">
        <f t="shared" si="8"/>
        <v>-110.81081081080947</v>
      </c>
      <c r="AF36" s="98">
        <f t="shared" si="9"/>
        <v>0.95382882882882936</v>
      </c>
      <c r="AG36" s="619"/>
    </row>
    <row r="37" spans="1:33" ht="15.75" customHeight="1">
      <c r="A37" s="636" t="s">
        <v>193</v>
      </c>
      <c r="B37" s="33" t="s">
        <v>27</v>
      </c>
      <c r="C37" s="635" t="s">
        <v>34</v>
      </c>
      <c r="D37" s="635"/>
      <c r="E37" s="33">
        <v>24.43</v>
      </c>
      <c r="F37" s="108">
        <v>3490</v>
      </c>
      <c r="G37" s="95">
        <f t="shared" si="23"/>
        <v>85260.7</v>
      </c>
      <c r="H37" s="29" t="s">
        <v>5</v>
      </c>
      <c r="I37" s="106">
        <v>14</v>
      </c>
      <c r="J37" s="30">
        <v>2400</v>
      </c>
      <c r="K37" s="13">
        <f t="shared" si="1"/>
        <v>171.42857142857142</v>
      </c>
      <c r="L37" s="106">
        <v>14</v>
      </c>
      <c r="M37" s="14">
        <f t="shared" si="24"/>
        <v>2301.098901098901</v>
      </c>
      <c r="N37" s="13">
        <f t="shared" si="3"/>
        <v>164.36420722135009</v>
      </c>
      <c r="O37" s="15">
        <f t="shared" si="4"/>
        <v>0</v>
      </c>
      <c r="P37" s="16">
        <f t="shared" si="5"/>
        <v>-7.0643642072213311</v>
      </c>
      <c r="Q37" s="98">
        <f t="shared" si="6"/>
        <v>0.95879120879120894</v>
      </c>
      <c r="R37" s="619"/>
      <c r="S37" s="31">
        <v>0.62916666666666654</v>
      </c>
      <c r="T37" s="31">
        <v>0.69236111111111098</v>
      </c>
      <c r="U37" s="95">
        <f t="shared" si="26"/>
        <v>4.9999999999999822</v>
      </c>
      <c r="V37" s="107">
        <f t="shared" si="25"/>
        <v>91</v>
      </c>
      <c r="W37" s="17"/>
      <c r="X37" s="17"/>
      <c r="Y37" s="17"/>
      <c r="Z37" s="17"/>
      <c r="AA37" s="610"/>
      <c r="AB37" s="610"/>
      <c r="AC37" s="19"/>
      <c r="AD37" s="19"/>
      <c r="AE37" s="15">
        <f t="shared" si="8"/>
        <v>-98.901098901098976</v>
      </c>
      <c r="AF37" s="98">
        <f t="shared" si="9"/>
        <v>0.95879120879120872</v>
      </c>
      <c r="AG37" s="619"/>
    </row>
    <row r="38" spans="1:33" ht="15.75" customHeight="1">
      <c r="A38" s="636" t="s">
        <v>193</v>
      </c>
      <c r="B38" s="33" t="s">
        <v>27</v>
      </c>
      <c r="C38" s="635" t="s">
        <v>35</v>
      </c>
      <c r="D38" s="635"/>
      <c r="E38" s="33">
        <v>34.1</v>
      </c>
      <c r="F38" s="108">
        <v>3111</v>
      </c>
      <c r="G38" s="95">
        <f t="shared" si="23"/>
        <v>106085.1</v>
      </c>
      <c r="H38" s="29" t="s">
        <v>5</v>
      </c>
      <c r="I38" s="106">
        <v>17</v>
      </c>
      <c r="J38" s="30">
        <v>1600</v>
      </c>
      <c r="K38" s="13">
        <f t="shared" si="1"/>
        <v>94.117647058823536</v>
      </c>
      <c r="L38" s="106">
        <v>17</v>
      </c>
      <c r="M38" s="14">
        <f t="shared" si="24"/>
        <v>1529.9999999999993</v>
      </c>
      <c r="N38" s="13">
        <f t="shared" si="3"/>
        <v>89.999999999999957</v>
      </c>
      <c r="O38" s="15">
        <f t="shared" si="4"/>
        <v>0</v>
      </c>
      <c r="P38" s="16">
        <f t="shared" si="5"/>
        <v>-4.1176470588235787</v>
      </c>
      <c r="Q38" s="98">
        <f t="shared" si="6"/>
        <v>0.95624999999999949</v>
      </c>
      <c r="R38" s="619"/>
      <c r="S38" s="31">
        <v>0.69583333333333319</v>
      </c>
      <c r="T38" s="31">
        <v>0.78055555555555545</v>
      </c>
      <c r="U38" s="95">
        <f t="shared" si="26"/>
        <v>4.9999999999999822</v>
      </c>
      <c r="V38" s="107">
        <f t="shared" si="25"/>
        <v>122.00000000000004</v>
      </c>
      <c r="W38" s="17"/>
      <c r="X38" s="17"/>
      <c r="Y38" s="17"/>
      <c r="Z38" s="17"/>
      <c r="AA38" s="610"/>
      <c r="AB38" s="610"/>
      <c r="AC38" s="19"/>
      <c r="AD38" s="19"/>
      <c r="AE38" s="15">
        <f t="shared" si="8"/>
        <v>-70.000000000000682</v>
      </c>
      <c r="AF38" s="98">
        <f t="shared" si="9"/>
        <v>0.9562499999999996</v>
      </c>
      <c r="AG38" s="619"/>
    </row>
    <row r="39" spans="1:33" ht="15.75" customHeight="1">
      <c r="A39" s="636" t="s">
        <v>193</v>
      </c>
      <c r="B39" s="33" t="s">
        <v>194</v>
      </c>
      <c r="C39" s="620"/>
      <c r="D39" s="620"/>
      <c r="E39" s="99"/>
      <c r="F39" s="108"/>
      <c r="G39" s="95"/>
      <c r="H39" s="108"/>
      <c r="I39" s="23">
        <v>16.571428571428573</v>
      </c>
      <c r="J39" s="30">
        <v>2171.4285714285716</v>
      </c>
      <c r="K39" s="13">
        <f t="shared" si="1"/>
        <v>131.0344827586207</v>
      </c>
      <c r="L39" s="23">
        <v>16.571428571428573</v>
      </c>
      <c r="M39" s="14">
        <f>AVERAGE(M32:M38)</f>
        <v>2073.6150450759683</v>
      </c>
      <c r="N39" s="13">
        <f t="shared" si="3"/>
        <v>125.13194237527394</v>
      </c>
      <c r="O39" s="15">
        <f t="shared" si="4"/>
        <v>0</v>
      </c>
      <c r="P39" s="16">
        <f t="shared" si="5"/>
        <v>-5.9025403833467607</v>
      </c>
      <c r="Q39" s="98">
        <f t="shared" si="6"/>
        <v>0.95495429707445889</v>
      </c>
      <c r="R39" s="619"/>
      <c r="S39" s="31"/>
      <c r="T39" s="31"/>
      <c r="U39" s="95"/>
      <c r="V39" s="107"/>
      <c r="W39" s="95"/>
      <c r="X39" s="95"/>
      <c r="Y39" s="24">
        <f>SUM(Y32:Y38)</f>
        <v>0</v>
      </c>
      <c r="Z39" s="24">
        <f>SUM(Z32:Z38)</f>
        <v>0</v>
      </c>
      <c r="AA39" s="609"/>
      <c r="AB39" s="609"/>
      <c r="AC39" s="24">
        <v>7</v>
      </c>
      <c r="AD39" s="24">
        <f>SUM(AD32:AD38)</f>
        <v>0</v>
      </c>
      <c r="AE39" s="15">
        <f t="shared" si="8"/>
        <v>-97.813526352603276</v>
      </c>
      <c r="AF39" s="98">
        <f t="shared" si="9"/>
        <v>0.954954297074459</v>
      </c>
      <c r="AG39" s="619"/>
    </row>
    <row r="40" spans="1:33" ht="15.75" customHeight="1">
      <c r="A40" s="633" t="s">
        <v>195</v>
      </c>
      <c r="B40" s="33" t="s">
        <v>27</v>
      </c>
      <c r="C40" s="611" t="s">
        <v>33</v>
      </c>
      <c r="D40" s="611"/>
      <c r="E40" s="33">
        <v>26.18</v>
      </c>
      <c r="F40" s="108">
        <v>6395</v>
      </c>
      <c r="G40" s="95">
        <f t="shared" ref="G40:G47" si="27">E40*F40</f>
        <v>167421.1</v>
      </c>
      <c r="H40" s="29" t="s">
        <v>5</v>
      </c>
      <c r="I40" s="106">
        <v>20</v>
      </c>
      <c r="J40" s="30">
        <v>2400</v>
      </c>
      <c r="K40" s="13">
        <f t="shared" si="1"/>
        <v>120</v>
      </c>
      <c r="L40" s="106">
        <v>20</v>
      </c>
      <c r="M40" s="14">
        <f t="shared" ref="M40:M47" si="28">F40/V40*60</f>
        <v>2283.9285714285716</v>
      </c>
      <c r="N40" s="13">
        <f t="shared" si="3"/>
        <v>114.19642857142858</v>
      </c>
      <c r="O40" s="15">
        <f t="shared" si="4"/>
        <v>0</v>
      </c>
      <c r="P40" s="16">
        <f t="shared" si="5"/>
        <v>-5.8035714285714164</v>
      </c>
      <c r="Q40" s="98">
        <f t="shared" si="6"/>
        <v>0.95163690476190488</v>
      </c>
      <c r="R40" s="619">
        <f>Q48</f>
        <v>0.95504526657887412</v>
      </c>
      <c r="S40" s="31">
        <v>8.3333333333333329E-2</v>
      </c>
      <c r="T40" s="31">
        <v>0.19999999999999998</v>
      </c>
      <c r="U40" s="95"/>
      <c r="V40" s="107">
        <f t="shared" ref="V40:V47" si="29">(T40-S40)*24*60</f>
        <v>168</v>
      </c>
      <c r="W40" s="22">
        <f>T40</f>
        <v>0.19999999999999998</v>
      </c>
      <c r="X40" s="22">
        <f>S41</f>
        <v>0.21944444444444444</v>
      </c>
      <c r="Y40" s="22"/>
      <c r="Z40" s="22"/>
      <c r="AA40" s="610"/>
      <c r="AB40" s="610"/>
      <c r="AC40" s="19">
        <v>8</v>
      </c>
      <c r="AD40" s="19"/>
      <c r="AE40" s="15">
        <f t="shared" si="8"/>
        <v>-116.07142857142844</v>
      </c>
      <c r="AF40" s="98">
        <f t="shared" si="9"/>
        <v>0.95163690476190477</v>
      </c>
      <c r="AG40" s="619">
        <f>AF48</f>
        <v>0.95504526657887423</v>
      </c>
    </row>
    <row r="41" spans="1:33" ht="15.75" customHeight="1">
      <c r="A41" s="633" t="s">
        <v>196</v>
      </c>
      <c r="B41" s="33" t="s">
        <v>27</v>
      </c>
      <c r="C41" s="611" t="s">
        <v>55</v>
      </c>
      <c r="D41" s="611"/>
      <c r="E41" s="33">
        <v>23.89</v>
      </c>
      <c r="F41" s="108">
        <v>1231</v>
      </c>
      <c r="G41" s="95">
        <f t="shared" si="27"/>
        <v>29408.59</v>
      </c>
      <c r="H41" s="29" t="s">
        <v>5</v>
      </c>
      <c r="I41" s="106">
        <v>13</v>
      </c>
      <c r="J41" s="30">
        <v>2400</v>
      </c>
      <c r="K41" s="13">
        <f t="shared" si="1"/>
        <v>184.61538461538461</v>
      </c>
      <c r="L41" s="106">
        <v>13</v>
      </c>
      <c r="M41" s="14">
        <f t="shared" si="28"/>
        <v>2308.1249999999995</v>
      </c>
      <c r="N41" s="13">
        <f t="shared" si="3"/>
        <v>177.54807692307688</v>
      </c>
      <c r="O41" s="15">
        <f t="shared" si="4"/>
        <v>0</v>
      </c>
      <c r="P41" s="16">
        <f t="shared" si="5"/>
        <v>-7.067307692307736</v>
      </c>
      <c r="Q41" s="98">
        <f t="shared" si="6"/>
        <v>0.96171874999999973</v>
      </c>
      <c r="R41" s="619"/>
      <c r="S41" s="31">
        <v>0.21944444444444444</v>
      </c>
      <c r="T41" s="31">
        <v>0.24166666666666667</v>
      </c>
      <c r="U41" s="95">
        <f t="shared" ref="U41:U47" si="30">(S41-T40)*24*60</f>
        <v>28.000000000000021</v>
      </c>
      <c r="V41" s="107">
        <f t="shared" si="29"/>
        <v>32.000000000000007</v>
      </c>
      <c r="W41" s="95"/>
      <c r="X41" s="95"/>
      <c r="Y41" s="95"/>
      <c r="Z41" s="95"/>
      <c r="AA41" s="610"/>
      <c r="AB41" s="610"/>
      <c r="AC41" s="19"/>
      <c r="AD41" s="19"/>
      <c r="AE41" s="15">
        <f t="shared" si="8"/>
        <v>-91.875000000000455</v>
      </c>
      <c r="AF41" s="98">
        <f t="shared" si="9"/>
        <v>0.96171874999999984</v>
      </c>
      <c r="AG41" s="619"/>
    </row>
    <row r="42" spans="1:33">
      <c r="A42" s="634" t="s">
        <v>196</v>
      </c>
      <c r="B42" s="33" t="s">
        <v>27</v>
      </c>
      <c r="C42" s="611" t="s">
        <v>30</v>
      </c>
      <c r="D42" s="611"/>
      <c r="E42" s="33">
        <v>26.18</v>
      </c>
      <c r="F42" s="108">
        <v>4700</v>
      </c>
      <c r="G42" s="95">
        <f t="shared" si="27"/>
        <v>123046</v>
      </c>
      <c r="H42" s="29">
        <v>2</v>
      </c>
      <c r="I42" s="106">
        <v>18</v>
      </c>
      <c r="J42" s="30">
        <v>2400</v>
      </c>
      <c r="K42" s="13">
        <f t="shared" si="1"/>
        <v>133.33333333333334</v>
      </c>
      <c r="L42" s="106">
        <v>18</v>
      </c>
      <c r="M42" s="14">
        <f t="shared" si="28"/>
        <v>2292.6829268292686</v>
      </c>
      <c r="N42" s="13">
        <f t="shared" si="3"/>
        <v>127.37127371273715</v>
      </c>
      <c r="O42" s="15">
        <f t="shared" si="4"/>
        <v>0</v>
      </c>
      <c r="P42" s="16">
        <f t="shared" si="5"/>
        <v>-5.9620596205961931</v>
      </c>
      <c r="Q42" s="98">
        <f t="shared" si="6"/>
        <v>0.9552845528455286</v>
      </c>
      <c r="R42" s="619"/>
      <c r="S42" s="31">
        <v>0.24513888888888888</v>
      </c>
      <c r="T42" s="31">
        <v>0.33055555555555555</v>
      </c>
      <c r="U42" s="95">
        <f t="shared" si="30"/>
        <v>4.9999999999999822</v>
      </c>
      <c r="V42" s="107">
        <f t="shared" si="29"/>
        <v>122.99999999999999</v>
      </c>
      <c r="W42" s="95"/>
      <c r="X42" s="95"/>
      <c r="Y42" s="95"/>
      <c r="Z42" s="95"/>
      <c r="AA42" s="610"/>
      <c r="AB42" s="610"/>
      <c r="AC42" s="19"/>
      <c r="AD42" s="19"/>
      <c r="AE42" s="15">
        <f t="shared" si="8"/>
        <v>-107.31707317073142</v>
      </c>
      <c r="AF42" s="98">
        <f t="shared" si="9"/>
        <v>0.9552845528455286</v>
      </c>
      <c r="AG42" s="619"/>
    </row>
    <row r="43" spans="1:33">
      <c r="A43" s="634" t="s">
        <v>196</v>
      </c>
      <c r="B43" s="33" t="s">
        <v>27</v>
      </c>
      <c r="C43" s="611" t="s">
        <v>32</v>
      </c>
      <c r="D43" s="611"/>
      <c r="E43" s="33">
        <v>25.99</v>
      </c>
      <c r="F43" s="108">
        <v>4039</v>
      </c>
      <c r="G43" s="95">
        <f t="shared" si="27"/>
        <v>104973.61</v>
      </c>
      <c r="H43" s="29" t="s">
        <v>5</v>
      </c>
      <c r="I43" s="106">
        <v>14</v>
      </c>
      <c r="J43" s="30">
        <v>2400</v>
      </c>
      <c r="K43" s="13">
        <f t="shared" si="1"/>
        <v>171.42857142857142</v>
      </c>
      <c r="L43" s="106">
        <v>14</v>
      </c>
      <c r="M43" s="14">
        <f t="shared" si="28"/>
        <v>2286.2264150943392</v>
      </c>
      <c r="N43" s="13">
        <f t="shared" si="3"/>
        <v>163.30188679245279</v>
      </c>
      <c r="O43" s="15">
        <f t="shared" si="4"/>
        <v>0</v>
      </c>
      <c r="P43" s="16">
        <f t="shared" si="5"/>
        <v>-8.1266846361186253</v>
      </c>
      <c r="Q43" s="98">
        <f t="shared" si="6"/>
        <v>0.9525943396226414</v>
      </c>
      <c r="R43" s="619"/>
      <c r="S43" s="31">
        <v>0.33402777777777776</v>
      </c>
      <c r="T43" s="31">
        <v>0.40763888888888888</v>
      </c>
      <c r="U43" s="95">
        <f t="shared" si="30"/>
        <v>4.9999999999999822</v>
      </c>
      <c r="V43" s="107">
        <f t="shared" si="29"/>
        <v>106.00000000000003</v>
      </c>
      <c r="W43" s="17"/>
      <c r="X43" s="17"/>
      <c r="Y43" s="17"/>
      <c r="Z43" s="17"/>
      <c r="AA43" s="610"/>
      <c r="AB43" s="610"/>
      <c r="AC43" s="19"/>
      <c r="AD43" s="19"/>
      <c r="AE43" s="15">
        <f t="shared" si="8"/>
        <v>-113.77358490566075</v>
      </c>
      <c r="AF43" s="98">
        <f t="shared" si="9"/>
        <v>0.9525943396226414</v>
      </c>
      <c r="AG43" s="619"/>
    </row>
    <row r="44" spans="1:33">
      <c r="A44" s="634" t="s">
        <v>196</v>
      </c>
      <c r="B44" s="33" t="s">
        <v>27</v>
      </c>
      <c r="C44" s="611" t="s">
        <v>52</v>
      </c>
      <c r="D44" s="611"/>
      <c r="E44" s="33">
        <v>25.98</v>
      </c>
      <c r="F44" s="108">
        <v>2258</v>
      </c>
      <c r="G44" s="95">
        <f t="shared" si="27"/>
        <v>58662.840000000004</v>
      </c>
      <c r="H44" s="29" t="s">
        <v>5</v>
      </c>
      <c r="I44" s="106">
        <v>17</v>
      </c>
      <c r="J44" s="30">
        <v>2400</v>
      </c>
      <c r="K44" s="13">
        <f t="shared" si="1"/>
        <v>141.1764705882353</v>
      </c>
      <c r="L44" s="106">
        <v>17</v>
      </c>
      <c r="M44" s="14">
        <f t="shared" si="28"/>
        <v>2296.271186440677</v>
      </c>
      <c r="N44" s="13">
        <f t="shared" si="3"/>
        <v>135.07477567298099</v>
      </c>
      <c r="O44" s="15">
        <f t="shared" si="4"/>
        <v>0</v>
      </c>
      <c r="P44" s="16">
        <f t="shared" si="5"/>
        <v>-6.1016949152543134</v>
      </c>
      <c r="Q44" s="98">
        <f t="shared" si="6"/>
        <v>0.95677966101694867</v>
      </c>
      <c r="R44" s="619"/>
      <c r="S44" s="31">
        <v>0.41111111111111109</v>
      </c>
      <c r="T44" s="31">
        <v>0.45208333333333334</v>
      </c>
      <c r="U44" s="95">
        <f t="shared" si="30"/>
        <v>4.9999999999999822</v>
      </c>
      <c r="V44" s="107">
        <f t="shared" si="29"/>
        <v>59.000000000000028</v>
      </c>
      <c r="W44" s="17"/>
      <c r="X44" s="17"/>
      <c r="Y44" s="17"/>
      <c r="Z44" s="17"/>
      <c r="AA44" s="610"/>
      <c r="AB44" s="610"/>
      <c r="AC44" s="19"/>
      <c r="AD44" s="19"/>
      <c r="AE44" s="15">
        <f t="shared" si="8"/>
        <v>-103.72881355932304</v>
      </c>
      <c r="AF44" s="98">
        <f t="shared" si="9"/>
        <v>0.95677966101694878</v>
      </c>
      <c r="AG44" s="619"/>
    </row>
    <row r="45" spans="1:33">
      <c r="A45" s="634" t="s">
        <v>196</v>
      </c>
      <c r="B45" s="33" t="s">
        <v>27</v>
      </c>
      <c r="C45" s="611" t="s">
        <v>54</v>
      </c>
      <c r="D45" s="611"/>
      <c r="E45" s="33">
        <v>24.25</v>
      </c>
      <c r="F45" s="108">
        <v>2586</v>
      </c>
      <c r="G45" s="95">
        <f t="shared" si="27"/>
        <v>62710.5</v>
      </c>
      <c r="H45" s="29" t="s">
        <v>5</v>
      </c>
      <c r="I45" s="106">
        <v>16</v>
      </c>
      <c r="J45" s="30">
        <v>2400</v>
      </c>
      <c r="K45" s="13">
        <f t="shared" si="1"/>
        <v>150</v>
      </c>
      <c r="L45" s="106">
        <v>16</v>
      </c>
      <c r="M45" s="14">
        <f t="shared" si="28"/>
        <v>2281.7647058823532</v>
      </c>
      <c r="N45" s="13">
        <f t="shared" si="3"/>
        <v>142.61029411764707</v>
      </c>
      <c r="O45" s="15">
        <f t="shared" si="4"/>
        <v>0</v>
      </c>
      <c r="P45" s="16">
        <f t="shared" si="5"/>
        <v>-7.3897058823529278</v>
      </c>
      <c r="Q45" s="98">
        <f t="shared" si="6"/>
        <v>0.95073529411764712</v>
      </c>
      <c r="R45" s="619"/>
      <c r="S45" s="31">
        <v>0.45624999999999999</v>
      </c>
      <c r="T45" s="31">
        <v>0.50347222222222221</v>
      </c>
      <c r="U45" s="95">
        <f t="shared" si="30"/>
        <v>5.9999999999999787</v>
      </c>
      <c r="V45" s="107">
        <f t="shared" si="29"/>
        <v>68</v>
      </c>
      <c r="W45" s="17">
        <f>T45</f>
        <v>0.50347222222222221</v>
      </c>
      <c r="X45" s="17">
        <f>S46</f>
        <v>0.54305555555555551</v>
      </c>
      <c r="Y45" s="17"/>
      <c r="Z45" s="17"/>
      <c r="AA45" s="610"/>
      <c r="AB45" s="610"/>
      <c r="AC45" s="19"/>
      <c r="AD45" s="19"/>
      <c r="AE45" s="15">
        <f t="shared" si="8"/>
        <v>-118.23529411764684</v>
      </c>
      <c r="AF45" s="98">
        <f t="shared" si="9"/>
        <v>0.95073529411764712</v>
      </c>
      <c r="AG45" s="619"/>
    </row>
    <row r="46" spans="1:33">
      <c r="A46" s="634" t="s">
        <v>83</v>
      </c>
      <c r="B46" s="33" t="s">
        <v>27</v>
      </c>
      <c r="C46" s="611" t="s">
        <v>30</v>
      </c>
      <c r="D46" s="611"/>
      <c r="E46" s="33">
        <v>26.18</v>
      </c>
      <c r="F46" s="108">
        <v>3942</v>
      </c>
      <c r="G46" s="95">
        <f t="shared" si="27"/>
        <v>103201.56</v>
      </c>
      <c r="H46" s="29" t="s">
        <v>5</v>
      </c>
      <c r="I46" s="106">
        <v>18</v>
      </c>
      <c r="J46" s="30">
        <v>2400</v>
      </c>
      <c r="K46" s="13">
        <f t="shared" si="1"/>
        <v>133.33333333333334</v>
      </c>
      <c r="L46" s="106">
        <v>18</v>
      </c>
      <c r="M46" s="14">
        <f t="shared" si="28"/>
        <v>2296.3106796116513</v>
      </c>
      <c r="N46" s="13">
        <f t="shared" si="3"/>
        <v>127.57281553398063</v>
      </c>
      <c r="O46" s="15">
        <f t="shared" si="4"/>
        <v>0</v>
      </c>
      <c r="P46" s="16">
        <f t="shared" si="5"/>
        <v>-5.7605177993527121</v>
      </c>
      <c r="Q46" s="98">
        <f t="shared" si="6"/>
        <v>0.95679611650485463</v>
      </c>
      <c r="R46" s="619"/>
      <c r="S46" s="31">
        <v>0.54305555555555551</v>
      </c>
      <c r="T46" s="31">
        <v>0.61458333333333326</v>
      </c>
      <c r="U46" s="95">
        <f t="shared" si="30"/>
        <v>56.999999999999957</v>
      </c>
      <c r="V46" s="107">
        <f t="shared" si="29"/>
        <v>102.99999999999996</v>
      </c>
      <c r="W46" s="17"/>
      <c r="X46" s="17"/>
      <c r="Y46" s="20"/>
      <c r="Z46" s="20"/>
      <c r="AA46" s="614"/>
      <c r="AB46" s="615"/>
      <c r="AC46" s="19"/>
      <c r="AD46" s="19"/>
      <c r="AE46" s="15">
        <f t="shared" si="8"/>
        <v>-103.68932038834873</v>
      </c>
      <c r="AF46" s="98">
        <f t="shared" si="9"/>
        <v>0.95679611650485474</v>
      </c>
      <c r="AG46" s="619"/>
    </row>
    <row r="47" spans="1:33">
      <c r="A47" s="634" t="s">
        <v>83</v>
      </c>
      <c r="B47" s="33" t="s">
        <v>27</v>
      </c>
      <c r="C47" s="611" t="s">
        <v>197</v>
      </c>
      <c r="D47" s="611"/>
      <c r="E47" s="33">
        <v>23.89</v>
      </c>
      <c r="F47" s="108">
        <v>4163</v>
      </c>
      <c r="G47" s="95">
        <f t="shared" si="27"/>
        <v>99454.07</v>
      </c>
      <c r="H47" s="29" t="s">
        <v>5</v>
      </c>
      <c r="I47" s="106">
        <v>17</v>
      </c>
      <c r="J47" s="30">
        <v>2400</v>
      </c>
      <c r="K47" s="13">
        <f t="shared" si="1"/>
        <v>141.1764705882353</v>
      </c>
      <c r="L47" s="106">
        <v>17</v>
      </c>
      <c r="M47" s="14">
        <f t="shared" si="28"/>
        <v>2291.5596330275243</v>
      </c>
      <c r="N47" s="13">
        <f t="shared" si="3"/>
        <v>134.7976254722073</v>
      </c>
      <c r="O47" s="15">
        <f t="shared" si="4"/>
        <v>0</v>
      </c>
      <c r="P47" s="16">
        <f t="shared" si="5"/>
        <v>-6.3788451160280033</v>
      </c>
      <c r="Q47" s="98">
        <f t="shared" si="6"/>
        <v>0.95481651376146837</v>
      </c>
      <c r="R47" s="619"/>
      <c r="S47" s="31">
        <v>0.61874999999999991</v>
      </c>
      <c r="T47" s="31">
        <v>0.69444444444444431</v>
      </c>
      <c r="U47" s="95">
        <f t="shared" si="30"/>
        <v>5.9999999999999787</v>
      </c>
      <c r="V47" s="107">
        <f t="shared" si="29"/>
        <v>108.99999999999993</v>
      </c>
      <c r="W47" s="17"/>
      <c r="X47" s="17"/>
      <c r="Y47" s="20"/>
      <c r="Z47" s="20"/>
      <c r="AA47" s="614"/>
      <c r="AB47" s="615"/>
      <c r="AC47" s="19"/>
      <c r="AD47" s="19"/>
      <c r="AE47" s="15">
        <f t="shared" si="8"/>
        <v>-108.44036697247566</v>
      </c>
      <c r="AF47" s="98">
        <f t="shared" si="9"/>
        <v>0.95481651376146848</v>
      </c>
      <c r="AG47" s="619"/>
    </row>
    <row r="48" spans="1:33">
      <c r="A48" s="634" t="s">
        <v>195</v>
      </c>
      <c r="B48" s="34" t="s">
        <v>80</v>
      </c>
      <c r="C48" s="620"/>
      <c r="D48" s="620"/>
      <c r="E48" s="99"/>
      <c r="F48" s="34"/>
      <c r="G48" s="13"/>
      <c r="H48" s="108"/>
      <c r="I48" s="23">
        <v>16.625</v>
      </c>
      <c r="J48" s="30">
        <v>2400</v>
      </c>
      <c r="K48" s="13">
        <f t="shared" si="1"/>
        <v>144.3609022556391</v>
      </c>
      <c r="L48" s="23">
        <v>16.625</v>
      </c>
      <c r="M48" s="14">
        <f>AVERAGE(M40:M47)</f>
        <v>2292.1086397892982</v>
      </c>
      <c r="N48" s="13">
        <f t="shared" si="3"/>
        <v>137.87119637830364</v>
      </c>
      <c r="O48" s="15">
        <f t="shared" si="4"/>
        <v>0</v>
      </c>
      <c r="P48" s="16">
        <f t="shared" si="5"/>
        <v>-6.4897058773354672</v>
      </c>
      <c r="Q48" s="98">
        <f t="shared" si="6"/>
        <v>0.95504526657887412</v>
      </c>
      <c r="R48" s="619"/>
      <c r="S48" s="31"/>
      <c r="T48" s="31"/>
      <c r="U48" s="13"/>
      <c r="V48" s="107"/>
      <c r="W48" s="13"/>
      <c r="X48" s="13"/>
      <c r="Y48" s="24">
        <f>SUM(Y40:Y47)</f>
        <v>0</v>
      </c>
      <c r="Z48" s="24">
        <f>SUM(Z40:Z47)</f>
        <v>0</v>
      </c>
      <c r="AA48" s="609"/>
      <c r="AB48" s="609"/>
      <c r="AC48" s="24">
        <v>8</v>
      </c>
      <c r="AD48" s="24">
        <f>SUM(AD40:AD47)</f>
        <v>0</v>
      </c>
      <c r="AE48" s="15">
        <f t="shared" si="8"/>
        <v>-107.89136021070181</v>
      </c>
      <c r="AF48" s="98">
        <f t="shared" si="9"/>
        <v>0.95504526657887423</v>
      </c>
      <c r="AG48" s="619"/>
    </row>
    <row r="49" spans="1:33" ht="15.75" customHeight="1">
      <c r="A49" s="630" t="s">
        <v>198</v>
      </c>
      <c r="B49" s="33" t="s">
        <v>36</v>
      </c>
      <c r="C49" s="612" t="s">
        <v>37</v>
      </c>
      <c r="D49" s="613"/>
      <c r="E49" s="33">
        <v>21.13</v>
      </c>
      <c r="F49" s="108">
        <v>5784</v>
      </c>
      <c r="G49" s="95">
        <f t="shared" ref="G49:G51" si="31">E49*F49</f>
        <v>122215.92</v>
      </c>
      <c r="H49" s="29" t="s">
        <v>5</v>
      </c>
      <c r="I49" s="106">
        <v>10</v>
      </c>
      <c r="J49" s="30">
        <v>3000</v>
      </c>
      <c r="K49" s="13">
        <f t="shared" si="1"/>
        <v>300</v>
      </c>
      <c r="L49" s="106">
        <v>10</v>
      </c>
      <c r="M49" s="14">
        <f t="shared" ref="M49:M51" si="32">F49/V49*60</f>
        <v>2868.0991735537191</v>
      </c>
      <c r="N49" s="14">
        <f t="shared" si="3"/>
        <v>286.80991735537191</v>
      </c>
      <c r="O49" s="15">
        <f t="shared" si="4"/>
        <v>0</v>
      </c>
      <c r="P49" s="16">
        <f t="shared" si="5"/>
        <v>-13.190082644628092</v>
      </c>
      <c r="Q49" s="98">
        <f t="shared" si="6"/>
        <v>0.95603305785123971</v>
      </c>
      <c r="R49" s="625">
        <f>Q52</f>
        <v>0.95541710465091156</v>
      </c>
      <c r="S49" s="31">
        <v>0.20833333333333334</v>
      </c>
      <c r="T49" s="31">
        <v>0.29236111111111113</v>
      </c>
      <c r="U49" s="22"/>
      <c r="V49" s="107">
        <f t="shared" ref="V49:V51" si="33">(T49-S49)*24*60</f>
        <v>121</v>
      </c>
      <c r="W49" s="17"/>
      <c r="X49" s="17"/>
      <c r="Y49" s="20"/>
      <c r="Z49" s="20"/>
      <c r="AA49" s="614"/>
      <c r="AB49" s="615"/>
      <c r="AC49" s="19">
        <v>3</v>
      </c>
      <c r="AD49" s="19"/>
      <c r="AE49" s="15">
        <f t="shared" si="8"/>
        <v>-131.90082644628092</v>
      </c>
      <c r="AF49" s="98">
        <f t="shared" si="9"/>
        <v>0.95603305785123971</v>
      </c>
      <c r="AG49" s="625">
        <f>AF52</f>
        <v>0.95541710465091156</v>
      </c>
    </row>
    <row r="50" spans="1:33" ht="15.75" customHeight="1">
      <c r="A50" s="631" t="s">
        <v>198</v>
      </c>
      <c r="B50" s="33" t="s">
        <v>36</v>
      </c>
      <c r="C50" s="612" t="s">
        <v>38</v>
      </c>
      <c r="D50" s="613"/>
      <c r="E50" s="33">
        <v>27.17</v>
      </c>
      <c r="F50" s="108">
        <v>6235</v>
      </c>
      <c r="G50" s="95">
        <f t="shared" si="31"/>
        <v>169404.95</v>
      </c>
      <c r="H50" s="29" t="s">
        <v>5</v>
      </c>
      <c r="I50" s="106">
        <v>10</v>
      </c>
      <c r="J50" s="30">
        <v>3000</v>
      </c>
      <c r="K50" s="13">
        <f t="shared" si="1"/>
        <v>300</v>
      </c>
      <c r="L50" s="106">
        <v>10</v>
      </c>
      <c r="M50" s="14">
        <f t="shared" si="32"/>
        <v>2855.7251908396947</v>
      </c>
      <c r="N50" s="14">
        <f t="shared" si="3"/>
        <v>285.5725190839695</v>
      </c>
      <c r="O50" s="15">
        <f t="shared" si="4"/>
        <v>0</v>
      </c>
      <c r="P50" s="16">
        <f t="shared" si="5"/>
        <v>-14.427480916030504</v>
      </c>
      <c r="Q50" s="98">
        <f t="shared" si="6"/>
        <v>0.95190839694656504</v>
      </c>
      <c r="R50" s="626"/>
      <c r="S50" s="31">
        <v>0.29791666666666666</v>
      </c>
      <c r="T50" s="31">
        <v>0.3888888888888889</v>
      </c>
      <c r="U50" s="95">
        <f t="shared" ref="U50:U51" si="34">(S50-T49)*24*60</f>
        <v>7.9999999999999716</v>
      </c>
      <c r="V50" s="107">
        <f t="shared" si="33"/>
        <v>131</v>
      </c>
      <c r="W50" s="17"/>
      <c r="X50" s="17"/>
      <c r="Y50" s="20"/>
      <c r="Z50" s="20"/>
      <c r="AA50" s="614"/>
      <c r="AB50" s="615"/>
      <c r="AC50" s="19"/>
      <c r="AD50" s="19"/>
      <c r="AE50" s="15">
        <f t="shared" si="8"/>
        <v>-144.27480916030527</v>
      </c>
      <c r="AF50" s="98">
        <f t="shared" si="9"/>
        <v>0.95190839694656493</v>
      </c>
      <c r="AG50" s="626"/>
    </row>
    <row r="51" spans="1:33" ht="15.75" customHeight="1">
      <c r="A51" s="631" t="s">
        <v>198</v>
      </c>
      <c r="B51" s="33" t="s">
        <v>36</v>
      </c>
      <c r="C51" s="612" t="s">
        <v>49</v>
      </c>
      <c r="D51" s="613"/>
      <c r="E51" s="33">
        <v>35.869999999999997</v>
      </c>
      <c r="F51" s="108">
        <v>3402</v>
      </c>
      <c r="G51" s="95">
        <f t="shared" si="31"/>
        <v>122029.73999999999</v>
      </c>
      <c r="H51" s="29" t="s">
        <v>5</v>
      </c>
      <c r="I51" s="106">
        <v>10</v>
      </c>
      <c r="J51" s="30">
        <v>3000</v>
      </c>
      <c r="K51" s="13">
        <f t="shared" si="1"/>
        <v>300</v>
      </c>
      <c r="L51" s="106">
        <v>10</v>
      </c>
      <c r="M51" s="14">
        <f t="shared" si="32"/>
        <v>2874.9295774647894</v>
      </c>
      <c r="N51" s="14">
        <f t="shared" si="3"/>
        <v>287.49295774647896</v>
      </c>
      <c r="O51" s="15">
        <f t="shared" si="4"/>
        <v>0</v>
      </c>
      <c r="P51" s="16">
        <f t="shared" si="5"/>
        <v>-12.507042253521035</v>
      </c>
      <c r="Q51" s="98">
        <f t="shared" si="6"/>
        <v>0.95830985915492983</v>
      </c>
      <c r="R51" s="626"/>
      <c r="S51" s="31">
        <v>0.39444444444444443</v>
      </c>
      <c r="T51" s="31">
        <v>0.44374999999999998</v>
      </c>
      <c r="U51" s="95">
        <f t="shared" si="34"/>
        <v>7.9999999999999716</v>
      </c>
      <c r="V51" s="107">
        <f t="shared" si="33"/>
        <v>70.999999999999986</v>
      </c>
      <c r="W51" s="17"/>
      <c r="X51" s="17"/>
      <c r="Y51" s="20"/>
      <c r="Z51" s="20"/>
      <c r="AA51" s="614"/>
      <c r="AB51" s="615"/>
      <c r="AC51" s="19"/>
      <c r="AD51" s="19"/>
      <c r="AE51" s="15">
        <f t="shared" si="8"/>
        <v>-125.07042253521058</v>
      </c>
      <c r="AF51" s="98">
        <f t="shared" si="9"/>
        <v>0.95830985915492983</v>
      </c>
      <c r="AG51" s="626"/>
    </row>
    <row r="52" spans="1:33" ht="15.75" customHeight="1">
      <c r="A52" s="632" t="s">
        <v>198</v>
      </c>
      <c r="B52" s="33" t="s">
        <v>80</v>
      </c>
      <c r="C52" s="607"/>
      <c r="D52" s="608"/>
      <c r="E52" s="96"/>
      <c r="F52" s="108"/>
      <c r="G52" s="95"/>
      <c r="H52" s="108"/>
      <c r="I52" s="23">
        <v>10</v>
      </c>
      <c r="J52" s="30">
        <v>3000</v>
      </c>
      <c r="K52" s="13">
        <f t="shared" si="1"/>
        <v>300</v>
      </c>
      <c r="L52" s="23">
        <v>10</v>
      </c>
      <c r="M52" s="14">
        <f>AVERAGE(M49:M51)</f>
        <v>2866.2513139527346</v>
      </c>
      <c r="N52" s="13">
        <f t="shared" si="3"/>
        <v>286.62513139527346</v>
      </c>
      <c r="O52" s="15">
        <f t="shared" si="4"/>
        <v>0</v>
      </c>
      <c r="P52" s="16">
        <f t="shared" si="5"/>
        <v>-13.374868604726544</v>
      </c>
      <c r="Q52" s="98">
        <f t="shared" si="6"/>
        <v>0.95541710465091156</v>
      </c>
      <c r="R52" s="627"/>
      <c r="S52" s="31"/>
      <c r="T52" s="31"/>
      <c r="U52" s="95"/>
      <c r="V52" s="107"/>
      <c r="W52" s="17"/>
      <c r="X52" s="17"/>
      <c r="Y52" s="24">
        <f>SUM(Y49:Y51)</f>
        <v>0</v>
      </c>
      <c r="Z52" s="24">
        <f>SUM(Z49:Z51)</f>
        <v>0</v>
      </c>
      <c r="AA52" s="628"/>
      <c r="AB52" s="629"/>
      <c r="AC52" s="24">
        <v>3</v>
      </c>
      <c r="AD52" s="24">
        <f>SUM(AD49:AD51)</f>
        <v>0</v>
      </c>
      <c r="AE52" s="15">
        <f t="shared" si="8"/>
        <v>-133.74868604726544</v>
      </c>
      <c r="AF52" s="98">
        <f t="shared" si="9"/>
        <v>0.95541710465091156</v>
      </c>
      <c r="AG52" s="627"/>
    </row>
    <row r="53" spans="1:33" ht="15.75" customHeight="1">
      <c r="A53" s="623" t="s">
        <v>84</v>
      </c>
      <c r="B53" s="33" t="s">
        <v>6</v>
      </c>
      <c r="C53" s="611" t="s">
        <v>41</v>
      </c>
      <c r="D53" s="611"/>
      <c r="E53" s="33">
        <v>51.44</v>
      </c>
      <c r="F53" s="35">
        <v>1590</v>
      </c>
      <c r="G53" s="95">
        <f t="shared" ref="G53:G61" si="35">E53*F53</f>
        <v>81789.599999999991</v>
      </c>
      <c r="H53" s="29" t="s">
        <v>5</v>
      </c>
      <c r="I53" s="106">
        <v>25</v>
      </c>
      <c r="J53" s="30">
        <v>2000</v>
      </c>
      <c r="K53" s="13">
        <f t="shared" si="1"/>
        <v>80</v>
      </c>
      <c r="L53" s="106">
        <v>25</v>
      </c>
      <c r="M53" s="14">
        <f t="shared" ref="M53" si="36">F53/V53*60</f>
        <v>1907.9999999999991</v>
      </c>
      <c r="N53" s="14">
        <f t="shared" si="3"/>
        <v>76.319999999999965</v>
      </c>
      <c r="O53" s="15">
        <f t="shared" si="4"/>
        <v>0</v>
      </c>
      <c r="P53" s="16">
        <f t="shared" si="5"/>
        <v>-3.6800000000000352</v>
      </c>
      <c r="Q53" s="98">
        <f t="shared" si="6"/>
        <v>0.95399999999999952</v>
      </c>
      <c r="R53" s="619">
        <f>Q62</f>
        <v>0.961105392869262</v>
      </c>
      <c r="S53" s="31">
        <v>0.20833333333333334</v>
      </c>
      <c r="T53" s="31">
        <v>0.24305555555555558</v>
      </c>
      <c r="U53" s="22"/>
      <c r="V53" s="107">
        <f t="shared" ref="V53:V61" si="37">(T53-S53)*24*60</f>
        <v>50.000000000000021</v>
      </c>
      <c r="W53" s="17"/>
      <c r="X53" s="17"/>
      <c r="Y53" s="22"/>
      <c r="Z53" s="22"/>
      <c r="AA53" s="610"/>
      <c r="AB53" s="610"/>
      <c r="AC53" s="19">
        <v>9</v>
      </c>
      <c r="AD53" s="19"/>
      <c r="AE53" s="15">
        <f t="shared" si="8"/>
        <v>-92.000000000000909</v>
      </c>
      <c r="AF53" s="98">
        <f t="shared" si="9"/>
        <v>0.95399999999999952</v>
      </c>
      <c r="AG53" s="619">
        <f>AF62</f>
        <v>0.961105392869262</v>
      </c>
    </row>
    <row r="54" spans="1:33" ht="15.75" customHeight="1">
      <c r="A54" s="623" t="s">
        <v>84</v>
      </c>
      <c r="B54" s="33" t="s">
        <v>6</v>
      </c>
      <c r="C54" s="611" t="s">
        <v>77</v>
      </c>
      <c r="D54" s="611"/>
      <c r="E54" s="33">
        <v>56.43</v>
      </c>
      <c r="F54" s="35">
        <v>1663</v>
      </c>
      <c r="G54" s="95">
        <f t="shared" si="35"/>
        <v>93843.09</v>
      </c>
      <c r="H54" s="29" t="s">
        <v>5</v>
      </c>
      <c r="I54" s="106">
        <v>23</v>
      </c>
      <c r="J54" s="30">
        <v>2000</v>
      </c>
      <c r="K54" s="13">
        <f t="shared" si="1"/>
        <v>86.956521739130437</v>
      </c>
      <c r="L54" s="106">
        <v>23</v>
      </c>
      <c r="M54" s="14">
        <f>F54/V54*60</f>
        <v>1918.8461538461534</v>
      </c>
      <c r="N54" s="14">
        <f t="shared" si="3"/>
        <v>83.428093645484935</v>
      </c>
      <c r="O54" s="15">
        <f t="shared" si="4"/>
        <v>0</v>
      </c>
      <c r="P54" s="16">
        <f t="shared" si="5"/>
        <v>-3.5284280936455019</v>
      </c>
      <c r="Q54" s="98">
        <f t="shared" si="6"/>
        <v>0.95942307692307671</v>
      </c>
      <c r="R54" s="619"/>
      <c r="S54" s="31">
        <v>0.24861111111111114</v>
      </c>
      <c r="T54" s="31">
        <v>0.28472222222222227</v>
      </c>
      <c r="U54" s="95">
        <f t="shared" ref="U54:U61" si="38">IF(S54=TIME(17,0,0),"",(S54-T53)*24*60)</f>
        <v>8.0000000000000107</v>
      </c>
      <c r="V54" s="107">
        <f t="shared" si="37"/>
        <v>52.000000000000014</v>
      </c>
      <c r="W54" s="17"/>
      <c r="X54" s="17"/>
      <c r="Y54" s="17"/>
      <c r="Z54" s="17"/>
      <c r="AA54" s="610"/>
      <c r="AB54" s="610"/>
      <c r="AC54" s="19"/>
      <c r="AD54" s="19"/>
      <c r="AE54" s="15">
        <f t="shared" si="8"/>
        <v>-81.153846153846644</v>
      </c>
      <c r="AF54" s="98">
        <f t="shared" si="9"/>
        <v>0.95942307692307671</v>
      </c>
      <c r="AG54" s="619"/>
    </row>
    <row r="55" spans="1:33" ht="15.75" customHeight="1">
      <c r="A55" s="623" t="s">
        <v>84</v>
      </c>
      <c r="B55" s="33" t="s">
        <v>6</v>
      </c>
      <c r="C55" s="612" t="s">
        <v>73</v>
      </c>
      <c r="D55" s="613"/>
      <c r="E55" s="33">
        <v>56.43</v>
      </c>
      <c r="F55" s="35">
        <v>1574</v>
      </c>
      <c r="G55" s="95">
        <f t="shared" si="35"/>
        <v>88820.819999999992</v>
      </c>
      <c r="H55" s="29" t="s">
        <v>5</v>
      </c>
      <c r="I55" s="106">
        <v>25</v>
      </c>
      <c r="J55" s="30">
        <v>2000</v>
      </c>
      <c r="K55" s="13">
        <f t="shared" si="1"/>
        <v>80</v>
      </c>
      <c r="L55" s="106">
        <v>25</v>
      </c>
      <c r="M55" s="14">
        <f t="shared" ref="M55:M61" si="39">F55/V55*60</f>
        <v>1927.3469387755106</v>
      </c>
      <c r="N55" s="14">
        <f t="shared" si="3"/>
        <v>77.093877551020427</v>
      </c>
      <c r="O55" s="15">
        <f t="shared" si="4"/>
        <v>0</v>
      </c>
      <c r="P55" s="16">
        <f t="shared" si="5"/>
        <v>-2.9061224489795734</v>
      </c>
      <c r="Q55" s="98">
        <f t="shared" si="6"/>
        <v>0.96367346938775533</v>
      </c>
      <c r="R55" s="619"/>
      <c r="S55" s="31">
        <v>0.2902777777777778</v>
      </c>
      <c r="T55" s="31">
        <v>0.32430555555555557</v>
      </c>
      <c r="U55" s="95">
        <f t="shared" si="38"/>
        <v>7.9999999999999716</v>
      </c>
      <c r="V55" s="107">
        <f t="shared" si="37"/>
        <v>48.999999999999986</v>
      </c>
      <c r="W55" s="17"/>
      <c r="X55" s="17"/>
      <c r="Y55" s="20"/>
      <c r="Z55" s="20"/>
      <c r="AA55" s="610"/>
      <c r="AB55" s="610"/>
      <c r="AC55" s="19"/>
      <c r="AD55" s="19"/>
      <c r="AE55" s="15">
        <f t="shared" si="8"/>
        <v>-72.65306122448942</v>
      </c>
      <c r="AF55" s="98">
        <f t="shared" si="9"/>
        <v>0.96367346938775533</v>
      </c>
      <c r="AG55" s="619"/>
    </row>
    <row r="56" spans="1:33" ht="15.75" customHeight="1">
      <c r="A56" s="623" t="s">
        <v>84</v>
      </c>
      <c r="B56" s="33" t="s">
        <v>10</v>
      </c>
      <c r="C56" s="100" t="s">
        <v>42</v>
      </c>
      <c r="D56" s="101"/>
      <c r="E56" s="33">
        <v>46</v>
      </c>
      <c r="F56" s="35">
        <v>1396</v>
      </c>
      <c r="G56" s="95">
        <f t="shared" si="35"/>
        <v>64216</v>
      </c>
      <c r="H56" s="29" t="s">
        <v>5</v>
      </c>
      <c r="I56" s="106">
        <v>16</v>
      </c>
      <c r="J56" s="30">
        <v>2000</v>
      </c>
      <c r="K56" s="13">
        <f t="shared" si="1"/>
        <v>125</v>
      </c>
      <c r="L56" s="106">
        <v>16</v>
      </c>
      <c r="M56" s="14">
        <f t="shared" si="39"/>
        <v>1947.9069767441856</v>
      </c>
      <c r="N56" s="14">
        <f t="shared" si="3"/>
        <v>121.7441860465116</v>
      </c>
      <c r="O56" s="15">
        <f t="shared" si="4"/>
        <v>0</v>
      </c>
      <c r="P56" s="16">
        <f t="shared" si="5"/>
        <v>-3.2558139534883992</v>
      </c>
      <c r="Q56" s="98">
        <f t="shared" si="6"/>
        <v>0.97395348837209283</v>
      </c>
      <c r="R56" s="619"/>
      <c r="S56" s="31">
        <v>0.3298611111111111</v>
      </c>
      <c r="T56" s="31">
        <v>0.35972222222222222</v>
      </c>
      <c r="U56" s="95">
        <f t="shared" si="38"/>
        <v>7.9999999999999716</v>
      </c>
      <c r="V56" s="107">
        <f t="shared" si="37"/>
        <v>43.000000000000007</v>
      </c>
      <c r="W56" s="17"/>
      <c r="X56" s="17"/>
      <c r="Y56" s="20"/>
      <c r="Z56" s="20"/>
      <c r="AA56" s="610"/>
      <c r="AB56" s="610"/>
      <c r="AC56" s="19"/>
      <c r="AD56" s="19"/>
      <c r="AE56" s="15">
        <f t="shared" si="8"/>
        <v>-52.093023255814387</v>
      </c>
      <c r="AF56" s="98">
        <f t="shared" si="9"/>
        <v>0.97395348837209283</v>
      </c>
      <c r="AG56" s="619"/>
    </row>
    <row r="57" spans="1:33" ht="15.75" customHeight="1">
      <c r="A57" s="623" t="s">
        <v>84</v>
      </c>
      <c r="B57" s="33" t="s">
        <v>10</v>
      </c>
      <c r="C57" s="100" t="s">
        <v>43</v>
      </c>
      <c r="D57" s="101"/>
      <c r="E57" s="33">
        <v>46</v>
      </c>
      <c r="F57" s="35">
        <v>1432</v>
      </c>
      <c r="G57" s="95">
        <f t="shared" si="35"/>
        <v>65872</v>
      </c>
      <c r="H57" s="29" t="s">
        <v>5</v>
      </c>
      <c r="I57" s="106">
        <v>17</v>
      </c>
      <c r="J57" s="30">
        <v>2000</v>
      </c>
      <c r="K57" s="13">
        <f t="shared" si="1"/>
        <v>117.64705882352941</v>
      </c>
      <c r="L57" s="106">
        <v>17</v>
      </c>
      <c r="M57" s="14">
        <f t="shared" si="39"/>
        <v>1909.3333333333335</v>
      </c>
      <c r="N57" s="14">
        <f t="shared" si="3"/>
        <v>112.31372549019609</v>
      </c>
      <c r="O57" s="15">
        <f t="shared" si="4"/>
        <v>0</v>
      </c>
      <c r="P57" s="16">
        <f t="shared" si="5"/>
        <v>-5.3333333333333144</v>
      </c>
      <c r="Q57" s="98">
        <f t="shared" si="6"/>
        <v>0.95466666666666677</v>
      </c>
      <c r="R57" s="619"/>
      <c r="S57" s="31">
        <v>0.36458333333333331</v>
      </c>
      <c r="T57" s="31">
        <v>0.39583333333333331</v>
      </c>
      <c r="U57" s="95">
        <f t="shared" si="38"/>
        <v>6.9999999999999751</v>
      </c>
      <c r="V57" s="107">
        <f t="shared" si="37"/>
        <v>45</v>
      </c>
      <c r="W57" s="17"/>
      <c r="X57" s="17"/>
      <c r="Y57" s="20"/>
      <c r="Z57" s="20"/>
      <c r="AA57" s="610"/>
      <c r="AB57" s="610"/>
      <c r="AC57" s="19"/>
      <c r="AD57" s="19"/>
      <c r="AE57" s="15">
        <f t="shared" si="8"/>
        <v>-90.666666666666515</v>
      </c>
      <c r="AF57" s="98">
        <f t="shared" si="9"/>
        <v>0.95466666666666677</v>
      </c>
      <c r="AG57" s="619"/>
    </row>
    <row r="58" spans="1:33" ht="15.75" customHeight="1">
      <c r="A58" s="623" t="s">
        <v>84</v>
      </c>
      <c r="B58" s="33" t="s">
        <v>6</v>
      </c>
      <c r="C58" s="612" t="s">
        <v>44</v>
      </c>
      <c r="D58" s="613"/>
      <c r="E58" s="33">
        <v>55.56</v>
      </c>
      <c r="F58" s="35">
        <v>1000</v>
      </c>
      <c r="G58" s="95">
        <f t="shared" si="35"/>
        <v>55560</v>
      </c>
      <c r="H58" s="29">
        <v>2</v>
      </c>
      <c r="I58" s="106">
        <v>17</v>
      </c>
      <c r="J58" s="30">
        <v>2000</v>
      </c>
      <c r="K58" s="13">
        <f t="shared" si="1"/>
        <v>117.64705882352941</v>
      </c>
      <c r="L58" s="106">
        <v>17</v>
      </c>
      <c r="M58" s="14">
        <f t="shared" si="39"/>
        <v>1935.483870967739</v>
      </c>
      <c r="N58" s="14">
        <f t="shared" si="3"/>
        <v>113.85199240986699</v>
      </c>
      <c r="O58" s="15">
        <f t="shared" si="4"/>
        <v>0</v>
      </c>
      <c r="P58" s="16">
        <f t="shared" si="5"/>
        <v>-3.7950664136624113</v>
      </c>
      <c r="Q58" s="98">
        <f t="shared" si="6"/>
        <v>0.96774193548386955</v>
      </c>
      <c r="R58" s="619"/>
      <c r="S58" s="31">
        <v>0.70833333333333337</v>
      </c>
      <c r="T58" s="31">
        <v>0.72986111111111118</v>
      </c>
      <c r="U58" s="95" t="str">
        <f t="shared" si="38"/>
        <v/>
      </c>
      <c r="V58" s="107">
        <f t="shared" si="37"/>
        <v>31.00000000000005</v>
      </c>
      <c r="W58" s="17"/>
      <c r="X58" s="17"/>
      <c r="Y58" s="20"/>
      <c r="Z58" s="20"/>
      <c r="AA58" s="614"/>
      <c r="AB58" s="615"/>
      <c r="AC58" s="19"/>
      <c r="AD58" s="19"/>
      <c r="AE58" s="15">
        <f t="shared" si="8"/>
        <v>-64.516129032261006</v>
      </c>
      <c r="AF58" s="98">
        <f t="shared" si="9"/>
        <v>0.96774193548386944</v>
      </c>
      <c r="AG58" s="619"/>
    </row>
    <row r="59" spans="1:33" ht="15.75" customHeight="1">
      <c r="A59" s="623" t="s">
        <v>84</v>
      </c>
      <c r="B59" s="33" t="s">
        <v>6</v>
      </c>
      <c r="C59" s="612" t="s">
        <v>72</v>
      </c>
      <c r="D59" s="613"/>
      <c r="E59" s="33">
        <v>58.17</v>
      </c>
      <c r="F59" s="35">
        <v>2306</v>
      </c>
      <c r="G59" s="95">
        <f t="shared" si="35"/>
        <v>134140.01999999999</v>
      </c>
      <c r="H59" s="29" t="s">
        <v>5</v>
      </c>
      <c r="I59" s="106">
        <v>13</v>
      </c>
      <c r="J59" s="30">
        <v>2000</v>
      </c>
      <c r="K59" s="13">
        <f t="shared" si="1"/>
        <v>153.84615384615384</v>
      </c>
      <c r="L59" s="106">
        <v>13</v>
      </c>
      <c r="M59" s="14">
        <f t="shared" si="39"/>
        <v>1921.6666666666649</v>
      </c>
      <c r="N59" s="14">
        <f t="shared" si="3"/>
        <v>147.82051282051268</v>
      </c>
      <c r="O59" s="15">
        <f t="shared" si="4"/>
        <v>0</v>
      </c>
      <c r="P59" s="16">
        <f t="shared" si="5"/>
        <v>-6.0256410256411641</v>
      </c>
      <c r="Q59" s="98">
        <f t="shared" si="6"/>
        <v>0.96083333333333243</v>
      </c>
      <c r="R59" s="619"/>
      <c r="S59" s="31">
        <v>0.73402777777777783</v>
      </c>
      <c r="T59" s="31">
        <v>0.78402777777777788</v>
      </c>
      <c r="U59" s="95">
        <f t="shared" si="38"/>
        <v>5.9999999999999787</v>
      </c>
      <c r="V59" s="107">
        <f t="shared" si="37"/>
        <v>72.000000000000057</v>
      </c>
      <c r="W59" s="17"/>
      <c r="X59" s="17"/>
      <c r="Y59" s="20"/>
      <c r="Z59" s="20"/>
      <c r="AA59" s="614"/>
      <c r="AB59" s="615"/>
      <c r="AC59" s="19"/>
      <c r="AD59" s="19"/>
      <c r="AE59" s="15">
        <f t="shared" si="8"/>
        <v>-78.333333333335077</v>
      </c>
      <c r="AF59" s="98">
        <f t="shared" si="9"/>
        <v>0.96083333333333243</v>
      </c>
      <c r="AG59" s="619"/>
    </row>
    <row r="60" spans="1:33" ht="15.75" customHeight="1">
      <c r="A60" s="623" t="s">
        <v>84</v>
      </c>
      <c r="B60" s="33" t="s">
        <v>6</v>
      </c>
      <c r="C60" s="612" t="s">
        <v>82</v>
      </c>
      <c r="D60" s="613"/>
      <c r="E60" s="33">
        <v>54.09</v>
      </c>
      <c r="F60" s="35">
        <v>1400</v>
      </c>
      <c r="G60" s="95">
        <f t="shared" si="35"/>
        <v>75726</v>
      </c>
      <c r="H60" s="29">
        <v>2</v>
      </c>
      <c r="I60" s="106">
        <v>14</v>
      </c>
      <c r="J60" s="30">
        <v>2000</v>
      </c>
      <c r="K60" s="13">
        <f t="shared" si="1"/>
        <v>142.85714285714286</v>
      </c>
      <c r="L60" s="106">
        <v>14</v>
      </c>
      <c r="M60" s="14">
        <f t="shared" si="39"/>
        <v>1909.090909090909</v>
      </c>
      <c r="N60" s="14">
        <f t="shared" si="3"/>
        <v>136.36363636363635</v>
      </c>
      <c r="O60" s="15">
        <f t="shared" si="4"/>
        <v>0</v>
      </c>
      <c r="P60" s="16">
        <f t="shared" si="5"/>
        <v>-6.4935064935065157</v>
      </c>
      <c r="Q60" s="98">
        <f t="shared" si="6"/>
        <v>0.95454545454545436</v>
      </c>
      <c r="R60" s="619"/>
      <c r="S60" s="31">
        <v>0.78958333333333341</v>
      </c>
      <c r="T60" s="31">
        <v>0.82013888888888897</v>
      </c>
      <c r="U60" s="95">
        <f t="shared" si="38"/>
        <v>7.9999999999999716</v>
      </c>
      <c r="V60" s="107">
        <f t="shared" si="37"/>
        <v>44</v>
      </c>
      <c r="W60" s="17">
        <f>T60</f>
        <v>0.82013888888888897</v>
      </c>
      <c r="X60" s="17">
        <f>S61</f>
        <v>0.85902777777777783</v>
      </c>
      <c r="Y60" s="20"/>
      <c r="Z60" s="20"/>
      <c r="AA60" s="614"/>
      <c r="AB60" s="615"/>
      <c r="AC60" s="19"/>
      <c r="AD60" s="19"/>
      <c r="AE60" s="15">
        <f t="shared" si="8"/>
        <v>-90.909090909090992</v>
      </c>
      <c r="AF60" s="98">
        <f t="shared" si="9"/>
        <v>0.95454545454545447</v>
      </c>
      <c r="AG60" s="619"/>
    </row>
    <row r="61" spans="1:33">
      <c r="A61" s="623" t="s">
        <v>84</v>
      </c>
      <c r="B61" s="33" t="s">
        <v>6</v>
      </c>
      <c r="C61" s="100" t="s">
        <v>44</v>
      </c>
      <c r="D61" s="101"/>
      <c r="E61" s="33">
        <v>55.56</v>
      </c>
      <c r="F61" s="35">
        <v>1730</v>
      </c>
      <c r="G61" s="95">
        <f t="shared" si="35"/>
        <v>96118.8</v>
      </c>
      <c r="H61" s="29" t="s">
        <v>5</v>
      </c>
      <c r="I61" s="106">
        <v>17</v>
      </c>
      <c r="J61" s="30">
        <v>2000</v>
      </c>
      <c r="K61" s="13">
        <f t="shared" si="1"/>
        <v>117.64705882352941</v>
      </c>
      <c r="L61" s="106">
        <v>17</v>
      </c>
      <c r="M61" s="14">
        <f t="shared" si="39"/>
        <v>1922.2222222222231</v>
      </c>
      <c r="N61" s="14">
        <f t="shared" si="3"/>
        <v>113.07189542483665</v>
      </c>
      <c r="O61" s="15">
        <f t="shared" si="4"/>
        <v>0</v>
      </c>
      <c r="P61" s="16">
        <f t="shared" si="5"/>
        <v>-4.5751633986927516</v>
      </c>
      <c r="Q61" s="98">
        <f t="shared" si="6"/>
        <v>0.96111111111111158</v>
      </c>
      <c r="R61" s="619"/>
      <c r="S61" s="31">
        <v>0.85902777777777783</v>
      </c>
      <c r="T61" s="31">
        <v>0.89652777777777781</v>
      </c>
      <c r="U61" s="95">
        <f t="shared" si="38"/>
        <v>55.999999999999957</v>
      </c>
      <c r="V61" s="107">
        <f t="shared" si="37"/>
        <v>53.999999999999972</v>
      </c>
      <c r="W61" s="17"/>
      <c r="X61" s="17"/>
      <c r="Y61" s="20"/>
      <c r="Z61" s="20"/>
      <c r="AA61" s="102"/>
      <c r="AB61" s="103"/>
      <c r="AC61" s="19"/>
      <c r="AD61" s="19"/>
      <c r="AE61" s="15">
        <f t="shared" si="8"/>
        <v>-77.777777777776919</v>
      </c>
      <c r="AF61" s="98">
        <f t="shared" si="9"/>
        <v>0.96111111111111158</v>
      </c>
      <c r="AG61" s="619"/>
    </row>
    <row r="62" spans="1:33">
      <c r="A62" s="624" t="s">
        <v>84</v>
      </c>
      <c r="B62" s="33" t="s">
        <v>80</v>
      </c>
      <c r="C62" s="620"/>
      <c r="D62" s="620"/>
      <c r="E62" s="99"/>
      <c r="F62" s="34"/>
      <c r="G62" s="13"/>
      <c r="H62" s="108"/>
      <c r="I62" s="23">
        <v>18.555555555555557</v>
      </c>
      <c r="J62" s="30">
        <v>2000</v>
      </c>
      <c r="K62" s="13">
        <f t="shared" si="1"/>
        <v>107.78443113772454</v>
      </c>
      <c r="L62" s="23">
        <v>18.555555555555557</v>
      </c>
      <c r="M62" s="14">
        <f>AVERAGE(M53:M61)</f>
        <v>1922.210785738524</v>
      </c>
      <c r="N62" s="13">
        <f t="shared" si="3"/>
        <v>103.59219803381266</v>
      </c>
      <c r="O62" s="15">
        <f t="shared" si="4"/>
        <v>0</v>
      </c>
      <c r="P62" s="16">
        <f t="shared" si="5"/>
        <v>-4.1922331039118745</v>
      </c>
      <c r="Q62" s="98">
        <f t="shared" si="6"/>
        <v>0.961105392869262</v>
      </c>
      <c r="R62" s="619"/>
      <c r="S62" s="31"/>
      <c r="T62" s="31"/>
      <c r="U62" s="95"/>
      <c r="V62" s="107"/>
      <c r="W62" s="13"/>
      <c r="X62" s="13"/>
      <c r="Y62" s="24">
        <f>SUM(Y53:Y61)</f>
        <v>0</v>
      </c>
      <c r="Z62" s="24">
        <f>SUM(Z53:Z61)</f>
        <v>0</v>
      </c>
      <c r="AA62" s="609"/>
      <c r="AB62" s="609"/>
      <c r="AC62" s="24">
        <v>9</v>
      </c>
      <c r="AD62" s="24">
        <f>SUM(AD53:AD61)</f>
        <v>0</v>
      </c>
      <c r="AE62" s="15">
        <f>M62-J62</f>
        <v>-77.78921426147599</v>
      </c>
      <c r="AF62" s="98">
        <f t="shared" si="9"/>
        <v>0.961105392869262</v>
      </c>
      <c r="AG62" s="619"/>
    </row>
    <row r="63" spans="1:33" ht="15.75" customHeight="1">
      <c r="A63" s="621" t="s">
        <v>199</v>
      </c>
      <c r="B63" s="108" t="s">
        <v>36</v>
      </c>
      <c r="C63" s="611" t="s">
        <v>46</v>
      </c>
      <c r="D63" s="611"/>
      <c r="E63" s="33">
        <v>35.119999999999997</v>
      </c>
      <c r="F63" s="35">
        <v>6066</v>
      </c>
      <c r="G63" s="95">
        <f t="shared" ref="G63:G67" si="40">E63*F63</f>
        <v>213037.91999999998</v>
      </c>
      <c r="H63" s="29" t="s">
        <v>5</v>
      </c>
      <c r="I63" s="106">
        <v>10</v>
      </c>
      <c r="J63" s="30">
        <v>3000</v>
      </c>
      <c r="K63" s="13">
        <f t="shared" si="1"/>
        <v>300</v>
      </c>
      <c r="L63" s="106">
        <v>10</v>
      </c>
      <c r="M63" s="14">
        <f t="shared" ref="M63:M67" si="41">F63/V63*60</f>
        <v>2865.8267716535438</v>
      </c>
      <c r="N63" s="13">
        <f t="shared" si="3"/>
        <v>286.58267716535437</v>
      </c>
      <c r="O63" s="15">
        <f t="shared" si="4"/>
        <v>0</v>
      </c>
      <c r="P63" s="16">
        <f t="shared" si="5"/>
        <v>-13.417322834645631</v>
      </c>
      <c r="Q63" s="98">
        <f t="shared" si="6"/>
        <v>0.95527559055118128</v>
      </c>
      <c r="R63" s="619">
        <f>Q68</f>
        <v>0.9652100275836043</v>
      </c>
      <c r="S63" s="31">
        <v>0.20833333333333334</v>
      </c>
      <c r="T63" s="31">
        <v>0.29652777777777778</v>
      </c>
      <c r="U63" s="95"/>
      <c r="V63" s="107">
        <f t="shared" ref="V63:V67" si="42">(T63-S63)*24*60</f>
        <v>126.99999999999997</v>
      </c>
      <c r="W63" s="17"/>
      <c r="X63" s="17"/>
      <c r="Y63" s="22"/>
      <c r="Z63" s="22"/>
      <c r="AA63" s="610"/>
      <c r="AB63" s="610"/>
      <c r="AC63" s="19">
        <v>5</v>
      </c>
      <c r="AD63" s="19"/>
      <c r="AE63" s="15">
        <f t="shared" ref="AE63:AE78" si="43">M63-J63</f>
        <v>-134.1732283464562</v>
      </c>
      <c r="AF63" s="98">
        <f t="shared" si="9"/>
        <v>0.95527559055118128</v>
      </c>
      <c r="AG63" s="619">
        <f>AF68</f>
        <v>0.9652100275836043</v>
      </c>
    </row>
    <row r="64" spans="1:33" ht="15.75" customHeight="1">
      <c r="A64" s="621" t="s">
        <v>85</v>
      </c>
      <c r="B64" s="108" t="s">
        <v>36</v>
      </c>
      <c r="C64" s="611" t="s">
        <v>47</v>
      </c>
      <c r="D64" s="611"/>
      <c r="E64" s="33">
        <v>26.78</v>
      </c>
      <c r="F64" s="35">
        <v>2612</v>
      </c>
      <c r="G64" s="95">
        <f t="shared" si="40"/>
        <v>69949.36</v>
      </c>
      <c r="H64" s="29" t="s">
        <v>5</v>
      </c>
      <c r="I64" s="106">
        <v>10</v>
      </c>
      <c r="J64" s="30">
        <v>3000</v>
      </c>
      <c r="K64" s="13">
        <f t="shared" si="1"/>
        <v>300</v>
      </c>
      <c r="L64" s="106">
        <v>10</v>
      </c>
      <c r="M64" s="14">
        <f t="shared" si="41"/>
        <v>2902.2222222222235</v>
      </c>
      <c r="N64" s="13">
        <f t="shared" si="3"/>
        <v>290.22222222222234</v>
      </c>
      <c r="O64" s="15">
        <f t="shared" si="4"/>
        <v>0</v>
      </c>
      <c r="P64" s="16">
        <f t="shared" si="5"/>
        <v>-9.7777777777776578</v>
      </c>
      <c r="Q64" s="98">
        <f t="shared" si="6"/>
        <v>0.96740740740740783</v>
      </c>
      <c r="R64" s="619"/>
      <c r="S64" s="31">
        <v>0.3</v>
      </c>
      <c r="T64" s="31">
        <v>0.33749999999999997</v>
      </c>
      <c r="U64" s="95">
        <f t="shared" ref="U64:U67" si="44">(S64-T63)*24*60</f>
        <v>4.9999999999999822</v>
      </c>
      <c r="V64" s="107">
        <f t="shared" si="42"/>
        <v>53.999999999999972</v>
      </c>
      <c r="W64" s="95"/>
      <c r="X64" s="95"/>
      <c r="Y64" s="95"/>
      <c r="Z64" s="95"/>
      <c r="AA64" s="610"/>
      <c r="AB64" s="610"/>
      <c r="AC64" s="19"/>
      <c r="AD64" s="19"/>
      <c r="AE64" s="15">
        <f t="shared" si="43"/>
        <v>-97.777777777776464</v>
      </c>
      <c r="AF64" s="98">
        <f t="shared" si="9"/>
        <v>0.96740740740740783</v>
      </c>
      <c r="AG64" s="619"/>
    </row>
    <row r="65" spans="1:33" ht="15.75" customHeight="1">
      <c r="A65" s="621" t="s">
        <v>85</v>
      </c>
      <c r="B65" s="108" t="s">
        <v>36</v>
      </c>
      <c r="C65" s="611" t="s">
        <v>48</v>
      </c>
      <c r="D65" s="611"/>
      <c r="E65" s="33">
        <v>36.14</v>
      </c>
      <c r="F65" s="35">
        <v>980</v>
      </c>
      <c r="G65" s="95">
        <f t="shared" si="40"/>
        <v>35417.199999999997</v>
      </c>
      <c r="H65" s="29" t="s">
        <v>5</v>
      </c>
      <c r="I65" s="106">
        <v>11</v>
      </c>
      <c r="J65" s="30">
        <v>3000</v>
      </c>
      <c r="K65" s="13">
        <f t="shared" si="1"/>
        <v>272.72727272727275</v>
      </c>
      <c r="L65" s="106">
        <v>11</v>
      </c>
      <c r="M65" s="14">
        <f t="shared" si="41"/>
        <v>2939.9999999999991</v>
      </c>
      <c r="N65" s="13">
        <f t="shared" si="3"/>
        <v>267.2727272727272</v>
      </c>
      <c r="O65" s="15">
        <f t="shared" si="4"/>
        <v>0</v>
      </c>
      <c r="P65" s="16">
        <f t="shared" si="5"/>
        <v>-5.4545454545455527</v>
      </c>
      <c r="Q65" s="98">
        <f t="shared" si="6"/>
        <v>0.97999999999999965</v>
      </c>
      <c r="R65" s="619"/>
      <c r="S65" s="31">
        <v>0.3430555555555555</v>
      </c>
      <c r="T65" s="31">
        <v>0.3569444444444444</v>
      </c>
      <c r="U65" s="95">
        <f t="shared" si="44"/>
        <v>7.9999999999999716</v>
      </c>
      <c r="V65" s="107">
        <f t="shared" si="42"/>
        <v>20.000000000000007</v>
      </c>
      <c r="W65" s="95"/>
      <c r="X65" s="95"/>
      <c r="Y65" s="95"/>
      <c r="Z65" s="95"/>
      <c r="AA65" s="610"/>
      <c r="AB65" s="610"/>
      <c r="AC65" s="19"/>
      <c r="AD65" s="19"/>
      <c r="AE65" s="15">
        <f t="shared" si="43"/>
        <v>-60.000000000000909</v>
      </c>
      <c r="AF65" s="98">
        <f t="shared" si="9"/>
        <v>0.97999999999999965</v>
      </c>
      <c r="AG65" s="619"/>
    </row>
    <row r="66" spans="1:33" ht="15.75" customHeight="1">
      <c r="A66" s="621" t="s">
        <v>85</v>
      </c>
      <c r="B66" s="108" t="s">
        <v>36</v>
      </c>
      <c r="C66" s="611" t="s">
        <v>39</v>
      </c>
      <c r="D66" s="611"/>
      <c r="E66" s="33">
        <v>35.869999999999997</v>
      </c>
      <c r="F66" s="35">
        <v>1402</v>
      </c>
      <c r="G66" s="95">
        <f t="shared" si="40"/>
        <v>50289.74</v>
      </c>
      <c r="H66" s="29" t="s">
        <v>5</v>
      </c>
      <c r="I66" s="106">
        <v>9</v>
      </c>
      <c r="J66" s="30">
        <v>3000</v>
      </c>
      <c r="K66" s="13">
        <f t="shared" si="1"/>
        <v>333.33333333333331</v>
      </c>
      <c r="L66" s="106">
        <v>9</v>
      </c>
      <c r="M66" s="14">
        <f t="shared" si="41"/>
        <v>2900.6896551724158</v>
      </c>
      <c r="N66" s="13">
        <f t="shared" si="3"/>
        <v>322.29885057471284</v>
      </c>
      <c r="O66" s="15">
        <f t="shared" si="4"/>
        <v>0</v>
      </c>
      <c r="P66" s="16">
        <f t="shared" si="5"/>
        <v>-11.03448275862047</v>
      </c>
      <c r="Q66" s="98">
        <f t="shared" si="6"/>
        <v>0.96689655172413858</v>
      </c>
      <c r="R66" s="619"/>
      <c r="S66" s="31">
        <v>0.36041666666666661</v>
      </c>
      <c r="T66" s="31">
        <v>0.38055555555555548</v>
      </c>
      <c r="U66" s="95">
        <f t="shared" si="44"/>
        <v>4.9999999999999822</v>
      </c>
      <c r="V66" s="107">
        <f t="shared" si="42"/>
        <v>28.999999999999979</v>
      </c>
      <c r="W66" s="95"/>
      <c r="X66" s="95"/>
      <c r="Y66" s="95"/>
      <c r="Z66" s="95"/>
      <c r="AA66" s="610"/>
      <c r="AB66" s="610"/>
      <c r="AC66" s="19"/>
      <c r="AD66" s="19"/>
      <c r="AE66" s="15">
        <f t="shared" si="43"/>
        <v>-99.310344827584231</v>
      </c>
      <c r="AF66" s="98">
        <f t="shared" si="9"/>
        <v>0.96689655172413858</v>
      </c>
      <c r="AG66" s="619"/>
    </row>
    <row r="67" spans="1:33">
      <c r="A67" s="622" t="s">
        <v>85</v>
      </c>
      <c r="B67" s="108" t="s">
        <v>36</v>
      </c>
      <c r="C67" s="611" t="s">
        <v>74</v>
      </c>
      <c r="D67" s="611"/>
      <c r="E67" s="33">
        <v>33.770000000000003</v>
      </c>
      <c r="F67" s="35">
        <v>3252</v>
      </c>
      <c r="G67" s="95">
        <f t="shared" si="40"/>
        <v>109820.04000000001</v>
      </c>
      <c r="H67" s="29" t="s">
        <v>5</v>
      </c>
      <c r="I67" s="106">
        <v>12</v>
      </c>
      <c r="J67" s="30">
        <v>3000</v>
      </c>
      <c r="K67" s="13">
        <f t="shared" si="1"/>
        <v>250</v>
      </c>
      <c r="L67" s="106">
        <v>12</v>
      </c>
      <c r="M67" s="14">
        <f t="shared" si="41"/>
        <v>2869.411764705882</v>
      </c>
      <c r="N67" s="13">
        <f t="shared" si="3"/>
        <v>239.11764705882351</v>
      </c>
      <c r="O67" s="15">
        <f t="shared" si="4"/>
        <v>0</v>
      </c>
      <c r="P67" s="16">
        <f t="shared" si="5"/>
        <v>-10.882352941176492</v>
      </c>
      <c r="Q67" s="98">
        <f t="shared" si="6"/>
        <v>0.95647058823529407</v>
      </c>
      <c r="R67" s="619"/>
      <c r="S67" s="31">
        <v>0.38541666666666657</v>
      </c>
      <c r="T67" s="31">
        <v>0.4326388888888888</v>
      </c>
      <c r="U67" s="95">
        <f t="shared" si="44"/>
        <v>6.9999999999999751</v>
      </c>
      <c r="V67" s="107">
        <f t="shared" si="42"/>
        <v>68</v>
      </c>
      <c r="W67" s="17"/>
      <c r="X67" s="17"/>
      <c r="Y67" s="17"/>
      <c r="Z67" s="17"/>
      <c r="AA67" s="610"/>
      <c r="AB67" s="610"/>
      <c r="AC67" s="19"/>
      <c r="AD67" s="19"/>
      <c r="AE67" s="15">
        <f t="shared" si="43"/>
        <v>-130.58823529411802</v>
      </c>
      <c r="AF67" s="98">
        <f t="shared" si="9"/>
        <v>0.95647058823529396</v>
      </c>
      <c r="AG67" s="619"/>
    </row>
    <row r="68" spans="1:33">
      <c r="A68" s="622" t="s">
        <v>85</v>
      </c>
      <c r="B68" s="33" t="s">
        <v>80</v>
      </c>
      <c r="C68" s="620"/>
      <c r="D68" s="620"/>
      <c r="E68" s="99"/>
      <c r="F68" s="34"/>
      <c r="G68" s="13"/>
      <c r="H68" s="108"/>
      <c r="I68" s="23">
        <v>10.4</v>
      </c>
      <c r="J68" s="30">
        <v>3000</v>
      </c>
      <c r="K68" s="13">
        <f t="shared" si="1"/>
        <v>288.46153846153845</v>
      </c>
      <c r="L68" s="23">
        <v>10.4</v>
      </c>
      <c r="M68" s="14">
        <f>AVERAGE(M63:M67)</f>
        <v>2895.630082750813</v>
      </c>
      <c r="N68" s="13">
        <f t="shared" si="3"/>
        <v>278.42596949527046</v>
      </c>
      <c r="O68" s="15">
        <f t="shared" si="4"/>
        <v>0</v>
      </c>
      <c r="P68" s="16">
        <f t="shared" si="5"/>
        <v>-10.035568966267988</v>
      </c>
      <c r="Q68" s="98">
        <f t="shared" si="6"/>
        <v>0.9652100275836043</v>
      </c>
      <c r="R68" s="619"/>
      <c r="S68" s="31"/>
      <c r="T68" s="31"/>
      <c r="U68" s="13"/>
      <c r="V68" s="107"/>
      <c r="W68" s="13"/>
      <c r="X68" s="13"/>
      <c r="Y68" s="24">
        <f>SUM(Y63:Y67)</f>
        <v>0</v>
      </c>
      <c r="Z68" s="24">
        <f>SUM(Z63:Z67)</f>
        <v>0</v>
      </c>
      <c r="AA68" s="609"/>
      <c r="AB68" s="609"/>
      <c r="AC68" s="24">
        <v>5</v>
      </c>
      <c r="AD68" s="24">
        <f>SUM(AD63:AD67)</f>
        <v>0</v>
      </c>
      <c r="AE68" s="15">
        <f t="shared" si="43"/>
        <v>-104.36991724918698</v>
      </c>
      <c r="AF68" s="98">
        <f t="shared" si="9"/>
        <v>0.9652100275836043</v>
      </c>
      <c r="AG68" s="619"/>
    </row>
    <row r="69" spans="1:33" ht="15.75" customHeight="1">
      <c r="A69" s="616" t="s">
        <v>200</v>
      </c>
      <c r="B69" s="108" t="s">
        <v>27</v>
      </c>
      <c r="C69" s="611" t="s">
        <v>50</v>
      </c>
      <c r="D69" s="611"/>
      <c r="E69" s="33">
        <v>19.02</v>
      </c>
      <c r="F69" s="108">
        <v>6200</v>
      </c>
      <c r="G69" s="95">
        <f t="shared" ref="G69:G77" si="45">E69*F69</f>
        <v>117924</v>
      </c>
      <c r="H69" s="29">
        <v>2</v>
      </c>
      <c r="I69" s="106">
        <v>14</v>
      </c>
      <c r="J69" s="30">
        <v>2400</v>
      </c>
      <c r="K69" s="13">
        <f t="shared" ref="K69:K78" si="46">J69/I69</f>
        <v>171.42857142857142</v>
      </c>
      <c r="L69" s="106">
        <v>14</v>
      </c>
      <c r="M69" s="14">
        <f t="shared" ref="M69:M77" si="47">F69/V69*60</f>
        <v>2296.2962962962965</v>
      </c>
      <c r="N69" s="13">
        <f t="shared" ref="N69:N78" si="48">M69/L69</f>
        <v>164.02116402116403</v>
      </c>
      <c r="O69" s="15">
        <f t="shared" ref="O69:O78" si="49">L69-I69</f>
        <v>0</v>
      </c>
      <c r="P69" s="16">
        <f t="shared" ref="P69:P78" si="50">N69-K69</f>
        <v>-7.4074074074073906</v>
      </c>
      <c r="Q69" s="98">
        <f t="shared" ref="Q69:Q78" si="51">N69/K69</f>
        <v>0.95679012345679026</v>
      </c>
      <c r="R69" s="619">
        <f>Q78</f>
        <v>0.96002750366128242</v>
      </c>
      <c r="S69" s="31">
        <v>8.3333333333333329E-2</v>
      </c>
      <c r="T69" s="31">
        <v>0.19583333333333333</v>
      </c>
      <c r="U69" s="22"/>
      <c r="V69" s="107">
        <f t="shared" ref="V69:V77" si="52">(T69-S69)*24*60</f>
        <v>162</v>
      </c>
      <c r="W69" s="17">
        <f>T69</f>
        <v>0.19583333333333333</v>
      </c>
      <c r="X69" s="17">
        <f>S70</f>
        <v>0.21527777777777779</v>
      </c>
      <c r="Y69" s="17"/>
      <c r="Z69" s="17"/>
      <c r="AA69" s="610"/>
      <c r="AB69" s="610"/>
      <c r="AC69" s="19">
        <v>9</v>
      </c>
      <c r="AD69" s="19"/>
      <c r="AE69" s="15">
        <f t="shared" si="43"/>
        <v>-103.70370370370347</v>
      </c>
      <c r="AF69" s="98">
        <f t="shared" ref="AF69:AF78" si="53">M69/J69</f>
        <v>0.95679012345679026</v>
      </c>
      <c r="AG69" s="619">
        <f>AF78</f>
        <v>0.9600275036612822</v>
      </c>
    </row>
    <row r="70" spans="1:33" ht="15.75" customHeight="1">
      <c r="A70" s="617" t="s">
        <v>200</v>
      </c>
      <c r="B70" s="108" t="s">
        <v>27</v>
      </c>
      <c r="C70" s="611" t="s">
        <v>51</v>
      </c>
      <c r="D70" s="611"/>
      <c r="E70" s="33">
        <v>20.36</v>
      </c>
      <c r="F70" s="108">
        <v>2500</v>
      </c>
      <c r="G70" s="95">
        <f t="shared" si="45"/>
        <v>50900</v>
      </c>
      <c r="H70" s="29">
        <v>2</v>
      </c>
      <c r="I70" s="106">
        <v>17</v>
      </c>
      <c r="J70" s="30">
        <v>2400</v>
      </c>
      <c r="K70" s="13">
        <f t="shared" si="46"/>
        <v>141.1764705882353</v>
      </c>
      <c r="L70" s="106">
        <v>17</v>
      </c>
      <c r="M70" s="14">
        <f t="shared" si="47"/>
        <v>2307.6923076923072</v>
      </c>
      <c r="N70" s="13">
        <f t="shared" si="48"/>
        <v>135.7466063348416</v>
      </c>
      <c r="O70" s="15">
        <f t="shared" si="49"/>
        <v>0</v>
      </c>
      <c r="P70" s="16">
        <f t="shared" si="50"/>
        <v>-5.4298642533937027</v>
      </c>
      <c r="Q70" s="98">
        <f t="shared" si="51"/>
        <v>0.96153846153846123</v>
      </c>
      <c r="R70" s="619"/>
      <c r="S70" s="31">
        <v>0.21527777777777779</v>
      </c>
      <c r="T70" s="31">
        <v>0.26041666666666669</v>
      </c>
      <c r="U70" s="95">
        <f t="shared" ref="U70:U77" si="54">(S70-T69)*24*60</f>
        <v>28.000000000000021</v>
      </c>
      <c r="V70" s="107">
        <f t="shared" si="52"/>
        <v>65.000000000000014</v>
      </c>
      <c r="W70" s="17"/>
      <c r="X70" s="17"/>
      <c r="Y70" s="17"/>
      <c r="Z70" s="17"/>
      <c r="AA70" s="610"/>
      <c r="AB70" s="610"/>
      <c r="AC70" s="19"/>
      <c r="AD70" s="19"/>
      <c r="AE70" s="15">
        <f t="shared" si="43"/>
        <v>-92.307692307692832</v>
      </c>
      <c r="AF70" s="98">
        <f t="shared" si="53"/>
        <v>0.96153846153846134</v>
      </c>
      <c r="AG70" s="619"/>
    </row>
    <row r="71" spans="1:33" ht="15.75" customHeight="1">
      <c r="A71" s="617" t="s">
        <v>200</v>
      </c>
      <c r="B71" s="108" t="s">
        <v>27</v>
      </c>
      <c r="C71" s="611" t="s">
        <v>53</v>
      </c>
      <c r="D71" s="611"/>
      <c r="E71" s="33">
        <v>28.29</v>
      </c>
      <c r="F71" s="108">
        <v>3291</v>
      </c>
      <c r="G71" s="95">
        <f t="shared" si="45"/>
        <v>93102.39</v>
      </c>
      <c r="H71" s="29" t="s">
        <v>5</v>
      </c>
      <c r="I71" s="106">
        <v>19</v>
      </c>
      <c r="J71" s="30">
        <v>2400</v>
      </c>
      <c r="K71" s="13">
        <f t="shared" si="46"/>
        <v>126.31578947368421</v>
      </c>
      <c r="L71" s="106">
        <v>19</v>
      </c>
      <c r="M71" s="14">
        <f t="shared" si="47"/>
        <v>2296.0465116279065</v>
      </c>
      <c r="N71" s="13">
        <f t="shared" si="48"/>
        <v>120.84455324357403</v>
      </c>
      <c r="O71" s="15">
        <f t="shared" si="49"/>
        <v>0</v>
      </c>
      <c r="P71" s="16">
        <f t="shared" si="50"/>
        <v>-5.4712362301101791</v>
      </c>
      <c r="Q71" s="98">
        <f t="shared" si="51"/>
        <v>0.9566860465116277</v>
      </c>
      <c r="R71" s="619"/>
      <c r="S71" s="31">
        <v>0.2638888888888889</v>
      </c>
      <c r="T71" s="31">
        <v>0.32361111111111113</v>
      </c>
      <c r="U71" s="95">
        <f t="shared" si="54"/>
        <v>4.9999999999999822</v>
      </c>
      <c r="V71" s="107">
        <f t="shared" si="52"/>
        <v>86.000000000000014</v>
      </c>
      <c r="W71" s="17"/>
      <c r="X71" s="17"/>
      <c r="Y71" s="17"/>
      <c r="Z71" s="17"/>
      <c r="AA71" s="610"/>
      <c r="AB71" s="610"/>
      <c r="AC71" s="19"/>
      <c r="AD71" s="19"/>
      <c r="AE71" s="15">
        <f t="shared" si="43"/>
        <v>-103.95348837209349</v>
      </c>
      <c r="AF71" s="98">
        <f t="shared" si="53"/>
        <v>0.9566860465116277</v>
      </c>
      <c r="AG71" s="619"/>
    </row>
    <row r="72" spans="1:33" ht="15.75" customHeight="1">
      <c r="A72" s="617" t="s">
        <v>200</v>
      </c>
      <c r="B72" s="108" t="s">
        <v>27</v>
      </c>
      <c r="C72" s="611" t="s">
        <v>75</v>
      </c>
      <c r="D72" s="611"/>
      <c r="E72" s="33">
        <v>25.98</v>
      </c>
      <c r="F72" s="108">
        <v>2700</v>
      </c>
      <c r="G72" s="95">
        <f t="shared" si="45"/>
        <v>70146</v>
      </c>
      <c r="H72" s="29">
        <v>2</v>
      </c>
      <c r="I72" s="106">
        <v>19</v>
      </c>
      <c r="J72" s="30">
        <v>2400</v>
      </c>
      <c r="K72" s="13">
        <f t="shared" si="46"/>
        <v>126.31578947368421</v>
      </c>
      <c r="L72" s="106">
        <v>19</v>
      </c>
      <c r="M72" s="14">
        <f t="shared" si="47"/>
        <v>2314.2857142857147</v>
      </c>
      <c r="N72" s="13">
        <f t="shared" si="48"/>
        <v>121.80451127819551</v>
      </c>
      <c r="O72" s="15">
        <f t="shared" si="49"/>
        <v>0</v>
      </c>
      <c r="P72" s="16">
        <f t="shared" si="50"/>
        <v>-4.5112781954886998</v>
      </c>
      <c r="Q72" s="98">
        <f t="shared" si="51"/>
        <v>0.96428571428571441</v>
      </c>
      <c r="R72" s="619"/>
      <c r="S72" s="31">
        <v>0.32777777777777778</v>
      </c>
      <c r="T72" s="31">
        <v>0.37638888888888888</v>
      </c>
      <c r="U72" s="95">
        <f t="shared" si="54"/>
        <v>5.9999999999999787</v>
      </c>
      <c r="V72" s="107">
        <f t="shared" si="52"/>
        <v>69.999999999999986</v>
      </c>
      <c r="W72" s="17"/>
      <c r="X72" s="17"/>
      <c r="Y72" s="17"/>
      <c r="Z72" s="17"/>
      <c r="AA72" s="610"/>
      <c r="AB72" s="610"/>
      <c r="AC72" s="19"/>
      <c r="AD72" s="19"/>
      <c r="AE72" s="15">
        <f t="shared" si="43"/>
        <v>-85.714285714285325</v>
      </c>
      <c r="AF72" s="98">
        <f t="shared" si="53"/>
        <v>0.96428571428571441</v>
      </c>
      <c r="AG72" s="619"/>
    </row>
    <row r="73" spans="1:33" ht="15.75" customHeight="1">
      <c r="A73" s="617" t="s">
        <v>201</v>
      </c>
      <c r="B73" s="108" t="s">
        <v>27</v>
      </c>
      <c r="C73" s="611" t="s">
        <v>31</v>
      </c>
      <c r="D73" s="611"/>
      <c r="E73" s="33">
        <v>25.99</v>
      </c>
      <c r="F73" s="108">
        <v>1312</v>
      </c>
      <c r="G73" s="95">
        <f t="shared" si="45"/>
        <v>34098.879999999997</v>
      </c>
      <c r="H73" s="29" t="s">
        <v>5</v>
      </c>
      <c r="I73" s="106">
        <v>18</v>
      </c>
      <c r="J73" s="30">
        <v>2400</v>
      </c>
      <c r="K73" s="13">
        <f t="shared" si="46"/>
        <v>133.33333333333334</v>
      </c>
      <c r="L73" s="106">
        <v>18</v>
      </c>
      <c r="M73" s="14">
        <f t="shared" si="47"/>
        <v>2315.2941176470558</v>
      </c>
      <c r="N73" s="13">
        <f t="shared" si="48"/>
        <v>128.62745098039198</v>
      </c>
      <c r="O73" s="15">
        <f t="shared" si="49"/>
        <v>0</v>
      </c>
      <c r="P73" s="16">
        <f t="shared" si="50"/>
        <v>-4.7058823529413587</v>
      </c>
      <c r="Q73" s="98">
        <f t="shared" si="51"/>
        <v>0.96470588235293986</v>
      </c>
      <c r="R73" s="619"/>
      <c r="S73" s="31">
        <v>0.38194444444444442</v>
      </c>
      <c r="T73" s="31">
        <v>0.40555555555555556</v>
      </c>
      <c r="U73" s="95">
        <f t="shared" si="54"/>
        <v>7.9999999999999716</v>
      </c>
      <c r="V73" s="107">
        <f t="shared" si="52"/>
        <v>34.000000000000043</v>
      </c>
      <c r="W73" s="17"/>
      <c r="X73" s="17"/>
      <c r="Y73" s="17"/>
      <c r="Z73" s="17"/>
      <c r="AA73" s="610"/>
      <c r="AB73" s="610"/>
      <c r="AC73" s="19"/>
      <c r="AD73" s="19"/>
      <c r="AE73" s="15">
        <f t="shared" si="43"/>
        <v>-84.705882352944172</v>
      </c>
      <c r="AF73" s="98">
        <f t="shared" si="53"/>
        <v>0.96470588235293997</v>
      </c>
      <c r="AG73" s="619"/>
    </row>
    <row r="74" spans="1:33" ht="15.75" customHeight="1">
      <c r="A74" s="617" t="s">
        <v>200</v>
      </c>
      <c r="B74" s="108" t="s">
        <v>27</v>
      </c>
      <c r="C74" s="611" t="s">
        <v>197</v>
      </c>
      <c r="D74" s="611"/>
      <c r="E74" s="33">
        <v>23.89</v>
      </c>
      <c r="F74" s="108">
        <v>5700</v>
      </c>
      <c r="G74" s="95">
        <f t="shared" si="45"/>
        <v>136173</v>
      </c>
      <c r="H74" s="29">
        <v>2</v>
      </c>
      <c r="I74" s="106">
        <v>17</v>
      </c>
      <c r="J74" s="30">
        <v>2400</v>
      </c>
      <c r="K74" s="13">
        <f t="shared" si="46"/>
        <v>141.1764705882353</v>
      </c>
      <c r="L74" s="106">
        <v>17</v>
      </c>
      <c r="M74" s="14">
        <f t="shared" si="47"/>
        <v>2295.3020134228195</v>
      </c>
      <c r="N74" s="13">
        <f t="shared" si="48"/>
        <v>135.01776549545997</v>
      </c>
      <c r="O74" s="15">
        <f t="shared" si="49"/>
        <v>0</v>
      </c>
      <c r="P74" s="16">
        <f t="shared" si="50"/>
        <v>-6.1587050927753353</v>
      </c>
      <c r="Q74" s="98">
        <f t="shared" si="51"/>
        <v>0.95637583892617473</v>
      </c>
      <c r="R74" s="619"/>
      <c r="S74" s="31">
        <v>0.40902777777777777</v>
      </c>
      <c r="T74" s="31">
        <v>0.51249999999999996</v>
      </c>
      <c r="U74" s="95">
        <f t="shared" si="54"/>
        <v>4.9999999999999822</v>
      </c>
      <c r="V74" s="107">
        <f t="shared" si="52"/>
        <v>148.99999999999994</v>
      </c>
      <c r="W74" s="17">
        <f>T74</f>
        <v>0.51249999999999996</v>
      </c>
      <c r="X74" s="17">
        <f>S75</f>
        <v>0.55347222222222214</v>
      </c>
      <c r="Y74" s="17"/>
      <c r="Z74" s="17"/>
      <c r="AA74" s="610"/>
      <c r="AB74" s="610"/>
      <c r="AC74" s="19"/>
      <c r="AD74" s="19"/>
      <c r="AE74" s="15">
        <f t="shared" si="43"/>
        <v>-104.69798657718047</v>
      </c>
      <c r="AF74" s="98">
        <f t="shared" si="53"/>
        <v>0.95637583892617484</v>
      </c>
      <c r="AG74" s="619"/>
    </row>
    <row r="75" spans="1:33" ht="15.75" customHeight="1">
      <c r="A75" s="617" t="s">
        <v>200</v>
      </c>
      <c r="B75" s="108" t="s">
        <v>27</v>
      </c>
      <c r="C75" s="612" t="s">
        <v>50</v>
      </c>
      <c r="D75" s="613"/>
      <c r="E75" s="33">
        <v>19.02</v>
      </c>
      <c r="F75" s="108">
        <v>5992</v>
      </c>
      <c r="G75" s="95">
        <f t="shared" si="45"/>
        <v>113967.84</v>
      </c>
      <c r="H75" s="29" t="s">
        <v>5</v>
      </c>
      <c r="I75" s="106">
        <v>14</v>
      </c>
      <c r="J75" s="30">
        <v>2400</v>
      </c>
      <c r="K75" s="13">
        <f t="shared" si="46"/>
        <v>171.42857142857142</v>
      </c>
      <c r="L75" s="106">
        <v>14</v>
      </c>
      <c r="M75" s="14">
        <f t="shared" si="47"/>
        <v>2289.9363057324854</v>
      </c>
      <c r="N75" s="13">
        <f t="shared" si="48"/>
        <v>163.5668789808918</v>
      </c>
      <c r="O75" s="15">
        <f t="shared" si="49"/>
        <v>0</v>
      </c>
      <c r="P75" s="16">
        <f t="shared" si="50"/>
        <v>-7.8616924476796157</v>
      </c>
      <c r="Q75" s="98">
        <f t="shared" si="51"/>
        <v>0.9541401273885356</v>
      </c>
      <c r="R75" s="619"/>
      <c r="S75" s="31">
        <v>0.55347222222222214</v>
      </c>
      <c r="T75" s="31">
        <v>0.66249999999999987</v>
      </c>
      <c r="U75" s="95">
        <f t="shared" si="54"/>
        <v>58.99999999999995</v>
      </c>
      <c r="V75" s="107">
        <f t="shared" si="52"/>
        <v>156.99999999999991</v>
      </c>
      <c r="W75" s="17"/>
      <c r="X75" s="17"/>
      <c r="Y75" s="20"/>
      <c r="Z75" s="20"/>
      <c r="AA75" s="614"/>
      <c r="AB75" s="615"/>
      <c r="AC75" s="19"/>
      <c r="AD75" s="19"/>
      <c r="AE75" s="15">
        <f t="shared" si="43"/>
        <v>-110.06369426751462</v>
      </c>
      <c r="AF75" s="98">
        <f t="shared" si="53"/>
        <v>0.9541401273885356</v>
      </c>
      <c r="AG75" s="619"/>
    </row>
    <row r="76" spans="1:33" ht="15.75" customHeight="1">
      <c r="A76" s="617" t="s">
        <v>200</v>
      </c>
      <c r="B76" s="108" t="s">
        <v>27</v>
      </c>
      <c r="C76" s="612" t="s">
        <v>51</v>
      </c>
      <c r="D76" s="613"/>
      <c r="E76" s="33">
        <v>20.36</v>
      </c>
      <c r="F76" s="108">
        <v>2115</v>
      </c>
      <c r="G76" s="95">
        <f t="shared" si="45"/>
        <v>43061.4</v>
      </c>
      <c r="H76" s="29" t="s">
        <v>5</v>
      </c>
      <c r="I76" s="106">
        <v>17</v>
      </c>
      <c r="J76" s="30">
        <v>2400</v>
      </c>
      <c r="K76" s="13">
        <f t="shared" si="46"/>
        <v>141.1764705882353</v>
      </c>
      <c r="L76" s="106">
        <v>17</v>
      </c>
      <c r="M76" s="14">
        <f t="shared" si="47"/>
        <v>2307.2727272727288</v>
      </c>
      <c r="N76" s="13">
        <f t="shared" si="48"/>
        <v>135.72192513368992</v>
      </c>
      <c r="O76" s="15">
        <f t="shared" si="49"/>
        <v>0</v>
      </c>
      <c r="P76" s="16">
        <f t="shared" si="50"/>
        <v>-5.4545454545453822</v>
      </c>
      <c r="Q76" s="98">
        <f t="shared" si="51"/>
        <v>0.96136363636363686</v>
      </c>
      <c r="R76" s="619"/>
      <c r="S76" s="31">
        <v>0.66666666666666652</v>
      </c>
      <c r="T76" s="31">
        <v>0.70486111111111094</v>
      </c>
      <c r="U76" s="95">
        <f t="shared" si="54"/>
        <v>5.9999999999999787</v>
      </c>
      <c r="V76" s="107">
        <f t="shared" si="52"/>
        <v>54.999999999999964</v>
      </c>
      <c r="W76" s="17"/>
      <c r="X76" s="17"/>
      <c r="Y76" s="20"/>
      <c r="Z76" s="20"/>
      <c r="AA76" s="614"/>
      <c r="AB76" s="615"/>
      <c r="AC76" s="19"/>
      <c r="AD76" s="19"/>
      <c r="AE76" s="15">
        <f t="shared" si="43"/>
        <v>-92.727272727271156</v>
      </c>
      <c r="AF76" s="98">
        <f t="shared" si="53"/>
        <v>0.96136363636363698</v>
      </c>
      <c r="AG76" s="619"/>
    </row>
    <row r="77" spans="1:33" ht="15.75" customHeight="1">
      <c r="A77" s="617" t="s">
        <v>200</v>
      </c>
      <c r="B77" s="108" t="s">
        <v>27</v>
      </c>
      <c r="C77" s="612" t="s">
        <v>75</v>
      </c>
      <c r="D77" s="613"/>
      <c r="E77" s="33">
        <v>25.98</v>
      </c>
      <c r="F77" s="108">
        <v>1813</v>
      </c>
      <c r="G77" s="95">
        <f t="shared" si="45"/>
        <v>47101.74</v>
      </c>
      <c r="H77" s="29" t="s">
        <v>5</v>
      </c>
      <c r="I77" s="106">
        <v>19</v>
      </c>
      <c r="J77" s="30">
        <v>2400</v>
      </c>
      <c r="K77" s="13">
        <f t="shared" si="46"/>
        <v>126.31578947368421</v>
      </c>
      <c r="L77" s="106">
        <v>19</v>
      </c>
      <c r="M77" s="14">
        <f t="shared" si="47"/>
        <v>2314.4680851063831</v>
      </c>
      <c r="N77" s="13">
        <f t="shared" si="48"/>
        <v>121.81410974244122</v>
      </c>
      <c r="O77" s="15">
        <f t="shared" si="49"/>
        <v>0</v>
      </c>
      <c r="P77" s="16">
        <f t="shared" si="50"/>
        <v>-4.5016797312429873</v>
      </c>
      <c r="Q77" s="98">
        <f t="shared" si="51"/>
        <v>0.9643617021276597</v>
      </c>
      <c r="R77" s="619"/>
      <c r="S77" s="31">
        <v>0.70972222222222203</v>
      </c>
      <c r="T77" s="31">
        <v>0.74236111111111092</v>
      </c>
      <c r="U77" s="95">
        <f t="shared" si="54"/>
        <v>6.9999999999999751</v>
      </c>
      <c r="V77" s="107">
        <f t="shared" si="52"/>
        <v>46.999999999999993</v>
      </c>
      <c r="W77" s="17"/>
      <c r="X77" s="17"/>
      <c r="Y77" s="20"/>
      <c r="Z77" s="20"/>
      <c r="AA77" s="614"/>
      <c r="AB77" s="615"/>
      <c r="AC77" s="19"/>
      <c r="AD77" s="19"/>
      <c r="AE77" s="15">
        <f t="shared" si="43"/>
        <v>-85.531914893616886</v>
      </c>
      <c r="AF77" s="98">
        <f t="shared" si="53"/>
        <v>0.96436170212765959</v>
      </c>
      <c r="AG77" s="619"/>
    </row>
    <row r="78" spans="1:33" ht="16.5" customHeight="1">
      <c r="A78" s="618" t="s">
        <v>200</v>
      </c>
      <c r="B78" s="33" t="s">
        <v>80</v>
      </c>
      <c r="C78" s="607"/>
      <c r="D78" s="608"/>
      <c r="E78" s="99"/>
      <c r="F78" s="34"/>
      <c r="G78" s="13"/>
      <c r="H78" s="108"/>
      <c r="I78" s="23">
        <v>17.111111111111111</v>
      </c>
      <c r="J78" s="30">
        <v>2400</v>
      </c>
      <c r="K78" s="13">
        <f t="shared" si="46"/>
        <v>140.25974025974025</v>
      </c>
      <c r="L78" s="23">
        <v>17.111111111111111</v>
      </c>
      <c r="M78" s="14">
        <f>AVERAGE(M69:M77)</f>
        <v>2304.0660087870774</v>
      </c>
      <c r="N78" s="13">
        <f t="shared" si="48"/>
        <v>134.6532083057383</v>
      </c>
      <c r="O78" s="15">
        <f t="shared" si="49"/>
        <v>0</v>
      </c>
      <c r="P78" s="16">
        <f t="shared" si="50"/>
        <v>-5.6065319540019516</v>
      </c>
      <c r="Q78" s="98">
        <f t="shared" si="51"/>
        <v>0.96002750366128242</v>
      </c>
      <c r="R78" s="619"/>
      <c r="S78" s="31"/>
      <c r="T78" s="31"/>
      <c r="U78" s="13"/>
      <c r="V78" s="107"/>
      <c r="W78" s="13"/>
      <c r="X78" s="13"/>
      <c r="Y78" s="24">
        <f>SUM(Y69:Y77)</f>
        <v>0</v>
      </c>
      <c r="Z78" s="24">
        <f>SUM(Z69:Z77)</f>
        <v>0</v>
      </c>
      <c r="AA78" s="609"/>
      <c r="AB78" s="609"/>
      <c r="AC78" s="24">
        <v>9</v>
      </c>
      <c r="AD78" s="24">
        <f>SUM(AD69:AD77)</f>
        <v>0</v>
      </c>
      <c r="AE78" s="15">
        <f t="shared" si="43"/>
        <v>-95.933991212922592</v>
      </c>
      <c r="AF78" s="98">
        <f t="shared" si="53"/>
        <v>0.9600275036612822</v>
      </c>
      <c r="AG78" s="619"/>
    </row>
    <row r="79" spans="1:33">
      <c r="D79" s="25"/>
      <c r="E79" s="25"/>
    </row>
  </sheetData>
  <mergeCells count="199">
    <mergeCell ref="A69:A78"/>
    <mergeCell ref="C69:D69"/>
    <mergeCell ref="R69:R78"/>
    <mergeCell ref="AA69:AB69"/>
    <mergeCell ref="AG69:AG78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C78:D78"/>
    <mergeCell ref="AA78:AB78"/>
    <mergeCell ref="AA72:AB72"/>
    <mergeCell ref="C73:D73"/>
    <mergeCell ref="AA73:AB73"/>
    <mergeCell ref="C74:D74"/>
    <mergeCell ref="AA74:AB74"/>
    <mergeCell ref="C75:D75"/>
    <mergeCell ref="AA75:AB75"/>
    <mergeCell ref="AG63:AG68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R53:R62"/>
    <mergeCell ref="AA53:AB53"/>
    <mergeCell ref="C60:D60"/>
    <mergeCell ref="AA60:AB60"/>
    <mergeCell ref="C62:D62"/>
    <mergeCell ref="AA62:AB62"/>
    <mergeCell ref="A63:A68"/>
    <mergeCell ref="C63:D63"/>
    <mergeCell ref="R63:R68"/>
    <mergeCell ref="AA63:AB63"/>
    <mergeCell ref="AA68:AB68"/>
    <mergeCell ref="AG53:AG62"/>
    <mergeCell ref="C54:D54"/>
    <mergeCell ref="AA54:AB54"/>
    <mergeCell ref="C55:D55"/>
    <mergeCell ref="AA55:AB55"/>
    <mergeCell ref="A49:A52"/>
    <mergeCell ref="C49:D49"/>
    <mergeCell ref="R49:R52"/>
    <mergeCell ref="AA49:AB49"/>
    <mergeCell ref="AG49:AG52"/>
    <mergeCell ref="C50:D50"/>
    <mergeCell ref="AA50:AB50"/>
    <mergeCell ref="C51:D51"/>
    <mergeCell ref="AA51:AB51"/>
    <mergeCell ref="C52:D52"/>
    <mergeCell ref="AA56:AB56"/>
    <mergeCell ref="AA57:AB57"/>
    <mergeCell ref="C58:D58"/>
    <mergeCell ref="AA58:AB58"/>
    <mergeCell ref="C59:D59"/>
    <mergeCell ref="AA59:AB59"/>
    <mergeCell ref="AA52:AB52"/>
    <mergeCell ref="A53:A62"/>
    <mergeCell ref="C53:D53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40:A48"/>
    <mergeCell ref="C40:D40"/>
    <mergeCell ref="R40:R48"/>
    <mergeCell ref="AA40:AB40"/>
    <mergeCell ref="AG40:AG48"/>
    <mergeCell ref="C41:D41"/>
    <mergeCell ref="AA41:AB41"/>
    <mergeCell ref="C42:D42"/>
    <mergeCell ref="AA42:AB42"/>
    <mergeCell ref="C46:D46"/>
    <mergeCell ref="AA46:AB46"/>
    <mergeCell ref="C47:D47"/>
    <mergeCell ref="AA47:AB47"/>
    <mergeCell ref="C48:D48"/>
    <mergeCell ref="AA48:AB48"/>
    <mergeCell ref="C43:D43"/>
    <mergeCell ref="AA43:AB43"/>
    <mergeCell ref="C44:D44"/>
    <mergeCell ref="AA44:AB44"/>
    <mergeCell ref="C45:D45"/>
    <mergeCell ref="AA45:AB45"/>
    <mergeCell ref="A23:A31"/>
    <mergeCell ref="C23:D23"/>
    <mergeCell ref="R23:R31"/>
    <mergeCell ref="AA23:AB23"/>
    <mergeCell ref="C31:D31"/>
    <mergeCell ref="AA31:AB31"/>
    <mergeCell ref="A32:A39"/>
    <mergeCell ref="C32:D32"/>
    <mergeCell ref="R32:R39"/>
    <mergeCell ref="AA32:AB32"/>
    <mergeCell ref="AA37:AB37"/>
    <mergeCell ref="C38:D38"/>
    <mergeCell ref="AA38:AB38"/>
    <mergeCell ref="C39:D39"/>
    <mergeCell ref="AA39:AB39"/>
    <mergeCell ref="AG23:AG31"/>
    <mergeCell ref="C24:D24"/>
    <mergeCell ref="AA24:AB24"/>
    <mergeCell ref="C25:D25"/>
    <mergeCell ref="AA25:AB25"/>
    <mergeCell ref="C26:D26"/>
    <mergeCell ref="C17:D17"/>
    <mergeCell ref="AA17:AB17"/>
    <mergeCell ref="C18:D18"/>
    <mergeCell ref="AA18:AB18"/>
    <mergeCell ref="C22:D22"/>
    <mergeCell ref="AA22:AB22"/>
    <mergeCell ref="AA26:AB26"/>
    <mergeCell ref="C27:D27"/>
    <mergeCell ref="AA27:AB27"/>
    <mergeCell ref="C28:D28"/>
    <mergeCell ref="AA28:AB28"/>
    <mergeCell ref="C29:D29"/>
    <mergeCell ref="AA29:AB29"/>
    <mergeCell ref="AA13:AB13"/>
    <mergeCell ref="A14:A22"/>
    <mergeCell ref="C14:D14"/>
    <mergeCell ref="R14:R22"/>
    <mergeCell ref="AA14:AB14"/>
    <mergeCell ref="AG14:AG22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6:O74 O62:O63 O78 O5:O10 O13:O15 O22:O58">
    <cfRule type="cellIs" dxfId="163" priority="79" operator="greaterThan">
      <formula>0</formula>
    </cfRule>
  </conditionalFormatting>
  <conditionalFormatting sqref="P5:P8 P66:P67 AE66:AE67 P69:P74 P32:P38 P63 P10 P13:P15 P23:P30 P53:P58 P40:P51 AE5:AE63 AE69:AE78">
    <cfRule type="cellIs" dxfId="162" priority="83" operator="lessThan">
      <formula>0</formula>
    </cfRule>
  </conditionalFormatting>
  <conditionalFormatting sqref="AF66:AF67 Q66:Q74 Q62:Q63 Q78 Q5:Q10 Q13:Q15 Q22:Q58 AF5:AF63 AF69:AF78">
    <cfRule type="cellIs" dxfId="161" priority="80" operator="greaterThan">
      <formula>1</formula>
    </cfRule>
    <cfRule type="cellIs" dxfId="160" priority="81" operator="lessThan">
      <formula>0.8</formula>
    </cfRule>
  </conditionalFormatting>
  <conditionalFormatting sqref="AG14:AG15 R14:R15 AG66 R66:R74 R22:R28 AG22:AG28 AG62:AG63 R62:R63 R78 AG5:AG10 R5:R10 AG31:AG58 R31:R58">
    <cfRule type="cellIs" dxfId="159" priority="85" operator="lessThan">
      <formula>0.8</formula>
    </cfRule>
  </conditionalFormatting>
  <conditionalFormatting sqref="AG49">
    <cfRule type="cellIs" dxfId="158" priority="87" operator="lessThan">
      <formula>0.8</formula>
    </cfRule>
  </conditionalFormatting>
  <conditionalFormatting sqref="AG23:AG28">
    <cfRule type="cellIs" dxfId="157" priority="84" operator="lessThan">
      <formula>0.8</formula>
    </cfRule>
  </conditionalFormatting>
  <conditionalFormatting sqref="AG32">
    <cfRule type="cellIs" dxfId="156" priority="86" operator="lessThan">
      <formula>0.8</formula>
    </cfRule>
  </conditionalFormatting>
  <conditionalFormatting sqref="AG40:AG47">
    <cfRule type="cellIs" dxfId="155" priority="82" operator="lessThan">
      <formula>0.8</formula>
    </cfRule>
  </conditionalFormatting>
  <conditionalFormatting sqref="AE68">
    <cfRule type="cellIs" dxfId="154" priority="78" operator="lessThan">
      <formula>0</formula>
    </cfRule>
  </conditionalFormatting>
  <conditionalFormatting sqref="AF68">
    <cfRule type="cellIs" dxfId="153" priority="76" operator="greaterThan">
      <formula>1</formula>
    </cfRule>
    <cfRule type="cellIs" dxfId="152" priority="77" operator="lessThan">
      <formula>0.8</formula>
    </cfRule>
  </conditionalFormatting>
  <conditionalFormatting sqref="O16:O17">
    <cfRule type="cellIs" dxfId="151" priority="71" operator="greaterThan">
      <formula>0</formula>
    </cfRule>
  </conditionalFormatting>
  <conditionalFormatting sqref="P16:P17">
    <cfRule type="cellIs" dxfId="150" priority="74" operator="lessThan">
      <formula>0</formula>
    </cfRule>
  </conditionalFormatting>
  <conditionalFormatting sqref="Q16:Q17">
    <cfRule type="cellIs" dxfId="149" priority="72" operator="greaterThan">
      <formula>1</formula>
    </cfRule>
    <cfRule type="cellIs" dxfId="148" priority="73" operator="lessThan">
      <formula>0.8</formula>
    </cfRule>
  </conditionalFormatting>
  <conditionalFormatting sqref="R16:R17 AG16:AG17">
    <cfRule type="cellIs" dxfId="147" priority="75" operator="lessThan">
      <formula>0.8</formula>
    </cfRule>
  </conditionalFormatting>
  <conditionalFormatting sqref="O11:O12">
    <cfRule type="cellIs" dxfId="146" priority="67" operator="greaterThan">
      <formula>0</formula>
    </cfRule>
  </conditionalFormatting>
  <conditionalFormatting sqref="P11:P12">
    <cfRule type="cellIs" dxfId="145" priority="70" operator="lessThan">
      <formula>0</formula>
    </cfRule>
  </conditionalFormatting>
  <conditionalFormatting sqref="Q11:Q12">
    <cfRule type="cellIs" dxfId="144" priority="68" operator="greaterThan">
      <formula>1</formula>
    </cfRule>
    <cfRule type="cellIs" dxfId="143" priority="69" operator="lessThan">
      <formula>0.8</formula>
    </cfRule>
  </conditionalFormatting>
  <conditionalFormatting sqref="O59">
    <cfRule type="cellIs" dxfId="142" priority="62" operator="greaterThan">
      <formula>0</formula>
    </cfRule>
  </conditionalFormatting>
  <conditionalFormatting sqref="P59">
    <cfRule type="cellIs" dxfId="141" priority="65" operator="lessThan">
      <formula>0</formula>
    </cfRule>
  </conditionalFormatting>
  <conditionalFormatting sqref="Q59">
    <cfRule type="cellIs" dxfId="140" priority="63" operator="greaterThan">
      <formula>1</formula>
    </cfRule>
    <cfRule type="cellIs" dxfId="139" priority="64" operator="lessThan">
      <formula>0.8</formula>
    </cfRule>
  </conditionalFormatting>
  <conditionalFormatting sqref="R59 AG59">
    <cfRule type="cellIs" dxfId="138" priority="66" operator="lessThan">
      <formula>0.8</formula>
    </cfRule>
  </conditionalFormatting>
  <conditionalFormatting sqref="AG30 R30">
    <cfRule type="cellIs" dxfId="137" priority="61" operator="lessThan">
      <formula>0.8</formula>
    </cfRule>
  </conditionalFormatting>
  <conditionalFormatting sqref="O65">
    <cfRule type="cellIs" dxfId="136" priority="56" operator="greaterThan">
      <formula>0</formula>
    </cfRule>
  </conditionalFormatting>
  <conditionalFormatting sqref="P65 AE65">
    <cfRule type="cellIs" dxfId="135" priority="59" operator="lessThan">
      <formula>0</formula>
    </cfRule>
  </conditionalFormatting>
  <conditionalFormatting sqref="Q65 AF65">
    <cfRule type="cellIs" dxfId="134" priority="57" operator="greaterThan">
      <formula>1</formula>
    </cfRule>
    <cfRule type="cellIs" dxfId="133" priority="58" operator="lessThan">
      <formula>0.8</formula>
    </cfRule>
  </conditionalFormatting>
  <conditionalFormatting sqref="R65 AG65">
    <cfRule type="cellIs" dxfId="132" priority="60" operator="lessThan">
      <formula>0.8</formula>
    </cfRule>
  </conditionalFormatting>
  <conditionalFormatting sqref="O75">
    <cfRule type="cellIs" dxfId="131" priority="51" operator="greaterThan">
      <formula>0</formula>
    </cfRule>
  </conditionalFormatting>
  <conditionalFormatting sqref="P75">
    <cfRule type="cellIs" dxfId="130" priority="54" operator="lessThan">
      <formula>0</formula>
    </cfRule>
  </conditionalFormatting>
  <conditionalFormatting sqref="Q75">
    <cfRule type="cellIs" dxfId="129" priority="52" operator="greaterThan">
      <formula>1</formula>
    </cfRule>
    <cfRule type="cellIs" dxfId="128" priority="53" operator="lessThan">
      <formula>0.8</formula>
    </cfRule>
  </conditionalFormatting>
  <conditionalFormatting sqref="R75">
    <cfRule type="cellIs" dxfId="127" priority="55" operator="lessThan">
      <formula>0.8</formula>
    </cfRule>
  </conditionalFormatting>
  <conditionalFormatting sqref="O18:O19">
    <cfRule type="cellIs" dxfId="126" priority="46" operator="greaterThan">
      <formula>0</formula>
    </cfRule>
  </conditionalFormatting>
  <conditionalFormatting sqref="P18:P19">
    <cfRule type="cellIs" dxfId="125" priority="49" operator="lessThan">
      <formula>0</formula>
    </cfRule>
  </conditionalFormatting>
  <conditionalFormatting sqref="Q18:Q19">
    <cfRule type="cellIs" dxfId="124" priority="47" operator="greaterThan">
      <formula>1</formula>
    </cfRule>
    <cfRule type="cellIs" dxfId="123" priority="48" operator="lessThan">
      <formula>0.8</formula>
    </cfRule>
  </conditionalFormatting>
  <conditionalFormatting sqref="R18:R19 AG18:AG19">
    <cfRule type="cellIs" dxfId="122" priority="50" operator="lessThan">
      <formula>0.8</formula>
    </cfRule>
  </conditionalFormatting>
  <conditionalFormatting sqref="O60">
    <cfRule type="cellIs" dxfId="121" priority="41" operator="greaterThan">
      <formula>0</formula>
    </cfRule>
  </conditionalFormatting>
  <conditionalFormatting sqref="P60">
    <cfRule type="cellIs" dxfId="120" priority="44" operator="lessThan">
      <formula>0</formula>
    </cfRule>
  </conditionalFormatting>
  <conditionalFormatting sqref="Q60">
    <cfRule type="cellIs" dxfId="119" priority="42" operator="greaterThan">
      <formula>1</formula>
    </cfRule>
    <cfRule type="cellIs" dxfId="118" priority="43" operator="lessThan">
      <formula>0.8</formula>
    </cfRule>
  </conditionalFormatting>
  <conditionalFormatting sqref="AG60 R60">
    <cfRule type="cellIs" dxfId="117" priority="45" operator="lessThan">
      <formula>0.8</formula>
    </cfRule>
  </conditionalFormatting>
  <conditionalFormatting sqref="R29 AG29">
    <cfRule type="cellIs" dxfId="116" priority="40" operator="lessThan">
      <formula>0.8</formula>
    </cfRule>
  </conditionalFormatting>
  <conditionalFormatting sqref="AG29">
    <cfRule type="cellIs" dxfId="115" priority="39" operator="lessThan">
      <formula>0.8</formula>
    </cfRule>
  </conditionalFormatting>
  <conditionalFormatting sqref="O64">
    <cfRule type="cellIs" dxfId="114" priority="34" operator="greaterThan">
      <formula>0</formula>
    </cfRule>
  </conditionalFormatting>
  <conditionalFormatting sqref="P64 AE64">
    <cfRule type="cellIs" dxfId="113" priority="37" operator="lessThan">
      <formula>0</formula>
    </cfRule>
  </conditionalFormatting>
  <conditionalFormatting sqref="Q64 AF64">
    <cfRule type="cellIs" dxfId="112" priority="35" operator="greaterThan">
      <formula>1</formula>
    </cfRule>
    <cfRule type="cellIs" dxfId="111" priority="36" operator="lessThan">
      <formula>0.8</formula>
    </cfRule>
  </conditionalFormatting>
  <conditionalFormatting sqref="R64 AG64">
    <cfRule type="cellIs" dxfId="110" priority="38" operator="lessThan">
      <formula>0.8</formula>
    </cfRule>
  </conditionalFormatting>
  <conditionalFormatting sqref="O20">
    <cfRule type="cellIs" dxfId="109" priority="29" operator="greaterThan">
      <formula>0</formula>
    </cfRule>
  </conditionalFormatting>
  <conditionalFormatting sqref="P20">
    <cfRule type="cellIs" dxfId="108" priority="32" operator="lessThan">
      <formula>0</formula>
    </cfRule>
  </conditionalFormatting>
  <conditionalFormatting sqref="Q20">
    <cfRule type="cellIs" dxfId="107" priority="30" operator="greaterThan">
      <formula>1</formula>
    </cfRule>
    <cfRule type="cellIs" dxfId="106" priority="31" operator="lessThan">
      <formula>0.8</formula>
    </cfRule>
  </conditionalFormatting>
  <conditionalFormatting sqref="AG20 R20">
    <cfRule type="cellIs" dxfId="105" priority="33" operator="lessThan">
      <formula>0.8</formula>
    </cfRule>
  </conditionalFormatting>
  <conditionalFormatting sqref="O21">
    <cfRule type="cellIs" dxfId="104" priority="24" operator="greaterThan">
      <formula>0</formula>
    </cfRule>
  </conditionalFormatting>
  <conditionalFormatting sqref="P21">
    <cfRule type="cellIs" dxfId="103" priority="27" operator="lessThan">
      <formula>0</formula>
    </cfRule>
  </conditionalFormatting>
  <conditionalFormatting sqref="Q21">
    <cfRule type="cellIs" dxfId="102" priority="25" operator="greaterThan">
      <formula>1</formula>
    </cfRule>
    <cfRule type="cellIs" dxfId="101" priority="26" operator="lessThan">
      <formula>0.8</formula>
    </cfRule>
  </conditionalFormatting>
  <conditionalFormatting sqref="AG21 R21">
    <cfRule type="cellIs" dxfId="100" priority="28" operator="lessThan">
      <formula>0.8</formula>
    </cfRule>
  </conditionalFormatting>
  <conditionalFormatting sqref="P9">
    <cfRule type="cellIs" dxfId="99" priority="23" operator="lessThan">
      <formula>0</formula>
    </cfRule>
  </conditionalFormatting>
  <conditionalFormatting sqref="P22">
    <cfRule type="cellIs" dxfId="98" priority="22" operator="lessThan">
      <formula>0</formula>
    </cfRule>
  </conditionalFormatting>
  <conditionalFormatting sqref="P31">
    <cfRule type="cellIs" dxfId="97" priority="21" operator="lessThan">
      <formula>0</formula>
    </cfRule>
  </conditionalFormatting>
  <conditionalFormatting sqref="P39">
    <cfRule type="cellIs" dxfId="96" priority="20" operator="lessThan">
      <formula>0</formula>
    </cfRule>
  </conditionalFormatting>
  <conditionalFormatting sqref="P52">
    <cfRule type="cellIs" dxfId="95" priority="19" operator="lessThan">
      <formula>0</formula>
    </cfRule>
  </conditionalFormatting>
  <conditionalFormatting sqref="P62">
    <cfRule type="cellIs" dxfId="94" priority="18" operator="lessThan">
      <formula>0</formula>
    </cfRule>
  </conditionalFormatting>
  <conditionalFormatting sqref="P68">
    <cfRule type="cellIs" dxfId="93" priority="17" operator="lessThan">
      <formula>0</formula>
    </cfRule>
  </conditionalFormatting>
  <conditionalFormatting sqref="P78">
    <cfRule type="cellIs" dxfId="92" priority="16" operator="lessThan">
      <formula>0</formula>
    </cfRule>
  </conditionalFormatting>
  <conditionalFormatting sqref="O76">
    <cfRule type="cellIs" dxfId="91" priority="11" operator="greaterThan">
      <formula>0</formula>
    </cfRule>
  </conditionalFormatting>
  <conditionalFormatting sqref="P76">
    <cfRule type="cellIs" dxfId="90" priority="14" operator="lessThan">
      <formula>0</formula>
    </cfRule>
  </conditionalFormatting>
  <conditionalFormatting sqref="Q76">
    <cfRule type="cellIs" dxfId="89" priority="12" operator="greaterThan">
      <formula>1</formula>
    </cfRule>
    <cfRule type="cellIs" dxfId="88" priority="13" operator="lessThan">
      <formula>0.8</formula>
    </cfRule>
  </conditionalFormatting>
  <conditionalFormatting sqref="R76">
    <cfRule type="cellIs" dxfId="87" priority="15" operator="lessThan">
      <formula>0.8</formula>
    </cfRule>
  </conditionalFormatting>
  <conditionalFormatting sqref="O77">
    <cfRule type="cellIs" dxfId="86" priority="6" operator="greaterThan">
      <formula>0</formula>
    </cfRule>
  </conditionalFormatting>
  <conditionalFormatting sqref="P77">
    <cfRule type="cellIs" dxfId="85" priority="9" operator="lessThan">
      <formula>0</formula>
    </cfRule>
  </conditionalFormatting>
  <conditionalFormatting sqref="Q77">
    <cfRule type="cellIs" dxfId="84" priority="7" operator="greaterThan">
      <formula>1</formula>
    </cfRule>
    <cfRule type="cellIs" dxfId="83" priority="8" operator="lessThan">
      <formula>0.8</formula>
    </cfRule>
  </conditionalFormatting>
  <conditionalFormatting sqref="R77">
    <cfRule type="cellIs" dxfId="82" priority="10" operator="lessThan">
      <formula>0.8</formula>
    </cfRule>
  </conditionalFormatting>
  <conditionalFormatting sqref="O61">
    <cfRule type="cellIs" dxfId="81" priority="1" operator="greaterThan">
      <formula>0</formula>
    </cfRule>
  </conditionalFormatting>
  <conditionalFormatting sqref="P61">
    <cfRule type="cellIs" dxfId="80" priority="4" operator="lessThan">
      <formula>0</formula>
    </cfRule>
  </conditionalFormatting>
  <conditionalFormatting sqref="Q61">
    <cfRule type="cellIs" dxfId="79" priority="2" operator="greaterThan">
      <formula>1</formula>
    </cfRule>
    <cfRule type="cellIs" dxfId="78" priority="3" operator="lessThan">
      <formula>0.8</formula>
    </cfRule>
  </conditionalFormatting>
  <conditionalFormatting sqref="AG61 R61">
    <cfRule type="cellIs" dxfId="77" priority="5" operator="lessThan">
      <formula>0.8</formula>
    </cfRule>
  </conditionalFormatting>
  <dataValidations count="1">
    <dataValidation type="list" allowBlank="1" showInputMessage="1" showErrorMessage="1" sqref="AB9 AA5:AB8 AB67 AA9:AA67 AB11:AB63 AA68:AB7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CE2F9D-BFA4-4653-B6B8-93B0760EE927}"/>
</file>

<file path=customXml/itemProps2.xml><?xml version="1.0" encoding="utf-8"?>
<ds:datastoreItem xmlns:ds="http://schemas.openxmlformats.org/officeDocument/2006/customXml" ds:itemID="{4CE8D81B-9780-4E82-9A9A-E4481777BAB0}"/>
</file>

<file path=customXml/itemProps3.xml><?xml version="1.0" encoding="utf-8"?>
<ds:datastoreItem xmlns:ds="http://schemas.openxmlformats.org/officeDocument/2006/customXml" ds:itemID="{316DF907-453A-419E-AD25-B106BB94AD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0928</vt:lpstr>
      <vt:lpstr>0928 4度C</vt:lpstr>
      <vt:lpstr>0927</vt:lpstr>
      <vt:lpstr>0927 4度C</vt:lpstr>
      <vt:lpstr>0926</vt:lpstr>
      <vt:lpstr>0926 4度C</vt:lpstr>
      <vt:lpstr>0925</vt:lpstr>
      <vt:lpstr>0925 4度C</vt:lpstr>
      <vt:lpstr>0924</vt:lpstr>
      <vt:lpstr>0924 4度C</vt:lpstr>
      <vt:lpstr>0923</vt:lpstr>
      <vt:lpstr>0923 4度C</vt:lpstr>
      <vt:lpstr>0922</vt:lpstr>
      <vt:lpstr>0922 4度C</vt:lpstr>
      <vt:lpstr>0921</vt:lpstr>
      <vt:lpstr>0921 4度C</vt:lpstr>
      <vt:lpstr>0920</vt:lpstr>
      <vt:lpstr>0920 4度C</vt:lpstr>
      <vt:lpstr>0919</vt:lpstr>
      <vt:lpstr>0919 4度C</vt:lpstr>
      <vt:lpstr>0918</vt:lpstr>
      <vt:lpstr>0918 4度C</vt:lpstr>
      <vt:lpstr>0917</vt:lpstr>
      <vt:lpstr>0917 4度C</vt:lpstr>
      <vt:lpstr>0916</vt:lpstr>
      <vt:lpstr>0916 4度C</vt:lpstr>
      <vt:lpstr>0915</vt:lpstr>
      <vt:lpstr>0915 4度C</vt:lpstr>
      <vt:lpstr>0914</vt:lpstr>
      <vt:lpstr>0914 4度C</vt:lpstr>
      <vt:lpstr>0913</vt:lpstr>
      <vt:lpstr>0913 4度C</vt:lpstr>
      <vt:lpstr>0912</vt:lpstr>
      <vt:lpstr>0912 4度C</vt:lpstr>
      <vt:lpstr>0911</vt:lpstr>
      <vt:lpstr>0911 4度C</vt:lpstr>
      <vt:lpstr>0910</vt:lpstr>
      <vt:lpstr>0910 4度C</vt:lpstr>
      <vt:lpstr>0909</vt:lpstr>
      <vt:lpstr>0909 4度C</vt:lpstr>
      <vt:lpstr>0908</vt:lpstr>
      <vt:lpstr>0908 4度C</vt:lpstr>
      <vt:lpstr>0907</vt:lpstr>
      <vt:lpstr>0907 4度C</vt:lpstr>
      <vt:lpstr>0906</vt:lpstr>
      <vt:lpstr>0906 4度C</vt:lpstr>
      <vt:lpstr>0905</vt:lpstr>
      <vt:lpstr>0905 4度C</vt:lpstr>
      <vt:lpstr>0904</vt:lpstr>
      <vt:lpstr>0904 4度C</vt:lpstr>
      <vt:lpstr>0903</vt:lpstr>
      <vt:lpstr>0903 4度C</vt:lpstr>
      <vt:lpstr>0902</vt:lpstr>
      <vt:lpstr>0902 4度C</vt:lpstr>
      <vt:lpstr>0901</vt:lpstr>
      <vt:lpstr>0901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新豐生管04</dc:creator>
  <cp:lastModifiedBy>新豐生管04</cp:lastModifiedBy>
  <dcterms:created xsi:type="dcterms:W3CDTF">2026-08-02T01:35:55Z</dcterms:created>
  <dcterms:modified xsi:type="dcterms:W3CDTF">2026-09-29T01:50:07Z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